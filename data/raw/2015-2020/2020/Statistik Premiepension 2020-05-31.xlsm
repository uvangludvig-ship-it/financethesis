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0\"/>
    </mc:Choice>
  </mc:AlternateContent>
  <bookViews>
    <workbookView xWindow="2100" yWindow="-285" windowWidth="25035" windowHeight="7875" tabRatio="724" firstSheet="10" activeTab="16"/>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62913"/>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authors>
    <author>Bengt Norrby</author>
  </authors>
  <commentList>
    <comment ref="I22" authorId="0" shapeId="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<sst xmlns="http://schemas.openxmlformats.org/spreadsheetml/2006/main" count="15078" uniqueCount="1551">
  <si>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</si>
  <si>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</si>
  <si>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</si>
  <si>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</si>
  <si>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</si>
  <si>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</si>
  <si>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</si>
  <si>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</si>
  <si>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</si>
  <si>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</si>
  <si>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</si>
  <si>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</si>
  <si>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</si>
  <si>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</si>
  <si>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</si>
  <si>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</si>
  <si>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</si>
  <si>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</si>
  <si>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</si>
  <si>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</si>
  <si>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</si>
  <si>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</si>
  <si>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</si>
  <si>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</si>
  <si>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</si>
  <si>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</si>
  <si>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</si>
  <si>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</si>
  <si>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</si>
  <si>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</si>
  <si>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</si>
  <si>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</si>
  <si>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</si>
  <si>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</si>
  <si>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</si>
  <si>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</si>
  <si>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</si>
  <si>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</si>
  <si>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</si>
  <si>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</si>
  <si>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</si>
  <si>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</si>
  <si>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</si>
  <si>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</si>
  <si>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</si>
  <si>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</si>
  <si>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</si>
  <si>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</si>
  <si>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</si>
  <si>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</si>
  <si>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</si>
  <si>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</si>
  <si>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</si>
  <si>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</si>
  <si>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</si>
  <si>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</si>
  <si>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</si>
  <si>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</si>
  <si>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</si>
  <si>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</si>
  <si>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</si>
  <si>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</si>
  <si>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</si>
  <si>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</si>
  <si>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</si>
  <si>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</si>
  <si>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</si>
  <si>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</si>
  <si>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</si>
  <si>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</si>
  <si>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</si>
  <si>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</si>
  <si>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</si>
  <si>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</si>
  <si>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</si>
  <si>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</si>
  <si>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</si>
  <si>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</si>
  <si>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</si>
  <si>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</si>
  <si>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</si>
  <si>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</si>
  <si>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</si>
  <si>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</si>
  <si>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</si>
  <si>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</si>
  <si>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</si>
  <si>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</si>
  <si>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</si>
  <si>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</si>
  <si>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</si>
  <si>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</si>
  <si>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</si>
  <si>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</si>
  <si>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</si>
  <si>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</si>
  <si>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</si>
  <si>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</si>
  <si>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</si>
  <si>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</si>
  <si>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</si>
  <si>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</si>
  <si>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</si>
  <si>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</si>
  <si>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</si>
  <si>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</si>
  <si>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</si>
  <si>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</si>
  <si>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</si>
  <si>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</si>
  <si>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</si>
  <si>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</si>
  <si>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</si>
  <si>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</si>
  <si>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</si>
  <si>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</si>
  <si>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</si>
  <si>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</si>
  <si>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</si>
  <si>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</si>
  <si>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</si>
  <si>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</si>
  <si>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</si>
  <si>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</si>
  <si>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</si>
  <si>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</si>
  <si>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</si>
  <si>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</si>
  <si>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</si>
  <si>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</si>
  <si>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</si>
  <si>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</si>
  <si>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</si>
  <si>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</si>
  <si>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</si>
  <si>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</si>
  <si>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</si>
  <si>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</si>
  <si>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</si>
  <si>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</si>
  <si>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</si>
  <si>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</si>
  <si>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</si>
  <si>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</si>
  <si>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</si>
  <si>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</si>
  <si>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</si>
  <si>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</si>
  <si>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</si>
  <si>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</si>
  <si>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</si>
  <si>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</si>
  <si>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</si>
  <si>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</si>
  <si>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</si>
  <si>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</si>
  <si>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</si>
  <si>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</si>
  <si>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</si>
  <si>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</si>
  <si>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</si>
  <si>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</si>
  <si>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</si>
  <si>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</si>
  <si>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</si>
  <si>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</si>
  <si>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</si>
  <si>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</si>
  <si>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</si>
  <si>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</si>
  <si>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</si>
  <si>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</si>
  <si>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</si>
  <si>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</si>
  <si>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</si>
  <si>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</si>
  <si>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</si>
  <si>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</si>
  <si>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Global Emerging Markets</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</si>
  <si>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</si>
  <si>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</si>
  <si>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</si>
  <si>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</si>
  <si>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</si>
  <si>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</si>
  <si>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</si>
  <si>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</si>
  <si>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</si>
  <si>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</si>
  <si>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</si>
  <si>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</si>
  <si>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</si>
  <si>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</si>
  <si>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</si>
  <si>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</si>
  <si>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</si>
  <si>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</si>
  <si>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</si>
  <si>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</si>
  <si>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</si>
  <si>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</si>
  <si>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</si>
  <si>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</si>
  <si>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</si>
  <si>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</si>
  <si>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</si>
  <si>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</si>
  <si>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Aktiefond Sverige</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</si>
  <si>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</si>
  <si>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</si>
  <si>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</si>
  <si>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</si>
  <si>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</si>
  <si>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</si>
  <si>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</si>
  <si>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</si>
  <si>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</si>
  <si>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</si>
  <si>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</si>
  <si>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</si>
  <si>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</si>
  <si>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</si>
  <si>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</si>
  <si>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</si>
  <si>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</si>
  <si>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</si>
  <si>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</si>
  <si>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</si>
  <si>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</si>
  <si>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</si>
  <si>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</si>
  <si>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</si>
  <si>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</si>
  <si>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</si>
  <si>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</si>
  <si>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</si>
  <si>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</si>
  <si>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</si>
  <si>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Amundi Funds Latin America Equity A</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</si>
  <si>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</si>
  <si>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</si>
  <si>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</si>
  <si>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</si>
  <si>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</si>
  <si>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</si>
  <si>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</si>
  <si>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</si>
  <si>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</si>
  <si>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</si>
  <si>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</si>
  <si>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</si>
  <si>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</si>
  <si>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</si>
  <si>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Amundi Funds CPR Global Lifestyles A</t>
  </si>
  <si>
    <t>Övriga branscher</t>
  </si>
  <si>
    <t>Amundi Funds SBI FM India Equity A</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</si>
  <si>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</si>
  <si>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</si>
  <si>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</si>
  <si>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</si>
  <si>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</si>
  <si>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</si>
  <si>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</si>
  <si>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</si>
  <si>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</si>
  <si>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</si>
  <si>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</si>
  <si>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</si>
  <si>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</si>
  <si>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</si>
  <si>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</si>
  <si>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Danske Invest SICAV- Global Index SI</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</si>
  <si>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</si>
  <si>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</si>
  <si>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</si>
  <si>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</si>
  <si>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</si>
  <si>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</si>
  <si>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</si>
  <si>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</si>
  <si>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</si>
  <si>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</si>
  <si>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</si>
  <si>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</si>
  <si>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</si>
  <si>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</si>
  <si>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</si>
  <si>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</si>
  <si>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</si>
  <si>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</si>
  <si>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</si>
  <si>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</si>
  <si>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</si>
  <si>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</si>
  <si>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</si>
  <si>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</si>
  <si>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</si>
  <si>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</si>
  <si>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Amundi Funds Volatility World A</t>
  </si>
  <si>
    <t>Sensor Sverige Select</t>
  </si>
  <si>
    <t>Sensor Fonder AB</t>
  </si>
  <si>
    <t>Amundi Funds CPR Global Gold Mines A</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</si>
  <si>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</si>
  <si>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</si>
  <si>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</si>
  <si>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</si>
  <si>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</si>
  <si>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</si>
  <si>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</si>
  <si>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</si>
  <si>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</si>
  <si>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</si>
  <si>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</si>
  <si>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</si>
  <si>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</si>
  <si>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</si>
  <si>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</si>
  <si>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</si>
  <si>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</si>
  <si>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</si>
  <si>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</si>
  <si>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Aberdeen Standard SICAV I - Asia Local Currency Short Term Bond Fund A</t>
  </si>
  <si>
    <t>BL - Equities Europe B</t>
  </si>
  <si>
    <t>OPM Listed Private Equity A</t>
  </si>
  <si>
    <t>Axa Rosenberg US Enhanced Index Equity Alpha Fund B</t>
  </si>
  <si>
    <t>Holberg Norden</t>
  </si>
  <si>
    <t>Fondita European Small Cap Placeringsfond B</t>
  </si>
  <si>
    <t>Carnegie Strategifond A</t>
  </si>
  <si>
    <t>Handelsbanken Europa Tema A1</t>
  </si>
  <si>
    <t>DNB Fund - Asian Small Cap Retail A</t>
  </si>
  <si>
    <t>UBS (Lux) Equity Fund - Biotech P-acc</t>
  </si>
  <si>
    <t>Axa Rosenberg Japan Equity Alpha Fund B</t>
  </si>
  <si>
    <t>Skandia Smart Offensiv</t>
  </si>
  <si>
    <t>Evli GEM Placeringsfonden B</t>
  </si>
  <si>
    <t>Pictet Emerging Europe R</t>
  </si>
  <si>
    <t>Östeuropa</t>
  </si>
  <si>
    <t>SEB Japanfond</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</si>
  <si>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</si>
  <si>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</si>
  <si>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</si>
  <si>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</si>
  <si>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</si>
  <si>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</si>
  <si>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</si>
  <si>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</si>
  <si>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</si>
  <si>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</si>
  <si>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</si>
  <si>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</si>
  <si>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</si>
  <si>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</si>
  <si>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</si>
  <si>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</si>
  <si>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</si>
  <si>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</si>
  <si>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</si>
  <si>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</si>
  <si>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</si>
  <si>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</si>
  <si>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</si>
  <si>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</si>
  <si>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</si>
  <si>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</si>
  <si>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</si>
  <si>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</si>
  <si>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Pictet Small Cap Europe R</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</si>
  <si>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</si>
  <si>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</si>
  <si>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</si>
  <si>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</si>
  <si>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</si>
  <si>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</si>
  <si>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</si>
  <si>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</si>
  <si>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</si>
  <si>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</si>
  <si>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</si>
  <si>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</si>
  <si>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</si>
  <si>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Axa Rosenberg Pan-European Equity Alpha Fund B</t>
  </si>
  <si>
    <t>Skandia Världen</t>
  </si>
  <si>
    <t>Pictet European Equity Selection R</t>
  </si>
  <si>
    <t>Lannebo Likviditetsfond</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</si>
  <si>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</si>
  <si>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</si>
  <si>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</si>
  <si>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</si>
  <si>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</si>
  <si>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</si>
  <si>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</si>
  <si>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</si>
  <si>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</si>
  <si>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</si>
  <si>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</si>
  <si>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</si>
  <si>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</si>
  <si>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</si>
  <si>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</si>
  <si>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</si>
  <si>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</si>
  <si>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</si>
  <si>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</si>
  <si>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</si>
  <si>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</si>
  <si>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</si>
  <si>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</si>
  <si>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</si>
  <si>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</si>
  <si>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East Capital Multi-Strategi</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</si>
  <si>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</si>
  <si>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</si>
  <si>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</si>
  <si>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</si>
  <si>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</si>
  <si>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</si>
  <si>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</si>
  <si>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</si>
  <si>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</si>
  <si>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Alpcot Equities R</t>
  </si>
  <si>
    <t>Kredietrust Luxembourg S.A</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</si>
  <si>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</si>
  <si>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</si>
  <si>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</si>
  <si>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</si>
  <si>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</si>
  <si>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</si>
  <si>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</si>
  <si>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</si>
  <si>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</si>
  <si>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</si>
  <si>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</si>
  <si>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</si>
  <si>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</si>
  <si>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</si>
  <si>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</si>
  <si>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</si>
  <si>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</si>
  <si>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</si>
  <si>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Pareto Global Corporate Bond A</t>
  </si>
  <si>
    <t>FundRock Management Company S.A.</t>
  </si>
  <si>
    <t>AMF Balansfond</t>
  </si>
  <si>
    <t>Evli Sverige Aktieindex B</t>
  </si>
  <si>
    <t>Nordea Swedish Bond Stars</t>
  </si>
  <si>
    <t>Danske Invest  SICAV- SRI Global SI</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</si>
  <si>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</si>
  <si>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</si>
  <si>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</si>
  <si>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</si>
  <si>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</si>
  <si>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</si>
  <si>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</si>
  <si>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</si>
  <si>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</si>
  <si>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</si>
  <si>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</si>
  <si>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</si>
  <si>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</si>
  <si>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</si>
  <si>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</si>
  <si>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</si>
  <si>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</si>
  <si>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</si>
  <si>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</si>
  <si>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</si>
  <si>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Avaron Emerging Europe Fund</t>
  </si>
  <si>
    <t>Avaron Asset Management, AS</t>
  </si>
  <si>
    <t>Franklin European Growth Fund A</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</si>
  <si>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</si>
  <si>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</si>
  <si>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</si>
  <si>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</si>
  <si>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</si>
  <si>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</si>
  <si>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</si>
  <si>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</si>
  <si>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</si>
  <si>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</si>
  <si>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</si>
  <si>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</si>
  <si>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</si>
  <si>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</si>
  <si>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</si>
  <si>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</si>
  <si>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</si>
  <si>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</si>
  <si>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</si>
  <si>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</si>
  <si>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DNB Global Indeks</t>
  </si>
  <si>
    <t>Skandia Kapitalmarknadsfond</t>
  </si>
  <si>
    <t>Naventi Offensiv Flex</t>
  </si>
  <si>
    <t>Amundi Funds Global Equity Conservative AU (C)</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</si>
  <si>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</si>
  <si>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</si>
  <si>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</si>
  <si>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</si>
  <si>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</si>
  <si>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</si>
  <si>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</si>
  <si>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</si>
  <si>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</si>
  <si>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</si>
  <si>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DNB Grönt Norden</t>
  </si>
  <si>
    <t>Evli Europa Placeringsfonden B</t>
  </si>
  <si>
    <t>UBS (Lux) Equity - Russia P-acc</t>
  </si>
  <si>
    <t>UBS (Lux) Key Selection - Global Equities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</si>
  <si>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</si>
  <si>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</si>
  <si>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</si>
  <si>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</si>
  <si>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</si>
  <si>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</si>
  <si>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</si>
  <si>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Handelsbanken Norden A1</t>
  </si>
  <si>
    <t>Länsförsäkringar Sparmål 2015</t>
  </si>
  <si>
    <t>Swedbank Robur Transfer 60</t>
  </si>
  <si>
    <t>Swedbank Robur Nordenfond</t>
  </si>
  <si>
    <t>SEB Latinamerikafond</t>
  </si>
  <si>
    <t>AMF Aktiefond Asien Stilla Havet</t>
  </si>
  <si>
    <t>Swedbank Robur Östeuropafond A</t>
  </si>
  <si>
    <t>HealthInvest Partners AB</t>
  </si>
  <si>
    <t>Danske Invest SICAV-Aktiv Förmögenhetsförvaltning SI</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</si>
  <si>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</si>
  <si>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</si>
  <si>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</si>
  <si>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</si>
  <si>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</si>
  <si>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</si>
  <si>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</si>
  <si>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</si>
  <si>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</si>
  <si>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</si>
  <si>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</si>
  <si>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</si>
  <si>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</si>
  <si>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</si>
  <si>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</si>
  <si>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Danske Invest SICAV- Sverige Kort Ränta SI</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</si>
  <si>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</si>
  <si>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</si>
  <si>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</si>
  <si>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</si>
  <si>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</si>
  <si>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</si>
  <si>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</si>
  <si>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</si>
  <si>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</si>
  <si>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</si>
  <si>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Danske Invest SICAV- Europe SI</t>
  </si>
  <si>
    <t>Danske Invest SICAV- Sverige Ränta SI</t>
  </si>
  <si>
    <t>Öhman Sverige Hållbar A</t>
  </si>
  <si>
    <t>AMF Aktiefond Global</t>
  </si>
  <si>
    <t>SPP Aktiefond Stabil A</t>
  </si>
  <si>
    <t>SEB Asienfond ex Japan</t>
  </si>
  <si>
    <t>Handelsbanken Sverige A1</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</si>
  <si>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</si>
  <si>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</si>
  <si>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</si>
  <si>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</si>
  <si>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</si>
  <si>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</si>
  <si>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</si>
  <si>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</si>
  <si>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</si>
  <si>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</si>
  <si>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</si>
  <si>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</si>
  <si>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</si>
  <si>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</si>
  <si>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</si>
  <si>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DNB Europa Indeks</t>
  </si>
  <si>
    <t>Söderberg &amp; Partners Proaktiv 80 PM A</t>
  </si>
  <si>
    <t>SKAGEN Global E</t>
  </si>
  <si>
    <t>SEB Nordamerikafond</t>
  </si>
  <si>
    <t>Handelsbanken Tillväxtmarknad Tema A1</t>
  </si>
  <si>
    <t>Nordea Globala Tillväxtmarknader Placeringsfond Tillväxt</t>
  </si>
  <si>
    <t>SEB Pension Fund C</t>
  </si>
  <si>
    <t>Statens förvaltningsalternativ</t>
  </si>
  <si>
    <t>Generationsfonder</t>
  </si>
  <si>
    <t>Sjunde AP-fonden</t>
  </si>
  <si>
    <t>AP7 Försiktig</t>
  </si>
  <si>
    <t>Blandfonder</t>
  </si>
  <si>
    <t>AP7 Balanserad</t>
  </si>
  <si>
    <t>AP7 Offensiv</t>
  </si>
  <si>
    <t>Aktiefonder</t>
  </si>
  <si>
    <t>Räntefonder</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</si>
  <si>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</si>
  <si>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</si>
  <si>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</si>
  <si>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</si>
  <si>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</si>
  <si>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</si>
  <si>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</si>
  <si>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</si>
  <si>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</si>
  <si>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</si>
  <si>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</si>
  <si>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</si>
  <si>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</si>
  <si>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</si>
  <si>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Holberg Triton A</t>
  </si>
  <si>
    <t>FIM Europa Placeringsfond</t>
  </si>
  <si>
    <t>Simplicity Företagsobligationer A</t>
  </si>
  <si>
    <t>Länsförsäkringar Hållbar Företagsobligation</t>
  </si>
  <si>
    <t>Swedbank Robur Fastighet A</t>
  </si>
  <si>
    <t>Danske Invest SICAV-  Sverige SI</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</si>
  <si>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</si>
  <si>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</si>
  <si>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</si>
  <si>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</si>
  <si>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</si>
  <si>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</si>
  <si>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</si>
  <si>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</si>
  <si>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</si>
  <si>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</si>
  <si>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</si>
  <si>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</si>
  <si>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</si>
  <si>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</si>
  <si>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Franklin Select U.S. Equity Fund A</t>
  </si>
  <si>
    <t>SEB Asset Selection Fund C</t>
  </si>
  <si>
    <t>SEB Hållbarhetsfond Global</t>
  </si>
  <si>
    <t>Swedbank Robur Rysslandsfond A</t>
  </si>
  <si>
    <t>CB Save Earth Fund RC</t>
  </si>
  <si>
    <t>Ålandsbanken Premium 50 S Placeringsfond</t>
  </si>
  <si>
    <t>Ålandsbanken Euro Bond S Placeringsfond</t>
  </si>
  <si>
    <t>JPMorgan China A</t>
  </si>
  <si>
    <t>Ålandsbanken Europe Value B Placeringsfond</t>
  </si>
  <si>
    <t>JPMorgan Japan Select Equity A</t>
  </si>
  <si>
    <t>JPMorgan Emerging Markets Equity A</t>
  </si>
  <si>
    <t>Carnegie Fastighetsfond Norden A</t>
  </si>
  <si>
    <t>Danske Invest SICAV  - Euro Investment Grade Corporate Bond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</si>
  <si>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</si>
  <si>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</si>
  <si>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</si>
  <si>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</si>
  <si>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</si>
  <si>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</si>
  <si>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</si>
  <si>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</si>
  <si>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</si>
  <si>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</si>
  <si>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2002-12-18</t>
  </si>
  <si>
    <t>SE0000810814</t>
  </si>
  <si>
    <t>2004-01-27</t>
  </si>
  <si>
    <t>SE0001095506</t>
  </si>
  <si>
    <t>NOK</t>
  </si>
  <si>
    <t>2002-12-20</t>
  </si>
  <si>
    <t>NO0010089410</t>
  </si>
  <si>
    <t>2003-03-04</t>
  </si>
  <si>
    <t>SE0000577280</t>
  </si>
  <si>
    <t>2015-10-12</t>
  </si>
  <si>
    <t>SE0007074059</t>
  </si>
  <si>
    <t>2012-04-17</t>
  </si>
  <si>
    <t>NO0010073216</t>
  </si>
  <si>
    <t>EUR</t>
  </si>
  <si>
    <t>2006-01-13</t>
  </si>
  <si>
    <t>LU0198839143</t>
  </si>
  <si>
    <t>2003-05-09</t>
  </si>
  <si>
    <t>SE0001112764</t>
  </si>
  <si>
    <t>2019-08-21</t>
  </si>
  <si>
    <t>NO0010337512</t>
  </si>
  <si>
    <t>2009-10-05</t>
  </si>
  <si>
    <t>LU0309191657</t>
  </si>
  <si>
    <t>2002-11-14</t>
  </si>
  <si>
    <t>SE0000984171</t>
  </si>
  <si>
    <t>2003-03-26</t>
  </si>
  <si>
    <t>SE0000356263</t>
  </si>
  <si>
    <t>2016-09-19</t>
  </si>
  <si>
    <t>FI4000087911</t>
  </si>
  <si>
    <t>2008-04-07</t>
  </si>
  <si>
    <t>FI0008813449</t>
  </si>
  <si>
    <t>SE0000813933</t>
  </si>
  <si>
    <t>2009-01-19</t>
  </si>
  <si>
    <t>SE0002699421</t>
  </si>
  <si>
    <t>2003-07-11</t>
  </si>
  <si>
    <t>SE0000531881</t>
  </si>
  <si>
    <t>2018-09-21</t>
  </si>
  <si>
    <t>FI4000087887</t>
  </si>
  <si>
    <t>2002-04-08</t>
  </si>
  <si>
    <t>NO0010089444</t>
  </si>
  <si>
    <t>2015-09-25</t>
  </si>
  <si>
    <t>SE0007074083</t>
  </si>
  <si>
    <t>2002-08-15</t>
  </si>
  <si>
    <t>IE0004352823</t>
  </si>
  <si>
    <t>2003-01-16</t>
  </si>
  <si>
    <t>SE0001015355</t>
  </si>
  <si>
    <t>SE0001112749</t>
  </si>
  <si>
    <t>2019-09-04</t>
  </si>
  <si>
    <t>NO0010839798</t>
  </si>
  <si>
    <t>LU0309192036</t>
  </si>
  <si>
    <t>SE0000984197</t>
  </si>
  <si>
    <t>USD</t>
  </si>
  <si>
    <t>2004-01-09</t>
  </si>
  <si>
    <t>LU0006061252</t>
  </si>
  <si>
    <t>2012-09-11</t>
  </si>
  <si>
    <t>SE0011307909</t>
  </si>
  <si>
    <t>2016-02-12</t>
  </si>
  <si>
    <t>NO0010660434</t>
  </si>
  <si>
    <t>2001-04-20</t>
  </si>
  <si>
    <t>SE0000813917</t>
  </si>
  <si>
    <t>2007-08-27</t>
  </si>
  <si>
    <t>LU0231203729</t>
  </si>
  <si>
    <t>2003-03-10</t>
  </si>
  <si>
    <t>LU0128469839</t>
  </si>
  <si>
    <t>JPY</t>
  </si>
  <si>
    <t>2009-04-20</t>
  </si>
  <si>
    <t>LU0248702192</t>
  </si>
  <si>
    <t>SE0000621393</t>
  </si>
  <si>
    <t>FI0008801071</t>
  </si>
  <si>
    <t>NO0010089402</t>
  </si>
  <si>
    <t>2012-10-02</t>
  </si>
  <si>
    <t>SE0004576452</t>
  </si>
  <si>
    <t>SE0000577330</t>
  </si>
  <si>
    <t>2019-05-17</t>
  </si>
  <si>
    <t>NO0010817380</t>
  </si>
  <si>
    <t>2000-09-04</t>
  </si>
  <si>
    <t>LU0104885248</t>
  </si>
  <si>
    <t>IE0000838304</t>
  </si>
  <si>
    <t>2002-05-31</t>
  </si>
  <si>
    <t>NO0010337678</t>
  </si>
  <si>
    <t>LU0278936439</t>
  </si>
  <si>
    <t>SE0000984114</t>
  </si>
  <si>
    <t>2012-12-10</t>
  </si>
  <si>
    <t>SE0002800276</t>
  </si>
  <si>
    <t>2001-01-22</t>
  </si>
  <si>
    <t>FI0008802897</t>
  </si>
  <si>
    <t>SE0000625238</t>
  </si>
  <si>
    <t>Nordea Funds Ltd</t>
  </si>
  <si>
    <t>2008-01-14</t>
  </si>
  <si>
    <t>LU0201575346</t>
  </si>
  <si>
    <t>SE0000837213</t>
  </si>
  <si>
    <t>SE0000529992</t>
  </si>
  <si>
    <t>SE0000429854</t>
  </si>
  <si>
    <t>2002-09-03</t>
  </si>
  <si>
    <t>SE0000653487</t>
  </si>
  <si>
    <t>SE0000577322</t>
  </si>
  <si>
    <t>SE0000885089</t>
  </si>
  <si>
    <t>2014-05-14</t>
  </si>
  <si>
    <t>FI4000066899</t>
  </si>
  <si>
    <t>SE0000984122</t>
  </si>
  <si>
    <t>LU0047713382</t>
  </si>
  <si>
    <t>2011-06-29</t>
  </si>
  <si>
    <t>LU0568611650</t>
  </si>
  <si>
    <t>2006-12-04</t>
  </si>
  <si>
    <t>LU0236501697</t>
  </si>
  <si>
    <t>2000-09-13</t>
  </si>
  <si>
    <t>LU0051755006</t>
  </si>
  <si>
    <t>2006-10-09</t>
  </si>
  <si>
    <t>IE0000828933</t>
  </si>
  <si>
    <t>FI0008802871</t>
  </si>
  <si>
    <t>2010-11-10</t>
  </si>
  <si>
    <t>FI0008805031</t>
  </si>
  <si>
    <t>SE0000837254</t>
  </si>
  <si>
    <t>2010-01-18</t>
  </si>
  <si>
    <t>LU0083425479</t>
  </si>
  <si>
    <t>SE0011308022</t>
  </si>
  <si>
    <t>2015-08-04</t>
  </si>
  <si>
    <t>IE0004334029</t>
  </si>
  <si>
    <t>2005-08-19</t>
  </si>
  <si>
    <t>IE0032431581</t>
  </si>
  <si>
    <t>SE0000594111</t>
  </si>
  <si>
    <t>SE0000429821</t>
  </si>
  <si>
    <t>2014-11-17</t>
  </si>
  <si>
    <t>LU0348788117</t>
  </si>
  <si>
    <t>LU1349493178</t>
  </si>
  <si>
    <t>2013-05-20</t>
  </si>
  <si>
    <t>SE0005065505</t>
  </si>
  <si>
    <t>2010-05-21</t>
  </si>
  <si>
    <t>LU0487186396</t>
  </si>
  <si>
    <t>2017-08-18</t>
  </si>
  <si>
    <t>LU0273119544</t>
  </si>
  <si>
    <t>2019-08-22</t>
  </si>
  <si>
    <t>NO0010723364</t>
  </si>
  <si>
    <t>2002-06-13</t>
  </si>
  <si>
    <t>LU0112497440</t>
  </si>
  <si>
    <t>IE0000931182</t>
  </si>
  <si>
    <t>2012-01-17</t>
  </si>
  <si>
    <t>SE0004324424</t>
  </si>
  <si>
    <t>2004-05-18</t>
  </si>
  <si>
    <t>SE0001185000</t>
  </si>
  <si>
    <t>2016-07-08</t>
  </si>
  <si>
    <t>SE0008320824</t>
  </si>
  <si>
    <t>2008-06-30</t>
  </si>
  <si>
    <t>SE0002566349</t>
  </si>
  <si>
    <t>2000-07-05</t>
  </si>
  <si>
    <t>LU0070214613</t>
  </si>
  <si>
    <t>SE0011307990</t>
  </si>
  <si>
    <t>2006-01-09</t>
  </si>
  <si>
    <t>NO0010029044</t>
  </si>
  <si>
    <t>Odin Fonder</t>
  </si>
  <si>
    <t>LU0128492732</t>
  </si>
  <si>
    <t>2012-03-20</t>
  </si>
  <si>
    <t>FI0008813332</t>
  </si>
  <si>
    <t>2007-09-10</t>
  </si>
  <si>
    <t>NO0010073232</t>
  </si>
  <si>
    <t>2003-04-01</t>
  </si>
  <si>
    <t>SE0000538944</t>
  </si>
  <si>
    <t>2007-01-29</t>
  </si>
  <si>
    <t>FI0008813365</t>
  </si>
  <si>
    <t>SE0000653461</t>
  </si>
  <si>
    <t>SE0000924649</t>
  </si>
  <si>
    <t>2003-05-27</t>
  </si>
  <si>
    <t>SE0000428336</t>
  </si>
  <si>
    <t>SE0005065521</t>
  </si>
  <si>
    <t>IE0004318048</t>
  </si>
  <si>
    <t>2003-04-04</t>
  </si>
  <si>
    <t>SE0000493504</t>
  </si>
  <si>
    <t>2012-10-17</t>
  </si>
  <si>
    <t>SE0004578615</t>
  </si>
  <si>
    <t>NO0010723299</t>
  </si>
  <si>
    <t>LU0101692753</t>
  </si>
  <si>
    <t>LU0093570256</t>
  </si>
  <si>
    <t>SE0000984130</t>
  </si>
  <si>
    <t>LU0072462426</t>
  </si>
  <si>
    <t>2009-06-01</t>
  </si>
  <si>
    <t>LU0319687124</t>
  </si>
  <si>
    <t>SE0002801290</t>
  </si>
  <si>
    <t>IE0000018873</t>
  </si>
  <si>
    <t>LU0568608276</t>
  </si>
  <si>
    <t>SE0001184961</t>
  </si>
  <si>
    <t>LU0053685615</t>
  </si>
  <si>
    <t>SE0008320857</t>
  </si>
  <si>
    <t>2002-07-17</t>
  </si>
  <si>
    <t>SE0000735771</t>
  </si>
  <si>
    <t>LU0112589485</t>
  </si>
  <si>
    <t>SE0000837338</t>
  </si>
  <si>
    <t>SE0011307933</t>
  </si>
  <si>
    <t>LU0133806512</t>
  </si>
  <si>
    <t>IE0004324657</t>
  </si>
  <si>
    <t>NO0010073224</t>
  </si>
  <si>
    <t>2011-11-29</t>
  </si>
  <si>
    <t>SE0004296515</t>
  </si>
  <si>
    <t>2004-12-14</t>
  </si>
  <si>
    <t>LU0117287580</t>
  </si>
  <si>
    <t>2012-06-27</t>
  </si>
  <si>
    <t>SE0004548949</t>
  </si>
  <si>
    <t>2016-11-17</t>
  </si>
  <si>
    <t>LU1121265208</t>
  </si>
  <si>
    <t>2002-04-17</t>
  </si>
  <si>
    <t>FI0008800339</t>
  </si>
  <si>
    <t>2013-05-27</t>
  </si>
  <si>
    <t>SE0004636447</t>
  </si>
  <si>
    <t>SE0000493496</t>
  </si>
  <si>
    <t>2012-10-18</t>
  </si>
  <si>
    <t>SE0004807097</t>
  </si>
  <si>
    <t>SE0000810897</t>
  </si>
  <si>
    <t>2019-08-29</t>
  </si>
  <si>
    <t>NO0010062953</t>
  </si>
  <si>
    <t>IE0000829238</t>
  </si>
  <si>
    <t>2006-07-03</t>
  </si>
  <si>
    <t>LU0094548533</t>
  </si>
  <si>
    <t>LU0093570330</t>
  </si>
  <si>
    <t>LU0055631609</t>
  </si>
  <si>
    <t>2004-10-19</t>
  </si>
  <si>
    <t>SE0001015348</t>
  </si>
  <si>
    <t>2017-02-21</t>
  </si>
  <si>
    <t>FI4000029632</t>
  </si>
  <si>
    <t>2014-06-19</t>
  </si>
  <si>
    <t>SE0003039874</t>
  </si>
  <si>
    <t>SE0000735789</t>
  </si>
  <si>
    <t>SE0011307966</t>
  </si>
  <si>
    <t>2015-08-11</t>
  </si>
  <si>
    <t>IE0033609722</t>
  </si>
  <si>
    <t>NO0010072945</t>
  </si>
  <si>
    <t>2009-09-14</t>
  </si>
  <si>
    <t>FI0008814694</t>
  </si>
  <si>
    <t>SE0000429813</t>
  </si>
  <si>
    <t>SE0000653446</t>
  </si>
  <si>
    <t>FI0008800644</t>
  </si>
  <si>
    <t>2013-09-25</t>
  </si>
  <si>
    <t>SE0000396574</t>
  </si>
  <si>
    <t>LU0067059799</t>
  </si>
  <si>
    <t>LU0069152568</t>
  </si>
  <si>
    <t>IE0004354209</t>
  </si>
  <si>
    <t>LU0094541447</t>
  </si>
  <si>
    <t>2003-02-28</t>
  </si>
  <si>
    <t>SE0000810723</t>
  </si>
  <si>
    <t>2019-06-25</t>
  </si>
  <si>
    <t>FI4000153697</t>
  </si>
  <si>
    <t>LU0131719634</t>
  </si>
  <si>
    <t>LU0122379950</t>
  </si>
  <si>
    <t>2005-02-15</t>
  </si>
  <si>
    <t>SE0000577462</t>
  </si>
  <si>
    <t>2005-12-23</t>
  </si>
  <si>
    <t>LU0109391861</t>
  </si>
  <si>
    <t>2012-11-28</t>
  </si>
  <si>
    <t>LU0723564463</t>
  </si>
  <si>
    <t>2003-12-04</t>
  </si>
  <si>
    <t>SE0000891772</t>
  </si>
  <si>
    <t>SE0000837056</t>
  </si>
  <si>
    <t>2015-11-23</t>
  </si>
  <si>
    <t>LU1028962543</t>
  </si>
  <si>
    <t>2008-01-28</t>
  </si>
  <si>
    <t>NO0010039670</t>
  </si>
  <si>
    <t>SE0001095845</t>
  </si>
  <si>
    <t>LU0359201612</t>
  </si>
  <si>
    <t>SE0000429789</t>
  </si>
  <si>
    <t>2013-04-26</t>
  </si>
  <si>
    <t>LU0348798009</t>
  </si>
  <si>
    <t>2006-09-04</t>
  </si>
  <si>
    <t>LU0119200128</t>
  </si>
  <si>
    <t>IE0004314401</t>
  </si>
  <si>
    <t>SE0000810731</t>
  </si>
  <si>
    <t>LU0131726092</t>
  </si>
  <si>
    <t>2015-09-16</t>
  </si>
  <si>
    <t>LU1116557668</t>
  </si>
  <si>
    <t>2010-06-17</t>
  </si>
  <si>
    <t>SE0000671919</t>
  </si>
  <si>
    <t>LU0011963831</t>
  </si>
  <si>
    <t>2019-09-25</t>
  </si>
  <si>
    <t>LU0835599696</t>
  </si>
  <si>
    <t>LU0048293368</t>
  </si>
  <si>
    <t>2009-10-15</t>
  </si>
  <si>
    <t>LU0178670161</t>
  </si>
  <si>
    <t>LU0106831901</t>
  </si>
  <si>
    <t>2006-12-11</t>
  </si>
  <si>
    <t>SE0000432809</t>
  </si>
  <si>
    <t>FI0008801980</t>
  </si>
  <si>
    <t>2006-11-06</t>
  </si>
  <si>
    <t>SE0001827692</t>
  </si>
  <si>
    <t>2013-11-26</t>
  </si>
  <si>
    <t>NO0010028962</t>
  </si>
  <si>
    <t>2008-09-08</t>
  </si>
  <si>
    <t>FI0008813142</t>
  </si>
  <si>
    <t>2003-08-12</t>
  </si>
  <si>
    <t>SE0000837247</t>
  </si>
  <si>
    <t>LU1133292463</t>
  </si>
  <si>
    <t>SE0001095852</t>
  </si>
  <si>
    <t>SE0000653420</t>
  </si>
  <si>
    <t>FI0008813456</t>
  </si>
  <si>
    <t>2014-10-21</t>
  </si>
  <si>
    <t>SE0005796331</t>
  </si>
  <si>
    <t>SE0001112715</t>
  </si>
  <si>
    <t>LU0131725367</t>
  </si>
  <si>
    <t>2002-01-16</t>
  </si>
  <si>
    <t>SE0000888208</t>
  </si>
  <si>
    <t>SE0000522500</t>
  </si>
  <si>
    <t>FI0008801816</t>
  </si>
  <si>
    <t>LU0090908194</t>
  </si>
  <si>
    <t>LU0048292808</t>
  </si>
  <si>
    <t>LU0056508442</t>
  </si>
  <si>
    <t>2012-04-12</t>
  </si>
  <si>
    <t>SE0004545747</t>
  </si>
  <si>
    <t>SE0000433203</t>
  </si>
  <si>
    <t>NO0008000023</t>
  </si>
  <si>
    <t>SE0000837262</t>
  </si>
  <si>
    <t>2011-12-12</t>
  </si>
  <si>
    <t>SE0003455658</t>
  </si>
  <si>
    <t>SE0001095860</t>
  </si>
  <si>
    <t>2012-03-21</t>
  </si>
  <si>
    <t>SE0003788587</t>
  </si>
  <si>
    <t>FI0008813241</t>
  </si>
  <si>
    <t>SE0000810871</t>
  </si>
  <si>
    <t>SE0000837296</t>
  </si>
  <si>
    <t>IE0004346098</t>
  </si>
  <si>
    <t>SE0001112723</t>
  </si>
  <si>
    <t>LU0130732109</t>
  </si>
  <si>
    <t>IE0000830129</t>
  </si>
  <si>
    <t>2005-09-21</t>
  </si>
  <si>
    <t>SE0000865768</t>
  </si>
  <si>
    <t>2003-06-05</t>
  </si>
  <si>
    <t>FI0008801790</t>
  </si>
  <si>
    <t>LU0122292328</t>
  </si>
  <si>
    <t>2013-07-16</t>
  </si>
  <si>
    <t>SE0002793935</t>
  </si>
  <si>
    <t>2003-07-10</t>
  </si>
  <si>
    <t>LU0048292394</t>
  </si>
  <si>
    <t>LU0075056555</t>
  </si>
  <si>
    <t>SE0000984189</t>
  </si>
  <si>
    <t>2002-10-16</t>
  </si>
  <si>
    <t>SE0000988750</t>
  </si>
  <si>
    <t>2014-11-07</t>
  </si>
  <si>
    <t>SE0005189537</t>
  </si>
  <si>
    <t>2014-07-07</t>
  </si>
  <si>
    <t>LU0076532638</t>
  </si>
  <si>
    <t>2008-12-22</t>
  </si>
  <si>
    <t>SE0002686584</t>
  </si>
  <si>
    <t>2003-05-28</t>
  </si>
  <si>
    <t>SE0000837353</t>
  </si>
  <si>
    <t>2013-04-10</t>
  </si>
  <si>
    <t>FI4000048970</t>
  </si>
  <si>
    <t>2003-12-22</t>
  </si>
  <si>
    <t>LU0055809197</t>
  </si>
  <si>
    <t>SE0001095878</t>
  </si>
  <si>
    <t>2003-01-07</t>
  </si>
  <si>
    <t>NO0010839772</t>
  </si>
  <si>
    <t>SE0000653370</t>
  </si>
  <si>
    <t>LU0589944643</t>
  </si>
  <si>
    <t>2014-12-01</t>
  </si>
  <si>
    <t>SE0000356073</t>
  </si>
  <si>
    <t>2004-08-31</t>
  </si>
  <si>
    <t>SE0001209834</t>
  </si>
  <si>
    <t>2004-12-23</t>
  </si>
  <si>
    <t>SE0000810798</t>
  </si>
  <si>
    <t>LU0086737722</t>
  </si>
  <si>
    <t>SE0000837239</t>
  </si>
  <si>
    <t>LU0093569910</t>
  </si>
  <si>
    <t>2013-02-27</t>
  </si>
  <si>
    <t>NO0010337579</t>
  </si>
  <si>
    <t>LU0122376428</t>
  </si>
  <si>
    <t>2007-10-01</t>
  </si>
  <si>
    <t>SE0002042283</t>
  </si>
  <si>
    <t>SE0000775348</t>
  </si>
  <si>
    <t>2015-04-16</t>
  </si>
  <si>
    <t>FI4000123245</t>
  </si>
  <si>
    <t>2010-08-02</t>
  </si>
  <si>
    <t>LU0250158358</t>
  </si>
  <si>
    <t>2016-10-18</t>
  </si>
  <si>
    <t>SE0000356297</t>
  </si>
  <si>
    <t>SE0000837221</t>
  </si>
  <si>
    <t>2014-08-01</t>
  </si>
  <si>
    <t>LU0085870433</t>
  </si>
  <si>
    <t>SE0000522518</t>
  </si>
  <si>
    <t>2015-08-18</t>
  </si>
  <si>
    <t>SE0007278585</t>
  </si>
  <si>
    <t>LU0075898915</t>
  </si>
  <si>
    <t>SE0000739153</t>
  </si>
  <si>
    <t>LU0293315296</t>
  </si>
  <si>
    <t>2011-09-30</t>
  </si>
  <si>
    <t>SE0004167567</t>
  </si>
  <si>
    <t>2013-10-07</t>
  </si>
  <si>
    <t>SE0005281847</t>
  </si>
  <si>
    <t>2010-05-03</t>
  </si>
  <si>
    <t>SE0003299981</t>
  </si>
  <si>
    <t>SE0000810905</t>
  </si>
  <si>
    <t>SE0002793943</t>
  </si>
  <si>
    <t>LU0093570926</t>
  </si>
  <si>
    <t>LU0124384867</t>
  </si>
  <si>
    <t>2007-11-07</t>
  </si>
  <si>
    <t>SE0000709313</t>
  </si>
  <si>
    <t>2015-07-06</t>
  </si>
  <si>
    <t>LU1081248731</t>
  </si>
  <si>
    <t>IE0004896431</t>
  </si>
  <si>
    <t>SE0000433252</t>
  </si>
  <si>
    <t>2014-06-17</t>
  </si>
  <si>
    <t>SE0005798329</t>
  </si>
  <si>
    <t>NO0010028988</t>
  </si>
  <si>
    <t>NO0008000379</t>
  </si>
  <si>
    <t>LU0098860363</t>
  </si>
  <si>
    <t>SE0000837205</t>
  </si>
  <si>
    <t>2014-08-13</t>
  </si>
  <si>
    <t>FI4000048988</t>
  </si>
  <si>
    <t>2002-10-15</t>
  </si>
  <si>
    <t>FI0008800107</t>
  </si>
  <si>
    <t>SE0000577975</t>
  </si>
  <si>
    <t>NO0010039712</t>
  </si>
  <si>
    <t>2004-05-25</t>
  </si>
  <si>
    <t>SE0000739187</t>
  </si>
  <si>
    <t>2013-05-24</t>
  </si>
  <si>
    <t>FI4000058854</t>
  </si>
  <si>
    <t>2005-11-07</t>
  </si>
  <si>
    <t>SE0001463449</t>
  </si>
  <si>
    <t>2003-09-02</t>
  </si>
  <si>
    <t>LU0085953304</t>
  </si>
  <si>
    <t>SE0003299999</t>
  </si>
  <si>
    <t>SE0000810764</t>
  </si>
  <si>
    <t>2013-01-24</t>
  </si>
  <si>
    <t>SE0004392025</t>
  </si>
  <si>
    <t>SE0002656611</t>
  </si>
  <si>
    <t>SE0005880093</t>
  </si>
  <si>
    <t>NO0008000155</t>
  </si>
  <si>
    <t>SE0000837197</t>
  </si>
  <si>
    <t>2015-12-08</t>
  </si>
  <si>
    <t>LU1199945780</t>
  </si>
  <si>
    <t>2003-03-06</t>
  </si>
  <si>
    <t>SE0000739179</t>
  </si>
  <si>
    <t>2013-05-31</t>
  </si>
  <si>
    <t>FI4000058821</t>
  </si>
  <si>
    <t>2004-09-21</t>
  </si>
  <si>
    <t>SE0000427817</t>
  </si>
  <si>
    <t>2002-12-19</t>
  </si>
  <si>
    <t>LU1349493681</t>
  </si>
  <si>
    <t>LU0081259029</t>
  </si>
  <si>
    <t>2012-01-02</t>
  </si>
  <si>
    <t>SE0004357051</t>
  </si>
  <si>
    <t>IE0004345025</t>
  </si>
  <si>
    <t>2014-10-13</t>
  </si>
  <si>
    <t>SE0005932993</t>
  </si>
  <si>
    <t>2002-08-23</t>
  </si>
  <si>
    <t>FI0008800511</t>
  </si>
  <si>
    <t>LU0006061336</t>
  </si>
  <si>
    <t>2008-05-19</t>
  </si>
  <si>
    <t>LU0198837287</t>
  </si>
  <si>
    <t>SE0000624421</t>
  </si>
  <si>
    <t>SE0000837064</t>
  </si>
  <si>
    <t>2011-01-31</t>
  </si>
  <si>
    <t>LU0256625632</t>
  </si>
  <si>
    <t>SE0000577983</t>
  </si>
  <si>
    <t>2018-01-18</t>
  </si>
  <si>
    <t>SE0002096545</t>
  </si>
  <si>
    <t>2006-11-27</t>
  </si>
  <si>
    <t>SE0000735375</t>
  </si>
  <si>
    <t>SE0000739161</t>
  </si>
  <si>
    <t>2006-01-23</t>
  </si>
  <si>
    <t>LU0211340665</t>
  </si>
  <si>
    <t>SE0000427825</t>
  </si>
  <si>
    <t>2014-12-02</t>
  </si>
  <si>
    <t>LU0979738498</t>
  </si>
  <si>
    <t>IE0004354423</t>
  </si>
  <si>
    <t>FI0008813308</t>
  </si>
  <si>
    <t>SE0000810772</t>
  </si>
  <si>
    <t>SE0005188836</t>
  </si>
  <si>
    <t>2018-04-13</t>
  </si>
  <si>
    <t>LU1687403367</t>
  </si>
  <si>
    <t>SE0004951283</t>
  </si>
  <si>
    <t>LU0072463663</t>
  </si>
  <si>
    <t>2012-08-23</t>
  </si>
  <si>
    <t>FI4000043682</t>
  </si>
  <si>
    <t>2012-06-26</t>
  </si>
  <si>
    <t>EE3600108866</t>
  </si>
  <si>
    <t>LU0119216801</t>
  </si>
  <si>
    <t>LU0122612848</t>
  </si>
  <si>
    <t>2007-07-09</t>
  </si>
  <si>
    <t>FI0008810908</t>
  </si>
  <si>
    <t>2007-04-03</t>
  </si>
  <si>
    <t>FI0008810148</t>
  </si>
  <si>
    <t>SE0000837072</t>
  </si>
  <si>
    <t>2016-07-01</t>
  </si>
  <si>
    <t>NO0010730179</t>
  </si>
  <si>
    <t>2004-10-01</t>
  </si>
  <si>
    <t>SE0000602260</t>
  </si>
  <si>
    <t>SE0000577967</t>
  </si>
  <si>
    <t>SE0000356107</t>
  </si>
  <si>
    <t>SE0000739195</t>
  </si>
  <si>
    <t>LU0098995292</t>
  </si>
  <si>
    <t>2017-06-02</t>
  </si>
  <si>
    <t>NO0010337819</t>
  </si>
  <si>
    <t>2014-12-05</t>
  </si>
  <si>
    <t>SE0005965662</t>
  </si>
  <si>
    <t>2004-07-20</t>
  </si>
  <si>
    <t>LU0188501331</t>
  </si>
  <si>
    <t>2009-03-02</t>
  </si>
  <si>
    <t>LU0386865348</t>
  </si>
  <si>
    <t>2002-09-09</t>
  </si>
  <si>
    <t>SE0000432775</t>
  </si>
  <si>
    <t>LU0072462186</t>
  </si>
  <si>
    <t>2019-10-30</t>
  </si>
  <si>
    <t>SE0000434151</t>
  </si>
  <si>
    <t>FI4000043690</t>
  </si>
  <si>
    <t>SE0000837080</t>
  </si>
  <si>
    <t>2006-05-16</t>
  </si>
  <si>
    <t>LU0211331839</t>
  </si>
  <si>
    <t>2005-01-18</t>
  </si>
  <si>
    <t>SE0000543043</t>
  </si>
  <si>
    <t>LU0482909818</t>
  </si>
  <si>
    <t>SE0011309491</t>
  </si>
  <si>
    <t>2015-09-14</t>
  </si>
  <si>
    <t>SE0007074075</t>
  </si>
  <si>
    <t>2010-03-29</t>
  </si>
  <si>
    <t>LU0424682077</t>
  </si>
  <si>
    <t>2015-05-26</t>
  </si>
  <si>
    <t>SE0006763967</t>
  </si>
  <si>
    <t>LU0132414144</t>
  </si>
  <si>
    <t>NO0010582984</t>
  </si>
  <si>
    <t>SE0000810863</t>
  </si>
  <si>
    <t>SE0004357069</t>
  </si>
  <si>
    <t>2013-10-25</t>
  </si>
  <si>
    <t>LU0801842559</t>
  </si>
  <si>
    <t>2006-06-19</t>
  </si>
  <si>
    <t>SE0001718388</t>
  </si>
  <si>
    <t>SE0000837098</t>
  </si>
  <si>
    <t>2004-06-15</t>
  </si>
  <si>
    <t>SE0001175746</t>
  </si>
  <si>
    <t>SE0000602252</t>
  </si>
  <si>
    <t>2013-12-03</t>
  </si>
  <si>
    <t>SE0011338409</t>
  </si>
  <si>
    <t>SE0000522724</t>
  </si>
  <si>
    <t>SE0000542805</t>
  </si>
  <si>
    <t>LU0348825331</t>
  </si>
  <si>
    <t>2010-09-03</t>
  </si>
  <si>
    <t>LU0340558583</t>
  </si>
  <si>
    <t>2008-01-21</t>
  </si>
  <si>
    <t>FI0008801402</t>
  </si>
  <si>
    <t>SE0007073937</t>
  </si>
  <si>
    <t>LU0011963674</t>
  </si>
  <si>
    <t>NO0010102866</t>
  </si>
  <si>
    <t>FI0008802046</t>
  </si>
  <si>
    <t>2006-09-25</t>
  </si>
  <si>
    <t>LU0248272758</t>
  </si>
  <si>
    <t>LU0072461881</t>
  </si>
  <si>
    <t>LU0246274897</t>
  </si>
  <si>
    <t>SE0000740672</t>
  </si>
  <si>
    <t>2015-10-14</t>
  </si>
  <si>
    <t>LU0161942635</t>
  </si>
  <si>
    <t>SE0000837106</t>
  </si>
  <si>
    <t>2015-05-06</t>
  </si>
  <si>
    <t>FI4000081211</t>
  </si>
  <si>
    <t>SE0001175738</t>
  </si>
  <si>
    <t>2002-07-01</t>
  </si>
  <si>
    <t>SE0000602278</t>
  </si>
  <si>
    <t>2006-10-23</t>
  </si>
  <si>
    <t>FI0008810940</t>
  </si>
  <si>
    <t>SE0011309707</t>
  </si>
  <si>
    <t>LU0424681269</t>
  </si>
  <si>
    <t>2017-07-13</t>
  </si>
  <si>
    <t>FI4000058839</t>
  </si>
  <si>
    <t>LU0154236417</t>
  </si>
  <si>
    <t>SE0000740680</t>
  </si>
  <si>
    <t>2003-11-25</t>
  </si>
  <si>
    <t>LU0144510053</t>
  </si>
  <si>
    <t>SE0000356230</t>
  </si>
  <si>
    <t>SE0000837114</t>
  </si>
  <si>
    <t>SE0001175720</t>
  </si>
  <si>
    <t>SE0000537722</t>
  </si>
  <si>
    <t>SE0000433138</t>
  </si>
  <si>
    <t>2008-09-29</t>
  </si>
  <si>
    <t>SE0002572313</t>
  </si>
  <si>
    <t>SE0000539421</t>
  </si>
  <si>
    <t>LU1349997723</t>
  </si>
  <si>
    <t>SE0000837379</t>
  </si>
  <si>
    <t>2012-04-02</t>
  </si>
  <si>
    <t>SE0004452118</t>
  </si>
  <si>
    <t>SE0000777708</t>
  </si>
  <si>
    <t>2004-04-13</t>
  </si>
  <si>
    <t>SE0001172263</t>
  </si>
  <si>
    <t>SE0000577272</t>
  </si>
  <si>
    <t>2011-02-28</t>
  </si>
  <si>
    <t>SE0000355828</t>
  </si>
  <si>
    <t>2013-12-09</t>
  </si>
  <si>
    <t>FI4000010525</t>
  </si>
  <si>
    <t>2004-12-08</t>
  </si>
  <si>
    <t>SE0000740698</t>
  </si>
  <si>
    <t>2010-10-15</t>
  </si>
  <si>
    <t>LU0106959298</t>
  </si>
  <si>
    <t>2018-05-24</t>
  </si>
  <si>
    <t>SE0001472952</t>
  </si>
  <si>
    <t>SE0000619355</t>
  </si>
  <si>
    <t>2019-11-13</t>
  </si>
  <si>
    <t>LU0047322432</t>
  </si>
  <si>
    <t>2006-04-07</t>
  </si>
  <si>
    <t>LU0107464264</t>
  </si>
  <si>
    <t>LU0095527585</t>
  </si>
  <si>
    <t>FI4000081187</t>
  </si>
  <si>
    <t>SE0001175712</t>
  </si>
  <si>
    <t>SE0000602302</t>
  </si>
  <si>
    <t>2011-05-26</t>
  </si>
  <si>
    <t>LU0546913194</t>
  </si>
  <si>
    <t>SE0005034949</t>
  </si>
  <si>
    <t>2013-04-18</t>
  </si>
  <si>
    <t>SE0004211282</t>
  </si>
  <si>
    <t>2016-09-07</t>
  </si>
  <si>
    <t>FI0008813399</t>
  </si>
  <si>
    <t>LU0231484808</t>
  </si>
  <si>
    <t>LU1349497328</t>
  </si>
  <si>
    <t>2015-02-10</t>
  </si>
  <si>
    <t>LU1125674611</t>
  </si>
  <si>
    <t>2004-10-05</t>
  </si>
  <si>
    <t>SE0001244328</t>
  </si>
  <si>
    <t>LU0177113007</t>
  </si>
  <si>
    <t>2014-03-10</t>
  </si>
  <si>
    <t>SE0005506276</t>
  </si>
  <si>
    <t>SE0000740706</t>
  </si>
  <si>
    <t>SE0000984098</t>
  </si>
  <si>
    <t>LU0168450194</t>
  </si>
  <si>
    <t>LU0413134395</t>
  </si>
  <si>
    <t>2007-07-23</t>
  </si>
  <si>
    <t>LU0280431049</t>
  </si>
  <si>
    <t>FI4000081195</t>
  </si>
  <si>
    <t>2009-07-13</t>
  </si>
  <si>
    <t>LU0049842262</t>
  </si>
  <si>
    <t>SE0000542771</t>
  </si>
  <si>
    <t>LU0082087510</t>
  </si>
  <si>
    <t>LU0119176310</t>
  </si>
  <si>
    <t>2019-02-22</t>
  </si>
  <si>
    <t>LU1891308998</t>
  </si>
  <si>
    <t>LU1349499027</t>
  </si>
  <si>
    <t>2015-06-09</t>
  </si>
  <si>
    <t>SE0005281953</t>
  </si>
  <si>
    <t>SE0000862278</t>
  </si>
  <si>
    <t>LU0072913022</t>
  </si>
  <si>
    <t>LU0155301624</t>
  </si>
  <si>
    <t>2013-10-30</t>
  </si>
  <si>
    <t>SE0005224078</t>
  </si>
  <si>
    <t>SE0000984148</t>
  </si>
  <si>
    <t>LU0093502762</t>
  </si>
  <si>
    <t>SE0000582033</t>
  </si>
  <si>
    <t>2003-11-10</t>
  </si>
  <si>
    <t>LU0155303752</t>
  </si>
  <si>
    <t>LU0082087783</t>
  </si>
  <si>
    <t>2005-06-01</t>
  </si>
  <si>
    <t>LU0217138725</t>
  </si>
  <si>
    <t>SE0000639445</t>
  </si>
  <si>
    <t>SE0004139780</t>
  </si>
  <si>
    <t>2013-01-02</t>
  </si>
  <si>
    <t>SE0004926368</t>
  </si>
  <si>
    <t>2018-02-23</t>
  </si>
  <si>
    <t>LU1091660909</t>
  </si>
  <si>
    <t>SE0000540627</t>
  </si>
  <si>
    <t>2012-01-16</t>
  </si>
  <si>
    <t>LU0715498449</t>
  </si>
  <si>
    <t>SE0000984155</t>
  </si>
  <si>
    <t>SE0000356065</t>
  </si>
  <si>
    <t>FI0008809892</t>
  </si>
  <si>
    <t>2017-07-20</t>
  </si>
  <si>
    <t>SE0004576437</t>
  </si>
  <si>
    <t>SE0000533945</t>
  </si>
  <si>
    <t>SE0000537763</t>
  </si>
  <si>
    <t>LU0256846568</t>
  </si>
  <si>
    <t>2008-04-21</t>
  </si>
  <si>
    <t>SE0002152140</t>
  </si>
  <si>
    <t>LU1349495116</t>
  </si>
  <si>
    <t>2017-09-05</t>
  </si>
  <si>
    <t>LU0354788688</t>
  </si>
  <si>
    <t>SE0000540593</t>
  </si>
  <si>
    <t>SE0007074117</t>
  </si>
  <si>
    <t>NO0010630866</t>
  </si>
  <si>
    <t>SE0001112731</t>
  </si>
  <si>
    <t>NO0008001872</t>
  </si>
  <si>
    <t>LU0715530605</t>
  </si>
  <si>
    <t>IE0000805634</t>
  </si>
  <si>
    <t>NO0010839780</t>
  </si>
  <si>
    <t>SE0000984163</t>
  </si>
  <si>
    <t>LU0011850392</t>
  </si>
  <si>
    <t>SE0000429748</t>
  </si>
  <si>
    <t>2008-05-26</t>
  </si>
  <si>
    <t>FI0008812607</t>
  </si>
  <si>
    <t>LU0051129079</t>
  </si>
  <si>
    <t>FI0008813324</t>
  </si>
  <si>
    <t>2013-09-12</t>
  </si>
  <si>
    <t>LU0910517969</t>
  </si>
  <si>
    <t>Banque de Luxembourg Investments S.A.</t>
  </si>
  <si>
    <t>BlackRock Luxembourg S.A.</t>
  </si>
  <si>
    <t>Amundi - Japan Equity Value 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</si>
  <si>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</si>
  <si>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</si>
  <si>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</si>
  <si>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</si>
  <si>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</si>
  <si>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</si>
  <si>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</si>
  <si>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</si>
  <si>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</si>
  <si>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</si>
  <si>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</si>
  <si>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</si>
  <si>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</si>
  <si>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</si>
  <si>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</si>
  <si>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</si>
  <si>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</si>
  <si>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</si>
  <si>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</si>
  <si>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</si>
  <si>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</si>
  <si>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</si>
  <si>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</si>
  <si>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</si>
  <si>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</si>
  <si>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2001-04-27</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</si>
  <si>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</si>
  <si>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</si>
  <si>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</si>
  <si>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</si>
  <si>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</si>
  <si>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</si>
  <si>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2020-01-20</t>
  </si>
  <si>
    <t>NO0010297898</t>
  </si>
  <si>
    <t>SPP Sverige Plus A</t>
  </si>
  <si>
    <t>2020-01-30</t>
  </si>
  <si>
    <t>SE0008964407</t>
  </si>
  <si>
    <t>SPP Global Plus A</t>
  </si>
  <si>
    <t>SE0008129985</t>
  </si>
  <si>
    <t>SPP Emerging Markets Plus A</t>
  </si>
  <si>
    <t>SE0008129969</t>
  </si>
  <si>
    <t>2020-01-27</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</si>
  <si>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</si>
  <si>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</si>
  <si>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</si>
  <si>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</si>
  <si>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</si>
  <si>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</si>
  <si>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</si>
  <si>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</si>
  <si>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</si>
  <si>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</si>
  <si>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</si>
  <si>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</si>
  <si>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</si>
  <si>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Aberdeen Standard - North American Equity Fund A</t>
  </si>
  <si>
    <t>SPP Emerging Markets SRI A SEK</t>
  </si>
  <si>
    <t>Spiltan Globalfond Investmentbolag</t>
  </si>
  <si>
    <t>Franklin Technology Fund A</t>
  </si>
  <si>
    <t>HealthInvest Small &amp; MicroCap Fund E</t>
  </si>
  <si>
    <t>Franklin Natural Resources Fund A</t>
  </si>
  <si>
    <t>Aberdeen Standard - Select Emerging Markets Bond Fund A</t>
  </si>
  <si>
    <t>Aberdeen Standard - Japanese Equity Fund A</t>
  </si>
  <si>
    <t>Aberdeen Standard - Technology Equity Fund A</t>
  </si>
  <si>
    <t>Swedbank Robur Småbolagsfond Sverige A</t>
  </si>
  <si>
    <t>Aberdeen Standard - European Equity (Ex UK) Fund A</t>
  </si>
  <si>
    <t>Aberdeen Standard - Select Euro High Yield Bond A</t>
  </si>
  <si>
    <t>Swedbank Robur Medica A</t>
  </si>
  <si>
    <t>2020-02-18</t>
  </si>
  <si>
    <t>SE0005933421</t>
  </si>
  <si>
    <t>2020-02-11</t>
  </si>
  <si>
    <t>SE0008347447</t>
  </si>
  <si>
    <t>LU0922130561</t>
  </si>
  <si>
    <t>SE0005218120</t>
  </si>
  <si>
    <t>2020-02-13</t>
  </si>
  <si>
    <t>LU0109394709</t>
  </si>
  <si>
    <t>Templeton Emerging Markets Fund A</t>
  </si>
  <si>
    <t>LU0128522744</t>
  </si>
  <si>
    <t>SE0008613939</t>
  </si>
  <si>
    <t>LU0109392836</t>
  </si>
  <si>
    <t>2020-02-04</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</si>
  <si>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</si>
  <si>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</si>
  <si>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</si>
  <si>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</si>
  <si>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</si>
  <si>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</si>
  <si>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</si>
  <si>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</si>
  <si>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</si>
  <si>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</si>
  <si>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</si>
  <si>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</si>
  <si>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</si>
  <si>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</si>
  <si>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</si>
  <si>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</si>
  <si>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</si>
  <si>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</si>
  <si>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</si>
  <si>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</si>
  <si>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</si>
  <si>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</si>
  <si>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</si>
  <si>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</si>
  <si>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</si>
  <si>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</si>
  <si>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</si>
  <si>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</si>
  <si>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</si>
  <si>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</si>
  <si>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</si>
  <si>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</si>
  <si>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</si>
  <si>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</si>
  <si>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</si>
  <si>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</si>
  <si>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</si>
  <si>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</si>
  <si>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</si>
  <si>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</si>
  <si>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</si>
  <si>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</si>
  <si>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</si>
  <si>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</si>
  <si>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</si>
  <si>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</si>
  <si>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</si>
  <si>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</si>
  <si>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</si>
  <si>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</si>
  <si>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</si>
  <si>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</si>
  <si>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</si>
  <si>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</si>
  <si>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</si>
  <si>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</si>
  <si>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</si>
  <si>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</si>
  <si>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</si>
  <si>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</si>
  <si>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</si>
  <si>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</si>
  <si>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</si>
  <si>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</si>
  <si>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</si>
  <si>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</si>
  <si>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</si>
  <si>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</si>
  <si>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</si>
  <si>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</si>
  <si>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</si>
  <si>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</si>
  <si>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</si>
  <si>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</si>
  <si>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</si>
  <si>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</si>
  <si>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</si>
  <si>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</si>
  <si>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</si>
  <si>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</si>
  <si>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2020-03-03</t>
  </si>
  <si>
    <t>SE0011973684</t>
  </si>
  <si>
    <t>SE0008092290</t>
  </si>
  <si>
    <t>2020-03-04</t>
  </si>
  <si>
    <t>LU0740037022</t>
  </si>
  <si>
    <t>LU0329678410</t>
  </si>
  <si>
    <t>LU1048684796</t>
  </si>
  <si>
    <t>LU0612318385</t>
  </si>
  <si>
    <t>LU0171284937</t>
  </si>
  <si>
    <t>LU0072462343</t>
  </si>
  <si>
    <t>LU0842063009</t>
  </si>
  <si>
    <t>2000-11-17</t>
  </si>
  <si>
    <t>LU0261959422</t>
  </si>
  <si>
    <t>LU0251127410</t>
  </si>
  <si>
    <t>2000-08-14</t>
  </si>
  <si>
    <t>LU0594300096</t>
  </si>
  <si>
    <t>LU0413542167</t>
  </si>
  <si>
    <t>LU1224709979</t>
  </si>
  <si>
    <t>LU0345361124</t>
  </si>
  <si>
    <t>i år</t>
  </si>
  <si>
    <t>E, Öhman J:or Fonder AB</t>
  </si>
  <si>
    <t>UBS Fund Management (Luxembourg) S,A</t>
  </si>
  <si>
    <t>Banque de Luxembourg Investments S,A,</t>
  </si>
  <si>
    <t>FundRock Management Company S,A,</t>
  </si>
  <si>
    <t>BlackRock Luxembourg S,A,</t>
  </si>
  <si>
    <t>Franklin Templeton International Services S,à,r,l,</t>
  </si>
  <si>
    <t>Pictet Asset Management (Europe) S,A,</t>
  </si>
  <si>
    <t>Amundi Luxembourg S,A,</t>
  </si>
  <si>
    <t>Aberdeen Standard Investments Luxembourg S,A</t>
  </si>
  <si>
    <t>J,P, Morgan Asset Management (Europe) S,à,r,l,</t>
  </si>
  <si>
    <t>DNB Asset Management S,A,</t>
  </si>
  <si>
    <t>FIL Investment Management (Luxembourg) S,A,</t>
  </si>
  <si>
    <t>Luxcellence Management Company S,A,</t>
  </si>
  <si>
    <t>Franklin U,S, Opportunities Fund A</t>
  </si>
  <si>
    <t>MDO Management Company S,A,</t>
  </si>
  <si>
    <t>C WorldWide Fund Management S,A,</t>
  </si>
  <si>
    <t>East Capital Asset Management S,A,</t>
  </si>
  <si>
    <t>Kredietrust Luxembourg S,A</t>
  </si>
  <si>
    <t>Franklin Select U,S, Equity Fund A</t>
  </si>
  <si>
    <t>IPConcept (Luxembourg) S,A</t>
  </si>
  <si>
    <t>Amundi Funds CPR Global Gold Mines A2</t>
  </si>
  <si>
    <t>Amundi Funds SBI FM India Equity A2</t>
  </si>
  <si>
    <t>Amundi Funds Latin America Equity A2</t>
  </si>
  <si>
    <t>Amundi Funds Global Equity Conservative A2</t>
  </si>
  <si>
    <t>Pictet Quest Europe Sustainable Equities R</t>
  </si>
  <si>
    <t>Amundi Funds CPR Global Lifestyles A2</t>
  </si>
  <si>
    <t>Amundi Funds  Absolute Volatility World A2</t>
  </si>
  <si>
    <t>Pictet Japanese Equity opportunities R</t>
  </si>
  <si>
    <t>Söderberg &amp; Partners Asset Management S,A,</t>
  </si>
  <si>
    <t>Nästa uppdatering: 2020-07-08</t>
  </si>
  <si>
    <t>Antal fondval och marknadsvärde i fonderna 2020-05-31</t>
  </si>
  <si>
    <t>Pictet-Emerging Corporate Bonds R</t>
  </si>
  <si>
    <t>2020-05-12</t>
  </si>
  <si>
    <t>LU0844696707</t>
  </si>
  <si>
    <t>Templeton Global Bond Fund A</t>
  </si>
  <si>
    <t>LU0476944003</t>
  </si>
  <si>
    <t>2020-05-20</t>
  </si>
  <si>
    <t>LU0823042667</t>
  </si>
  <si>
    <t>LU0823045413</t>
  </si>
  <si>
    <t>LU0823046494</t>
  </si>
  <si>
    <t>LU1534099194</t>
  </si>
  <si>
    <t>LU0823043129</t>
  </si>
  <si>
    <t>LU1103150824</t>
  </si>
  <si>
    <t>Fondstatistik per 2020-05-31</t>
  </si>
  <si>
    <t>Fondstatistik - Hållbarhet per 2020-05-31</t>
  </si>
  <si>
    <t>Nästa uppdatering 2020-07-17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</si>
</sst>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9"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169"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5" fontId="24" fillId="4" borderId="0" xfId="0" applyNumberFormat="1" applyFont="1" applyFill="1"/>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5"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6" fontId="24" fillId="2" borderId="0" xfId="0" applyNumberFormat="1" applyFont="1" applyFill="1" applyAlignment="1">
      <alignment horizontal="left"/>
    </xf>
    <xf numFmtId="0" fontId="11" fillId="0" borderId="43"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5"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9" fontId="9" fillId="2" borderId="45" xfId="2" applyNumberFormat="1" applyFont="1" applyFill="1" applyBorder="1" applyAlignment="1">
      <alignment horizontal="center"/>
    </xf>
    <xf numFmtId="169" fontId="9" fillId="2" borderId="45" xfId="0" applyNumberFormat="1" applyFont="1" applyFill="1" applyBorder="1" applyAlignment="1">
      <alignment horizontal="center"/>
    </xf>
    <xf numFmtId="169" fontId="24" fillId="2" borderId="45" xfId="0" applyNumberFormat="1" applyFont="1" applyFill="1" applyBorder="1" applyAlignment="1">
      <alignment horizontal="center"/>
    </xf>
    <xf numFmtId="169" fontId="18" fillId="2" borderId="45" xfId="0" applyNumberFormat="1" applyFont="1" applyFill="1" applyBorder="1" applyAlignment="1">
      <alignment horizontal="center"/>
    </xf>
    <xf numFmtId="169" fontId="0" fillId="0" borderId="45" xfId="0" applyNumberFormat="1" applyBorder="1" applyAlignment="1">
      <alignment horizontal="center"/>
    </xf>
    <xf numFmtId="0" fontId="18" fillId="2" borderId="10" xfId="0" applyFont="1" applyFill="1" applyBorder="1" applyAlignment="1">
      <alignment horizontal="left" indent="1"/>
    </xf>
    <xf numFmtId="169" fontId="9" fillId="2" borderId="10" xfId="2" applyNumberFormat="1" applyFont="1" applyFill="1" applyBorder="1" applyAlignment="1">
      <alignment horizontal="center"/>
    </xf>
    <xf numFmtId="169" fontId="9" fillId="2" borderId="10" xfId="0" applyNumberFormat="1" applyFont="1" applyFill="1" applyBorder="1" applyAlignment="1">
      <alignment horizontal="center"/>
    </xf>
    <xf numFmtId="169" fontId="24" fillId="2" borderId="10" xfId="0" applyNumberFormat="1" applyFont="1" applyFill="1" applyBorder="1" applyAlignment="1">
      <alignment horizontal="center"/>
    </xf>
    <xf numFmtId="169" fontId="18" fillId="2" borderId="10" xfId="0" applyNumberFormat="1" applyFont="1" applyFill="1" applyBorder="1" applyAlignment="1">
      <alignment horizontal="center"/>
    </xf>
    <xf numFmtId="169" fontId="0" fillId="0" borderId="10" xfId="0" applyNumberFormat="1" applyBorder="1" applyAlignment="1">
      <alignment horizontal="center"/>
    </xf>
    <xf numFmtId="14" fontId="41" fillId="3" borderId="2" xfId="0" applyNumberFormat="1" applyFont="1" applyFill="1" applyBorder="1" applyAlignment="1">
      <alignment horizontal="center"/>
    </xf>
    <xf numFmtId="169"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5" fontId="0" fillId="0" borderId="0" xfId="0" applyNumberFormat="1" applyAlignment="1">
      <alignment horizontal="center"/>
    </xf>
    <xf numFmtId="0" fontId="0" fillId="4" borderId="0" xfId="0" applyNumberFormat="1" applyFill="1"/>
    <xf numFmtId="169"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9"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9" fontId="24" fillId="2" borderId="10"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9" fillId="0" borderId="41" xfId="0" applyNumberFormat="1" applyFont="1" applyFill="1" applyBorder="1" applyAlignment="1" applyProtection="1">
      <alignment horizontal="center"/>
      <protection locked="0"/>
    </xf>
    <xf numFmtId="0" fontId="9" fillId="0" borderId="0" xfId="0" applyFont="1"/>
    <xf numFmtId="0" fontId="9" fillId="0" borderId="0" xfId="0" applyFont="1" applyAlignment="1">
      <alignment horizontal="center"/>
    </xf>
    <xf numFmtId="166"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7"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0" fontId="0" fillId="2" borderId="0" xfId="0"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cellStyle name="20% - Dekorfärg1 10 2" xfId="387"/>
    <cellStyle name="20% - Dekorfärg1 10 3" xfId="597"/>
    <cellStyle name="20% - Dekorfärg1 10 4" xfId="807"/>
    <cellStyle name="20% - Dekorfärg1 11" xfId="184"/>
    <cellStyle name="20% - Dekorfärg1 11 2" xfId="401"/>
    <cellStyle name="20% - Dekorfärg1 11 3" xfId="611"/>
    <cellStyle name="20% - Dekorfärg1 11 4" xfId="821"/>
    <cellStyle name="20% - Dekorfärg1 12" xfId="198"/>
    <cellStyle name="20% - Dekorfärg1 12 2" xfId="415"/>
    <cellStyle name="20% - Dekorfärg1 12 3" xfId="625"/>
    <cellStyle name="20% - Dekorfärg1 12 4" xfId="835"/>
    <cellStyle name="20% - Dekorfärg1 13" xfId="212"/>
    <cellStyle name="20% - Dekorfärg1 13 2" xfId="429"/>
    <cellStyle name="20% - Dekorfärg1 13 3" xfId="639"/>
    <cellStyle name="20% - Dekorfärg1 13 4" xfId="849"/>
    <cellStyle name="20% - Dekorfärg1 14" xfId="226"/>
    <cellStyle name="20% - Dekorfärg1 14 2" xfId="443"/>
    <cellStyle name="20% - Dekorfärg1 14 3" xfId="653"/>
    <cellStyle name="20% - Dekorfärg1 14 4" xfId="863"/>
    <cellStyle name="20% - Dekorfärg1 15" xfId="240"/>
    <cellStyle name="20% - Dekorfärg1 15 2" xfId="457"/>
    <cellStyle name="20% - Dekorfärg1 15 3" xfId="667"/>
    <cellStyle name="20% - Dekorfärg1 15 4" xfId="877"/>
    <cellStyle name="20% - Dekorfärg1 16" xfId="259"/>
    <cellStyle name="20% - Dekorfärg1 17" xfId="469"/>
    <cellStyle name="20% - Dekorfärg1 18" xfId="679"/>
    <cellStyle name="20% - Dekorfärg1 2" xfId="58"/>
    <cellStyle name="20% - Dekorfärg1 2 2" xfId="275"/>
    <cellStyle name="20% - Dekorfärg1 2 3" xfId="485"/>
    <cellStyle name="20% - Dekorfärg1 2 4" xfId="695"/>
    <cellStyle name="20% - Dekorfärg1 3" xfId="72"/>
    <cellStyle name="20% - Dekorfärg1 3 2" xfId="289"/>
    <cellStyle name="20% - Dekorfärg1 3 3" xfId="499"/>
    <cellStyle name="20% - Dekorfärg1 3 4" xfId="709"/>
    <cellStyle name="20% - Dekorfärg1 4" xfId="86"/>
    <cellStyle name="20% - Dekorfärg1 4 2" xfId="303"/>
    <cellStyle name="20% - Dekorfärg1 4 3" xfId="513"/>
    <cellStyle name="20% - Dekorfärg1 4 4" xfId="723"/>
    <cellStyle name="20% - Dekorfärg1 5" xfId="100"/>
    <cellStyle name="20% - Dekorfärg1 5 2" xfId="317"/>
    <cellStyle name="20% - Dekorfärg1 5 3" xfId="527"/>
    <cellStyle name="20% - Dekorfärg1 5 4" xfId="737"/>
    <cellStyle name="20% - Dekorfärg1 6" xfId="114"/>
    <cellStyle name="20% - Dekorfärg1 6 2" xfId="331"/>
    <cellStyle name="20% - Dekorfärg1 6 3" xfId="541"/>
    <cellStyle name="20% - Dekorfärg1 6 4" xfId="751"/>
    <cellStyle name="20% - Dekorfärg1 7" xfId="128"/>
    <cellStyle name="20% - Dekorfärg1 7 2" xfId="345"/>
    <cellStyle name="20% - Dekorfärg1 7 3" xfId="555"/>
    <cellStyle name="20% - Dekorfärg1 7 4" xfId="765"/>
    <cellStyle name="20% - Dekorfärg1 8" xfId="142"/>
    <cellStyle name="20% - Dekorfärg1 8 2" xfId="359"/>
    <cellStyle name="20% - Dekorfärg1 8 3" xfId="569"/>
    <cellStyle name="20% - Dekorfärg1 8 4" xfId="779"/>
    <cellStyle name="20% - Dekorfärg1 9" xfId="156"/>
    <cellStyle name="20% - Dekorfärg1 9 2" xfId="373"/>
    <cellStyle name="20% - Dekorfärg1 9 3" xfId="583"/>
    <cellStyle name="20% - Dekorfärg1 9 4" xfId="793"/>
    <cellStyle name="20% - Dekorfärg2 10" xfId="172"/>
    <cellStyle name="20% - Dekorfärg2 10 2" xfId="389"/>
    <cellStyle name="20% - Dekorfärg2 10 3" xfId="599"/>
    <cellStyle name="20% - Dekorfärg2 10 4" xfId="809"/>
    <cellStyle name="20% - Dekorfärg2 11" xfId="186"/>
    <cellStyle name="20% - Dekorfärg2 11 2" xfId="403"/>
    <cellStyle name="20% - Dekorfärg2 11 3" xfId="613"/>
    <cellStyle name="20% - Dekorfärg2 11 4" xfId="823"/>
    <cellStyle name="20% - Dekorfärg2 12" xfId="200"/>
    <cellStyle name="20% - Dekorfärg2 12 2" xfId="417"/>
    <cellStyle name="20% - Dekorfärg2 12 3" xfId="627"/>
    <cellStyle name="20% - Dekorfärg2 12 4" xfId="837"/>
    <cellStyle name="20% - Dekorfärg2 13" xfId="214"/>
    <cellStyle name="20% - Dekorfärg2 13 2" xfId="431"/>
    <cellStyle name="20% - Dekorfärg2 13 3" xfId="641"/>
    <cellStyle name="20% - Dekorfärg2 13 4" xfId="851"/>
    <cellStyle name="20% - Dekorfärg2 14" xfId="228"/>
    <cellStyle name="20% - Dekorfärg2 14 2" xfId="445"/>
    <cellStyle name="20% - Dekorfärg2 14 3" xfId="655"/>
    <cellStyle name="20% - Dekorfärg2 14 4" xfId="865"/>
    <cellStyle name="20% - Dekorfärg2 15" xfId="242"/>
    <cellStyle name="20% - Dekorfärg2 15 2" xfId="459"/>
    <cellStyle name="20% - Dekorfärg2 15 3" xfId="669"/>
    <cellStyle name="20% - Dekorfärg2 15 4" xfId="879"/>
    <cellStyle name="20% - Dekorfärg2 16" xfId="261"/>
    <cellStyle name="20% - Dekorfärg2 17" xfId="471"/>
    <cellStyle name="20% - Dekorfärg2 18" xfId="681"/>
    <cellStyle name="20% - Dekorfärg2 2" xfId="60"/>
    <cellStyle name="20% - Dekorfärg2 2 2" xfId="277"/>
    <cellStyle name="20% - Dekorfärg2 2 3" xfId="487"/>
    <cellStyle name="20% - Dekorfärg2 2 4" xfId="697"/>
    <cellStyle name="20% - Dekorfärg2 3" xfId="74"/>
    <cellStyle name="20% - Dekorfärg2 3 2" xfId="291"/>
    <cellStyle name="20% - Dekorfärg2 3 3" xfId="501"/>
    <cellStyle name="20% - Dekorfärg2 3 4" xfId="711"/>
    <cellStyle name="20% - Dekorfärg2 4" xfId="88"/>
    <cellStyle name="20% - Dekorfärg2 4 2" xfId="305"/>
    <cellStyle name="20% - Dekorfärg2 4 3" xfId="515"/>
    <cellStyle name="20% - Dekorfärg2 4 4" xfId="725"/>
    <cellStyle name="20% - Dekorfärg2 5" xfId="102"/>
    <cellStyle name="20% - Dekorfärg2 5 2" xfId="319"/>
    <cellStyle name="20% - Dekorfärg2 5 3" xfId="529"/>
    <cellStyle name="20% - Dekorfärg2 5 4" xfId="739"/>
    <cellStyle name="20% - Dekorfärg2 6" xfId="116"/>
    <cellStyle name="20% - Dekorfärg2 6 2" xfId="333"/>
    <cellStyle name="20% - Dekorfärg2 6 3" xfId="543"/>
    <cellStyle name="20% - Dekorfärg2 6 4" xfId="753"/>
    <cellStyle name="20% - Dekorfärg2 7" xfId="130"/>
    <cellStyle name="20% - Dekorfärg2 7 2" xfId="347"/>
    <cellStyle name="20% - Dekorfärg2 7 3" xfId="557"/>
    <cellStyle name="20% - Dekorfärg2 7 4" xfId="767"/>
    <cellStyle name="20% - Dekorfärg2 8" xfId="144"/>
    <cellStyle name="20% - Dekorfärg2 8 2" xfId="361"/>
    <cellStyle name="20% - Dekorfärg2 8 3" xfId="571"/>
    <cellStyle name="20% - Dekorfärg2 8 4" xfId="781"/>
    <cellStyle name="20% - Dekorfärg2 9" xfId="158"/>
    <cellStyle name="20% - Dekorfärg2 9 2" xfId="375"/>
    <cellStyle name="20% - Dekorfärg2 9 3" xfId="585"/>
    <cellStyle name="20% - Dekorfärg2 9 4" xfId="795"/>
    <cellStyle name="20% - Dekorfärg3 10" xfId="174"/>
    <cellStyle name="20% - Dekorfärg3 10 2" xfId="391"/>
    <cellStyle name="20% - Dekorfärg3 10 3" xfId="601"/>
    <cellStyle name="20% - Dekorfärg3 10 4" xfId="811"/>
    <cellStyle name="20% - Dekorfärg3 11" xfId="188"/>
    <cellStyle name="20% - Dekorfärg3 11 2" xfId="405"/>
    <cellStyle name="20% - Dekorfärg3 11 3" xfId="615"/>
    <cellStyle name="20% - Dekorfärg3 11 4" xfId="825"/>
    <cellStyle name="20% - Dekorfärg3 12" xfId="202"/>
    <cellStyle name="20% - Dekorfärg3 12 2" xfId="419"/>
    <cellStyle name="20% - Dekorfärg3 12 3" xfId="629"/>
    <cellStyle name="20% - Dekorfärg3 12 4" xfId="839"/>
    <cellStyle name="20% - Dekorfärg3 13" xfId="216"/>
    <cellStyle name="20% - Dekorfärg3 13 2" xfId="433"/>
    <cellStyle name="20% - Dekorfärg3 13 3" xfId="643"/>
    <cellStyle name="20% - Dekorfärg3 13 4" xfId="853"/>
    <cellStyle name="20% - Dekorfärg3 14" xfId="230"/>
    <cellStyle name="20% - Dekorfärg3 14 2" xfId="447"/>
    <cellStyle name="20% - Dekorfärg3 14 3" xfId="657"/>
    <cellStyle name="20% - Dekorfärg3 14 4" xfId="867"/>
    <cellStyle name="20% - Dekorfärg3 15" xfId="244"/>
    <cellStyle name="20% - Dekorfärg3 15 2" xfId="461"/>
    <cellStyle name="20% - Dekorfärg3 15 3" xfId="671"/>
    <cellStyle name="20% - Dekorfärg3 15 4" xfId="881"/>
    <cellStyle name="20% - Dekorfärg3 16" xfId="263"/>
    <cellStyle name="20% - Dekorfärg3 17" xfId="473"/>
    <cellStyle name="20% - Dekorfärg3 18" xfId="683"/>
    <cellStyle name="20% - Dekorfärg3 2" xfId="62"/>
    <cellStyle name="20% - Dekorfärg3 2 2" xfId="279"/>
    <cellStyle name="20% - Dekorfärg3 2 3" xfId="489"/>
    <cellStyle name="20% - Dekorfärg3 2 4" xfId="699"/>
    <cellStyle name="20% - Dekorfärg3 3" xfId="76"/>
    <cellStyle name="20% - Dekorfärg3 3 2" xfId="293"/>
    <cellStyle name="20% - Dekorfärg3 3 3" xfId="503"/>
    <cellStyle name="20% - Dekorfärg3 3 4" xfId="713"/>
    <cellStyle name="20% - Dekorfärg3 4" xfId="90"/>
    <cellStyle name="20% - Dekorfärg3 4 2" xfId="307"/>
    <cellStyle name="20% - Dekorfärg3 4 3" xfId="517"/>
    <cellStyle name="20% - Dekorfärg3 4 4" xfId="727"/>
    <cellStyle name="20% - Dekorfärg3 5" xfId="104"/>
    <cellStyle name="20% - Dekorfärg3 5 2" xfId="321"/>
    <cellStyle name="20% - Dekorfärg3 5 3" xfId="531"/>
    <cellStyle name="20% - Dekorfärg3 5 4" xfId="741"/>
    <cellStyle name="20% - Dekorfärg3 6" xfId="118"/>
    <cellStyle name="20% - Dekorfärg3 6 2" xfId="335"/>
    <cellStyle name="20% - Dekorfärg3 6 3" xfId="545"/>
    <cellStyle name="20% - Dekorfärg3 6 4" xfId="755"/>
    <cellStyle name="20% - Dekorfärg3 7" xfId="132"/>
    <cellStyle name="20% - Dekorfärg3 7 2" xfId="349"/>
    <cellStyle name="20% - Dekorfärg3 7 3" xfId="559"/>
    <cellStyle name="20% - Dekorfärg3 7 4" xfId="769"/>
    <cellStyle name="20% - Dekorfärg3 8" xfId="146"/>
    <cellStyle name="20% - Dekorfärg3 8 2" xfId="363"/>
    <cellStyle name="20% - Dekorfärg3 8 3" xfId="573"/>
    <cellStyle name="20% - Dekorfärg3 8 4" xfId="783"/>
    <cellStyle name="20% - Dekorfärg3 9" xfId="160"/>
    <cellStyle name="20% - Dekorfärg3 9 2" xfId="377"/>
    <cellStyle name="20% - Dekorfärg3 9 3" xfId="587"/>
    <cellStyle name="20% - Dekorfärg3 9 4" xfId="797"/>
    <cellStyle name="20% - Dekorfärg4 10" xfId="176"/>
    <cellStyle name="20% - Dekorfärg4 10 2" xfId="393"/>
    <cellStyle name="20% - Dekorfärg4 10 3" xfId="603"/>
    <cellStyle name="20% - Dekorfärg4 10 4" xfId="813"/>
    <cellStyle name="20% - Dekorfärg4 11" xfId="190"/>
    <cellStyle name="20% - Dekorfärg4 11 2" xfId="407"/>
    <cellStyle name="20% - Dekorfärg4 11 3" xfId="617"/>
    <cellStyle name="20% - Dekorfärg4 11 4" xfId="827"/>
    <cellStyle name="20% - Dekorfärg4 12" xfId="204"/>
    <cellStyle name="20% - Dekorfärg4 12 2" xfId="421"/>
    <cellStyle name="20% - Dekorfärg4 12 3" xfId="631"/>
    <cellStyle name="20% - Dekorfärg4 12 4" xfId="841"/>
    <cellStyle name="20% - Dekorfärg4 13" xfId="218"/>
    <cellStyle name="20% - Dekorfärg4 13 2" xfId="435"/>
    <cellStyle name="20% - Dekorfärg4 13 3" xfId="645"/>
    <cellStyle name="20% - Dekorfärg4 13 4" xfId="855"/>
    <cellStyle name="20% - Dekorfärg4 14" xfId="232"/>
    <cellStyle name="20% - Dekorfärg4 14 2" xfId="449"/>
    <cellStyle name="20% - Dekorfärg4 14 3" xfId="659"/>
    <cellStyle name="20% - Dekorfärg4 14 4" xfId="869"/>
    <cellStyle name="20% - Dekorfärg4 15" xfId="246"/>
    <cellStyle name="20% - Dekorfärg4 15 2" xfId="463"/>
    <cellStyle name="20% - Dekorfärg4 15 3" xfId="673"/>
    <cellStyle name="20% - Dekorfärg4 15 4" xfId="883"/>
    <cellStyle name="20% - Dekorfärg4 16" xfId="265"/>
    <cellStyle name="20% - Dekorfärg4 17" xfId="475"/>
    <cellStyle name="20% - Dekorfärg4 18" xfId="685"/>
    <cellStyle name="20% - Dekorfärg4 2" xfId="64"/>
    <cellStyle name="20% - Dekorfärg4 2 2" xfId="281"/>
    <cellStyle name="20% - Dekorfärg4 2 3" xfId="491"/>
    <cellStyle name="20% - Dekorfärg4 2 4" xfId="701"/>
    <cellStyle name="20% - Dekorfärg4 3" xfId="78"/>
    <cellStyle name="20% - Dekorfärg4 3 2" xfId="295"/>
    <cellStyle name="20% - Dekorfärg4 3 3" xfId="505"/>
    <cellStyle name="20% - Dekorfärg4 3 4" xfId="715"/>
    <cellStyle name="20% - Dekorfärg4 4" xfId="92"/>
    <cellStyle name="20% - Dekorfärg4 4 2" xfId="309"/>
    <cellStyle name="20% - Dekorfärg4 4 3" xfId="519"/>
    <cellStyle name="20% - Dekorfärg4 4 4" xfId="729"/>
    <cellStyle name="20% - Dekorfärg4 5" xfId="106"/>
    <cellStyle name="20% - Dekorfärg4 5 2" xfId="323"/>
    <cellStyle name="20% - Dekorfärg4 5 3" xfId="533"/>
    <cellStyle name="20% - Dekorfärg4 5 4" xfId="743"/>
    <cellStyle name="20% - Dekorfärg4 6" xfId="120"/>
    <cellStyle name="20% - Dekorfärg4 6 2" xfId="337"/>
    <cellStyle name="20% - Dekorfärg4 6 3" xfId="547"/>
    <cellStyle name="20% - Dekorfärg4 6 4" xfId="757"/>
    <cellStyle name="20% - Dekorfärg4 7" xfId="134"/>
    <cellStyle name="20% - Dekorfärg4 7 2" xfId="351"/>
    <cellStyle name="20% - Dekorfärg4 7 3" xfId="561"/>
    <cellStyle name="20% - Dekorfärg4 7 4" xfId="771"/>
    <cellStyle name="20% - Dekorfärg4 8" xfId="148"/>
    <cellStyle name="20% - Dekorfärg4 8 2" xfId="365"/>
    <cellStyle name="20% - Dekorfärg4 8 3" xfId="575"/>
    <cellStyle name="20% - Dekorfärg4 8 4" xfId="785"/>
    <cellStyle name="20% - Dekorfärg4 9" xfId="162"/>
    <cellStyle name="20% - Dekorfärg4 9 2" xfId="379"/>
    <cellStyle name="20% - Dekorfärg4 9 3" xfId="589"/>
    <cellStyle name="20% - Dekorfärg4 9 4" xfId="799"/>
    <cellStyle name="20% - Dekorfärg5 10" xfId="178"/>
    <cellStyle name="20% - Dekorfärg5 10 2" xfId="395"/>
    <cellStyle name="20% - Dekorfärg5 10 3" xfId="605"/>
    <cellStyle name="20% - Dekorfärg5 10 4" xfId="815"/>
    <cellStyle name="20% - Dekorfärg5 11" xfId="192"/>
    <cellStyle name="20% - Dekorfärg5 11 2" xfId="409"/>
    <cellStyle name="20% - Dekorfärg5 11 3" xfId="619"/>
    <cellStyle name="20% - Dekorfärg5 11 4" xfId="829"/>
    <cellStyle name="20% - Dekorfärg5 12" xfId="206"/>
    <cellStyle name="20% - Dekorfärg5 12 2" xfId="423"/>
    <cellStyle name="20% - Dekorfärg5 12 3" xfId="633"/>
    <cellStyle name="20% - Dekorfärg5 12 4" xfId="843"/>
    <cellStyle name="20% - Dekorfärg5 13" xfId="220"/>
    <cellStyle name="20% - Dekorfärg5 13 2" xfId="437"/>
    <cellStyle name="20% - Dekorfärg5 13 3" xfId="647"/>
    <cellStyle name="20% - Dekorfärg5 13 4" xfId="857"/>
    <cellStyle name="20% - Dekorfärg5 14" xfId="234"/>
    <cellStyle name="20% - Dekorfärg5 14 2" xfId="451"/>
    <cellStyle name="20% - Dekorfärg5 14 3" xfId="661"/>
    <cellStyle name="20% - Dekorfärg5 14 4" xfId="871"/>
    <cellStyle name="20% - Dekorfärg5 15" xfId="248"/>
    <cellStyle name="20% - Dekorfärg5 15 2" xfId="465"/>
    <cellStyle name="20% - Dekorfärg5 15 3" xfId="675"/>
    <cellStyle name="20% - Dekorfärg5 15 4" xfId="885"/>
    <cellStyle name="20% - Dekorfärg5 16" xfId="267"/>
    <cellStyle name="20% - Dekorfärg5 17" xfId="477"/>
    <cellStyle name="20% - Dekorfärg5 18" xfId="687"/>
    <cellStyle name="20% - Dekorfärg5 2" xfId="66"/>
    <cellStyle name="20% - Dekorfärg5 2 2" xfId="283"/>
    <cellStyle name="20% - Dekorfärg5 2 3" xfId="493"/>
    <cellStyle name="20% - Dekorfärg5 2 4" xfId="703"/>
    <cellStyle name="20% - Dekorfärg5 3" xfId="80"/>
    <cellStyle name="20% - Dekorfärg5 3 2" xfId="297"/>
    <cellStyle name="20% - Dekorfärg5 3 3" xfId="507"/>
    <cellStyle name="20% - Dekorfärg5 3 4" xfId="717"/>
    <cellStyle name="20% - Dekorfärg5 4" xfId="94"/>
    <cellStyle name="20% - Dekorfärg5 4 2" xfId="311"/>
    <cellStyle name="20% - Dekorfärg5 4 3" xfId="521"/>
    <cellStyle name="20% - Dekorfärg5 4 4" xfId="731"/>
    <cellStyle name="20% - Dekorfärg5 5" xfId="108"/>
    <cellStyle name="20% - Dekorfärg5 5 2" xfId="325"/>
    <cellStyle name="20% - Dekorfärg5 5 3" xfId="535"/>
    <cellStyle name="20% - Dekorfärg5 5 4" xfId="745"/>
    <cellStyle name="20% - Dekorfärg5 6" xfId="122"/>
    <cellStyle name="20% - Dekorfärg5 6 2" xfId="339"/>
    <cellStyle name="20% - Dekorfärg5 6 3" xfId="549"/>
    <cellStyle name="20% - Dekorfärg5 6 4" xfId="759"/>
    <cellStyle name="20% - Dekorfärg5 7" xfId="136"/>
    <cellStyle name="20% - Dekorfärg5 7 2" xfId="353"/>
    <cellStyle name="20% - Dekorfärg5 7 3" xfId="563"/>
    <cellStyle name="20% - Dekorfärg5 7 4" xfId="773"/>
    <cellStyle name="20% - Dekorfärg5 8" xfId="150"/>
    <cellStyle name="20% - Dekorfärg5 8 2" xfId="367"/>
    <cellStyle name="20% - Dekorfärg5 8 3" xfId="577"/>
    <cellStyle name="20% - Dekorfärg5 8 4" xfId="787"/>
    <cellStyle name="20% - Dekorfärg5 9" xfId="164"/>
    <cellStyle name="20% - Dekorfärg5 9 2" xfId="381"/>
    <cellStyle name="20% - Dekorfärg5 9 3" xfId="591"/>
    <cellStyle name="20% - Dekorfärg5 9 4" xfId="801"/>
    <cellStyle name="20% - Dekorfärg6 10" xfId="180"/>
    <cellStyle name="20% - Dekorfärg6 10 2" xfId="397"/>
    <cellStyle name="20% - Dekorfärg6 10 3" xfId="607"/>
    <cellStyle name="20% - Dekorfärg6 10 4" xfId="817"/>
    <cellStyle name="20% - Dekorfärg6 11" xfId="194"/>
    <cellStyle name="20% - Dekorfärg6 11 2" xfId="411"/>
    <cellStyle name="20% - Dekorfärg6 11 3" xfId="621"/>
    <cellStyle name="20% - Dekorfärg6 11 4" xfId="831"/>
    <cellStyle name="20% - Dekorfärg6 12" xfId="208"/>
    <cellStyle name="20% - Dekorfärg6 12 2" xfId="425"/>
    <cellStyle name="20% - Dekorfärg6 12 3" xfId="635"/>
    <cellStyle name="20% - Dekorfärg6 12 4" xfId="845"/>
    <cellStyle name="20% - Dekorfärg6 13" xfId="222"/>
    <cellStyle name="20% - Dekorfärg6 13 2" xfId="439"/>
    <cellStyle name="20% - Dekorfärg6 13 3" xfId="649"/>
    <cellStyle name="20% - Dekorfärg6 13 4" xfId="859"/>
    <cellStyle name="20% - Dekorfärg6 14" xfId="236"/>
    <cellStyle name="20% - Dekorfärg6 14 2" xfId="453"/>
    <cellStyle name="20% - Dekorfärg6 14 3" xfId="663"/>
    <cellStyle name="20% - Dekorfärg6 14 4" xfId="873"/>
    <cellStyle name="20% - Dekorfärg6 15" xfId="250"/>
    <cellStyle name="20% - Dekorfärg6 15 2" xfId="467"/>
    <cellStyle name="20% - Dekorfärg6 15 3" xfId="677"/>
    <cellStyle name="20% - Dekorfärg6 15 4" xfId="887"/>
    <cellStyle name="20% - Dekorfärg6 16" xfId="269"/>
    <cellStyle name="20% - Dekorfärg6 17" xfId="479"/>
    <cellStyle name="20% - Dekorfärg6 18" xfId="689"/>
    <cellStyle name="20% - Dekorfärg6 2" xfId="68"/>
    <cellStyle name="20% - Dekorfärg6 2 2" xfId="285"/>
    <cellStyle name="20% - Dekorfärg6 2 3" xfId="495"/>
    <cellStyle name="20% - Dekorfärg6 2 4" xfId="705"/>
    <cellStyle name="20% - Dekorfärg6 3" xfId="82"/>
    <cellStyle name="20% - Dekorfärg6 3 2" xfId="299"/>
    <cellStyle name="20% - Dekorfärg6 3 3" xfId="509"/>
    <cellStyle name="20% - Dekorfärg6 3 4" xfId="719"/>
    <cellStyle name="20% - Dekorfärg6 4" xfId="96"/>
    <cellStyle name="20% - Dekorfärg6 4 2" xfId="313"/>
    <cellStyle name="20% - Dekorfärg6 4 3" xfId="523"/>
    <cellStyle name="20% - Dekorfärg6 4 4" xfId="733"/>
    <cellStyle name="20% - Dekorfärg6 5" xfId="110"/>
    <cellStyle name="20% - Dekorfärg6 5 2" xfId="327"/>
    <cellStyle name="20% - Dekorfärg6 5 3" xfId="537"/>
    <cellStyle name="20% - Dekorfärg6 5 4" xfId="747"/>
    <cellStyle name="20% - Dekorfärg6 6" xfId="124"/>
    <cellStyle name="20% - Dekorfärg6 6 2" xfId="341"/>
    <cellStyle name="20% - Dekorfärg6 6 3" xfId="551"/>
    <cellStyle name="20% - Dekorfärg6 6 4" xfId="761"/>
    <cellStyle name="20% - Dekorfärg6 7" xfId="138"/>
    <cellStyle name="20% - Dekorfärg6 7 2" xfId="355"/>
    <cellStyle name="20% - Dekorfärg6 7 3" xfId="565"/>
    <cellStyle name="20% - Dekorfärg6 7 4" xfId="775"/>
    <cellStyle name="20% - Dekorfärg6 8" xfId="152"/>
    <cellStyle name="20% - Dekorfärg6 8 2" xfId="369"/>
    <cellStyle name="20% - Dekorfärg6 8 3" xfId="579"/>
    <cellStyle name="20% - Dekorfärg6 8 4" xfId="789"/>
    <cellStyle name="20% - Dekorfärg6 9" xfId="166"/>
    <cellStyle name="20% - Dekorfärg6 9 2" xfId="383"/>
    <cellStyle name="20% - Dekorfärg6 9 3" xfId="593"/>
    <cellStyle name="20% - Dekorfärg6 9 4" xfId="803"/>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cellStyle name="40% - Dekorfärg1 10 2" xfId="388"/>
    <cellStyle name="40% - Dekorfärg1 10 3" xfId="598"/>
    <cellStyle name="40% - Dekorfärg1 10 4" xfId="808"/>
    <cellStyle name="40% - Dekorfärg1 11" xfId="185"/>
    <cellStyle name="40% - Dekorfärg1 11 2" xfId="402"/>
    <cellStyle name="40% - Dekorfärg1 11 3" xfId="612"/>
    <cellStyle name="40% - Dekorfärg1 11 4" xfId="822"/>
    <cellStyle name="40% - Dekorfärg1 12" xfId="199"/>
    <cellStyle name="40% - Dekorfärg1 12 2" xfId="416"/>
    <cellStyle name="40% - Dekorfärg1 12 3" xfId="626"/>
    <cellStyle name="40% - Dekorfärg1 12 4" xfId="836"/>
    <cellStyle name="40% - Dekorfärg1 13" xfId="213"/>
    <cellStyle name="40% - Dekorfärg1 13 2" xfId="430"/>
    <cellStyle name="40% - Dekorfärg1 13 3" xfId="640"/>
    <cellStyle name="40% - Dekorfärg1 13 4" xfId="850"/>
    <cellStyle name="40% - Dekorfärg1 14" xfId="227"/>
    <cellStyle name="40% - Dekorfärg1 14 2" xfId="444"/>
    <cellStyle name="40% - Dekorfärg1 14 3" xfId="654"/>
    <cellStyle name="40% - Dekorfärg1 14 4" xfId="864"/>
    <cellStyle name="40% - Dekorfärg1 15" xfId="241"/>
    <cellStyle name="40% - Dekorfärg1 15 2" xfId="458"/>
    <cellStyle name="40% - Dekorfärg1 15 3" xfId="668"/>
    <cellStyle name="40% - Dekorfärg1 15 4" xfId="878"/>
    <cellStyle name="40% - Dekorfärg1 16" xfId="260"/>
    <cellStyle name="40% - Dekorfärg1 17" xfId="470"/>
    <cellStyle name="40% - Dekorfärg1 18" xfId="680"/>
    <cellStyle name="40% - Dekorfärg1 2" xfId="59"/>
    <cellStyle name="40% - Dekorfärg1 2 2" xfId="276"/>
    <cellStyle name="40% - Dekorfärg1 2 3" xfId="486"/>
    <cellStyle name="40% - Dekorfärg1 2 4" xfId="696"/>
    <cellStyle name="40% - Dekorfärg1 3" xfId="73"/>
    <cellStyle name="40% - Dekorfärg1 3 2" xfId="290"/>
    <cellStyle name="40% - Dekorfärg1 3 3" xfId="500"/>
    <cellStyle name="40% - Dekorfärg1 3 4" xfId="710"/>
    <cellStyle name="40% - Dekorfärg1 4" xfId="87"/>
    <cellStyle name="40% - Dekorfärg1 4 2" xfId="304"/>
    <cellStyle name="40% - Dekorfärg1 4 3" xfId="514"/>
    <cellStyle name="40% - Dekorfärg1 4 4" xfId="724"/>
    <cellStyle name="40% - Dekorfärg1 5" xfId="101"/>
    <cellStyle name="40% - Dekorfärg1 5 2" xfId="318"/>
    <cellStyle name="40% - Dekorfärg1 5 3" xfId="528"/>
    <cellStyle name="40% - Dekorfärg1 5 4" xfId="738"/>
    <cellStyle name="40% - Dekorfärg1 6" xfId="115"/>
    <cellStyle name="40% - Dekorfärg1 6 2" xfId="332"/>
    <cellStyle name="40% - Dekorfärg1 6 3" xfId="542"/>
    <cellStyle name="40% - Dekorfärg1 6 4" xfId="752"/>
    <cellStyle name="40% - Dekorfärg1 7" xfId="129"/>
    <cellStyle name="40% - Dekorfärg1 7 2" xfId="346"/>
    <cellStyle name="40% - Dekorfärg1 7 3" xfId="556"/>
    <cellStyle name="40% - Dekorfärg1 7 4" xfId="766"/>
    <cellStyle name="40% - Dekorfärg1 8" xfId="143"/>
    <cellStyle name="40% - Dekorfärg1 8 2" xfId="360"/>
    <cellStyle name="40% - Dekorfärg1 8 3" xfId="570"/>
    <cellStyle name="40% - Dekorfärg1 8 4" xfId="780"/>
    <cellStyle name="40% - Dekorfärg1 9" xfId="157"/>
    <cellStyle name="40% - Dekorfärg1 9 2" xfId="374"/>
    <cellStyle name="40% - Dekorfärg1 9 3" xfId="584"/>
    <cellStyle name="40% - Dekorfärg1 9 4" xfId="794"/>
    <cellStyle name="40% - Dekorfärg2 10" xfId="173"/>
    <cellStyle name="40% - Dekorfärg2 10 2" xfId="390"/>
    <cellStyle name="40% - Dekorfärg2 10 3" xfId="600"/>
    <cellStyle name="40% - Dekorfärg2 10 4" xfId="810"/>
    <cellStyle name="40% - Dekorfärg2 11" xfId="187"/>
    <cellStyle name="40% - Dekorfärg2 11 2" xfId="404"/>
    <cellStyle name="40% - Dekorfärg2 11 3" xfId="614"/>
    <cellStyle name="40% - Dekorfärg2 11 4" xfId="824"/>
    <cellStyle name="40% - Dekorfärg2 12" xfId="201"/>
    <cellStyle name="40% - Dekorfärg2 12 2" xfId="418"/>
    <cellStyle name="40% - Dekorfärg2 12 3" xfId="628"/>
    <cellStyle name="40% - Dekorfärg2 12 4" xfId="838"/>
    <cellStyle name="40% - Dekorfärg2 13" xfId="215"/>
    <cellStyle name="40% - Dekorfärg2 13 2" xfId="432"/>
    <cellStyle name="40% - Dekorfärg2 13 3" xfId="642"/>
    <cellStyle name="40% - Dekorfärg2 13 4" xfId="852"/>
    <cellStyle name="40% - Dekorfärg2 14" xfId="229"/>
    <cellStyle name="40% - Dekorfärg2 14 2" xfId="446"/>
    <cellStyle name="40% - Dekorfärg2 14 3" xfId="656"/>
    <cellStyle name="40% - Dekorfärg2 14 4" xfId="866"/>
    <cellStyle name="40% - Dekorfärg2 15" xfId="243"/>
    <cellStyle name="40% - Dekorfärg2 15 2" xfId="460"/>
    <cellStyle name="40% - Dekorfärg2 15 3" xfId="670"/>
    <cellStyle name="40% - Dekorfärg2 15 4" xfId="880"/>
    <cellStyle name="40% - Dekorfärg2 16" xfId="262"/>
    <cellStyle name="40% - Dekorfärg2 17" xfId="472"/>
    <cellStyle name="40% - Dekorfärg2 18" xfId="682"/>
    <cellStyle name="40% - Dekorfärg2 2" xfId="61"/>
    <cellStyle name="40% - Dekorfärg2 2 2" xfId="278"/>
    <cellStyle name="40% - Dekorfärg2 2 3" xfId="488"/>
    <cellStyle name="40% - Dekorfärg2 2 4" xfId="698"/>
    <cellStyle name="40% - Dekorfärg2 3" xfId="75"/>
    <cellStyle name="40% - Dekorfärg2 3 2" xfId="292"/>
    <cellStyle name="40% - Dekorfärg2 3 3" xfId="502"/>
    <cellStyle name="40% - Dekorfärg2 3 4" xfId="712"/>
    <cellStyle name="40% - Dekorfärg2 4" xfId="89"/>
    <cellStyle name="40% - Dekorfärg2 4 2" xfId="306"/>
    <cellStyle name="40% - Dekorfärg2 4 3" xfId="516"/>
    <cellStyle name="40% - Dekorfärg2 4 4" xfId="726"/>
    <cellStyle name="40% - Dekorfärg2 5" xfId="103"/>
    <cellStyle name="40% - Dekorfärg2 5 2" xfId="320"/>
    <cellStyle name="40% - Dekorfärg2 5 3" xfId="530"/>
    <cellStyle name="40% - Dekorfärg2 5 4" xfId="740"/>
    <cellStyle name="40% - Dekorfärg2 6" xfId="117"/>
    <cellStyle name="40% - Dekorfärg2 6 2" xfId="334"/>
    <cellStyle name="40% - Dekorfärg2 6 3" xfId="544"/>
    <cellStyle name="40% - Dekorfärg2 6 4" xfId="754"/>
    <cellStyle name="40% - Dekorfärg2 7" xfId="131"/>
    <cellStyle name="40% - Dekorfärg2 7 2" xfId="348"/>
    <cellStyle name="40% - Dekorfärg2 7 3" xfId="558"/>
    <cellStyle name="40% - Dekorfärg2 7 4" xfId="768"/>
    <cellStyle name="40% - Dekorfärg2 8" xfId="145"/>
    <cellStyle name="40% - Dekorfärg2 8 2" xfId="362"/>
    <cellStyle name="40% - Dekorfärg2 8 3" xfId="572"/>
    <cellStyle name="40% - Dekorfärg2 8 4" xfId="782"/>
    <cellStyle name="40% - Dekorfärg2 9" xfId="159"/>
    <cellStyle name="40% - Dekorfärg2 9 2" xfId="376"/>
    <cellStyle name="40% - Dekorfärg2 9 3" xfId="586"/>
    <cellStyle name="40% - Dekorfärg2 9 4" xfId="796"/>
    <cellStyle name="40% - Dekorfärg3 10" xfId="175"/>
    <cellStyle name="40% - Dekorfärg3 10 2" xfId="392"/>
    <cellStyle name="40% - Dekorfärg3 10 3" xfId="602"/>
    <cellStyle name="40% - Dekorfärg3 10 4" xfId="812"/>
    <cellStyle name="40% - Dekorfärg3 11" xfId="189"/>
    <cellStyle name="40% - Dekorfärg3 11 2" xfId="406"/>
    <cellStyle name="40% - Dekorfärg3 11 3" xfId="616"/>
    <cellStyle name="40% - Dekorfärg3 11 4" xfId="826"/>
    <cellStyle name="40% - Dekorfärg3 12" xfId="203"/>
    <cellStyle name="40% - Dekorfärg3 12 2" xfId="420"/>
    <cellStyle name="40% - Dekorfärg3 12 3" xfId="630"/>
    <cellStyle name="40% - Dekorfärg3 12 4" xfId="840"/>
    <cellStyle name="40% - Dekorfärg3 13" xfId="217"/>
    <cellStyle name="40% - Dekorfärg3 13 2" xfId="434"/>
    <cellStyle name="40% - Dekorfärg3 13 3" xfId="644"/>
    <cellStyle name="40% - Dekorfärg3 13 4" xfId="854"/>
    <cellStyle name="40% - Dekorfärg3 14" xfId="231"/>
    <cellStyle name="40% - Dekorfärg3 14 2" xfId="448"/>
    <cellStyle name="40% - Dekorfärg3 14 3" xfId="658"/>
    <cellStyle name="40% - Dekorfärg3 14 4" xfId="868"/>
    <cellStyle name="40% - Dekorfärg3 15" xfId="245"/>
    <cellStyle name="40% - Dekorfärg3 15 2" xfId="462"/>
    <cellStyle name="40% - Dekorfärg3 15 3" xfId="672"/>
    <cellStyle name="40% - Dekorfärg3 15 4" xfId="882"/>
    <cellStyle name="40% - Dekorfärg3 16" xfId="264"/>
    <cellStyle name="40% - Dekorfärg3 17" xfId="474"/>
    <cellStyle name="40% - Dekorfärg3 18" xfId="684"/>
    <cellStyle name="40% - Dekorfärg3 2" xfId="63"/>
    <cellStyle name="40% - Dekorfärg3 2 2" xfId="280"/>
    <cellStyle name="40% - Dekorfärg3 2 3" xfId="490"/>
    <cellStyle name="40% - Dekorfärg3 2 4" xfId="700"/>
    <cellStyle name="40% - Dekorfärg3 3" xfId="77"/>
    <cellStyle name="40% - Dekorfärg3 3 2" xfId="294"/>
    <cellStyle name="40% - Dekorfärg3 3 3" xfId="504"/>
    <cellStyle name="40% - Dekorfärg3 3 4" xfId="714"/>
    <cellStyle name="40% - Dekorfärg3 4" xfId="91"/>
    <cellStyle name="40% - Dekorfärg3 4 2" xfId="308"/>
    <cellStyle name="40% - Dekorfärg3 4 3" xfId="518"/>
    <cellStyle name="40% - Dekorfärg3 4 4" xfId="728"/>
    <cellStyle name="40% - Dekorfärg3 5" xfId="105"/>
    <cellStyle name="40% - Dekorfärg3 5 2" xfId="322"/>
    <cellStyle name="40% - Dekorfärg3 5 3" xfId="532"/>
    <cellStyle name="40% - Dekorfärg3 5 4" xfId="742"/>
    <cellStyle name="40% - Dekorfärg3 6" xfId="119"/>
    <cellStyle name="40% - Dekorfärg3 6 2" xfId="336"/>
    <cellStyle name="40% - Dekorfärg3 6 3" xfId="546"/>
    <cellStyle name="40% - Dekorfärg3 6 4" xfId="756"/>
    <cellStyle name="40% - Dekorfärg3 7" xfId="133"/>
    <cellStyle name="40% - Dekorfärg3 7 2" xfId="350"/>
    <cellStyle name="40% - Dekorfärg3 7 3" xfId="560"/>
    <cellStyle name="40% - Dekorfärg3 7 4" xfId="770"/>
    <cellStyle name="40% - Dekorfärg3 8" xfId="147"/>
    <cellStyle name="40% - Dekorfärg3 8 2" xfId="364"/>
    <cellStyle name="40% - Dekorfärg3 8 3" xfId="574"/>
    <cellStyle name="40% - Dekorfärg3 8 4" xfId="784"/>
    <cellStyle name="40% - Dekorfärg3 9" xfId="161"/>
    <cellStyle name="40% - Dekorfärg3 9 2" xfId="378"/>
    <cellStyle name="40% - Dekorfärg3 9 3" xfId="588"/>
    <cellStyle name="40% - Dekorfärg3 9 4" xfId="798"/>
    <cellStyle name="40% - Dekorfärg4 10" xfId="177"/>
    <cellStyle name="40% - Dekorfärg4 10 2" xfId="394"/>
    <cellStyle name="40% - Dekorfärg4 10 3" xfId="604"/>
    <cellStyle name="40% - Dekorfärg4 10 4" xfId="814"/>
    <cellStyle name="40% - Dekorfärg4 11" xfId="191"/>
    <cellStyle name="40% - Dekorfärg4 11 2" xfId="408"/>
    <cellStyle name="40% - Dekorfärg4 11 3" xfId="618"/>
    <cellStyle name="40% - Dekorfärg4 11 4" xfId="828"/>
    <cellStyle name="40% - Dekorfärg4 12" xfId="205"/>
    <cellStyle name="40% - Dekorfärg4 12 2" xfId="422"/>
    <cellStyle name="40% - Dekorfärg4 12 3" xfId="632"/>
    <cellStyle name="40% - Dekorfärg4 12 4" xfId="842"/>
    <cellStyle name="40% - Dekorfärg4 13" xfId="219"/>
    <cellStyle name="40% - Dekorfärg4 13 2" xfId="436"/>
    <cellStyle name="40% - Dekorfärg4 13 3" xfId="646"/>
    <cellStyle name="40% - Dekorfärg4 13 4" xfId="856"/>
    <cellStyle name="40% - Dekorfärg4 14" xfId="233"/>
    <cellStyle name="40% - Dekorfärg4 14 2" xfId="450"/>
    <cellStyle name="40% - Dekorfärg4 14 3" xfId="660"/>
    <cellStyle name="40% - Dekorfärg4 14 4" xfId="870"/>
    <cellStyle name="40% - Dekorfärg4 15" xfId="247"/>
    <cellStyle name="40% - Dekorfärg4 15 2" xfId="464"/>
    <cellStyle name="40% - Dekorfärg4 15 3" xfId="674"/>
    <cellStyle name="40% - Dekorfärg4 15 4" xfId="884"/>
    <cellStyle name="40% - Dekorfärg4 16" xfId="266"/>
    <cellStyle name="40% - Dekorfärg4 17" xfId="476"/>
    <cellStyle name="40% - Dekorfärg4 18" xfId="686"/>
    <cellStyle name="40% - Dekorfärg4 2" xfId="65"/>
    <cellStyle name="40% - Dekorfärg4 2 2" xfId="282"/>
    <cellStyle name="40% - Dekorfärg4 2 3" xfId="492"/>
    <cellStyle name="40% - Dekorfärg4 2 4" xfId="702"/>
    <cellStyle name="40% - Dekorfärg4 3" xfId="79"/>
    <cellStyle name="40% - Dekorfärg4 3 2" xfId="296"/>
    <cellStyle name="40% - Dekorfärg4 3 3" xfId="506"/>
    <cellStyle name="40% - Dekorfärg4 3 4" xfId="716"/>
    <cellStyle name="40% - Dekorfärg4 4" xfId="93"/>
    <cellStyle name="40% - Dekorfärg4 4 2" xfId="310"/>
    <cellStyle name="40% - Dekorfärg4 4 3" xfId="520"/>
    <cellStyle name="40% - Dekorfärg4 4 4" xfId="730"/>
    <cellStyle name="40% - Dekorfärg4 5" xfId="107"/>
    <cellStyle name="40% - Dekorfärg4 5 2" xfId="324"/>
    <cellStyle name="40% - Dekorfärg4 5 3" xfId="534"/>
    <cellStyle name="40% - Dekorfärg4 5 4" xfId="744"/>
    <cellStyle name="40% - Dekorfärg4 6" xfId="121"/>
    <cellStyle name="40% - Dekorfärg4 6 2" xfId="338"/>
    <cellStyle name="40% - Dekorfärg4 6 3" xfId="548"/>
    <cellStyle name="40% - Dekorfärg4 6 4" xfId="758"/>
    <cellStyle name="40% - Dekorfärg4 7" xfId="135"/>
    <cellStyle name="40% - Dekorfärg4 7 2" xfId="352"/>
    <cellStyle name="40% - Dekorfärg4 7 3" xfId="562"/>
    <cellStyle name="40% - Dekorfärg4 7 4" xfId="772"/>
    <cellStyle name="40% - Dekorfärg4 8" xfId="149"/>
    <cellStyle name="40% - Dekorfärg4 8 2" xfId="366"/>
    <cellStyle name="40% - Dekorfärg4 8 3" xfId="576"/>
    <cellStyle name="40% - Dekorfärg4 8 4" xfId="786"/>
    <cellStyle name="40% - Dekorfärg4 9" xfId="163"/>
    <cellStyle name="40% - Dekorfärg4 9 2" xfId="380"/>
    <cellStyle name="40% - Dekorfärg4 9 3" xfId="590"/>
    <cellStyle name="40% - Dekorfärg4 9 4" xfId="800"/>
    <cellStyle name="40% - Dekorfärg5 10" xfId="179"/>
    <cellStyle name="40% - Dekorfärg5 10 2" xfId="396"/>
    <cellStyle name="40% - Dekorfärg5 10 3" xfId="606"/>
    <cellStyle name="40% - Dekorfärg5 10 4" xfId="816"/>
    <cellStyle name="40% - Dekorfärg5 11" xfId="193"/>
    <cellStyle name="40% - Dekorfärg5 11 2" xfId="410"/>
    <cellStyle name="40% - Dekorfärg5 11 3" xfId="620"/>
    <cellStyle name="40% - Dekorfärg5 11 4" xfId="830"/>
    <cellStyle name="40% - Dekorfärg5 12" xfId="207"/>
    <cellStyle name="40% - Dekorfärg5 12 2" xfId="424"/>
    <cellStyle name="40% - Dekorfärg5 12 3" xfId="634"/>
    <cellStyle name="40% - Dekorfärg5 12 4" xfId="844"/>
    <cellStyle name="40% - Dekorfärg5 13" xfId="221"/>
    <cellStyle name="40% - Dekorfärg5 13 2" xfId="438"/>
    <cellStyle name="40% - Dekorfärg5 13 3" xfId="648"/>
    <cellStyle name="40% - Dekorfärg5 13 4" xfId="858"/>
    <cellStyle name="40% - Dekorfärg5 14" xfId="235"/>
    <cellStyle name="40% - Dekorfärg5 14 2" xfId="452"/>
    <cellStyle name="40% - Dekorfärg5 14 3" xfId="662"/>
    <cellStyle name="40% - Dekorfärg5 14 4" xfId="872"/>
    <cellStyle name="40% - Dekorfärg5 15" xfId="249"/>
    <cellStyle name="40% - Dekorfärg5 15 2" xfId="466"/>
    <cellStyle name="40% - Dekorfärg5 15 3" xfId="676"/>
    <cellStyle name="40% - Dekorfärg5 15 4" xfId="886"/>
    <cellStyle name="40% - Dekorfärg5 16" xfId="268"/>
    <cellStyle name="40% - Dekorfärg5 17" xfId="478"/>
    <cellStyle name="40% - Dekorfärg5 18" xfId="688"/>
    <cellStyle name="40% - Dekorfärg5 2" xfId="67"/>
    <cellStyle name="40% - Dekorfärg5 2 2" xfId="284"/>
    <cellStyle name="40% - Dekorfärg5 2 3" xfId="494"/>
    <cellStyle name="40% - Dekorfärg5 2 4" xfId="704"/>
    <cellStyle name="40% - Dekorfärg5 3" xfId="81"/>
    <cellStyle name="40% - Dekorfärg5 3 2" xfId="298"/>
    <cellStyle name="40% - Dekorfärg5 3 3" xfId="508"/>
    <cellStyle name="40% - Dekorfärg5 3 4" xfId="718"/>
    <cellStyle name="40% - Dekorfärg5 4" xfId="95"/>
    <cellStyle name="40% - Dekorfärg5 4 2" xfId="312"/>
    <cellStyle name="40% - Dekorfärg5 4 3" xfId="522"/>
    <cellStyle name="40% - Dekorfärg5 4 4" xfId="732"/>
    <cellStyle name="40% - Dekorfärg5 5" xfId="109"/>
    <cellStyle name="40% - Dekorfärg5 5 2" xfId="326"/>
    <cellStyle name="40% - Dekorfärg5 5 3" xfId="536"/>
    <cellStyle name="40% - Dekorfärg5 5 4" xfId="746"/>
    <cellStyle name="40% - Dekorfärg5 6" xfId="123"/>
    <cellStyle name="40% - Dekorfärg5 6 2" xfId="340"/>
    <cellStyle name="40% - Dekorfärg5 6 3" xfId="550"/>
    <cellStyle name="40% - Dekorfärg5 6 4" xfId="760"/>
    <cellStyle name="40% - Dekorfärg5 7" xfId="137"/>
    <cellStyle name="40% - Dekorfärg5 7 2" xfId="354"/>
    <cellStyle name="40% - Dekorfärg5 7 3" xfId="564"/>
    <cellStyle name="40% - Dekorfärg5 7 4" xfId="774"/>
    <cellStyle name="40% - Dekorfärg5 8" xfId="151"/>
    <cellStyle name="40% - Dekorfärg5 8 2" xfId="368"/>
    <cellStyle name="40% - Dekorfärg5 8 3" xfId="578"/>
    <cellStyle name="40% - Dekorfärg5 8 4" xfId="788"/>
    <cellStyle name="40% - Dekorfärg5 9" xfId="165"/>
    <cellStyle name="40% - Dekorfärg5 9 2" xfId="382"/>
    <cellStyle name="40% - Dekorfärg5 9 3" xfId="592"/>
    <cellStyle name="40% - Dekorfärg5 9 4" xfId="802"/>
    <cellStyle name="40% - Dekorfärg6 10" xfId="181"/>
    <cellStyle name="40% - Dekorfärg6 10 2" xfId="398"/>
    <cellStyle name="40% - Dekorfärg6 10 3" xfId="608"/>
    <cellStyle name="40% - Dekorfärg6 10 4" xfId="818"/>
    <cellStyle name="40% - Dekorfärg6 11" xfId="195"/>
    <cellStyle name="40% - Dekorfärg6 11 2" xfId="412"/>
    <cellStyle name="40% - Dekorfärg6 11 3" xfId="622"/>
    <cellStyle name="40% - Dekorfärg6 11 4" xfId="832"/>
    <cellStyle name="40% - Dekorfärg6 12" xfId="209"/>
    <cellStyle name="40% - Dekorfärg6 12 2" xfId="426"/>
    <cellStyle name="40% - Dekorfärg6 12 3" xfId="636"/>
    <cellStyle name="40% - Dekorfärg6 12 4" xfId="846"/>
    <cellStyle name="40% - Dekorfärg6 13" xfId="223"/>
    <cellStyle name="40% - Dekorfärg6 13 2" xfId="440"/>
    <cellStyle name="40% - Dekorfärg6 13 3" xfId="650"/>
    <cellStyle name="40% - Dekorfärg6 13 4" xfId="860"/>
    <cellStyle name="40% - Dekorfärg6 14" xfId="237"/>
    <cellStyle name="40% - Dekorfärg6 14 2" xfId="454"/>
    <cellStyle name="40% - Dekorfärg6 14 3" xfId="664"/>
    <cellStyle name="40% - Dekorfärg6 14 4" xfId="874"/>
    <cellStyle name="40% - Dekorfärg6 15" xfId="251"/>
    <cellStyle name="40% - Dekorfärg6 15 2" xfId="468"/>
    <cellStyle name="40% - Dekorfärg6 15 3" xfId="678"/>
    <cellStyle name="40% - Dekorfärg6 15 4" xfId="888"/>
    <cellStyle name="40% - Dekorfärg6 16" xfId="270"/>
    <cellStyle name="40% - Dekorfärg6 17" xfId="480"/>
    <cellStyle name="40% - Dekorfärg6 18" xfId="690"/>
    <cellStyle name="40% - Dekorfärg6 2" xfId="69"/>
    <cellStyle name="40% - Dekorfärg6 2 2" xfId="286"/>
    <cellStyle name="40% - Dekorfärg6 2 3" xfId="496"/>
    <cellStyle name="40% - Dekorfärg6 2 4" xfId="706"/>
    <cellStyle name="40% - Dekorfärg6 3" xfId="83"/>
    <cellStyle name="40% - Dekorfärg6 3 2" xfId="300"/>
    <cellStyle name="40% - Dekorfärg6 3 3" xfId="510"/>
    <cellStyle name="40% - Dekorfärg6 3 4" xfId="720"/>
    <cellStyle name="40% - Dekorfärg6 4" xfId="97"/>
    <cellStyle name="40% - Dekorfärg6 4 2" xfId="314"/>
    <cellStyle name="40% - Dekorfärg6 4 3" xfId="524"/>
    <cellStyle name="40% - Dekorfärg6 4 4" xfId="734"/>
    <cellStyle name="40% - Dekorfärg6 5" xfId="111"/>
    <cellStyle name="40% - Dekorfärg6 5 2" xfId="328"/>
    <cellStyle name="40% - Dekorfärg6 5 3" xfId="538"/>
    <cellStyle name="40% - Dekorfärg6 5 4" xfId="748"/>
    <cellStyle name="40% - Dekorfärg6 6" xfId="125"/>
    <cellStyle name="40% - Dekorfärg6 6 2" xfId="342"/>
    <cellStyle name="40% - Dekorfärg6 6 3" xfId="552"/>
    <cellStyle name="40% - Dekorfärg6 6 4" xfId="762"/>
    <cellStyle name="40% - Dekorfärg6 7" xfId="139"/>
    <cellStyle name="40% - Dekorfärg6 7 2" xfId="356"/>
    <cellStyle name="40% - Dekorfärg6 7 3" xfId="566"/>
    <cellStyle name="40% - Dekorfärg6 7 4" xfId="776"/>
    <cellStyle name="40% - Dekorfärg6 8" xfId="153"/>
    <cellStyle name="40% - Dekorfärg6 8 2" xfId="370"/>
    <cellStyle name="40% - Dekorfärg6 8 3" xfId="580"/>
    <cellStyle name="40% - Dekorfärg6 8 4" xfId="790"/>
    <cellStyle name="40% - Dekorfärg6 9" xfId="167"/>
    <cellStyle name="40% - Dekorfärg6 9 2" xfId="384"/>
    <cellStyle name="40% - Dekorfärg6 9 3" xfId="594"/>
    <cellStyle name="40% - Dekorfärg6 9 4" xfId="804"/>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cellStyle name="Anteckning 10 2" xfId="372"/>
    <cellStyle name="Anteckning 10 3" xfId="582"/>
    <cellStyle name="Anteckning 10 4" xfId="792"/>
    <cellStyle name="Anteckning 11" xfId="169"/>
    <cellStyle name="Anteckning 11 2" xfId="386"/>
    <cellStyle name="Anteckning 11 3" xfId="596"/>
    <cellStyle name="Anteckning 11 4" xfId="806"/>
    <cellStyle name="Anteckning 12" xfId="183"/>
    <cellStyle name="Anteckning 12 2" xfId="400"/>
    <cellStyle name="Anteckning 12 3" xfId="610"/>
    <cellStyle name="Anteckning 12 4" xfId="820"/>
    <cellStyle name="Anteckning 13" xfId="197"/>
    <cellStyle name="Anteckning 13 2" xfId="414"/>
    <cellStyle name="Anteckning 13 3" xfId="624"/>
    <cellStyle name="Anteckning 13 4" xfId="834"/>
    <cellStyle name="Anteckning 14" xfId="211"/>
    <cellStyle name="Anteckning 14 2" xfId="428"/>
    <cellStyle name="Anteckning 14 3" xfId="638"/>
    <cellStyle name="Anteckning 14 4" xfId="848"/>
    <cellStyle name="Anteckning 15" xfId="225"/>
    <cellStyle name="Anteckning 15 2" xfId="442"/>
    <cellStyle name="Anteckning 15 3" xfId="652"/>
    <cellStyle name="Anteckning 15 4" xfId="862"/>
    <cellStyle name="Anteckning 16" xfId="239"/>
    <cellStyle name="Anteckning 16 2" xfId="456"/>
    <cellStyle name="Anteckning 16 3" xfId="666"/>
    <cellStyle name="Anteckning 16 4" xfId="876"/>
    <cellStyle name="Anteckning 2" xfId="55"/>
    <cellStyle name="Anteckning 2 2" xfId="272"/>
    <cellStyle name="Anteckning 2 3" xfId="482"/>
    <cellStyle name="Anteckning 2 4" xfId="692"/>
    <cellStyle name="Anteckning 3" xfId="57"/>
    <cellStyle name="Anteckning 3 2" xfId="274"/>
    <cellStyle name="Anteckning 3 3" xfId="484"/>
    <cellStyle name="Anteckning 3 4" xfId="694"/>
    <cellStyle name="Anteckning 4" xfId="71"/>
    <cellStyle name="Anteckning 4 2" xfId="288"/>
    <cellStyle name="Anteckning 4 3" xfId="498"/>
    <cellStyle name="Anteckning 4 4" xfId="708"/>
    <cellStyle name="Anteckning 5" xfId="85"/>
    <cellStyle name="Anteckning 5 2" xfId="302"/>
    <cellStyle name="Anteckning 5 3" xfId="512"/>
    <cellStyle name="Anteckning 5 4" xfId="722"/>
    <cellStyle name="Anteckning 6" xfId="99"/>
    <cellStyle name="Anteckning 6 2" xfId="316"/>
    <cellStyle name="Anteckning 6 3" xfId="526"/>
    <cellStyle name="Anteckning 6 4" xfId="736"/>
    <cellStyle name="Anteckning 7" xfId="113"/>
    <cellStyle name="Anteckning 7 2" xfId="330"/>
    <cellStyle name="Anteckning 7 3" xfId="540"/>
    <cellStyle name="Anteckning 7 4" xfId="750"/>
    <cellStyle name="Anteckning 8" xfId="127"/>
    <cellStyle name="Anteckning 8 2" xfId="344"/>
    <cellStyle name="Anteckning 8 3" xfId="554"/>
    <cellStyle name="Anteckning 8 4" xfId="764"/>
    <cellStyle name="Anteckning 9" xfId="141"/>
    <cellStyle name="Anteckning 9 2" xfId="358"/>
    <cellStyle name="Anteckning 9 3" xfId="568"/>
    <cellStyle name="Anteckning 9 4" xfId="778"/>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cellStyle name="Normal 10 2" xfId="371"/>
    <cellStyle name="Normal 10 3" xfId="581"/>
    <cellStyle name="Normal 10 4" xfId="791"/>
    <cellStyle name="Normal 11" xfId="168"/>
    <cellStyle name="Normal 11 2" xfId="385"/>
    <cellStyle name="Normal 11 3" xfId="595"/>
    <cellStyle name="Normal 11 4" xfId="805"/>
    <cellStyle name="Normal 12" xfId="182"/>
    <cellStyle name="Normal 12 2" xfId="399"/>
    <cellStyle name="Normal 12 3" xfId="609"/>
    <cellStyle name="Normal 12 4" xfId="819"/>
    <cellStyle name="Normal 13" xfId="196"/>
    <cellStyle name="Normal 13 2" xfId="413"/>
    <cellStyle name="Normal 13 3" xfId="623"/>
    <cellStyle name="Normal 13 4" xfId="833"/>
    <cellStyle name="Normal 14" xfId="210"/>
    <cellStyle name="Normal 14 2" xfId="427"/>
    <cellStyle name="Normal 14 3" xfId="637"/>
    <cellStyle name="Normal 14 4" xfId="847"/>
    <cellStyle name="Normal 15" xfId="224"/>
    <cellStyle name="Normal 15 2" xfId="441"/>
    <cellStyle name="Normal 15 3" xfId="651"/>
    <cellStyle name="Normal 15 4" xfId="861"/>
    <cellStyle name="Normal 16" xfId="238"/>
    <cellStyle name="Normal 16 2" xfId="455"/>
    <cellStyle name="Normal 16 3" xfId="665"/>
    <cellStyle name="Normal 16 4" xfId="875"/>
    <cellStyle name="Normal 17" xfId="889"/>
    <cellStyle name="Normal 18" xfId="892"/>
    <cellStyle name="Normal 19" xfId="893"/>
    <cellStyle name="Normal 2" xfId="4"/>
    <cellStyle name="Normal 2 2" xfId="7"/>
    <cellStyle name="Normal 2 3" xfId="54"/>
    <cellStyle name="Normal 2 3 2" xfId="271"/>
    <cellStyle name="Normal 2 3 3" xfId="481"/>
    <cellStyle name="Normal 2 3 4" xfId="691"/>
    <cellStyle name="Normal 20" xfId="895"/>
    <cellStyle name="Normal 3" xfId="6"/>
    <cellStyle name="Normal 3 2" xfId="56"/>
    <cellStyle name="Normal 3 2 2" xfId="273"/>
    <cellStyle name="Normal 3 2 3" xfId="483"/>
    <cellStyle name="Normal 3 2 4" xfId="693"/>
    <cellStyle name="Normal 4" xfId="8"/>
    <cellStyle name="Normal 4 2" xfId="12"/>
    <cellStyle name="Normal 4 3" xfId="70"/>
    <cellStyle name="Normal 4 3 2" xfId="287"/>
    <cellStyle name="Normal 4 3 3" xfId="497"/>
    <cellStyle name="Normal 4 3 4" xfId="707"/>
    <cellStyle name="Normal 5" xfId="9"/>
    <cellStyle name="Normal 5 2" xfId="13"/>
    <cellStyle name="Normal 5 3" xfId="84"/>
    <cellStyle name="Normal 5 3 2" xfId="301"/>
    <cellStyle name="Normal 5 3 3" xfId="511"/>
    <cellStyle name="Normal 5 3 4" xfId="721"/>
    <cellStyle name="Normal 6" xfId="98"/>
    <cellStyle name="Normal 6 2" xfId="315"/>
    <cellStyle name="Normal 6 3" xfId="525"/>
    <cellStyle name="Normal 6 4" xfId="735"/>
    <cellStyle name="Normal 6 5" xfId="894"/>
    <cellStyle name="Normal 7" xfId="112"/>
    <cellStyle name="Normal 7 2" xfId="329"/>
    <cellStyle name="Normal 7 3" xfId="539"/>
    <cellStyle name="Normal 7 4" xfId="749"/>
    <cellStyle name="Normal 8" xfId="126"/>
    <cellStyle name="Normal 8 2" xfId="343"/>
    <cellStyle name="Normal 8 3" xfId="553"/>
    <cellStyle name="Normal 8 4" xfId="763"/>
    <cellStyle name="Normal 9" xfId="140"/>
    <cellStyle name="Normal 9 2" xfId="357"/>
    <cellStyle name="Normal 9 3" xfId="567"/>
    <cellStyle name="Normal 9 4" xfId="777"/>
    <cellStyle name="Procent" xfId="2" builtinId="5"/>
    <cellStyle name="Procent 2" xfId="5"/>
    <cellStyle name="Procent 2 2" xfId="254"/>
    <cellStyle name="Procent 2 3" xfId="253"/>
    <cellStyle name="Procent 3" xfId="10"/>
    <cellStyle name="Procent 4" xfId="252"/>
    <cellStyle name="Procent 5" xfId="89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cellStyle name="Tusental 2 2" xfId="257"/>
    <cellStyle name="Tusental 2 3" xfId="256"/>
    <cellStyle name="Tusental 3" xfId="258"/>
    <cellStyle name="Tusental 4" xfId="255"/>
    <cellStyle name="Tusental 5" xfId="891"/>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43982</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-7.0384279546928719E-2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43982</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-8.7860551690249089E-2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43982</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2.5981126300865576E-2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43982</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689.37491081301823</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43982</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1353.6382194198702</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731169</xdr:colOff>
      <xdr:row>2</xdr:row>
      <xdr:rowOff>64232</xdr:rowOff>
    </xdr:to>
    <xdr:pic>
      <xdr:nvPicPr>
        <xdr:cNvPr id="4" name="Bildobjekt 3"/>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1428</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hyperlink ref="B15" location="Fondstatistik!A1" tooltip="Här visas fondernas värdeutveckling, brutto och fondavgifter samt fondernas risknvivå." display="Fondstatistik"/>
    <hyperlink ref="B17" location="'Värdeutveckling - konto'!A1" tooltip="Här visas variationen i värdeutvecklingen i pensionsspararnas konton sedan deras inträde i premiepensionssystemet." display="Värdeutveckling - individuella konton"/>
    <hyperlink ref="B21" location="'Värdeutveckling - fondrörelse'!A1" tooltip="Här visas värdeutvecklingen i alla fonder, inklusive Premiesparfonden, sedan systemets införande 2000-12-13" display="VÄRDEUTVECKLING FÖR PREMIEPENSIONSFONDERNAS INDEX"/>
    <hyperlink ref="B20" location="'Marknadsv. &amp; tillfört kapital'!A1" tooltip="Här visas hur stora medel som tillförts till premiepensionssystemet samt markandsvärde per år." display="MARKNADSVÄRDE OCH TILLFÖRT KAPITAL TILL FONDRÖRELSEN"/>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hyperlink ref="B22" location="'Värdeutv fondrörelse genomsnitt'!A1" tooltip="Här visas den årliga genomsnittliga värdeutvecklingen för alla fonder sedan systemets införande." display="Värdeutveckling för fondrörelsen i genomsnitt per år"/>
    <hyperlink ref="B19" location="'Värdeutv. fondrörelse per år'!A1" tooltip="Här visas den årliga värdeutvecklingen i genomsnitt för premiesparfonderna, uppdelat på hela fondrörelsen, valbara fonder och Premiesparfonden." display="VÄRDEUTVECKLING FÖR FONDRÖRELSEN PER KALENDERÅR"/>
    <hyperlink ref="B14" location="'10 fonder...'!A1" tooltip="Här visas de tio fonderna med flest val , mest kapital samt högsta värdeutveckling." display="De tio mest valda fonderna m.m"/>
    <hyperlink ref="B24" location="'Beskrivning av mått'!A1" tooltip="Här förklaras måtten som används i dokumentet." display="Beskrivning av mått"/>
    <hyperlink ref="B16" location="'Fondstatistik - Hållbarhet'!MyTblStart" tooltip="Här visas fondernas värdeutveckling, brutto och fondavgifter samt fondernas risknvivå." display="Fondstatistik - Hållbarhet"/>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1354</v>
      </c>
    </row>
    <row r="6" spans="1:15" ht="16.5" customHeight="1" x14ac:dyDescent="0.25">
      <c r="A6" s="19" t="s">
        <v>1535</v>
      </c>
      <c r="B6" s="341"/>
      <c r="C6" s="13"/>
      <c r="D6" s="17"/>
      <c r="E6" s="17"/>
      <c r="F6" s="17"/>
      <c r="G6" s="17"/>
      <c r="H6" s="21"/>
      <c r="I6" s="21"/>
      <c r="K6" s="13"/>
      <c r="L6" s="7"/>
      <c r="N6" s="5"/>
      <c r="O6" s="335" t="s">
        <v>127</v>
      </c>
    </row>
    <row r="7" spans="1:15" ht="16.5" customHeight="1" x14ac:dyDescent="0.2">
      <c r="A7" s="329" t="s">
        <v>1534</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1354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380" t="s">
        <v>54</v>
      </c>
      <c r="I22" s="308" t="s">
        <v>121</v>
      </c>
      <c r="J22" s="314" t="s">
        <v>48</v>
      </c>
      <c r="K22" s="315" t="s">
        <v>55</v>
      </c>
      <c r="L22" s="313" t="s">
        <v>51</v>
      </c>
      <c r="M22" s="308" t="s">
        <v>46</v>
      </c>
      <c r="N22" s="317"/>
      <c r="O22" s="55"/>
    </row>
    <row r="23" spans="1:15" ht="12.75" customHeight="1" x14ac:dyDescent="0.2">
      <c r="A23" s="369">
        <v>1</v>
      </c>
      <c r="B23" t="s">
        <v>146</v>
      </c>
      <c r="C23" s="342">
        <v>2237125</v>
      </c>
      <c r="D23" s="342">
        <v>2452468</v>
      </c>
      <c r="E23" s="342">
        <v>4689593</v>
      </c>
      <c r="F23" s="342">
        <v>256841554869</v>
      </c>
      <c r="G23" s="342">
        <v>318657749685</v>
      </c>
      <c r="H23" s="342">
        <v>575499304553</v>
      </c>
      <c r="I23" s="342"/>
      <c r="J23" t="s">
        <v>576</v>
      </c>
      <c r="K23" t="s">
        <v>577</v>
      </c>
      <c r="L23" t="s">
        <v>578</v>
      </c>
      <c r="M23" t="s">
        <v>154</v>
      </c>
      <c r="N23" s="3"/>
      <c r="O23" s="4"/>
    </row>
    <row r="24" spans="1:15" ht="12.75" customHeight="1" x14ac:dyDescent="0.2">
      <c r="A24" s="369">
        <v>283408</v>
      </c>
      <c r="B24" t="s">
        <v>611</v>
      </c>
      <c r="C24" s="342">
        <v>141253</v>
      </c>
      <c r="D24" s="342">
        <v>160081</v>
      </c>
      <c r="E24" s="342">
        <v>301334</v>
      </c>
      <c r="F24" s="342">
        <v>16884791733</v>
      </c>
      <c r="G24" s="342">
        <v>23829400332</v>
      </c>
      <c r="H24" s="342">
        <v>40714192065</v>
      </c>
      <c r="I24" s="342">
        <v>685357546</v>
      </c>
      <c r="J24" t="s">
        <v>232</v>
      </c>
      <c r="K24" t="s">
        <v>583</v>
      </c>
      <c r="L24" t="s">
        <v>170</v>
      </c>
      <c r="M24" t="s">
        <v>154</v>
      </c>
      <c r="N24" s="3"/>
      <c r="O24" s="4"/>
    </row>
    <row r="25" spans="1:15" ht="12.75" customHeight="1" x14ac:dyDescent="0.2">
      <c r="A25" s="369">
        <v>681783</v>
      </c>
      <c r="B25" t="s">
        <v>83</v>
      </c>
      <c r="C25" s="342">
        <v>99419</v>
      </c>
      <c r="D25" s="342">
        <v>104068</v>
      </c>
      <c r="E25" s="342">
        <v>203487</v>
      </c>
      <c r="F25" s="342">
        <v>8796525170</v>
      </c>
      <c r="G25" s="342">
        <v>11475337661</v>
      </c>
      <c r="H25" s="342">
        <v>20271862830</v>
      </c>
      <c r="I25" s="342">
        <v>63992444</v>
      </c>
      <c r="J25" t="s">
        <v>209</v>
      </c>
      <c r="K25" t="s">
        <v>583</v>
      </c>
      <c r="L25" t="s">
        <v>278</v>
      </c>
      <c r="M25" t="s">
        <v>154</v>
      </c>
      <c r="N25" s="3"/>
      <c r="O25" s="4"/>
    </row>
    <row r="26" spans="1:15" ht="12.75" customHeight="1" x14ac:dyDescent="0.2">
      <c r="A26" s="369">
        <v>291906</v>
      </c>
      <c r="B26" t="s">
        <v>74</v>
      </c>
      <c r="C26" s="342">
        <v>94623</v>
      </c>
      <c r="D26" s="342">
        <v>100678</v>
      </c>
      <c r="E26" s="342">
        <v>195301</v>
      </c>
      <c r="F26" s="342">
        <v>9360958818</v>
      </c>
      <c r="G26" s="342">
        <v>11939338726</v>
      </c>
      <c r="H26" s="342">
        <v>21300297544</v>
      </c>
      <c r="I26" s="342">
        <v>136262523</v>
      </c>
      <c r="J26" t="s">
        <v>209</v>
      </c>
      <c r="K26" t="s">
        <v>583</v>
      </c>
      <c r="L26" t="s">
        <v>196</v>
      </c>
      <c r="M26" t="s">
        <v>154</v>
      </c>
      <c r="N26" s="3"/>
      <c r="O26" s="4"/>
    </row>
    <row r="27" spans="1:15" ht="12.75" customHeight="1" x14ac:dyDescent="0.2">
      <c r="A27" s="369">
        <v>645952</v>
      </c>
      <c r="B27" t="s">
        <v>82</v>
      </c>
      <c r="C27" s="342">
        <v>93433</v>
      </c>
      <c r="D27" s="342">
        <v>95265</v>
      </c>
      <c r="E27" s="342">
        <v>188698</v>
      </c>
      <c r="F27" s="342">
        <v>8070025455</v>
      </c>
      <c r="G27" s="342">
        <v>10357780445</v>
      </c>
      <c r="H27" s="342">
        <v>18427805900</v>
      </c>
      <c r="I27" s="342">
        <v>63699350</v>
      </c>
      <c r="J27" t="s">
        <v>182</v>
      </c>
      <c r="K27" t="s">
        <v>583</v>
      </c>
      <c r="L27" t="s">
        <v>278</v>
      </c>
      <c r="M27" t="s">
        <v>154</v>
      </c>
      <c r="N27" s="2"/>
      <c r="O27" s="4"/>
    </row>
    <row r="28" spans="1:15" ht="12.75" customHeight="1" x14ac:dyDescent="0.2">
      <c r="A28" s="369">
        <v>785022</v>
      </c>
      <c r="B28" t="s">
        <v>39</v>
      </c>
      <c r="C28" s="342">
        <v>95747</v>
      </c>
      <c r="D28" s="342">
        <v>76698</v>
      </c>
      <c r="E28" s="342">
        <v>172445</v>
      </c>
      <c r="F28" s="342">
        <v>9888727118</v>
      </c>
      <c r="G28" s="342">
        <v>9639510265</v>
      </c>
      <c r="H28" s="342">
        <v>19528237382</v>
      </c>
      <c r="I28" s="342">
        <v>84994177</v>
      </c>
      <c r="J28" t="s">
        <v>182</v>
      </c>
      <c r="K28" t="s">
        <v>583</v>
      </c>
      <c r="L28" t="s">
        <v>170</v>
      </c>
      <c r="M28" t="s">
        <v>154</v>
      </c>
      <c r="N28" s="2"/>
      <c r="O28" s="4"/>
    </row>
    <row r="29" spans="1:15" ht="12.75" customHeight="1" x14ac:dyDescent="0.2">
      <c r="A29" s="369">
        <v>719674</v>
      </c>
      <c r="B29" t="s">
        <v>151</v>
      </c>
      <c r="C29" s="342">
        <v>82023</v>
      </c>
      <c r="D29" s="342">
        <v>71998</v>
      </c>
      <c r="E29" s="342">
        <v>154021</v>
      </c>
      <c r="F29" s="342">
        <v>6037474861</v>
      </c>
      <c r="G29" s="342">
        <v>6436345668</v>
      </c>
      <c r="H29" s="342">
        <v>12473820530</v>
      </c>
      <c r="I29" s="342">
        <v>37576075</v>
      </c>
      <c r="J29" t="s">
        <v>209</v>
      </c>
      <c r="K29" t="s">
        <v>583</v>
      </c>
      <c r="L29" t="s">
        <v>170</v>
      </c>
      <c r="M29" t="s">
        <v>154</v>
      </c>
      <c r="N29" s="2"/>
      <c r="O29" s="4"/>
    </row>
    <row r="30" spans="1:15" ht="12.75" customHeight="1" x14ac:dyDescent="0.2">
      <c r="A30" s="369">
        <v>581371</v>
      </c>
      <c r="B30" t="s">
        <v>118</v>
      </c>
      <c r="C30" s="342">
        <v>57048</v>
      </c>
      <c r="D30" s="342">
        <v>84855</v>
      </c>
      <c r="E30" s="342">
        <v>141903</v>
      </c>
      <c r="F30" s="342">
        <v>8178588458</v>
      </c>
      <c r="G30" s="342">
        <v>13404442476</v>
      </c>
      <c r="H30" s="342">
        <v>21583030934</v>
      </c>
      <c r="I30" s="342">
        <v>683328382</v>
      </c>
      <c r="J30" t="s">
        <v>162</v>
      </c>
      <c r="K30" t="s">
        <v>583</v>
      </c>
      <c r="L30" t="s">
        <v>414</v>
      </c>
      <c r="M30" t="s">
        <v>154</v>
      </c>
      <c r="N30" s="2"/>
      <c r="O30" s="4"/>
    </row>
    <row r="31" spans="1:15" ht="12.75" customHeight="1" x14ac:dyDescent="0.2">
      <c r="A31" s="369">
        <v>747899</v>
      </c>
      <c r="B31" t="s">
        <v>37</v>
      </c>
      <c r="C31" s="342">
        <v>63916</v>
      </c>
      <c r="D31" s="342">
        <v>63048</v>
      </c>
      <c r="E31" s="342">
        <v>126964</v>
      </c>
      <c r="F31" s="342">
        <v>11736983974</v>
      </c>
      <c r="G31" s="342">
        <v>14159131556</v>
      </c>
      <c r="H31" s="342">
        <v>25896115530</v>
      </c>
      <c r="I31" s="342">
        <v>78185953</v>
      </c>
      <c r="J31" t="s">
        <v>246</v>
      </c>
      <c r="K31" t="s">
        <v>577</v>
      </c>
      <c r="L31" t="s">
        <v>170</v>
      </c>
      <c r="M31" t="s">
        <v>154</v>
      </c>
      <c r="N31" s="2"/>
      <c r="O31" s="4"/>
    </row>
    <row r="32" spans="1:15" ht="12.75" customHeight="1" x14ac:dyDescent="0.2">
      <c r="A32" s="369">
        <v>114819</v>
      </c>
      <c r="B32" t="s">
        <v>148</v>
      </c>
      <c r="C32" s="342">
        <v>67429</v>
      </c>
      <c r="D32" s="342">
        <v>59218</v>
      </c>
      <c r="E32" s="342">
        <v>126647</v>
      </c>
      <c r="F32" s="342">
        <v>5713604716</v>
      </c>
      <c r="G32" s="342">
        <v>6102009019</v>
      </c>
      <c r="H32" s="342">
        <v>11815613735</v>
      </c>
      <c r="I32" s="342">
        <v>36155116</v>
      </c>
      <c r="J32" t="s">
        <v>162</v>
      </c>
      <c r="K32" t="s">
        <v>583</v>
      </c>
      <c r="L32" t="s">
        <v>170</v>
      </c>
      <c r="M32" t="s">
        <v>154</v>
      </c>
      <c r="N32" s="2"/>
      <c r="O32" s="4"/>
    </row>
    <row r="33" spans="1:15" ht="12.75" customHeight="1" x14ac:dyDescent="0.2">
      <c r="A33" s="369">
        <v>783720</v>
      </c>
      <c r="B33" t="s">
        <v>38</v>
      </c>
      <c r="C33" s="342">
        <v>65780</v>
      </c>
      <c r="D33" s="342">
        <v>50750</v>
      </c>
      <c r="E33" s="342">
        <v>116530</v>
      </c>
      <c r="F33" s="342">
        <v>12816426310</v>
      </c>
      <c r="G33" s="342">
        <v>11544434241</v>
      </c>
      <c r="H33" s="342">
        <v>24360860551</v>
      </c>
      <c r="I33" s="342">
        <v>121158630</v>
      </c>
      <c r="J33" t="s">
        <v>246</v>
      </c>
      <c r="K33" t="s">
        <v>577</v>
      </c>
      <c r="L33" t="s">
        <v>170</v>
      </c>
      <c r="M33" t="s">
        <v>154</v>
      </c>
      <c r="N33" s="2"/>
      <c r="O33" s="4"/>
    </row>
    <row r="34" spans="1:15" ht="12.75" customHeight="1" x14ac:dyDescent="0.2">
      <c r="A34" s="369">
        <v>928341</v>
      </c>
      <c r="B34" t="s">
        <v>1391</v>
      </c>
      <c r="C34" s="342">
        <v>56571</v>
      </c>
      <c r="D34" s="342">
        <v>53465</v>
      </c>
      <c r="E34" s="342">
        <v>110036</v>
      </c>
      <c r="F34" s="342">
        <v>3641070675</v>
      </c>
      <c r="G34" s="342">
        <v>4415445848</v>
      </c>
      <c r="H34" s="342">
        <v>8056516522</v>
      </c>
      <c r="I34" s="342">
        <v>81117157</v>
      </c>
      <c r="J34" t="s">
        <v>252</v>
      </c>
      <c r="K34" t="s">
        <v>583</v>
      </c>
      <c r="L34" t="s">
        <v>170</v>
      </c>
      <c r="M34" t="s">
        <v>154</v>
      </c>
      <c r="N34" s="2"/>
      <c r="O34" s="4"/>
    </row>
    <row r="35" spans="1:15" ht="12.75" customHeight="1" x14ac:dyDescent="0.2">
      <c r="A35" s="369">
        <v>610121</v>
      </c>
      <c r="B35" t="s">
        <v>440</v>
      </c>
      <c r="C35" s="342">
        <v>55429</v>
      </c>
      <c r="D35" s="342">
        <v>49654</v>
      </c>
      <c r="E35" s="342">
        <v>105083</v>
      </c>
      <c r="F35" s="342">
        <v>4108779667</v>
      </c>
      <c r="G35" s="342">
        <v>4630039533</v>
      </c>
      <c r="H35" s="342">
        <v>8738819201</v>
      </c>
      <c r="I35" s="342">
        <v>25493877</v>
      </c>
      <c r="J35" t="s">
        <v>177</v>
      </c>
      <c r="K35" t="s">
        <v>580</v>
      </c>
      <c r="L35" t="s">
        <v>278</v>
      </c>
      <c r="M35" t="s">
        <v>154</v>
      </c>
      <c r="N35" s="2"/>
      <c r="O35" s="4"/>
    </row>
    <row r="36" spans="1:15" ht="12.75" customHeight="1" x14ac:dyDescent="0.2">
      <c r="A36" s="369">
        <v>677534</v>
      </c>
      <c r="B36" t="s">
        <v>469</v>
      </c>
      <c r="C36" s="342">
        <v>51656</v>
      </c>
      <c r="D36" s="342">
        <v>39975</v>
      </c>
      <c r="E36" s="342">
        <v>91631</v>
      </c>
      <c r="F36" s="342">
        <v>2056380929</v>
      </c>
      <c r="G36" s="342">
        <v>1968271757</v>
      </c>
      <c r="H36" s="342">
        <v>4024652685</v>
      </c>
      <c r="I36" s="342">
        <v>243001</v>
      </c>
      <c r="J36" t="s">
        <v>159</v>
      </c>
      <c r="K36" t="s">
        <v>584</v>
      </c>
      <c r="L36" t="s">
        <v>170</v>
      </c>
      <c r="M36" t="s">
        <v>154</v>
      </c>
      <c r="N36" s="2"/>
      <c r="O36" s="4"/>
    </row>
    <row r="37" spans="1:15" ht="12.75" customHeight="1" x14ac:dyDescent="0.2">
      <c r="A37" s="369">
        <v>463141</v>
      </c>
      <c r="B37" t="s">
        <v>375</v>
      </c>
      <c r="C37" s="342">
        <v>49261</v>
      </c>
      <c r="D37" s="342">
        <v>39508</v>
      </c>
      <c r="E37" s="342">
        <v>88769</v>
      </c>
      <c r="F37" s="342">
        <v>6656568522</v>
      </c>
      <c r="G37" s="342">
        <v>6403965374</v>
      </c>
      <c r="H37" s="342">
        <v>13060533896</v>
      </c>
      <c r="I37" s="342">
        <v>56403918</v>
      </c>
      <c r="J37" t="s">
        <v>246</v>
      </c>
      <c r="K37" t="s">
        <v>577</v>
      </c>
      <c r="L37" t="s">
        <v>198</v>
      </c>
      <c r="M37" t="s">
        <v>154</v>
      </c>
      <c r="N37" s="2"/>
      <c r="O37" s="4"/>
    </row>
    <row r="38" spans="1:15" ht="12.75" customHeight="1" x14ac:dyDescent="0.2">
      <c r="A38" s="369">
        <v>359315</v>
      </c>
      <c r="B38" t="s">
        <v>102</v>
      </c>
      <c r="C38" s="342">
        <v>46744</v>
      </c>
      <c r="D38" s="342">
        <v>37230</v>
      </c>
      <c r="E38" s="342">
        <v>83974</v>
      </c>
      <c r="F38" s="342">
        <v>11556683134</v>
      </c>
      <c r="G38" s="342">
        <v>10811902093</v>
      </c>
      <c r="H38" s="342">
        <v>22368585227</v>
      </c>
      <c r="I38" s="342">
        <v>203876025</v>
      </c>
      <c r="J38" t="s">
        <v>246</v>
      </c>
      <c r="K38" t="s">
        <v>577</v>
      </c>
      <c r="L38" t="s">
        <v>191</v>
      </c>
      <c r="M38" t="s">
        <v>154</v>
      </c>
      <c r="N38" s="2"/>
      <c r="O38" s="4"/>
    </row>
    <row r="39" spans="1:15" ht="12.75" customHeight="1" x14ac:dyDescent="0.2">
      <c r="A39" s="369">
        <v>755504</v>
      </c>
      <c r="B39" t="s">
        <v>500</v>
      </c>
      <c r="C39" s="342">
        <v>43519</v>
      </c>
      <c r="D39" s="342">
        <v>40035</v>
      </c>
      <c r="E39" s="342">
        <v>83554</v>
      </c>
      <c r="F39" s="342">
        <v>1940502403</v>
      </c>
      <c r="G39" s="342">
        <v>2131631718</v>
      </c>
      <c r="H39" s="342">
        <v>4072134121</v>
      </c>
      <c r="I39" s="342">
        <v>21756758</v>
      </c>
      <c r="J39" t="s">
        <v>185</v>
      </c>
      <c r="K39" t="s">
        <v>583</v>
      </c>
      <c r="L39" t="s">
        <v>170</v>
      </c>
      <c r="M39" t="s">
        <v>154</v>
      </c>
      <c r="N39" s="2"/>
      <c r="O39" s="4"/>
    </row>
    <row r="40" spans="1:15" ht="12.75" customHeight="1" x14ac:dyDescent="0.2">
      <c r="A40" s="369">
        <v>271478</v>
      </c>
      <c r="B40" t="s">
        <v>280</v>
      </c>
      <c r="C40" s="342">
        <v>42462</v>
      </c>
      <c r="D40" s="342">
        <v>39926</v>
      </c>
      <c r="E40" s="342">
        <v>82388</v>
      </c>
      <c r="F40" s="342">
        <v>8056901509</v>
      </c>
      <c r="G40" s="342">
        <v>9618221114</v>
      </c>
      <c r="H40" s="342">
        <v>17675122623</v>
      </c>
      <c r="I40" s="342">
        <v>242761592</v>
      </c>
      <c r="J40" t="s">
        <v>182</v>
      </c>
      <c r="K40" t="s">
        <v>583</v>
      </c>
      <c r="L40" t="s">
        <v>281</v>
      </c>
      <c r="M40" t="s">
        <v>154</v>
      </c>
      <c r="N40" s="2"/>
      <c r="O40" s="4"/>
    </row>
    <row r="41" spans="1:15" ht="12.75" customHeight="1" x14ac:dyDescent="0.2">
      <c r="A41" s="369">
        <v>212332</v>
      </c>
      <c r="B41" t="s">
        <v>242</v>
      </c>
      <c r="C41" s="342">
        <v>39683</v>
      </c>
      <c r="D41" s="342">
        <v>42492</v>
      </c>
      <c r="E41" s="342">
        <v>82175</v>
      </c>
      <c r="F41" s="342">
        <v>3043715139</v>
      </c>
      <c r="G41" s="342">
        <v>3960128427</v>
      </c>
      <c r="H41" s="342">
        <v>7003843566</v>
      </c>
      <c r="I41" s="342">
        <v>20974723</v>
      </c>
      <c r="J41" t="s">
        <v>209</v>
      </c>
      <c r="K41" t="s">
        <v>583</v>
      </c>
      <c r="L41" t="s">
        <v>198</v>
      </c>
      <c r="M41" t="s">
        <v>154</v>
      </c>
      <c r="N41" s="2"/>
      <c r="O41" s="4"/>
    </row>
    <row r="42" spans="1:15" ht="12.75" customHeight="1" x14ac:dyDescent="0.2">
      <c r="A42" s="369">
        <v>307306</v>
      </c>
      <c r="B42" t="s">
        <v>303</v>
      </c>
      <c r="C42" s="342">
        <v>42421</v>
      </c>
      <c r="D42" s="342">
        <v>39701</v>
      </c>
      <c r="E42" s="342">
        <v>82122</v>
      </c>
      <c r="F42" s="342">
        <v>1945477951</v>
      </c>
      <c r="G42" s="342">
        <v>2040939569</v>
      </c>
      <c r="H42" s="342">
        <v>3986417520</v>
      </c>
      <c r="I42" s="342">
        <v>72370839</v>
      </c>
      <c r="J42" t="s">
        <v>350</v>
      </c>
      <c r="K42" t="s">
        <v>580</v>
      </c>
      <c r="L42" t="s">
        <v>281</v>
      </c>
      <c r="M42" t="s">
        <v>154</v>
      </c>
      <c r="N42" s="2"/>
      <c r="O42" s="4"/>
    </row>
    <row r="43" spans="1:15" ht="12.75" customHeight="1" x14ac:dyDescent="0.2">
      <c r="A43" s="369">
        <v>734491</v>
      </c>
      <c r="B43" t="s">
        <v>491</v>
      </c>
      <c r="C43" s="342">
        <v>30502</v>
      </c>
      <c r="D43" s="342">
        <v>51215</v>
      </c>
      <c r="E43" s="342">
        <v>81717</v>
      </c>
      <c r="F43" s="342">
        <v>2412010364</v>
      </c>
      <c r="G43" s="342">
        <v>4737836340</v>
      </c>
      <c r="H43" s="342">
        <v>7149846704</v>
      </c>
      <c r="I43" s="342">
        <v>10272365</v>
      </c>
      <c r="J43" t="s">
        <v>209</v>
      </c>
      <c r="K43" t="s">
        <v>583</v>
      </c>
      <c r="L43" t="s">
        <v>492</v>
      </c>
      <c r="M43" t="s">
        <v>154</v>
      </c>
      <c r="N43" s="2"/>
      <c r="O43" s="4"/>
    </row>
    <row r="44" spans="1:15" ht="12.75" customHeight="1" x14ac:dyDescent="0.2">
      <c r="A44" s="369">
        <v>287656</v>
      </c>
      <c r="B44" t="s">
        <v>287</v>
      </c>
      <c r="C44" s="342">
        <v>44389</v>
      </c>
      <c r="D44" s="342">
        <v>36704</v>
      </c>
      <c r="E44" s="342">
        <v>81093</v>
      </c>
      <c r="F44" s="342">
        <v>9392841599</v>
      </c>
      <c r="G44" s="342">
        <v>9110032871</v>
      </c>
      <c r="H44" s="342">
        <v>18502874470</v>
      </c>
      <c r="I44" s="342">
        <v>147288810</v>
      </c>
      <c r="J44" t="s">
        <v>246</v>
      </c>
      <c r="K44" t="s">
        <v>577</v>
      </c>
      <c r="L44" t="s">
        <v>191</v>
      </c>
      <c r="M44" t="s">
        <v>154</v>
      </c>
      <c r="N44" s="2"/>
      <c r="O44" s="4"/>
    </row>
    <row r="45" spans="1:15" ht="12.75" customHeight="1" x14ac:dyDescent="0.2">
      <c r="A45" s="369">
        <v>896761</v>
      </c>
      <c r="B45" t="s">
        <v>546</v>
      </c>
      <c r="C45" s="342">
        <v>39257</v>
      </c>
      <c r="D45" s="342">
        <v>39024</v>
      </c>
      <c r="E45" s="342">
        <v>78281</v>
      </c>
      <c r="F45" s="342">
        <v>2727530857</v>
      </c>
      <c r="G45" s="342">
        <v>3323825298</v>
      </c>
      <c r="H45" s="342">
        <v>6051356156</v>
      </c>
      <c r="I45" s="342">
        <v>32886797</v>
      </c>
      <c r="J45" t="s">
        <v>175</v>
      </c>
      <c r="K45" t="s">
        <v>583</v>
      </c>
      <c r="L45" t="s">
        <v>170</v>
      </c>
      <c r="M45" t="s">
        <v>154</v>
      </c>
      <c r="N45" s="2"/>
      <c r="O45" s="4"/>
    </row>
    <row r="46" spans="1:15" ht="12.75" customHeight="1" x14ac:dyDescent="0.2">
      <c r="A46" s="369">
        <v>976928</v>
      </c>
      <c r="B46" t="s">
        <v>566</v>
      </c>
      <c r="C46" s="342">
        <v>38686</v>
      </c>
      <c r="D46" s="342">
        <v>39591</v>
      </c>
      <c r="E46" s="342">
        <v>78277</v>
      </c>
      <c r="F46" s="342">
        <v>3686346952</v>
      </c>
      <c r="G46" s="342">
        <v>4795557017</v>
      </c>
      <c r="H46" s="342">
        <v>8481903969</v>
      </c>
      <c r="I46" s="342">
        <v>17602820</v>
      </c>
      <c r="J46" t="s">
        <v>209</v>
      </c>
      <c r="K46" t="s">
        <v>583</v>
      </c>
      <c r="L46" t="s">
        <v>170</v>
      </c>
      <c r="M46" t="s">
        <v>154</v>
      </c>
      <c r="N46" s="2"/>
      <c r="O46" s="4"/>
    </row>
    <row r="47" spans="1:15" ht="12.75" customHeight="1" x14ac:dyDescent="0.2">
      <c r="A47" s="369">
        <v>443895</v>
      </c>
      <c r="B47" t="s">
        <v>596</v>
      </c>
      <c r="C47" s="342">
        <v>40346</v>
      </c>
      <c r="D47" s="342">
        <v>37914</v>
      </c>
      <c r="E47" s="342">
        <v>78260</v>
      </c>
      <c r="F47" s="342">
        <v>2699454100</v>
      </c>
      <c r="G47" s="342">
        <v>3016809280</v>
      </c>
      <c r="H47" s="342">
        <v>5716263380</v>
      </c>
      <c r="I47" s="342">
        <v>60228551</v>
      </c>
      <c r="J47" t="s">
        <v>252</v>
      </c>
      <c r="K47" t="s">
        <v>583</v>
      </c>
      <c r="L47" t="s">
        <v>1520</v>
      </c>
      <c r="M47" t="s">
        <v>46</v>
      </c>
      <c r="N47" s="2"/>
      <c r="O47" s="4"/>
    </row>
    <row r="48" spans="1:15" ht="12.75" customHeight="1" x14ac:dyDescent="0.2">
      <c r="A48" s="369">
        <v>964767</v>
      </c>
      <c r="B48" t="s">
        <v>563</v>
      </c>
      <c r="C48" s="342">
        <v>39559</v>
      </c>
      <c r="D48" s="342">
        <v>37982</v>
      </c>
      <c r="E48" s="342">
        <v>77541</v>
      </c>
      <c r="F48" s="342">
        <v>3050705001</v>
      </c>
      <c r="G48" s="342">
        <v>3523065959</v>
      </c>
      <c r="H48" s="342">
        <v>6573770960</v>
      </c>
      <c r="I48" s="342">
        <v>42431257</v>
      </c>
      <c r="J48" t="s">
        <v>162</v>
      </c>
      <c r="K48" t="s">
        <v>583</v>
      </c>
      <c r="L48" t="s">
        <v>1505</v>
      </c>
      <c r="M48" t="s">
        <v>154</v>
      </c>
      <c r="N48" s="2"/>
      <c r="O48" s="4"/>
    </row>
    <row r="49" spans="1:15" ht="12.75" customHeight="1" x14ac:dyDescent="0.2">
      <c r="A49" s="369">
        <v>978981</v>
      </c>
      <c r="B49" t="s">
        <v>567</v>
      </c>
      <c r="C49" s="342">
        <v>32488</v>
      </c>
      <c r="D49" s="342">
        <v>42604</v>
      </c>
      <c r="E49" s="342">
        <v>75092</v>
      </c>
      <c r="F49" s="342">
        <v>1509643249</v>
      </c>
      <c r="G49" s="342">
        <v>2458251440</v>
      </c>
      <c r="H49" s="342">
        <v>3967894689</v>
      </c>
      <c r="I49" s="342">
        <v>9321522</v>
      </c>
      <c r="J49" t="s">
        <v>263</v>
      </c>
      <c r="K49" t="s">
        <v>583</v>
      </c>
      <c r="L49" t="s">
        <v>170</v>
      </c>
      <c r="M49" t="s">
        <v>154</v>
      </c>
      <c r="N49" s="2"/>
      <c r="O49" s="4"/>
    </row>
    <row r="50" spans="1:15" ht="12.75" customHeight="1" x14ac:dyDescent="0.2">
      <c r="A50" s="369">
        <v>941096</v>
      </c>
      <c r="B50" t="s">
        <v>558</v>
      </c>
      <c r="C50" s="342">
        <v>35510</v>
      </c>
      <c r="D50" s="342">
        <v>34639</v>
      </c>
      <c r="E50" s="342">
        <v>70149</v>
      </c>
      <c r="F50" s="342">
        <v>2804511402</v>
      </c>
      <c r="G50" s="342">
        <v>3404611003</v>
      </c>
      <c r="H50" s="342">
        <v>6209122405</v>
      </c>
      <c r="I50" s="342">
        <v>17255745</v>
      </c>
      <c r="J50" t="s">
        <v>162</v>
      </c>
      <c r="K50" t="s">
        <v>583</v>
      </c>
      <c r="L50" t="s">
        <v>170</v>
      </c>
      <c r="M50" t="s">
        <v>154</v>
      </c>
      <c r="N50" s="2"/>
      <c r="O50" s="4"/>
    </row>
    <row r="51" spans="1:15" ht="12.75" customHeight="1" x14ac:dyDescent="0.2">
      <c r="A51" s="369">
        <v>229922</v>
      </c>
      <c r="B51" t="s">
        <v>251</v>
      </c>
      <c r="C51" s="342">
        <v>35003</v>
      </c>
      <c r="D51" s="342">
        <v>35067</v>
      </c>
      <c r="E51" s="342">
        <v>70070</v>
      </c>
      <c r="F51" s="342">
        <v>2736026974</v>
      </c>
      <c r="G51" s="342">
        <v>3350227547</v>
      </c>
      <c r="H51" s="342">
        <v>6086254521</v>
      </c>
      <c r="I51" s="342">
        <v>42368511</v>
      </c>
      <c r="J51" t="s">
        <v>252</v>
      </c>
      <c r="K51" t="s">
        <v>583</v>
      </c>
      <c r="L51" t="s">
        <v>184</v>
      </c>
      <c r="M51" t="s">
        <v>154</v>
      </c>
      <c r="N51" s="2"/>
      <c r="O51" s="4"/>
    </row>
    <row r="52" spans="1:15" ht="12.75" customHeight="1" x14ac:dyDescent="0.2">
      <c r="A52" s="369">
        <v>391482</v>
      </c>
      <c r="B52" t="s">
        <v>345</v>
      </c>
      <c r="C52" s="342">
        <v>36491</v>
      </c>
      <c r="D52" s="342">
        <v>33195</v>
      </c>
      <c r="E52" s="342">
        <v>69686</v>
      </c>
      <c r="F52" s="342">
        <v>1164448126</v>
      </c>
      <c r="G52" s="342">
        <v>1362724499</v>
      </c>
      <c r="H52" s="342">
        <v>2527172626</v>
      </c>
      <c r="I52" s="342">
        <v>22228346</v>
      </c>
      <c r="J52" t="s">
        <v>216</v>
      </c>
      <c r="K52" t="s">
        <v>577</v>
      </c>
      <c r="L52" t="s">
        <v>198</v>
      </c>
      <c r="M52" t="s">
        <v>154</v>
      </c>
      <c r="N52" s="2"/>
      <c r="O52" s="4"/>
    </row>
    <row r="53" spans="1:15" s="130" customFormat="1" ht="12.75" customHeight="1" x14ac:dyDescent="0.2">
      <c r="A53" s="369">
        <v>427310</v>
      </c>
      <c r="B53" t="s">
        <v>361</v>
      </c>
      <c r="C53" s="342">
        <v>36217</v>
      </c>
      <c r="D53" s="342">
        <v>32773</v>
      </c>
      <c r="E53" s="342">
        <v>68990</v>
      </c>
      <c r="F53" s="342">
        <v>3969926955</v>
      </c>
      <c r="G53" s="342">
        <v>4354910274</v>
      </c>
      <c r="H53" s="342">
        <v>8324837229</v>
      </c>
      <c r="I53" s="342">
        <v>25547504</v>
      </c>
      <c r="J53" t="s">
        <v>216</v>
      </c>
      <c r="K53" t="s">
        <v>577</v>
      </c>
      <c r="L53" t="s">
        <v>198</v>
      </c>
      <c r="M53" t="s">
        <v>154</v>
      </c>
      <c r="N53" s="20"/>
    </row>
    <row r="54" spans="1:15" ht="12.75" customHeight="1" x14ac:dyDescent="0.2">
      <c r="A54" s="369">
        <v>430975</v>
      </c>
      <c r="B54" t="s">
        <v>362</v>
      </c>
      <c r="C54" s="342">
        <v>38764</v>
      </c>
      <c r="D54" s="342">
        <v>28979</v>
      </c>
      <c r="E54" s="342">
        <v>67743</v>
      </c>
      <c r="F54" s="342">
        <v>7412517896</v>
      </c>
      <c r="G54" s="342">
        <v>6368538016</v>
      </c>
      <c r="H54" s="342">
        <v>13781055913</v>
      </c>
      <c r="I54" s="342">
        <v>81533307</v>
      </c>
      <c r="J54" t="s">
        <v>216</v>
      </c>
      <c r="K54" t="s">
        <v>577</v>
      </c>
      <c r="L54" t="s">
        <v>191</v>
      </c>
      <c r="M54" t="s">
        <v>154</v>
      </c>
      <c r="N54" s="2"/>
      <c r="O54" s="4"/>
    </row>
    <row r="55" spans="1:15" ht="12.75" customHeight="1" x14ac:dyDescent="0.2">
      <c r="A55" s="369">
        <v>248161</v>
      </c>
      <c r="B55" t="s">
        <v>1375</v>
      </c>
      <c r="C55" s="342">
        <v>28167</v>
      </c>
      <c r="D55" s="342">
        <v>37316</v>
      </c>
      <c r="E55" s="342">
        <v>65483</v>
      </c>
      <c r="F55" s="342">
        <v>2334286980</v>
      </c>
      <c r="G55" s="342">
        <v>3591424445</v>
      </c>
      <c r="H55" s="342">
        <v>5925711426</v>
      </c>
      <c r="I55" s="342">
        <v>-4345002</v>
      </c>
      <c r="J55" t="s">
        <v>204</v>
      </c>
      <c r="K55" t="s">
        <v>583</v>
      </c>
      <c r="L55" t="s">
        <v>198</v>
      </c>
      <c r="M55" t="s">
        <v>154</v>
      </c>
      <c r="N55" s="2"/>
      <c r="O55" s="4"/>
    </row>
    <row r="56" spans="1:15" ht="12.75" customHeight="1" x14ac:dyDescent="0.2">
      <c r="A56" s="369">
        <v>215996</v>
      </c>
      <c r="B56" t="s">
        <v>245</v>
      </c>
      <c r="C56" s="342">
        <v>34238</v>
      </c>
      <c r="D56" s="342">
        <v>30249</v>
      </c>
      <c r="E56" s="342">
        <v>64487</v>
      </c>
      <c r="F56" s="342">
        <v>4455974745</v>
      </c>
      <c r="G56" s="342">
        <v>4742478906</v>
      </c>
      <c r="H56" s="342">
        <v>9198453651</v>
      </c>
      <c r="I56" s="342">
        <v>72107808</v>
      </c>
      <c r="J56" t="s">
        <v>246</v>
      </c>
      <c r="K56" t="s">
        <v>577</v>
      </c>
      <c r="L56" t="s">
        <v>191</v>
      </c>
      <c r="M56" t="s">
        <v>154</v>
      </c>
      <c r="N56" s="2"/>
      <c r="O56" s="4"/>
    </row>
    <row r="57" spans="1:15" ht="12.75" customHeight="1" x14ac:dyDescent="0.2">
      <c r="A57" s="369">
        <v>498972</v>
      </c>
      <c r="B57" t="s">
        <v>393</v>
      </c>
      <c r="C57" s="342">
        <v>36737</v>
      </c>
      <c r="D57" s="342">
        <v>26323</v>
      </c>
      <c r="E57" s="342">
        <v>63060</v>
      </c>
      <c r="F57" s="342">
        <v>4487084474</v>
      </c>
      <c r="G57" s="342">
        <v>3765023415</v>
      </c>
      <c r="H57" s="342">
        <v>8252107888</v>
      </c>
      <c r="I57" s="342">
        <v>31854408</v>
      </c>
      <c r="J57" t="s">
        <v>246</v>
      </c>
      <c r="K57" t="s">
        <v>577</v>
      </c>
      <c r="L57" t="s">
        <v>198</v>
      </c>
      <c r="M57" t="s">
        <v>154</v>
      </c>
      <c r="N57" s="2"/>
      <c r="O57" s="4"/>
    </row>
    <row r="58" spans="1:15" ht="12.75" customHeight="1" x14ac:dyDescent="0.2">
      <c r="A58" s="369">
        <v>313742</v>
      </c>
      <c r="B58" t="s">
        <v>306</v>
      </c>
      <c r="C58" s="342">
        <v>26815</v>
      </c>
      <c r="D58" s="342">
        <v>35702</v>
      </c>
      <c r="E58" s="342">
        <v>62517</v>
      </c>
      <c r="F58" s="342">
        <v>2862842619</v>
      </c>
      <c r="G58" s="342">
        <v>4285829509</v>
      </c>
      <c r="H58" s="342">
        <v>7148672127</v>
      </c>
      <c r="I58" s="342">
        <v>-66113986</v>
      </c>
      <c r="J58" t="s">
        <v>275</v>
      </c>
      <c r="K58" t="s">
        <v>583</v>
      </c>
      <c r="L58" t="s">
        <v>241</v>
      </c>
      <c r="M58" t="s">
        <v>154</v>
      </c>
      <c r="N58" s="2"/>
      <c r="O58" s="4"/>
    </row>
    <row r="59" spans="1:15" ht="12.75" customHeight="1" x14ac:dyDescent="0.2">
      <c r="A59" s="369">
        <v>140673</v>
      </c>
      <c r="B59" t="s">
        <v>1371</v>
      </c>
      <c r="C59" s="342">
        <v>30414</v>
      </c>
      <c r="D59" s="342">
        <v>30957</v>
      </c>
      <c r="E59" s="342">
        <v>61371</v>
      </c>
      <c r="F59" s="342">
        <v>1249407438</v>
      </c>
      <c r="G59" s="342">
        <v>1490733422</v>
      </c>
      <c r="H59" s="342">
        <v>2740140860</v>
      </c>
      <c r="I59" s="342">
        <v>8496655</v>
      </c>
      <c r="J59" t="s">
        <v>185</v>
      </c>
      <c r="K59" t="s">
        <v>583</v>
      </c>
      <c r="L59" t="s">
        <v>198</v>
      </c>
      <c r="M59" t="s">
        <v>154</v>
      </c>
      <c r="N59" s="2"/>
      <c r="O59" s="4"/>
    </row>
    <row r="60" spans="1:15" ht="12.75" customHeight="1" x14ac:dyDescent="0.2">
      <c r="A60" s="369">
        <v>989491</v>
      </c>
      <c r="B60" t="s">
        <v>640</v>
      </c>
      <c r="C60" s="342">
        <v>28467</v>
      </c>
      <c r="D60" s="342">
        <v>30589</v>
      </c>
      <c r="E60" s="342">
        <v>59056</v>
      </c>
      <c r="F60" s="342">
        <v>4657567564</v>
      </c>
      <c r="G60" s="342">
        <v>5757252758</v>
      </c>
      <c r="H60" s="342">
        <v>10414820323</v>
      </c>
      <c r="I60" s="342">
        <v>111368003</v>
      </c>
      <c r="J60" t="s">
        <v>162</v>
      </c>
      <c r="K60" t="s">
        <v>583</v>
      </c>
      <c r="L60" t="s">
        <v>188</v>
      </c>
      <c r="M60" t="s">
        <v>46</v>
      </c>
      <c r="N60" s="2"/>
      <c r="O60" s="4"/>
    </row>
    <row r="61" spans="1:15" ht="12.75" customHeight="1" x14ac:dyDescent="0.2">
      <c r="A61" s="369">
        <v>819557</v>
      </c>
      <c r="B61" t="s">
        <v>514</v>
      </c>
      <c r="C61" s="342">
        <v>35143</v>
      </c>
      <c r="D61" s="342">
        <v>23544</v>
      </c>
      <c r="E61" s="342">
        <v>58687</v>
      </c>
      <c r="F61" s="342">
        <v>5777713162</v>
      </c>
      <c r="G61" s="342">
        <v>4469953463</v>
      </c>
      <c r="H61" s="342">
        <v>10247666625</v>
      </c>
      <c r="I61" s="342">
        <v>67801741</v>
      </c>
      <c r="J61" t="s">
        <v>246</v>
      </c>
      <c r="K61" t="s">
        <v>577</v>
      </c>
      <c r="L61" t="s">
        <v>170</v>
      </c>
      <c r="M61" t="s">
        <v>154</v>
      </c>
      <c r="N61" s="2"/>
      <c r="O61" s="4"/>
    </row>
    <row r="62" spans="1:15" ht="12.75" customHeight="1" x14ac:dyDescent="0.2">
      <c r="A62" s="369">
        <v>984187</v>
      </c>
      <c r="B62" t="s">
        <v>571</v>
      </c>
      <c r="C62" s="342">
        <v>27939</v>
      </c>
      <c r="D62" s="342">
        <v>29261</v>
      </c>
      <c r="E62" s="342">
        <v>57200</v>
      </c>
      <c r="F62" s="342">
        <v>2063780705</v>
      </c>
      <c r="G62" s="342">
        <v>2581552917</v>
      </c>
      <c r="H62" s="342">
        <v>4645333621</v>
      </c>
      <c r="I62" s="342">
        <v>28680218</v>
      </c>
      <c r="J62" t="s">
        <v>162</v>
      </c>
      <c r="K62" t="s">
        <v>583</v>
      </c>
      <c r="L62" t="s">
        <v>181</v>
      </c>
      <c r="M62" t="s">
        <v>46</v>
      </c>
      <c r="N62" s="2"/>
      <c r="O62" s="4"/>
    </row>
    <row r="63" spans="1:15" ht="12.75" customHeight="1" x14ac:dyDescent="0.2">
      <c r="A63" s="369">
        <v>749192</v>
      </c>
      <c r="B63" t="s">
        <v>495</v>
      </c>
      <c r="C63" s="342">
        <v>31996</v>
      </c>
      <c r="D63" s="342">
        <v>22174</v>
      </c>
      <c r="E63" s="342">
        <v>54170</v>
      </c>
      <c r="F63" s="342">
        <v>2118633295</v>
      </c>
      <c r="G63" s="342">
        <v>1829826698</v>
      </c>
      <c r="H63" s="342">
        <v>3948459994</v>
      </c>
      <c r="I63" s="342">
        <v>19357151</v>
      </c>
      <c r="J63" t="s">
        <v>177</v>
      </c>
      <c r="K63" t="s">
        <v>580</v>
      </c>
      <c r="L63" t="s">
        <v>170</v>
      </c>
      <c r="M63" t="s">
        <v>154</v>
      </c>
      <c r="N63" s="2"/>
      <c r="O63" s="4"/>
    </row>
    <row r="64" spans="1:15" ht="12.75" customHeight="1" x14ac:dyDescent="0.2">
      <c r="A64" s="369">
        <v>224493</v>
      </c>
      <c r="B64" t="s">
        <v>248</v>
      </c>
      <c r="C64" s="342">
        <v>34119</v>
      </c>
      <c r="D64" s="342">
        <v>19524</v>
      </c>
      <c r="E64" s="342">
        <v>53643</v>
      </c>
      <c r="F64" s="342">
        <v>2370117050</v>
      </c>
      <c r="G64" s="342">
        <v>1458674485</v>
      </c>
      <c r="H64" s="342">
        <v>3828791534</v>
      </c>
      <c r="I64" s="342">
        <v>12798682</v>
      </c>
      <c r="J64" t="s">
        <v>177</v>
      </c>
      <c r="K64" t="s">
        <v>580</v>
      </c>
      <c r="L64" t="s">
        <v>170</v>
      </c>
      <c r="M64" t="s">
        <v>154</v>
      </c>
      <c r="N64" s="2"/>
      <c r="O64" s="4"/>
    </row>
    <row r="65" spans="1:15" ht="12.75" customHeight="1" x14ac:dyDescent="0.2">
      <c r="A65" s="369">
        <v>515554</v>
      </c>
      <c r="B65" t="s">
        <v>340</v>
      </c>
      <c r="C65" s="342">
        <v>27015</v>
      </c>
      <c r="D65" s="342">
        <v>24724</v>
      </c>
      <c r="E65" s="342">
        <v>51739</v>
      </c>
      <c r="F65" s="342">
        <v>2148798905</v>
      </c>
      <c r="G65" s="342">
        <v>2242311104</v>
      </c>
      <c r="H65" s="342">
        <v>4391110009</v>
      </c>
      <c r="I65" s="342">
        <v>34092596</v>
      </c>
      <c r="J65" t="s">
        <v>162</v>
      </c>
      <c r="K65" t="s">
        <v>583</v>
      </c>
      <c r="L65" t="s">
        <v>1520</v>
      </c>
      <c r="M65" t="s">
        <v>46</v>
      </c>
      <c r="N65" s="2"/>
      <c r="O65" s="4"/>
    </row>
    <row r="66" spans="1:15" ht="12.75" customHeight="1" x14ac:dyDescent="0.2">
      <c r="A66" s="369">
        <v>574293</v>
      </c>
      <c r="B66" t="s">
        <v>429</v>
      </c>
      <c r="C66" s="342">
        <v>26153</v>
      </c>
      <c r="D66" s="342">
        <v>25446</v>
      </c>
      <c r="E66" s="342">
        <v>51599</v>
      </c>
      <c r="F66" s="342">
        <v>1653996960</v>
      </c>
      <c r="G66" s="342">
        <v>2212864726</v>
      </c>
      <c r="H66" s="342">
        <v>3866861686</v>
      </c>
      <c r="I66" s="342">
        <v>-63551421</v>
      </c>
      <c r="J66" t="s">
        <v>159</v>
      </c>
      <c r="K66" t="s">
        <v>584</v>
      </c>
      <c r="L66" t="s">
        <v>278</v>
      </c>
      <c r="M66" t="s">
        <v>154</v>
      </c>
      <c r="N66" s="2"/>
      <c r="O66" s="4"/>
    </row>
    <row r="67" spans="1:15" ht="12.75" customHeight="1" x14ac:dyDescent="0.2">
      <c r="A67" s="369">
        <v>814772</v>
      </c>
      <c r="B67" t="s">
        <v>513</v>
      </c>
      <c r="C67" s="342">
        <v>24660</v>
      </c>
      <c r="D67" s="342">
        <v>25734</v>
      </c>
      <c r="E67" s="342">
        <v>50394</v>
      </c>
      <c r="F67" s="342">
        <v>1184416926</v>
      </c>
      <c r="G67" s="342">
        <v>1482095044</v>
      </c>
      <c r="H67" s="342">
        <v>2666511970</v>
      </c>
      <c r="I67" s="342">
        <v>20162569</v>
      </c>
      <c r="J67" t="s">
        <v>216</v>
      </c>
      <c r="K67" t="s">
        <v>577</v>
      </c>
      <c r="L67" t="s">
        <v>241</v>
      </c>
      <c r="M67" t="s">
        <v>154</v>
      </c>
      <c r="N67" s="2"/>
      <c r="O67" s="4"/>
    </row>
    <row r="68" spans="1:15" ht="12.75" customHeight="1" x14ac:dyDescent="0.2">
      <c r="A68" s="369">
        <v>825109</v>
      </c>
      <c r="B68" t="s">
        <v>518</v>
      </c>
      <c r="C68" s="342">
        <v>21793</v>
      </c>
      <c r="D68" s="342">
        <v>27825</v>
      </c>
      <c r="E68" s="342">
        <v>49618</v>
      </c>
      <c r="F68" s="342">
        <v>739975717</v>
      </c>
      <c r="G68" s="342">
        <v>1195591319</v>
      </c>
      <c r="H68" s="342">
        <v>1935567036</v>
      </c>
      <c r="I68" s="342">
        <v>24474103</v>
      </c>
      <c r="J68" t="s">
        <v>335</v>
      </c>
      <c r="K68" t="s">
        <v>583</v>
      </c>
      <c r="L68" t="s">
        <v>170</v>
      </c>
      <c r="M68" t="s">
        <v>154</v>
      </c>
      <c r="N68" s="2"/>
      <c r="O68" s="4"/>
    </row>
    <row r="69" spans="1:15" ht="12.75" customHeight="1" x14ac:dyDescent="0.2">
      <c r="A69" s="369">
        <v>150649</v>
      </c>
      <c r="B69" t="s">
        <v>203</v>
      </c>
      <c r="C69" s="342">
        <v>22166</v>
      </c>
      <c r="D69" s="342">
        <v>27018</v>
      </c>
      <c r="E69" s="342">
        <v>49184</v>
      </c>
      <c r="F69" s="342">
        <v>1665677611</v>
      </c>
      <c r="G69" s="342">
        <v>2468849858</v>
      </c>
      <c r="H69" s="342">
        <v>4134527468</v>
      </c>
      <c r="I69" s="342">
        <v>12056682</v>
      </c>
      <c r="J69" t="s">
        <v>204</v>
      </c>
      <c r="K69" t="s">
        <v>583</v>
      </c>
      <c r="L69" t="s">
        <v>170</v>
      </c>
      <c r="M69" t="s">
        <v>154</v>
      </c>
      <c r="N69" s="2"/>
      <c r="O69" s="4"/>
    </row>
    <row r="70" spans="1:15" ht="12.75" customHeight="1" x14ac:dyDescent="0.2">
      <c r="A70" s="369">
        <v>856682</v>
      </c>
      <c r="B70" t="s">
        <v>1388</v>
      </c>
      <c r="C70" s="342">
        <v>21513</v>
      </c>
      <c r="D70" s="342">
        <v>26967</v>
      </c>
      <c r="E70" s="342">
        <v>48480</v>
      </c>
      <c r="F70" s="342">
        <v>2445979195</v>
      </c>
      <c r="G70" s="342">
        <v>3791694000</v>
      </c>
      <c r="H70" s="342">
        <v>6237673195</v>
      </c>
      <c r="I70" s="342">
        <v>66245764</v>
      </c>
      <c r="J70" t="s">
        <v>156</v>
      </c>
      <c r="K70" t="s">
        <v>583</v>
      </c>
      <c r="L70" t="s">
        <v>170</v>
      </c>
      <c r="M70" t="s">
        <v>154</v>
      </c>
      <c r="N70" s="2"/>
      <c r="O70" s="4"/>
    </row>
    <row r="71" spans="1:15" ht="12.75" customHeight="1" x14ac:dyDescent="0.2">
      <c r="A71" s="369">
        <v>717611</v>
      </c>
      <c r="B71" t="s">
        <v>482</v>
      </c>
      <c r="C71" s="342">
        <v>26705</v>
      </c>
      <c r="D71" s="342">
        <v>20113</v>
      </c>
      <c r="E71" s="342">
        <v>46818</v>
      </c>
      <c r="F71" s="342">
        <v>1234231896</v>
      </c>
      <c r="G71" s="342">
        <v>1352267365</v>
      </c>
      <c r="H71" s="342">
        <v>2586499262</v>
      </c>
      <c r="I71" s="342">
        <v>-173658766</v>
      </c>
      <c r="J71" t="s">
        <v>194</v>
      </c>
      <c r="K71" t="s">
        <v>584</v>
      </c>
      <c r="L71" t="s">
        <v>170</v>
      </c>
      <c r="M71" t="s">
        <v>154</v>
      </c>
      <c r="N71" s="2"/>
      <c r="O71" s="4"/>
    </row>
    <row r="72" spans="1:15" ht="12.75" customHeight="1" x14ac:dyDescent="0.2">
      <c r="A72" s="369">
        <v>501981</v>
      </c>
      <c r="B72" t="s">
        <v>394</v>
      </c>
      <c r="C72" s="342">
        <v>21582</v>
      </c>
      <c r="D72" s="342">
        <v>23686</v>
      </c>
      <c r="E72" s="342">
        <v>45268</v>
      </c>
      <c r="F72" s="342">
        <v>874496965</v>
      </c>
      <c r="G72" s="342">
        <v>1178011629</v>
      </c>
      <c r="H72" s="342">
        <v>2052508593</v>
      </c>
      <c r="I72" s="342">
        <v>20947923</v>
      </c>
      <c r="J72" t="s">
        <v>172</v>
      </c>
      <c r="K72" t="s">
        <v>583</v>
      </c>
      <c r="L72" t="s">
        <v>181</v>
      </c>
      <c r="M72" t="s">
        <v>46</v>
      </c>
      <c r="N72" s="2"/>
      <c r="O72" s="4"/>
    </row>
    <row r="73" spans="1:15" ht="12.75" customHeight="1" x14ac:dyDescent="0.2">
      <c r="A73" s="369">
        <v>952010</v>
      </c>
      <c r="B73" t="s">
        <v>562</v>
      </c>
      <c r="C73" s="342">
        <v>20427</v>
      </c>
      <c r="D73" s="342">
        <v>24640</v>
      </c>
      <c r="E73" s="342">
        <v>45067</v>
      </c>
      <c r="F73" s="342">
        <v>2465412261</v>
      </c>
      <c r="G73" s="342">
        <v>3602294776</v>
      </c>
      <c r="H73" s="342">
        <v>6067707037</v>
      </c>
      <c r="I73" s="342">
        <v>45638850</v>
      </c>
      <c r="J73" t="s">
        <v>156</v>
      </c>
      <c r="K73" t="s">
        <v>583</v>
      </c>
      <c r="L73" t="s">
        <v>187</v>
      </c>
      <c r="M73" t="s">
        <v>154</v>
      </c>
      <c r="N73" s="2"/>
      <c r="O73" s="4"/>
    </row>
    <row r="74" spans="1:15" ht="12.75" customHeight="1" x14ac:dyDescent="0.2">
      <c r="A74" s="369">
        <v>842690</v>
      </c>
      <c r="B74" t="s">
        <v>527</v>
      </c>
      <c r="C74" s="342">
        <v>20253</v>
      </c>
      <c r="D74" s="342">
        <v>23762</v>
      </c>
      <c r="E74" s="342">
        <v>44015</v>
      </c>
      <c r="F74" s="342">
        <v>2162864439</v>
      </c>
      <c r="G74" s="342">
        <v>3063421273</v>
      </c>
      <c r="H74" s="342">
        <v>5226285711</v>
      </c>
      <c r="I74" s="342">
        <v>-3209367</v>
      </c>
      <c r="J74" t="s">
        <v>156</v>
      </c>
      <c r="K74" t="s">
        <v>583</v>
      </c>
      <c r="L74" t="s">
        <v>383</v>
      </c>
      <c r="M74" t="s">
        <v>154</v>
      </c>
      <c r="N74" s="2"/>
      <c r="O74" s="4"/>
    </row>
    <row r="75" spans="1:15" ht="12.75" customHeight="1" x14ac:dyDescent="0.2">
      <c r="A75" s="369">
        <v>286294</v>
      </c>
      <c r="B75" t="s">
        <v>286</v>
      </c>
      <c r="C75" s="342">
        <v>20964</v>
      </c>
      <c r="D75" s="342">
        <v>22505</v>
      </c>
      <c r="E75" s="342">
        <v>43469</v>
      </c>
      <c r="F75" s="342">
        <v>1805149602</v>
      </c>
      <c r="G75" s="342">
        <v>2371844461</v>
      </c>
      <c r="H75" s="342">
        <v>4176994062</v>
      </c>
      <c r="I75" s="342">
        <v>25029883</v>
      </c>
      <c r="J75" t="s">
        <v>197</v>
      </c>
      <c r="K75" t="s">
        <v>583</v>
      </c>
      <c r="L75" t="s">
        <v>191</v>
      </c>
      <c r="M75" t="s">
        <v>46</v>
      </c>
      <c r="N75" s="2"/>
      <c r="O75" s="4"/>
    </row>
    <row r="76" spans="1:15" ht="12.75" customHeight="1" x14ac:dyDescent="0.2">
      <c r="A76" s="369">
        <v>564849</v>
      </c>
      <c r="B76" t="s">
        <v>1467</v>
      </c>
      <c r="C76" s="342">
        <v>21478</v>
      </c>
      <c r="D76" s="342">
        <v>21171</v>
      </c>
      <c r="E76" s="342">
        <v>42649</v>
      </c>
      <c r="F76" s="342">
        <v>933676818</v>
      </c>
      <c r="G76" s="342">
        <v>1113122935</v>
      </c>
      <c r="H76" s="342">
        <v>2046799753</v>
      </c>
      <c r="I76" s="342">
        <v>20190261</v>
      </c>
      <c r="J76" t="s">
        <v>185</v>
      </c>
      <c r="K76" t="s">
        <v>583</v>
      </c>
      <c r="L76" t="s">
        <v>191</v>
      </c>
      <c r="M76" t="s">
        <v>46</v>
      </c>
      <c r="N76" s="2"/>
      <c r="O76" s="4"/>
    </row>
    <row r="77" spans="1:15" ht="12.75" customHeight="1" x14ac:dyDescent="0.2">
      <c r="A77" s="369">
        <v>338590</v>
      </c>
      <c r="B77" t="s">
        <v>1457</v>
      </c>
      <c r="C77" s="342">
        <v>15820</v>
      </c>
      <c r="D77" s="342">
        <v>24791</v>
      </c>
      <c r="E77" s="342">
        <v>40611</v>
      </c>
      <c r="F77" s="342">
        <v>1511094092</v>
      </c>
      <c r="G77" s="342">
        <v>3200414781</v>
      </c>
      <c r="H77" s="342">
        <v>4711508873</v>
      </c>
      <c r="I77" s="342">
        <v>1091885230</v>
      </c>
      <c r="J77" t="s">
        <v>163</v>
      </c>
      <c r="K77" t="s">
        <v>583</v>
      </c>
      <c r="L77" t="s">
        <v>1509</v>
      </c>
      <c r="M77" t="s">
        <v>46</v>
      </c>
      <c r="N77" s="2"/>
      <c r="O77" s="4"/>
    </row>
    <row r="78" spans="1:15" ht="12.75" customHeight="1" x14ac:dyDescent="0.2">
      <c r="A78" s="369">
        <v>140491</v>
      </c>
      <c r="B78" t="s">
        <v>195</v>
      </c>
      <c r="C78" s="342">
        <v>16950</v>
      </c>
      <c r="D78" s="342">
        <v>23446</v>
      </c>
      <c r="E78" s="342">
        <v>40396</v>
      </c>
      <c r="F78" s="342">
        <v>1456456827</v>
      </c>
      <c r="G78" s="342">
        <v>2313730430</v>
      </c>
      <c r="H78" s="342">
        <v>3770187257</v>
      </c>
      <c r="I78" s="342">
        <v>13455702</v>
      </c>
      <c r="J78" t="s">
        <v>197</v>
      </c>
      <c r="K78" t="s">
        <v>583</v>
      </c>
      <c r="L78" t="s">
        <v>196</v>
      </c>
      <c r="M78" t="s">
        <v>154</v>
      </c>
      <c r="N78" s="2"/>
      <c r="O78" s="4"/>
    </row>
    <row r="79" spans="1:15" ht="12.75" customHeight="1" x14ac:dyDescent="0.2">
      <c r="A79" s="369">
        <v>249995</v>
      </c>
      <c r="B79" t="s">
        <v>266</v>
      </c>
      <c r="C79" s="342">
        <v>15782</v>
      </c>
      <c r="D79" s="342">
        <v>23756</v>
      </c>
      <c r="E79" s="342">
        <v>39538</v>
      </c>
      <c r="F79" s="342">
        <v>1045790016</v>
      </c>
      <c r="G79" s="342">
        <v>2057181416</v>
      </c>
      <c r="H79" s="342">
        <v>3102971432</v>
      </c>
      <c r="I79" s="342">
        <v>41345505</v>
      </c>
      <c r="J79" t="s">
        <v>267</v>
      </c>
      <c r="K79" t="s">
        <v>583</v>
      </c>
      <c r="L79" t="s">
        <v>244</v>
      </c>
      <c r="M79" t="s">
        <v>154</v>
      </c>
      <c r="N79" s="2"/>
      <c r="O79" s="4"/>
    </row>
    <row r="80" spans="1:15" ht="12.75" customHeight="1" x14ac:dyDescent="0.2">
      <c r="A80" s="369">
        <v>538462</v>
      </c>
      <c r="B80" t="s">
        <v>409</v>
      </c>
      <c r="C80" s="342">
        <v>17481</v>
      </c>
      <c r="D80" s="342">
        <v>21903</v>
      </c>
      <c r="E80" s="342">
        <v>39384</v>
      </c>
      <c r="F80" s="342">
        <v>836320851</v>
      </c>
      <c r="G80" s="342">
        <v>1288267927</v>
      </c>
      <c r="H80" s="342">
        <v>2124588778</v>
      </c>
      <c r="I80" s="342">
        <v>9273242</v>
      </c>
      <c r="J80" t="s">
        <v>185</v>
      </c>
      <c r="K80" t="s">
        <v>583</v>
      </c>
      <c r="L80" t="s">
        <v>278</v>
      </c>
      <c r="M80" t="s">
        <v>154</v>
      </c>
      <c r="N80" s="2"/>
      <c r="O80" s="4"/>
    </row>
    <row r="81" spans="1:15" ht="12.75" customHeight="1" x14ac:dyDescent="0.2">
      <c r="A81" s="369">
        <v>269357</v>
      </c>
      <c r="B81" t="s">
        <v>279</v>
      </c>
      <c r="C81" s="342">
        <v>16938</v>
      </c>
      <c r="D81" s="342">
        <v>22384</v>
      </c>
      <c r="E81" s="342">
        <v>39322</v>
      </c>
      <c r="F81" s="342">
        <v>1773819601</v>
      </c>
      <c r="G81" s="342">
        <v>2843388705</v>
      </c>
      <c r="H81" s="342">
        <v>4617208305</v>
      </c>
      <c r="I81" s="342">
        <v>25994377</v>
      </c>
      <c r="J81" t="s">
        <v>156</v>
      </c>
      <c r="K81" t="s">
        <v>583</v>
      </c>
      <c r="L81" t="s">
        <v>278</v>
      </c>
      <c r="M81" t="s">
        <v>154</v>
      </c>
      <c r="N81" s="2"/>
      <c r="O81" s="4"/>
    </row>
    <row r="82" spans="1:15" ht="12.75" customHeight="1" x14ac:dyDescent="0.2">
      <c r="A82" s="369">
        <v>855387</v>
      </c>
      <c r="B82" t="s">
        <v>532</v>
      </c>
      <c r="C82" s="342">
        <v>24170</v>
      </c>
      <c r="D82" s="342">
        <v>14981</v>
      </c>
      <c r="E82" s="342">
        <v>39151</v>
      </c>
      <c r="F82" s="342">
        <v>2942794554</v>
      </c>
      <c r="G82" s="342">
        <v>2115916572</v>
      </c>
      <c r="H82" s="342">
        <v>5058711126</v>
      </c>
      <c r="I82" s="342">
        <v>35130665</v>
      </c>
      <c r="J82" t="s">
        <v>216</v>
      </c>
      <c r="K82" t="s">
        <v>577</v>
      </c>
      <c r="L82" t="s">
        <v>170</v>
      </c>
      <c r="M82" t="s">
        <v>154</v>
      </c>
      <c r="N82" s="2"/>
      <c r="O82" s="4"/>
    </row>
    <row r="83" spans="1:15" ht="12.75" customHeight="1" x14ac:dyDescent="0.2">
      <c r="A83" s="369">
        <v>282517</v>
      </c>
      <c r="B83" t="s">
        <v>285</v>
      </c>
      <c r="C83" s="342">
        <v>19129</v>
      </c>
      <c r="D83" s="342">
        <v>19180</v>
      </c>
      <c r="E83" s="342">
        <v>38309</v>
      </c>
      <c r="F83" s="342">
        <v>1161480942</v>
      </c>
      <c r="G83" s="342">
        <v>1434306412</v>
      </c>
      <c r="H83" s="342">
        <v>2595787354</v>
      </c>
      <c r="I83" s="342">
        <v>27479546</v>
      </c>
      <c r="J83" t="s">
        <v>162</v>
      </c>
      <c r="K83" t="s">
        <v>583</v>
      </c>
      <c r="L83" t="s">
        <v>191</v>
      </c>
      <c r="M83" t="s">
        <v>46</v>
      </c>
      <c r="N83" s="2"/>
      <c r="O83" s="4"/>
    </row>
    <row r="84" spans="1:15" ht="12.75" customHeight="1" x14ac:dyDescent="0.2">
      <c r="A84" s="369">
        <v>502633</v>
      </c>
      <c r="B84" t="s">
        <v>395</v>
      </c>
      <c r="C84" s="342">
        <v>22075</v>
      </c>
      <c r="D84" s="342">
        <v>15701</v>
      </c>
      <c r="E84" s="342">
        <v>37776</v>
      </c>
      <c r="F84" s="342">
        <v>1011805249</v>
      </c>
      <c r="G84" s="342">
        <v>867857364</v>
      </c>
      <c r="H84" s="342">
        <v>1879662613</v>
      </c>
      <c r="I84" s="342">
        <v>17718846</v>
      </c>
      <c r="J84" t="s">
        <v>216</v>
      </c>
      <c r="K84" t="s">
        <v>577</v>
      </c>
      <c r="L84" t="s">
        <v>191</v>
      </c>
      <c r="M84" t="s">
        <v>154</v>
      </c>
      <c r="N84" s="2"/>
      <c r="O84" s="4"/>
    </row>
    <row r="85" spans="1:15" ht="12.75" customHeight="1" x14ac:dyDescent="0.2">
      <c r="A85" s="369">
        <v>194092</v>
      </c>
      <c r="B85" t="s">
        <v>609</v>
      </c>
      <c r="C85" s="342">
        <v>17020</v>
      </c>
      <c r="D85" s="342">
        <v>20475</v>
      </c>
      <c r="E85" s="342">
        <v>37495</v>
      </c>
      <c r="F85" s="342">
        <v>1573693264</v>
      </c>
      <c r="G85" s="342">
        <v>2363463723</v>
      </c>
      <c r="H85" s="342">
        <v>3937156987</v>
      </c>
      <c r="I85" s="342">
        <v>30263439</v>
      </c>
      <c r="J85" t="s">
        <v>232</v>
      </c>
      <c r="K85" t="s">
        <v>583</v>
      </c>
      <c r="L85" t="s">
        <v>184</v>
      </c>
      <c r="M85" t="s">
        <v>154</v>
      </c>
      <c r="N85" s="2"/>
      <c r="O85" s="4"/>
    </row>
    <row r="86" spans="1:15" ht="12.75" customHeight="1" x14ac:dyDescent="0.2">
      <c r="A86" s="369">
        <v>752204</v>
      </c>
      <c r="B86" t="s">
        <v>622</v>
      </c>
      <c r="C86" s="342">
        <v>15721</v>
      </c>
      <c r="D86" s="342">
        <v>20875</v>
      </c>
      <c r="E86" s="342">
        <v>36596</v>
      </c>
      <c r="F86" s="342">
        <v>790039526</v>
      </c>
      <c r="G86" s="342">
        <v>1405390462</v>
      </c>
      <c r="H86" s="342">
        <v>2195429988</v>
      </c>
      <c r="I86" s="342">
        <v>19949632</v>
      </c>
      <c r="J86" t="s">
        <v>267</v>
      </c>
      <c r="K86" t="s">
        <v>583</v>
      </c>
      <c r="L86" t="s">
        <v>170</v>
      </c>
      <c r="M86" t="s">
        <v>154</v>
      </c>
      <c r="N86" s="2"/>
      <c r="O86" s="4"/>
    </row>
    <row r="87" spans="1:15" ht="12.75" customHeight="1" x14ac:dyDescent="0.2">
      <c r="A87" s="369">
        <v>987842</v>
      </c>
      <c r="B87" t="s">
        <v>573</v>
      </c>
      <c r="C87" s="342">
        <v>15904</v>
      </c>
      <c r="D87" s="342">
        <v>19609</v>
      </c>
      <c r="E87" s="342">
        <v>35513</v>
      </c>
      <c r="F87" s="342">
        <v>822180400</v>
      </c>
      <c r="G87" s="342">
        <v>1210198149</v>
      </c>
      <c r="H87" s="342">
        <v>2032378549</v>
      </c>
      <c r="I87" s="342">
        <v>16636904</v>
      </c>
      <c r="J87" t="s">
        <v>172</v>
      </c>
      <c r="K87" t="s">
        <v>583</v>
      </c>
      <c r="L87" t="s">
        <v>187</v>
      </c>
      <c r="M87" t="s">
        <v>154</v>
      </c>
      <c r="N87" s="2"/>
      <c r="O87" s="4"/>
    </row>
    <row r="88" spans="1:15" ht="12.75" customHeight="1" x14ac:dyDescent="0.2">
      <c r="A88" s="369">
        <v>465914</v>
      </c>
      <c r="B88" t="s">
        <v>617</v>
      </c>
      <c r="C88" s="342">
        <v>17391</v>
      </c>
      <c r="D88" s="342">
        <v>17493</v>
      </c>
      <c r="E88" s="342">
        <v>34884</v>
      </c>
      <c r="F88" s="342">
        <v>1274570646</v>
      </c>
      <c r="G88" s="342">
        <v>1576396787</v>
      </c>
      <c r="H88" s="342">
        <v>2850967433</v>
      </c>
      <c r="I88" s="342">
        <v>11928464</v>
      </c>
      <c r="J88" t="s">
        <v>209</v>
      </c>
      <c r="K88" t="s">
        <v>583</v>
      </c>
      <c r="L88" t="s">
        <v>187</v>
      </c>
      <c r="M88" t="s">
        <v>154</v>
      </c>
      <c r="N88" s="2"/>
      <c r="O88" s="4"/>
    </row>
    <row r="89" spans="1:15" ht="12.75" customHeight="1" x14ac:dyDescent="0.2">
      <c r="A89" s="369">
        <v>879114</v>
      </c>
      <c r="B89" t="s">
        <v>541</v>
      </c>
      <c r="C89" s="342">
        <v>18809</v>
      </c>
      <c r="D89" s="342">
        <v>16057</v>
      </c>
      <c r="E89" s="342">
        <v>34866</v>
      </c>
      <c r="F89" s="342">
        <v>1969097893</v>
      </c>
      <c r="G89" s="342">
        <v>1953523204</v>
      </c>
      <c r="H89" s="342">
        <v>3922621097</v>
      </c>
      <c r="I89" s="342">
        <v>38664242</v>
      </c>
      <c r="J89" t="s">
        <v>212</v>
      </c>
      <c r="K89" t="s">
        <v>580</v>
      </c>
      <c r="L89" t="s">
        <v>184</v>
      </c>
      <c r="M89" t="s">
        <v>154</v>
      </c>
      <c r="N89" s="2"/>
      <c r="O89" s="4"/>
    </row>
    <row r="90" spans="1:15" ht="12.75" customHeight="1" x14ac:dyDescent="0.2">
      <c r="A90" s="369">
        <v>364158</v>
      </c>
      <c r="B90" t="s">
        <v>330</v>
      </c>
      <c r="C90" s="342">
        <v>14166</v>
      </c>
      <c r="D90" s="342">
        <v>19806</v>
      </c>
      <c r="E90" s="342">
        <v>33972</v>
      </c>
      <c r="F90" s="342">
        <v>1310384985</v>
      </c>
      <c r="G90" s="342">
        <v>2212961427</v>
      </c>
      <c r="H90" s="342">
        <v>3523346413</v>
      </c>
      <c r="I90" s="342">
        <v>-537792570</v>
      </c>
      <c r="J90" t="s">
        <v>252</v>
      </c>
      <c r="K90" t="s">
        <v>583</v>
      </c>
      <c r="L90" t="s">
        <v>1506</v>
      </c>
      <c r="M90" t="s">
        <v>46</v>
      </c>
      <c r="N90" s="2"/>
      <c r="O90" s="4"/>
    </row>
    <row r="91" spans="1:15" ht="12.75" customHeight="1" x14ac:dyDescent="0.2">
      <c r="A91" s="369">
        <v>771030</v>
      </c>
      <c r="B91" t="s">
        <v>635</v>
      </c>
      <c r="C91" s="342">
        <v>14078</v>
      </c>
      <c r="D91" s="342">
        <v>19284</v>
      </c>
      <c r="E91" s="342">
        <v>33362</v>
      </c>
      <c r="F91" s="342">
        <v>1458311663</v>
      </c>
      <c r="G91" s="342">
        <v>2298963973</v>
      </c>
      <c r="H91" s="342">
        <v>3757275636</v>
      </c>
      <c r="I91" s="342">
        <v>178548606</v>
      </c>
      <c r="J91" t="s">
        <v>162</v>
      </c>
      <c r="K91" t="s">
        <v>583</v>
      </c>
      <c r="L91" t="s">
        <v>383</v>
      </c>
      <c r="M91" t="s">
        <v>154</v>
      </c>
      <c r="N91" s="2"/>
      <c r="O91" s="4"/>
    </row>
    <row r="92" spans="1:15" ht="12.75" customHeight="1" x14ac:dyDescent="0.2">
      <c r="A92" s="369">
        <v>439471</v>
      </c>
      <c r="B92" t="s">
        <v>119</v>
      </c>
      <c r="C92" s="342">
        <v>13336</v>
      </c>
      <c r="D92" s="342">
        <v>18194</v>
      </c>
      <c r="E92" s="342">
        <v>31530</v>
      </c>
      <c r="F92" s="342">
        <v>1271534954</v>
      </c>
      <c r="G92" s="342">
        <v>2049476401</v>
      </c>
      <c r="H92" s="342">
        <v>3321011356</v>
      </c>
      <c r="I92" s="342">
        <v>8037352</v>
      </c>
      <c r="J92" t="s">
        <v>232</v>
      </c>
      <c r="K92" t="s">
        <v>583</v>
      </c>
      <c r="L92" t="s">
        <v>155</v>
      </c>
      <c r="M92" t="s">
        <v>154</v>
      </c>
      <c r="N92" s="2"/>
      <c r="O92" s="4"/>
    </row>
    <row r="93" spans="1:15" ht="12.75" customHeight="1" x14ac:dyDescent="0.2">
      <c r="A93" s="369">
        <v>820852</v>
      </c>
      <c r="B93" t="s">
        <v>515</v>
      </c>
      <c r="C93" s="342">
        <v>14960</v>
      </c>
      <c r="D93" s="342">
        <v>16345</v>
      </c>
      <c r="E93" s="342">
        <v>31305</v>
      </c>
      <c r="F93" s="342">
        <v>823465643</v>
      </c>
      <c r="G93" s="342">
        <v>1095081887</v>
      </c>
      <c r="H93" s="342">
        <v>1918547530</v>
      </c>
      <c r="I93" s="342">
        <v>17107044</v>
      </c>
      <c r="J93" t="s">
        <v>197</v>
      </c>
      <c r="K93" t="s">
        <v>583</v>
      </c>
      <c r="L93" t="s">
        <v>170</v>
      </c>
      <c r="M93" t="s">
        <v>154</v>
      </c>
      <c r="N93" s="2"/>
      <c r="O93" s="4"/>
    </row>
    <row r="94" spans="1:15" ht="12.75" customHeight="1" x14ac:dyDescent="0.2">
      <c r="A94" s="369">
        <v>357483</v>
      </c>
      <c r="B94" t="s">
        <v>327</v>
      </c>
      <c r="C94" s="342">
        <v>14490</v>
      </c>
      <c r="D94" s="342">
        <v>16476</v>
      </c>
      <c r="E94" s="342">
        <v>30966</v>
      </c>
      <c r="F94" s="342">
        <v>968708859</v>
      </c>
      <c r="G94" s="342">
        <v>1315694160</v>
      </c>
      <c r="H94" s="342">
        <v>2284403019</v>
      </c>
      <c r="I94" s="342">
        <v>12844887</v>
      </c>
      <c r="J94" t="s">
        <v>177</v>
      </c>
      <c r="K94" t="s">
        <v>580</v>
      </c>
      <c r="L94" t="s">
        <v>244</v>
      </c>
      <c r="M94" t="s">
        <v>154</v>
      </c>
      <c r="N94" s="2"/>
      <c r="O94" s="4"/>
    </row>
    <row r="95" spans="1:15" ht="12.75" customHeight="1" x14ac:dyDescent="0.2">
      <c r="A95" s="369">
        <v>545541</v>
      </c>
      <c r="B95" t="s">
        <v>413</v>
      </c>
      <c r="C95" s="342">
        <v>12552</v>
      </c>
      <c r="D95" s="342">
        <v>17664</v>
      </c>
      <c r="E95" s="342">
        <v>30216</v>
      </c>
      <c r="F95" s="342">
        <v>1396893844</v>
      </c>
      <c r="G95" s="342">
        <v>2687188608</v>
      </c>
      <c r="H95" s="342">
        <v>4084082451</v>
      </c>
      <c r="I95" s="342">
        <v>53816277</v>
      </c>
      <c r="J95" t="s">
        <v>159</v>
      </c>
      <c r="K95" t="s">
        <v>584</v>
      </c>
      <c r="L95" t="s">
        <v>414</v>
      </c>
      <c r="M95" t="s">
        <v>154</v>
      </c>
      <c r="N95" s="2"/>
      <c r="O95" s="4"/>
    </row>
    <row r="96" spans="1:15" ht="12.75" customHeight="1" x14ac:dyDescent="0.2">
      <c r="A96" s="369">
        <v>278853</v>
      </c>
      <c r="B96" t="s">
        <v>589</v>
      </c>
      <c r="C96" s="342">
        <v>14044</v>
      </c>
      <c r="D96" s="342">
        <v>15992</v>
      </c>
      <c r="E96" s="342">
        <v>30036</v>
      </c>
      <c r="F96" s="342">
        <v>2318198634</v>
      </c>
      <c r="G96" s="342">
        <v>2438269610</v>
      </c>
      <c r="H96" s="342">
        <v>4756468245</v>
      </c>
      <c r="I96" s="342">
        <v>41965405</v>
      </c>
      <c r="J96" t="s">
        <v>246</v>
      </c>
      <c r="K96" t="s">
        <v>577</v>
      </c>
      <c r="L96" t="s">
        <v>187</v>
      </c>
      <c r="M96" t="s">
        <v>154</v>
      </c>
      <c r="N96" s="2"/>
      <c r="O96" s="4"/>
    </row>
    <row r="97" spans="1:15" ht="12.75" customHeight="1" x14ac:dyDescent="0.2">
      <c r="A97" s="369">
        <v>303701</v>
      </c>
      <c r="B97" t="s">
        <v>299</v>
      </c>
      <c r="C97" s="342">
        <v>14591</v>
      </c>
      <c r="D97" s="342">
        <v>15220</v>
      </c>
      <c r="E97" s="342">
        <v>29811</v>
      </c>
      <c r="F97" s="342">
        <v>1240576307</v>
      </c>
      <c r="G97" s="342">
        <v>1567297092</v>
      </c>
      <c r="H97" s="342">
        <v>2807873399</v>
      </c>
      <c r="I97" s="342">
        <v>22892894</v>
      </c>
      <c r="J97" t="s">
        <v>177</v>
      </c>
      <c r="K97" t="s">
        <v>580</v>
      </c>
      <c r="L97" t="s">
        <v>300</v>
      </c>
      <c r="M97" t="s">
        <v>154</v>
      </c>
      <c r="N97" s="2"/>
      <c r="O97" s="4"/>
    </row>
    <row r="98" spans="1:15" ht="12.75" customHeight="1" x14ac:dyDescent="0.2">
      <c r="A98" s="369">
        <v>658997</v>
      </c>
      <c r="B98" t="s">
        <v>459</v>
      </c>
      <c r="C98" s="342">
        <v>11319</v>
      </c>
      <c r="D98" s="342">
        <v>17977</v>
      </c>
      <c r="E98" s="342">
        <v>29296</v>
      </c>
      <c r="F98" s="342">
        <v>1353859742</v>
      </c>
      <c r="G98" s="342">
        <v>2426408649</v>
      </c>
      <c r="H98" s="342">
        <v>3780268391</v>
      </c>
      <c r="I98" s="342">
        <v>74289763</v>
      </c>
      <c r="J98" t="s">
        <v>162</v>
      </c>
      <c r="K98" t="s">
        <v>583</v>
      </c>
      <c r="L98" t="s">
        <v>241</v>
      </c>
      <c r="M98" t="s">
        <v>154</v>
      </c>
      <c r="N98" s="2"/>
      <c r="O98" s="4"/>
    </row>
    <row r="99" spans="1:15" ht="12.75" customHeight="1" x14ac:dyDescent="0.2">
      <c r="A99" s="369">
        <v>511139</v>
      </c>
      <c r="B99" t="s">
        <v>399</v>
      </c>
      <c r="C99" s="342">
        <v>12870</v>
      </c>
      <c r="D99" s="342">
        <v>16152</v>
      </c>
      <c r="E99" s="342">
        <v>29022</v>
      </c>
      <c r="F99" s="342">
        <v>904412668</v>
      </c>
      <c r="G99" s="342">
        <v>1313125473</v>
      </c>
      <c r="H99" s="342">
        <v>2217538141</v>
      </c>
      <c r="I99" s="342">
        <v>15623570</v>
      </c>
      <c r="J99" t="s">
        <v>204</v>
      </c>
      <c r="K99" t="s">
        <v>583</v>
      </c>
      <c r="L99" t="s">
        <v>155</v>
      </c>
      <c r="M99" t="s">
        <v>154</v>
      </c>
      <c r="N99" s="2"/>
      <c r="O99" s="4"/>
    </row>
    <row r="100" spans="1:15" ht="12.75" customHeight="1" x14ac:dyDescent="0.2">
      <c r="A100" s="369">
        <v>475301</v>
      </c>
      <c r="B100" t="s">
        <v>380</v>
      </c>
      <c r="C100" s="342">
        <v>15980</v>
      </c>
      <c r="D100" s="342">
        <v>12955</v>
      </c>
      <c r="E100" s="342">
        <v>28935</v>
      </c>
      <c r="F100" s="342">
        <v>1008767057</v>
      </c>
      <c r="G100" s="342">
        <v>927546595</v>
      </c>
      <c r="H100" s="342">
        <v>1936313651</v>
      </c>
      <c r="I100" s="342">
        <v>17694440</v>
      </c>
      <c r="J100" t="s">
        <v>162</v>
      </c>
      <c r="K100" t="s">
        <v>583</v>
      </c>
      <c r="L100" t="s">
        <v>155</v>
      </c>
      <c r="M100" t="s">
        <v>154</v>
      </c>
      <c r="N100" s="2"/>
      <c r="O100" s="4"/>
    </row>
    <row r="101" spans="1:15" ht="12.75" customHeight="1" x14ac:dyDescent="0.2">
      <c r="A101" s="369">
        <v>290072</v>
      </c>
      <c r="B101" t="s">
        <v>288</v>
      </c>
      <c r="C101" s="342">
        <v>12645</v>
      </c>
      <c r="D101" s="342">
        <v>15871</v>
      </c>
      <c r="E101" s="342">
        <v>28516</v>
      </c>
      <c r="F101" s="342">
        <v>922071503</v>
      </c>
      <c r="G101" s="342">
        <v>1379594118</v>
      </c>
      <c r="H101" s="342">
        <v>2301665621</v>
      </c>
      <c r="I101" s="342">
        <v>7531995</v>
      </c>
      <c r="J101" t="s">
        <v>209</v>
      </c>
      <c r="K101" t="s">
        <v>583</v>
      </c>
      <c r="L101" t="s">
        <v>289</v>
      </c>
      <c r="M101" t="s">
        <v>154</v>
      </c>
      <c r="N101" s="2"/>
      <c r="O101" s="4"/>
    </row>
    <row r="102" spans="1:15" ht="12.75" customHeight="1" x14ac:dyDescent="0.2">
      <c r="A102" s="369">
        <v>434274</v>
      </c>
      <c r="B102" t="s">
        <v>364</v>
      </c>
      <c r="C102" s="342">
        <v>10706</v>
      </c>
      <c r="D102" s="342">
        <v>17774</v>
      </c>
      <c r="E102" s="342">
        <v>28480</v>
      </c>
      <c r="F102" s="342">
        <v>608775559</v>
      </c>
      <c r="G102" s="342">
        <v>1192826004</v>
      </c>
      <c r="H102" s="342">
        <v>1801601563</v>
      </c>
      <c r="I102" s="342">
        <v>16812643</v>
      </c>
      <c r="J102" t="s">
        <v>172</v>
      </c>
      <c r="K102" t="s">
        <v>583</v>
      </c>
      <c r="L102" t="s">
        <v>241</v>
      </c>
      <c r="M102" t="s">
        <v>154</v>
      </c>
      <c r="N102" s="2"/>
      <c r="O102" s="4"/>
    </row>
    <row r="103" spans="1:15" ht="12.75" customHeight="1" x14ac:dyDescent="0.2">
      <c r="A103" s="369">
        <v>492306</v>
      </c>
      <c r="B103" t="s">
        <v>392</v>
      </c>
      <c r="C103" s="342">
        <v>13846</v>
      </c>
      <c r="D103" s="342">
        <v>14302</v>
      </c>
      <c r="E103" s="342">
        <v>28148</v>
      </c>
      <c r="F103" s="342">
        <v>599228163</v>
      </c>
      <c r="G103" s="342">
        <v>697524018</v>
      </c>
      <c r="H103" s="342">
        <v>1296752180</v>
      </c>
      <c r="I103" s="342">
        <v>17371333</v>
      </c>
      <c r="J103" t="s">
        <v>185</v>
      </c>
      <c r="K103" t="s">
        <v>583</v>
      </c>
      <c r="L103" t="s">
        <v>241</v>
      </c>
      <c r="M103" t="s">
        <v>154</v>
      </c>
      <c r="N103" s="2"/>
      <c r="O103" s="4"/>
    </row>
    <row r="104" spans="1:15" ht="12.75" customHeight="1" x14ac:dyDescent="0.2">
      <c r="A104" s="369">
        <v>334409</v>
      </c>
      <c r="B104" t="s">
        <v>1332</v>
      </c>
      <c r="C104" s="342">
        <v>11722</v>
      </c>
      <c r="D104" s="342">
        <v>16264</v>
      </c>
      <c r="E104" s="342">
        <v>27986</v>
      </c>
      <c r="F104" s="342">
        <v>858177283</v>
      </c>
      <c r="G104" s="342">
        <v>1483251273</v>
      </c>
      <c r="H104" s="342">
        <v>2341428556</v>
      </c>
      <c r="I104" s="342">
        <v>17587138</v>
      </c>
      <c r="J104" t="s">
        <v>257</v>
      </c>
      <c r="K104" t="s">
        <v>583</v>
      </c>
      <c r="L104" t="s">
        <v>608</v>
      </c>
      <c r="M104" t="s">
        <v>46</v>
      </c>
      <c r="N104" s="2"/>
      <c r="O104" s="4"/>
    </row>
    <row r="105" spans="1:15" ht="12.75" customHeight="1" x14ac:dyDescent="0.2">
      <c r="A105" s="369">
        <v>834788</v>
      </c>
      <c r="B105" t="s">
        <v>522</v>
      </c>
      <c r="C105" s="342">
        <v>12206</v>
      </c>
      <c r="D105" s="342">
        <v>14865</v>
      </c>
      <c r="E105" s="342">
        <v>27071</v>
      </c>
      <c r="F105" s="342">
        <v>601689360</v>
      </c>
      <c r="G105" s="342">
        <v>919483675</v>
      </c>
      <c r="H105" s="342">
        <v>1521173035</v>
      </c>
      <c r="I105" s="342">
        <v>20047830</v>
      </c>
      <c r="J105" t="s">
        <v>267</v>
      </c>
      <c r="K105" t="s">
        <v>583</v>
      </c>
      <c r="L105" t="s">
        <v>1521</v>
      </c>
      <c r="M105" t="s">
        <v>154</v>
      </c>
      <c r="N105" s="2"/>
      <c r="O105" s="4"/>
    </row>
    <row r="106" spans="1:15" ht="12.75" customHeight="1" x14ac:dyDescent="0.2">
      <c r="A106" s="369">
        <v>528133</v>
      </c>
      <c r="B106" t="s">
        <v>405</v>
      </c>
      <c r="C106" s="342">
        <v>12961</v>
      </c>
      <c r="D106" s="342">
        <v>13620</v>
      </c>
      <c r="E106" s="342">
        <v>26581</v>
      </c>
      <c r="F106" s="342">
        <v>1010340556</v>
      </c>
      <c r="G106" s="342">
        <v>1275909814</v>
      </c>
      <c r="H106" s="342">
        <v>2286250371</v>
      </c>
      <c r="I106" s="342">
        <v>17355448</v>
      </c>
      <c r="J106" t="s">
        <v>209</v>
      </c>
      <c r="K106" t="s">
        <v>583</v>
      </c>
      <c r="L106" t="s">
        <v>241</v>
      </c>
      <c r="M106" t="s">
        <v>154</v>
      </c>
      <c r="N106" s="2"/>
      <c r="O106" s="4"/>
    </row>
    <row r="107" spans="1:15" ht="12.75" customHeight="1" x14ac:dyDescent="0.2">
      <c r="A107" s="369">
        <v>203067</v>
      </c>
      <c r="B107" t="s">
        <v>237</v>
      </c>
      <c r="C107" s="342">
        <v>12188</v>
      </c>
      <c r="D107" s="342">
        <v>12267</v>
      </c>
      <c r="E107" s="342">
        <v>24455</v>
      </c>
      <c r="F107" s="342">
        <v>630655223</v>
      </c>
      <c r="G107" s="342">
        <v>753561178</v>
      </c>
      <c r="H107" s="342">
        <v>1384216401</v>
      </c>
      <c r="I107" s="342">
        <v>12742808</v>
      </c>
      <c r="J107" t="s">
        <v>209</v>
      </c>
      <c r="K107" t="s">
        <v>583</v>
      </c>
      <c r="L107" t="s">
        <v>191</v>
      </c>
      <c r="M107" t="s">
        <v>154</v>
      </c>
      <c r="N107" s="2"/>
      <c r="O107" s="4"/>
    </row>
    <row r="108" spans="1:15" ht="12.75" customHeight="1" x14ac:dyDescent="0.2">
      <c r="A108" s="369">
        <v>123679</v>
      </c>
      <c r="B108" t="s">
        <v>186</v>
      </c>
      <c r="C108" s="342">
        <v>12146</v>
      </c>
      <c r="D108" s="342">
        <v>11715</v>
      </c>
      <c r="E108" s="342">
        <v>23861</v>
      </c>
      <c r="F108" s="342">
        <v>842161612</v>
      </c>
      <c r="G108" s="342">
        <v>940410691</v>
      </c>
      <c r="H108" s="342">
        <v>1782572303</v>
      </c>
      <c r="I108" s="342">
        <v>17488181</v>
      </c>
      <c r="J108" t="s">
        <v>162</v>
      </c>
      <c r="K108" t="s">
        <v>583</v>
      </c>
      <c r="L108" t="s">
        <v>187</v>
      </c>
      <c r="M108" t="s">
        <v>154</v>
      </c>
      <c r="N108" s="2"/>
      <c r="O108" s="4"/>
    </row>
    <row r="109" spans="1:15" ht="12.75" customHeight="1" x14ac:dyDescent="0.2">
      <c r="A109" s="369">
        <v>191676</v>
      </c>
      <c r="B109" t="s">
        <v>149</v>
      </c>
      <c r="C109" s="342">
        <v>8021</v>
      </c>
      <c r="D109" s="342">
        <v>15628</v>
      </c>
      <c r="E109" s="342">
        <v>23649</v>
      </c>
      <c r="F109" s="342">
        <v>766126514</v>
      </c>
      <c r="G109" s="342">
        <v>1653152675</v>
      </c>
      <c r="H109" s="342">
        <v>2419279188</v>
      </c>
      <c r="I109" s="342">
        <v>2546193</v>
      </c>
      <c r="J109" t="s">
        <v>232</v>
      </c>
      <c r="K109" t="s">
        <v>583</v>
      </c>
      <c r="L109" t="s">
        <v>179</v>
      </c>
      <c r="M109" t="s">
        <v>46</v>
      </c>
      <c r="N109" s="2"/>
      <c r="O109" s="4"/>
    </row>
    <row r="110" spans="1:15" ht="12.75" customHeight="1" x14ac:dyDescent="0.2">
      <c r="A110" s="369">
        <v>929224</v>
      </c>
      <c r="B110" t="s">
        <v>555</v>
      </c>
      <c r="C110" s="342">
        <v>9440</v>
      </c>
      <c r="D110" s="342">
        <v>14205</v>
      </c>
      <c r="E110" s="342">
        <v>23645</v>
      </c>
      <c r="F110" s="342">
        <v>689953877</v>
      </c>
      <c r="G110" s="342">
        <v>1228127411</v>
      </c>
      <c r="H110" s="342">
        <v>1918081287</v>
      </c>
      <c r="I110" s="342">
        <v>10219455</v>
      </c>
      <c r="J110" t="s">
        <v>204</v>
      </c>
      <c r="K110" t="s">
        <v>583</v>
      </c>
      <c r="L110" t="s">
        <v>187</v>
      </c>
      <c r="M110" t="s">
        <v>154</v>
      </c>
      <c r="N110" s="2"/>
      <c r="O110" s="4"/>
    </row>
    <row r="111" spans="1:15" ht="12.75" customHeight="1" x14ac:dyDescent="0.2">
      <c r="A111" s="369">
        <v>393314</v>
      </c>
      <c r="B111" t="s">
        <v>346</v>
      </c>
      <c r="C111" s="342">
        <v>10458</v>
      </c>
      <c r="D111" s="342">
        <v>12640</v>
      </c>
      <c r="E111" s="342">
        <v>23098</v>
      </c>
      <c r="F111" s="342">
        <v>751375342</v>
      </c>
      <c r="G111" s="342">
        <v>1091969891</v>
      </c>
      <c r="H111" s="342">
        <v>1843345233</v>
      </c>
      <c r="I111" s="342">
        <v>10614137</v>
      </c>
      <c r="J111" t="s">
        <v>209</v>
      </c>
      <c r="K111" t="s">
        <v>583</v>
      </c>
      <c r="L111" t="s">
        <v>244</v>
      </c>
      <c r="M111" t="s">
        <v>154</v>
      </c>
      <c r="N111" s="2"/>
      <c r="O111" s="4"/>
    </row>
    <row r="112" spans="1:15" ht="12.75" customHeight="1" x14ac:dyDescent="0.2">
      <c r="A112" s="369">
        <v>520759</v>
      </c>
      <c r="B112" t="s">
        <v>403</v>
      </c>
      <c r="C112" s="342">
        <v>12860</v>
      </c>
      <c r="D112" s="342">
        <v>10152</v>
      </c>
      <c r="E112" s="342">
        <v>23012</v>
      </c>
      <c r="F112" s="342">
        <v>1501139413</v>
      </c>
      <c r="G112" s="342">
        <v>1393374971</v>
      </c>
      <c r="H112" s="342">
        <v>2894514384</v>
      </c>
      <c r="I112" s="342">
        <v>37898406</v>
      </c>
      <c r="J112" t="s">
        <v>162</v>
      </c>
      <c r="K112" t="s">
        <v>583</v>
      </c>
      <c r="L112" t="s">
        <v>184</v>
      </c>
      <c r="M112" t="s">
        <v>154</v>
      </c>
      <c r="N112" s="2"/>
      <c r="O112" s="4"/>
    </row>
    <row r="113" spans="1:15" ht="12.75" customHeight="1" x14ac:dyDescent="0.2">
      <c r="A113" s="369">
        <v>861229</v>
      </c>
      <c r="B113" t="s">
        <v>534</v>
      </c>
      <c r="C113" s="342">
        <v>11382</v>
      </c>
      <c r="D113" s="342">
        <v>11600</v>
      </c>
      <c r="E113" s="342">
        <v>22982</v>
      </c>
      <c r="F113" s="342">
        <v>208582924</v>
      </c>
      <c r="G113" s="342">
        <v>274374086</v>
      </c>
      <c r="H113" s="342">
        <v>482957010</v>
      </c>
      <c r="I113" s="342">
        <v>3979811</v>
      </c>
      <c r="J113" t="s">
        <v>172</v>
      </c>
      <c r="K113" t="s">
        <v>583</v>
      </c>
      <c r="L113" t="s">
        <v>479</v>
      </c>
      <c r="M113" t="s">
        <v>154</v>
      </c>
      <c r="N113" s="2"/>
      <c r="O113" s="4"/>
    </row>
    <row r="114" spans="1:15" ht="12.75" customHeight="1" x14ac:dyDescent="0.2">
      <c r="A114" s="369">
        <v>341362</v>
      </c>
      <c r="B114" t="s">
        <v>323</v>
      </c>
      <c r="C114" s="342">
        <v>11436</v>
      </c>
      <c r="D114" s="342">
        <v>11534</v>
      </c>
      <c r="E114" s="342">
        <v>22970</v>
      </c>
      <c r="F114" s="342">
        <v>447162296</v>
      </c>
      <c r="G114" s="342">
        <v>567353872</v>
      </c>
      <c r="H114" s="342">
        <v>1014516169</v>
      </c>
      <c r="I114" s="342">
        <v>3412854</v>
      </c>
      <c r="J114" t="s">
        <v>162</v>
      </c>
      <c r="K114" t="s">
        <v>583</v>
      </c>
      <c r="L114" t="s">
        <v>1333</v>
      </c>
      <c r="M114" t="s">
        <v>154</v>
      </c>
      <c r="N114" s="2"/>
      <c r="O114" s="4"/>
    </row>
    <row r="115" spans="1:15" ht="12.75" customHeight="1" x14ac:dyDescent="0.2">
      <c r="A115" s="369">
        <v>305185</v>
      </c>
      <c r="B115" t="s">
        <v>302</v>
      </c>
      <c r="C115" s="342">
        <v>10943</v>
      </c>
      <c r="D115" s="342">
        <v>11361</v>
      </c>
      <c r="E115" s="342">
        <v>22304</v>
      </c>
      <c r="F115" s="342">
        <v>798786736</v>
      </c>
      <c r="G115" s="342">
        <v>1139151722</v>
      </c>
      <c r="H115" s="342">
        <v>1937938459</v>
      </c>
      <c r="I115" s="342">
        <v>-5785282</v>
      </c>
      <c r="J115" t="s">
        <v>194</v>
      </c>
      <c r="K115" t="s">
        <v>584</v>
      </c>
      <c r="L115" t="s">
        <v>278</v>
      </c>
      <c r="M115" t="s">
        <v>154</v>
      </c>
      <c r="N115" s="2"/>
      <c r="O115" s="4"/>
    </row>
    <row r="116" spans="1:15" ht="12.75" customHeight="1" x14ac:dyDescent="0.2">
      <c r="A116" s="369">
        <v>176503</v>
      </c>
      <c r="B116" t="s">
        <v>1372</v>
      </c>
      <c r="C116" s="342">
        <v>9327</v>
      </c>
      <c r="D116" s="342">
        <v>12962</v>
      </c>
      <c r="E116" s="342">
        <v>22289</v>
      </c>
      <c r="F116" s="342">
        <v>308947529</v>
      </c>
      <c r="G116" s="342">
        <v>513737556</v>
      </c>
      <c r="H116" s="342">
        <v>822685085</v>
      </c>
      <c r="I116" s="342">
        <v>-52301</v>
      </c>
      <c r="J116" t="s">
        <v>214</v>
      </c>
      <c r="K116" t="s">
        <v>583</v>
      </c>
      <c r="L116" t="s">
        <v>198</v>
      </c>
      <c r="M116" t="s">
        <v>154</v>
      </c>
      <c r="N116" s="2"/>
      <c r="O116" s="4"/>
    </row>
    <row r="117" spans="1:15" ht="12.75" customHeight="1" x14ac:dyDescent="0.2">
      <c r="A117" s="369">
        <v>144501</v>
      </c>
      <c r="B117" t="s">
        <v>625</v>
      </c>
      <c r="C117" s="342">
        <v>10508</v>
      </c>
      <c r="D117" s="342">
        <v>11546</v>
      </c>
      <c r="E117" s="342">
        <v>22054</v>
      </c>
      <c r="F117" s="342">
        <v>333584767</v>
      </c>
      <c r="G117" s="342">
        <v>425583766</v>
      </c>
      <c r="H117" s="342">
        <v>759168533</v>
      </c>
      <c r="I117" s="342">
        <v>7968156</v>
      </c>
      <c r="J117" t="s">
        <v>199</v>
      </c>
      <c r="K117" t="s">
        <v>584</v>
      </c>
      <c r="L117" t="s">
        <v>188</v>
      </c>
      <c r="M117" t="s">
        <v>46</v>
      </c>
      <c r="N117" s="2"/>
      <c r="O117" s="4"/>
    </row>
    <row r="118" spans="1:15" ht="12.75" customHeight="1" x14ac:dyDescent="0.2">
      <c r="A118" s="369">
        <v>995571</v>
      </c>
      <c r="B118" t="s">
        <v>574</v>
      </c>
      <c r="C118" s="342">
        <v>10137</v>
      </c>
      <c r="D118" s="342">
        <v>11811</v>
      </c>
      <c r="E118" s="342">
        <v>21948</v>
      </c>
      <c r="F118" s="342">
        <v>360109243</v>
      </c>
      <c r="G118" s="342">
        <v>508633409</v>
      </c>
      <c r="H118" s="342">
        <v>868742652</v>
      </c>
      <c r="I118" s="342">
        <v>4407087</v>
      </c>
      <c r="J118" t="s">
        <v>172</v>
      </c>
      <c r="K118" t="s">
        <v>583</v>
      </c>
      <c r="L118" t="s">
        <v>191</v>
      </c>
      <c r="M118" t="s">
        <v>46</v>
      </c>
      <c r="N118" s="2"/>
      <c r="O118" s="4"/>
    </row>
    <row r="119" spans="1:15" ht="12.75" customHeight="1" x14ac:dyDescent="0.2">
      <c r="A119" s="369">
        <v>422709</v>
      </c>
      <c r="B119" t="s">
        <v>360</v>
      </c>
      <c r="C119" s="342">
        <v>10434</v>
      </c>
      <c r="D119" s="342">
        <v>10913</v>
      </c>
      <c r="E119" s="342">
        <v>21347</v>
      </c>
      <c r="F119" s="342">
        <v>1360175924</v>
      </c>
      <c r="G119" s="342">
        <v>1722550736</v>
      </c>
      <c r="H119" s="342">
        <v>3082726660</v>
      </c>
      <c r="I119" s="342">
        <v>26763677</v>
      </c>
      <c r="J119" t="s">
        <v>162</v>
      </c>
      <c r="K119" t="s">
        <v>583</v>
      </c>
      <c r="L119" t="s">
        <v>1519</v>
      </c>
      <c r="M119" t="s">
        <v>46</v>
      </c>
      <c r="N119" s="2"/>
      <c r="O119" s="4"/>
    </row>
    <row r="120" spans="1:15" ht="12.75" customHeight="1" x14ac:dyDescent="0.2">
      <c r="A120" s="369">
        <v>350512</v>
      </c>
      <c r="B120" t="s">
        <v>593</v>
      </c>
      <c r="C120" s="342">
        <v>11180</v>
      </c>
      <c r="D120" s="342">
        <v>9753</v>
      </c>
      <c r="E120" s="342">
        <v>20933</v>
      </c>
      <c r="F120" s="342">
        <v>2718551787</v>
      </c>
      <c r="G120" s="342">
        <v>2621967387</v>
      </c>
      <c r="H120" s="342">
        <v>5340519174</v>
      </c>
      <c r="I120" s="342">
        <v>36824095</v>
      </c>
      <c r="J120" t="s">
        <v>246</v>
      </c>
      <c r="K120" t="s">
        <v>577</v>
      </c>
      <c r="L120" t="s">
        <v>187</v>
      </c>
      <c r="M120" t="s">
        <v>154</v>
      </c>
      <c r="N120" s="2"/>
      <c r="O120" s="4"/>
    </row>
    <row r="121" spans="1:15" ht="12.75" customHeight="1" x14ac:dyDescent="0.2">
      <c r="A121" s="369">
        <v>968420</v>
      </c>
      <c r="B121" t="s">
        <v>603</v>
      </c>
      <c r="C121" s="342">
        <v>9809</v>
      </c>
      <c r="D121" s="342">
        <v>11017</v>
      </c>
      <c r="E121" s="342">
        <v>20826</v>
      </c>
      <c r="F121" s="342">
        <v>768368085</v>
      </c>
      <c r="G121" s="342">
        <v>1022980125</v>
      </c>
      <c r="H121" s="342">
        <v>1791348210</v>
      </c>
      <c r="I121" s="342">
        <v>-8675252</v>
      </c>
      <c r="J121" t="s">
        <v>275</v>
      </c>
      <c r="K121" t="s">
        <v>583</v>
      </c>
      <c r="L121" t="s">
        <v>170</v>
      </c>
      <c r="M121" t="s">
        <v>154</v>
      </c>
      <c r="N121" s="2"/>
      <c r="O121" s="4"/>
    </row>
    <row r="122" spans="1:15" ht="12.75" customHeight="1" x14ac:dyDescent="0.2">
      <c r="A122" s="369">
        <v>563965</v>
      </c>
      <c r="B122" t="s">
        <v>425</v>
      </c>
      <c r="C122" s="342">
        <v>10193</v>
      </c>
      <c r="D122" s="342">
        <v>9876</v>
      </c>
      <c r="E122" s="342">
        <v>20069</v>
      </c>
      <c r="F122" s="342">
        <v>590702699</v>
      </c>
      <c r="G122" s="342">
        <v>663203325</v>
      </c>
      <c r="H122" s="342">
        <v>1253906024</v>
      </c>
      <c r="I122" s="342">
        <v>11294544</v>
      </c>
      <c r="J122" t="s">
        <v>162</v>
      </c>
      <c r="K122" t="s">
        <v>583</v>
      </c>
      <c r="L122" t="s">
        <v>241</v>
      </c>
      <c r="M122" t="s">
        <v>154</v>
      </c>
      <c r="N122" s="2"/>
      <c r="O122" s="4"/>
    </row>
    <row r="123" spans="1:15" ht="12.75" customHeight="1" x14ac:dyDescent="0.2">
      <c r="A123" s="369">
        <v>916189</v>
      </c>
      <c r="B123" t="s">
        <v>553</v>
      </c>
      <c r="C123" s="342">
        <v>9083</v>
      </c>
      <c r="D123" s="342">
        <v>10873</v>
      </c>
      <c r="E123" s="342">
        <v>19956</v>
      </c>
      <c r="F123" s="342">
        <v>815940694</v>
      </c>
      <c r="G123" s="342">
        <v>1181389288</v>
      </c>
      <c r="H123" s="342">
        <v>1997329982</v>
      </c>
      <c r="I123" s="342">
        <v>25681047</v>
      </c>
      <c r="J123" t="s">
        <v>209</v>
      </c>
      <c r="K123" t="s">
        <v>583</v>
      </c>
      <c r="L123" t="s">
        <v>187</v>
      </c>
      <c r="M123" t="s">
        <v>154</v>
      </c>
      <c r="N123" s="2"/>
      <c r="O123" s="4"/>
    </row>
    <row r="124" spans="1:15" ht="12.75" customHeight="1" x14ac:dyDescent="0.2">
      <c r="A124" s="369">
        <v>446088</v>
      </c>
      <c r="B124" t="s">
        <v>1462</v>
      </c>
      <c r="C124" s="342">
        <v>6311</v>
      </c>
      <c r="D124" s="342">
        <v>13616</v>
      </c>
      <c r="E124" s="342">
        <v>19927</v>
      </c>
      <c r="F124" s="342">
        <v>672164939</v>
      </c>
      <c r="G124" s="342">
        <v>1673186617</v>
      </c>
      <c r="H124" s="342">
        <v>2345351556</v>
      </c>
      <c r="I124" s="342">
        <v>290280748</v>
      </c>
      <c r="J124" t="s">
        <v>232</v>
      </c>
      <c r="K124" t="s">
        <v>583</v>
      </c>
      <c r="L124" t="s">
        <v>1509</v>
      </c>
      <c r="M124" t="s">
        <v>46</v>
      </c>
      <c r="N124" s="2"/>
      <c r="O124" s="4"/>
    </row>
    <row r="125" spans="1:15" ht="12.75" customHeight="1" x14ac:dyDescent="0.2">
      <c r="A125" s="369">
        <v>629543</v>
      </c>
      <c r="B125" t="s">
        <v>449</v>
      </c>
      <c r="C125" s="342">
        <v>9607</v>
      </c>
      <c r="D125" s="342">
        <v>10145</v>
      </c>
      <c r="E125" s="342">
        <v>19752</v>
      </c>
      <c r="F125" s="342">
        <v>447993307</v>
      </c>
      <c r="G125" s="342">
        <v>566744410</v>
      </c>
      <c r="H125" s="342">
        <v>1014737717</v>
      </c>
      <c r="I125" s="342">
        <v>6655000</v>
      </c>
      <c r="J125" t="s">
        <v>185</v>
      </c>
      <c r="K125" t="s">
        <v>583</v>
      </c>
      <c r="L125" t="s">
        <v>187</v>
      </c>
      <c r="M125" t="s">
        <v>154</v>
      </c>
      <c r="N125" s="2"/>
      <c r="O125" s="4"/>
    </row>
    <row r="126" spans="1:15" ht="12.75" customHeight="1" x14ac:dyDescent="0.2">
      <c r="A126" s="369">
        <v>959502</v>
      </c>
      <c r="B126" t="s">
        <v>639</v>
      </c>
      <c r="C126" s="342">
        <v>7883</v>
      </c>
      <c r="D126" s="342">
        <v>11760</v>
      </c>
      <c r="E126" s="342">
        <v>19643</v>
      </c>
      <c r="F126" s="342">
        <v>1612730472</v>
      </c>
      <c r="G126" s="342">
        <v>2876802531</v>
      </c>
      <c r="H126" s="342">
        <v>4489533003</v>
      </c>
      <c r="I126" s="342">
        <v>45956612</v>
      </c>
      <c r="J126" t="s">
        <v>177</v>
      </c>
      <c r="K126" t="s">
        <v>580</v>
      </c>
      <c r="L126" t="s">
        <v>289</v>
      </c>
      <c r="M126" t="s">
        <v>154</v>
      </c>
      <c r="N126" s="2"/>
      <c r="O126" s="4"/>
    </row>
    <row r="127" spans="1:15" ht="12.75" customHeight="1" x14ac:dyDescent="0.2">
      <c r="A127" s="369">
        <v>972497</v>
      </c>
      <c r="B127" t="s">
        <v>565</v>
      </c>
      <c r="C127" s="342">
        <v>8150</v>
      </c>
      <c r="D127" s="342">
        <v>11312</v>
      </c>
      <c r="E127" s="342">
        <v>19462</v>
      </c>
      <c r="F127" s="342">
        <v>784359739</v>
      </c>
      <c r="G127" s="342">
        <v>1346642999</v>
      </c>
      <c r="H127" s="342">
        <v>2131002738</v>
      </c>
      <c r="I127" s="342">
        <v>-42552409</v>
      </c>
      <c r="J127" t="s">
        <v>194</v>
      </c>
      <c r="K127" t="s">
        <v>584</v>
      </c>
      <c r="L127" t="s">
        <v>208</v>
      </c>
      <c r="M127" t="s">
        <v>154</v>
      </c>
      <c r="N127" s="2"/>
      <c r="O127" s="4"/>
    </row>
    <row r="128" spans="1:15" ht="12.75" customHeight="1" x14ac:dyDescent="0.2">
      <c r="A128" s="369">
        <v>536276</v>
      </c>
      <c r="B128" t="s">
        <v>408</v>
      </c>
      <c r="C128" s="342">
        <v>8821</v>
      </c>
      <c r="D128" s="342">
        <v>10515</v>
      </c>
      <c r="E128" s="342">
        <v>19336</v>
      </c>
      <c r="F128" s="342">
        <v>1189040820</v>
      </c>
      <c r="G128" s="342">
        <v>1561985529</v>
      </c>
      <c r="H128" s="342">
        <v>2751026349</v>
      </c>
      <c r="I128" s="342">
        <v>-37781719</v>
      </c>
      <c r="J128" t="s">
        <v>189</v>
      </c>
      <c r="K128" t="s">
        <v>580</v>
      </c>
      <c r="L128" t="s">
        <v>1521</v>
      </c>
      <c r="M128" t="s">
        <v>154</v>
      </c>
      <c r="N128" s="2"/>
      <c r="O128" s="4"/>
    </row>
    <row r="129" spans="1:15" ht="12.75" customHeight="1" x14ac:dyDescent="0.2">
      <c r="A129" s="369">
        <v>904904</v>
      </c>
      <c r="B129" t="s">
        <v>549</v>
      </c>
      <c r="C129" s="342">
        <v>9033</v>
      </c>
      <c r="D129" s="342">
        <v>9151</v>
      </c>
      <c r="E129" s="342">
        <v>18184</v>
      </c>
      <c r="F129" s="342">
        <v>552495160</v>
      </c>
      <c r="G129" s="342">
        <v>639724183</v>
      </c>
      <c r="H129" s="342">
        <v>1192219344</v>
      </c>
      <c r="I129" s="342">
        <v>10363108</v>
      </c>
      <c r="J129" t="s">
        <v>209</v>
      </c>
      <c r="K129" t="s">
        <v>583</v>
      </c>
      <c r="L129" t="s">
        <v>1505</v>
      </c>
      <c r="M129" t="s">
        <v>154</v>
      </c>
      <c r="N129" s="2"/>
      <c r="O129" s="4"/>
    </row>
    <row r="130" spans="1:15" ht="12.75" customHeight="1" x14ac:dyDescent="0.2">
      <c r="A130" s="369">
        <v>908277</v>
      </c>
      <c r="B130" t="s">
        <v>550</v>
      </c>
      <c r="C130" s="342">
        <v>8483</v>
      </c>
      <c r="D130" s="342">
        <v>9696</v>
      </c>
      <c r="E130" s="342">
        <v>18179</v>
      </c>
      <c r="F130" s="342">
        <v>772457453</v>
      </c>
      <c r="G130" s="342">
        <v>1043507166</v>
      </c>
      <c r="H130" s="342">
        <v>1815964618</v>
      </c>
      <c r="I130" s="342">
        <v>2380985</v>
      </c>
      <c r="J130" t="s">
        <v>162</v>
      </c>
      <c r="K130" t="s">
        <v>583</v>
      </c>
      <c r="L130" t="s">
        <v>278</v>
      </c>
      <c r="M130" t="s">
        <v>154</v>
      </c>
      <c r="N130" s="2"/>
      <c r="O130" s="4"/>
    </row>
    <row r="131" spans="1:15" ht="12.75" customHeight="1" x14ac:dyDescent="0.2">
      <c r="A131" s="369">
        <v>3</v>
      </c>
      <c r="B131" t="s">
        <v>581</v>
      </c>
      <c r="C131" s="342">
        <v>8655</v>
      </c>
      <c r="D131" s="342">
        <v>9451</v>
      </c>
      <c r="E131" s="342">
        <v>18106</v>
      </c>
      <c r="F131" s="342">
        <v>1788182982</v>
      </c>
      <c r="G131" s="342">
        <v>2170065431</v>
      </c>
      <c r="H131" s="342">
        <v>3958248413</v>
      </c>
      <c r="I131" s="342"/>
      <c r="J131" t="s">
        <v>576</v>
      </c>
      <c r="K131" t="s">
        <v>580</v>
      </c>
      <c r="L131" t="s">
        <v>578</v>
      </c>
      <c r="M131" t="s">
        <v>154</v>
      </c>
      <c r="N131" s="2"/>
      <c r="O131" s="4"/>
    </row>
    <row r="132" spans="1:15" ht="12.75" customHeight="1" x14ac:dyDescent="0.2">
      <c r="A132" s="369">
        <v>521104</v>
      </c>
      <c r="B132" t="s">
        <v>632</v>
      </c>
      <c r="C132" s="342">
        <v>7790</v>
      </c>
      <c r="D132" s="342">
        <v>10116</v>
      </c>
      <c r="E132" s="342">
        <v>17906</v>
      </c>
      <c r="F132" s="342">
        <v>338858861</v>
      </c>
      <c r="G132" s="342">
        <v>522608904</v>
      </c>
      <c r="H132" s="342">
        <v>861467765</v>
      </c>
      <c r="I132" s="342">
        <v>9465734</v>
      </c>
      <c r="J132" t="s">
        <v>197</v>
      </c>
      <c r="K132" t="s">
        <v>583</v>
      </c>
      <c r="L132" t="s">
        <v>188</v>
      </c>
      <c r="M132" t="s">
        <v>46</v>
      </c>
      <c r="N132" s="2"/>
      <c r="O132" s="4"/>
    </row>
    <row r="133" spans="1:15" ht="12.75" customHeight="1" x14ac:dyDescent="0.2">
      <c r="A133" s="369">
        <v>684373</v>
      </c>
      <c r="B133" t="s">
        <v>1525</v>
      </c>
      <c r="C133" s="342">
        <v>6480</v>
      </c>
      <c r="D133" s="342">
        <v>11260</v>
      </c>
      <c r="E133" s="342">
        <v>17740</v>
      </c>
      <c r="F133" s="342">
        <v>641661885</v>
      </c>
      <c r="G133" s="342">
        <v>1374645156</v>
      </c>
      <c r="H133" s="342">
        <v>2016307042</v>
      </c>
      <c r="I133" s="342">
        <v>1955288956</v>
      </c>
      <c r="J133" t="s">
        <v>163</v>
      </c>
      <c r="K133" t="s">
        <v>583</v>
      </c>
      <c r="L133" t="s">
        <v>1512</v>
      </c>
      <c r="M133" t="s">
        <v>46</v>
      </c>
      <c r="N133" s="2"/>
      <c r="O133" s="4"/>
    </row>
    <row r="134" spans="1:15" ht="12.75" customHeight="1" x14ac:dyDescent="0.2">
      <c r="A134" s="369">
        <v>4</v>
      </c>
      <c r="B134" t="s">
        <v>582</v>
      </c>
      <c r="C134" s="342">
        <v>6402</v>
      </c>
      <c r="D134" s="342">
        <v>11198</v>
      </c>
      <c r="E134" s="342">
        <v>17600</v>
      </c>
      <c r="F134" s="342">
        <v>1457009112</v>
      </c>
      <c r="G134" s="342">
        <v>2773391499</v>
      </c>
      <c r="H134" s="342">
        <v>4230400611</v>
      </c>
      <c r="I134" s="342"/>
      <c r="J134" t="s">
        <v>576</v>
      </c>
      <c r="K134" t="s">
        <v>580</v>
      </c>
      <c r="L134" t="s">
        <v>578</v>
      </c>
      <c r="M134" t="s">
        <v>154</v>
      </c>
      <c r="N134" s="2"/>
      <c r="O134" s="4"/>
    </row>
    <row r="135" spans="1:15" ht="12.75" customHeight="1" x14ac:dyDescent="0.2">
      <c r="A135" s="369">
        <v>743112</v>
      </c>
      <c r="B135" t="s">
        <v>493</v>
      </c>
      <c r="C135" s="342">
        <v>8970</v>
      </c>
      <c r="D135" s="342">
        <v>8036</v>
      </c>
      <c r="E135" s="342">
        <v>17006</v>
      </c>
      <c r="F135" s="342">
        <v>1348528703</v>
      </c>
      <c r="G135" s="342">
        <v>1430451461</v>
      </c>
      <c r="H135" s="342">
        <v>2778980164</v>
      </c>
      <c r="I135" s="342">
        <v>16282911</v>
      </c>
      <c r="J135" t="s">
        <v>246</v>
      </c>
      <c r="K135" t="s">
        <v>577</v>
      </c>
      <c r="L135" t="s">
        <v>241</v>
      </c>
      <c r="M135" t="s">
        <v>154</v>
      </c>
      <c r="N135" s="2"/>
      <c r="O135" s="4"/>
    </row>
    <row r="136" spans="1:15" ht="12.75" customHeight="1" x14ac:dyDescent="0.2">
      <c r="A136" s="369">
        <v>840090</v>
      </c>
      <c r="B136" t="s">
        <v>526</v>
      </c>
      <c r="C136" s="342">
        <v>9535</v>
      </c>
      <c r="D136" s="342">
        <v>6672</v>
      </c>
      <c r="E136" s="342">
        <v>16207</v>
      </c>
      <c r="F136" s="342">
        <v>939521067</v>
      </c>
      <c r="G136" s="342">
        <v>740078799</v>
      </c>
      <c r="H136" s="342">
        <v>1679599866</v>
      </c>
      <c r="I136" s="342">
        <v>13761257</v>
      </c>
      <c r="J136" t="s">
        <v>169</v>
      </c>
      <c r="K136" t="s">
        <v>584</v>
      </c>
      <c r="L136" t="s">
        <v>191</v>
      </c>
      <c r="M136" t="s">
        <v>46</v>
      </c>
      <c r="N136" s="2"/>
      <c r="O136" s="4"/>
    </row>
    <row r="137" spans="1:15" ht="12.75" customHeight="1" x14ac:dyDescent="0.2">
      <c r="A137" s="369">
        <v>407775</v>
      </c>
      <c r="B137" t="s">
        <v>1379</v>
      </c>
      <c r="C137" s="342">
        <v>8442</v>
      </c>
      <c r="D137" s="342">
        <v>7681</v>
      </c>
      <c r="E137" s="342">
        <v>16123</v>
      </c>
      <c r="F137" s="342">
        <v>382294142</v>
      </c>
      <c r="G137" s="342">
        <v>438984946</v>
      </c>
      <c r="H137" s="342">
        <v>821279089</v>
      </c>
      <c r="I137" s="342">
        <v>1313023</v>
      </c>
      <c r="J137" t="s">
        <v>204</v>
      </c>
      <c r="K137" t="s">
        <v>583</v>
      </c>
      <c r="L137" t="s">
        <v>1513</v>
      </c>
      <c r="M137" t="s">
        <v>46</v>
      </c>
      <c r="N137" s="2"/>
      <c r="O137" s="4"/>
    </row>
    <row r="138" spans="1:15" ht="12.75" customHeight="1" x14ac:dyDescent="0.2">
      <c r="A138" s="369">
        <v>707281</v>
      </c>
      <c r="B138" t="s">
        <v>480</v>
      </c>
      <c r="C138" s="342">
        <v>8640</v>
      </c>
      <c r="D138" s="342">
        <v>7430</v>
      </c>
      <c r="E138" s="342">
        <v>16070</v>
      </c>
      <c r="F138" s="342">
        <v>1284317649</v>
      </c>
      <c r="G138" s="342">
        <v>1354317060</v>
      </c>
      <c r="H138" s="342">
        <v>2638634709</v>
      </c>
      <c r="I138" s="342">
        <v>14197234</v>
      </c>
      <c r="J138" t="s">
        <v>246</v>
      </c>
      <c r="K138" t="s">
        <v>577</v>
      </c>
      <c r="L138" t="s">
        <v>241</v>
      </c>
      <c r="M138" t="s">
        <v>154</v>
      </c>
      <c r="N138" s="2"/>
      <c r="O138" s="4"/>
    </row>
    <row r="139" spans="1:15" ht="12.75" customHeight="1" x14ac:dyDescent="0.2">
      <c r="A139" s="369">
        <v>220244</v>
      </c>
      <c r="B139" t="s">
        <v>247</v>
      </c>
      <c r="C139" s="342">
        <v>7813</v>
      </c>
      <c r="D139" s="342">
        <v>8133</v>
      </c>
      <c r="E139" s="342">
        <v>15946</v>
      </c>
      <c r="F139" s="342">
        <v>577770807</v>
      </c>
      <c r="G139" s="342">
        <v>706414186</v>
      </c>
      <c r="H139" s="342">
        <v>1284184993</v>
      </c>
      <c r="I139" s="342">
        <v>10466816</v>
      </c>
      <c r="J139" t="s">
        <v>209</v>
      </c>
      <c r="K139" t="s">
        <v>583</v>
      </c>
      <c r="L139" t="s">
        <v>168</v>
      </c>
      <c r="M139" t="s">
        <v>154</v>
      </c>
      <c r="N139" s="2"/>
      <c r="O139" s="4"/>
    </row>
    <row r="140" spans="1:15" ht="12.75" customHeight="1" x14ac:dyDescent="0.2">
      <c r="A140" s="369">
        <v>505586</v>
      </c>
      <c r="B140" t="s">
        <v>398</v>
      </c>
      <c r="C140" s="342">
        <v>6003</v>
      </c>
      <c r="D140" s="342">
        <v>9939</v>
      </c>
      <c r="E140" s="342">
        <v>15942</v>
      </c>
      <c r="F140" s="342">
        <v>324254029</v>
      </c>
      <c r="G140" s="342">
        <v>652795978</v>
      </c>
      <c r="H140" s="342">
        <v>977050007</v>
      </c>
      <c r="I140" s="342">
        <v>9324707</v>
      </c>
      <c r="J140" t="s">
        <v>221</v>
      </c>
      <c r="K140" t="s">
        <v>583</v>
      </c>
      <c r="L140" t="s">
        <v>244</v>
      </c>
      <c r="M140" t="s">
        <v>154</v>
      </c>
      <c r="N140" s="2"/>
      <c r="O140" s="4"/>
    </row>
    <row r="141" spans="1:15" ht="12.75" customHeight="1" x14ac:dyDescent="0.2">
      <c r="A141" s="369">
        <v>610410</v>
      </c>
      <c r="B141" t="s">
        <v>441</v>
      </c>
      <c r="C141" s="342">
        <v>7552</v>
      </c>
      <c r="D141" s="342">
        <v>8347</v>
      </c>
      <c r="E141" s="342">
        <v>15899</v>
      </c>
      <c r="F141" s="342">
        <v>490082154</v>
      </c>
      <c r="G141" s="342">
        <v>644412096</v>
      </c>
      <c r="H141" s="342">
        <v>1134494250</v>
      </c>
      <c r="I141" s="342">
        <v>6375079</v>
      </c>
      <c r="J141" t="s">
        <v>209</v>
      </c>
      <c r="K141" t="s">
        <v>583</v>
      </c>
      <c r="L141" t="s">
        <v>250</v>
      </c>
      <c r="M141" t="s">
        <v>46</v>
      </c>
      <c r="N141" s="2"/>
      <c r="O141" s="4"/>
    </row>
    <row r="142" spans="1:15" ht="12.75" customHeight="1" x14ac:dyDescent="0.2">
      <c r="A142" s="369">
        <v>534800</v>
      </c>
      <c r="B142" t="s">
        <v>407</v>
      </c>
      <c r="C142" s="342">
        <v>8396</v>
      </c>
      <c r="D142" s="342">
        <v>7455</v>
      </c>
      <c r="E142" s="342">
        <v>15851</v>
      </c>
      <c r="F142" s="342">
        <v>431739786</v>
      </c>
      <c r="G142" s="342">
        <v>544714365</v>
      </c>
      <c r="H142" s="342">
        <v>976454151</v>
      </c>
      <c r="I142" s="342">
        <v>-17697939</v>
      </c>
      <c r="J142" t="s">
        <v>159</v>
      </c>
      <c r="K142" t="s">
        <v>584</v>
      </c>
      <c r="L142" t="s">
        <v>198</v>
      </c>
      <c r="M142" t="s">
        <v>154</v>
      </c>
      <c r="N142" s="2"/>
      <c r="O142" s="4"/>
    </row>
    <row r="143" spans="1:15" ht="12.75" customHeight="1" x14ac:dyDescent="0.2">
      <c r="A143" s="369">
        <v>982116</v>
      </c>
      <c r="B143" t="s">
        <v>570</v>
      </c>
      <c r="C143" s="342">
        <v>8174</v>
      </c>
      <c r="D143" s="342">
        <v>7675</v>
      </c>
      <c r="E143" s="342">
        <v>15849</v>
      </c>
      <c r="F143" s="342">
        <v>1741411303</v>
      </c>
      <c r="G143" s="342">
        <v>1951810490</v>
      </c>
      <c r="H143" s="342">
        <v>3693221794</v>
      </c>
      <c r="I143" s="342">
        <v>29791872</v>
      </c>
      <c r="J143" t="s">
        <v>177</v>
      </c>
      <c r="K143" t="s">
        <v>580</v>
      </c>
      <c r="L143" t="s">
        <v>1533</v>
      </c>
      <c r="M143" t="s">
        <v>46</v>
      </c>
      <c r="N143" s="2"/>
      <c r="O143" s="4"/>
    </row>
    <row r="144" spans="1:15" ht="12.75" customHeight="1" x14ac:dyDescent="0.2">
      <c r="A144" s="369">
        <v>644005</v>
      </c>
      <c r="B144" t="s">
        <v>453</v>
      </c>
      <c r="C144" s="342">
        <v>5973</v>
      </c>
      <c r="D144" s="342">
        <v>9490</v>
      </c>
      <c r="E144" s="342">
        <v>15463</v>
      </c>
      <c r="F144" s="342">
        <v>529294999</v>
      </c>
      <c r="G144" s="342">
        <v>1005168951</v>
      </c>
      <c r="H144" s="342">
        <v>1534463950</v>
      </c>
      <c r="I144" s="342">
        <v>110061670</v>
      </c>
      <c r="J144" t="s">
        <v>252</v>
      </c>
      <c r="K144" t="s">
        <v>583</v>
      </c>
      <c r="L144" t="s">
        <v>187</v>
      </c>
      <c r="M144" t="s">
        <v>154</v>
      </c>
      <c r="N144" s="2"/>
      <c r="O144" s="4"/>
    </row>
    <row r="145" spans="1:15" ht="12.75" customHeight="1" x14ac:dyDescent="0.2">
      <c r="A145" s="369">
        <v>778944</v>
      </c>
      <c r="B145" t="s">
        <v>505</v>
      </c>
      <c r="C145" s="342">
        <v>7849</v>
      </c>
      <c r="D145" s="342">
        <v>7598</v>
      </c>
      <c r="E145" s="342">
        <v>15447</v>
      </c>
      <c r="F145" s="342">
        <v>1057233590</v>
      </c>
      <c r="G145" s="342">
        <v>1220856346</v>
      </c>
      <c r="H145" s="342">
        <v>2278089936</v>
      </c>
      <c r="I145" s="342">
        <v>3137532</v>
      </c>
      <c r="J145" t="s">
        <v>216</v>
      </c>
      <c r="K145" t="s">
        <v>577</v>
      </c>
      <c r="L145" t="s">
        <v>241</v>
      </c>
      <c r="M145" t="s">
        <v>154</v>
      </c>
      <c r="N145" s="2"/>
      <c r="O145" s="4"/>
    </row>
    <row r="146" spans="1:15" ht="12.75" customHeight="1" x14ac:dyDescent="0.2">
      <c r="A146" s="369">
        <v>243022</v>
      </c>
      <c r="B146" t="s">
        <v>588</v>
      </c>
      <c r="C146" s="342">
        <v>7762</v>
      </c>
      <c r="D146" s="342">
        <v>7646</v>
      </c>
      <c r="E146" s="342">
        <v>15408</v>
      </c>
      <c r="F146" s="342">
        <v>948926532</v>
      </c>
      <c r="G146" s="342">
        <v>1063261428</v>
      </c>
      <c r="H146" s="342">
        <v>2012187961</v>
      </c>
      <c r="I146" s="342">
        <v>12826167</v>
      </c>
      <c r="J146" t="s">
        <v>246</v>
      </c>
      <c r="K146" t="s">
        <v>577</v>
      </c>
      <c r="L146" t="s">
        <v>187</v>
      </c>
      <c r="M146" t="s">
        <v>154</v>
      </c>
      <c r="N146" s="2"/>
      <c r="O146" s="4"/>
    </row>
    <row r="147" spans="1:15" ht="12.75" customHeight="1" x14ac:dyDescent="0.2">
      <c r="A147" s="369">
        <v>362020</v>
      </c>
      <c r="B147" t="s">
        <v>328</v>
      </c>
      <c r="C147" s="342">
        <v>6809</v>
      </c>
      <c r="D147" s="342">
        <v>8467</v>
      </c>
      <c r="E147" s="342">
        <v>15276</v>
      </c>
      <c r="F147" s="342">
        <v>285563580</v>
      </c>
      <c r="G147" s="342">
        <v>442184313</v>
      </c>
      <c r="H147" s="342">
        <v>727747893</v>
      </c>
      <c r="I147" s="342">
        <v>8118648</v>
      </c>
      <c r="J147" t="s">
        <v>185</v>
      </c>
      <c r="K147" t="s">
        <v>583</v>
      </c>
      <c r="L147" t="s">
        <v>187</v>
      </c>
      <c r="M147" t="s">
        <v>154</v>
      </c>
      <c r="N147" s="2"/>
      <c r="O147" s="4"/>
    </row>
    <row r="148" spans="1:15" ht="12.75" customHeight="1" x14ac:dyDescent="0.2">
      <c r="A148" s="369">
        <v>751495</v>
      </c>
      <c r="B148" t="s">
        <v>497</v>
      </c>
      <c r="C148" s="342">
        <v>7038</v>
      </c>
      <c r="D148" s="342">
        <v>7897</v>
      </c>
      <c r="E148" s="342">
        <v>14935</v>
      </c>
      <c r="F148" s="342">
        <v>668562109</v>
      </c>
      <c r="G148" s="342">
        <v>878865145</v>
      </c>
      <c r="H148" s="342">
        <v>1547427253</v>
      </c>
      <c r="I148" s="342">
        <v>11506967</v>
      </c>
      <c r="J148" t="s">
        <v>197</v>
      </c>
      <c r="K148" t="s">
        <v>583</v>
      </c>
      <c r="L148" t="s">
        <v>187</v>
      </c>
      <c r="M148" t="s">
        <v>154</v>
      </c>
      <c r="N148" s="2"/>
      <c r="O148" s="4"/>
    </row>
    <row r="149" spans="1:15" ht="12.75" customHeight="1" x14ac:dyDescent="0.2">
      <c r="A149" s="369">
        <v>541235</v>
      </c>
      <c r="B149" t="s">
        <v>411</v>
      </c>
      <c r="C149" s="342">
        <v>6341</v>
      </c>
      <c r="D149" s="342">
        <v>8555</v>
      </c>
      <c r="E149" s="342">
        <v>14896</v>
      </c>
      <c r="F149" s="342">
        <v>467770779</v>
      </c>
      <c r="G149" s="342">
        <v>757460942</v>
      </c>
      <c r="H149" s="342">
        <v>1225231720</v>
      </c>
      <c r="I149" s="342">
        <v>6174678</v>
      </c>
      <c r="J149" t="s">
        <v>162</v>
      </c>
      <c r="K149" t="s">
        <v>583</v>
      </c>
      <c r="L149" t="s">
        <v>196</v>
      </c>
      <c r="M149" t="s">
        <v>154</v>
      </c>
      <c r="N149" s="2"/>
      <c r="O149" s="4"/>
    </row>
    <row r="150" spans="1:15" ht="12.75" customHeight="1" x14ac:dyDescent="0.2">
      <c r="A150" s="369">
        <v>260919</v>
      </c>
      <c r="B150" t="s">
        <v>276</v>
      </c>
      <c r="C150" s="342">
        <v>6257</v>
      </c>
      <c r="D150" s="342">
        <v>8050</v>
      </c>
      <c r="E150" s="342">
        <v>14307</v>
      </c>
      <c r="F150" s="342">
        <v>491393466</v>
      </c>
      <c r="G150" s="342">
        <v>749707415</v>
      </c>
      <c r="H150" s="342">
        <v>1241100881</v>
      </c>
      <c r="I150" s="342">
        <v>50934659</v>
      </c>
      <c r="J150" t="s">
        <v>252</v>
      </c>
      <c r="K150" t="s">
        <v>583</v>
      </c>
      <c r="L150" t="s">
        <v>1511</v>
      </c>
      <c r="M150" t="s">
        <v>46</v>
      </c>
      <c r="N150" s="2"/>
      <c r="O150" s="4"/>
    </row>
    <row r="151" spans="1:15" ht="12.75" customHeight="1" x14ac:dyDescent="0.2">
      <c r="A151" s="369">
        <v>599795</v>
      </c>
      <c r="B151" t="s">
        <v>597</v>
      </c>
      <c r="C151" s="342">
        <v>7845</v>
      </c>
      <c r="D151" s="342">
        <v>6223</v>
      </c>
      <c r="E151" s="342">
        <v>14068</v>
      </c>
      <c r="F151" s="342">
        <v>331995508</v>
      </c>
      <c r="G151" s="342">
        <v>310365314</v>
      </c>
      <c r="H151" s="342">
        <v>642360823</v>
      </c>
      <c r="I151" s="342">
        <v>6686440</v>
      </c>
      <c r="J151" t="s">
        <v>189</v>
      </c>
      <c r="K151" t="s">
        <v>580</v>
      </c>
      <c r="L151" t="s">
        <v>241</v>
      </c>
      <c r="M151" t="s">
        <v>154</v>
      </c>
      <c r="N151" s="2"/>
      <c r="O151" s="4"/>
    </row>
    <row r="152" spans="1:15" ht="12.75" customHeight="1" x14ac:dyDescent="0.2">
      <c r="A152" s="369">
        <v>844522</v>
      </c>
      <c r="B152" t="s">
        <v>530</v>
      </c>
      <c r="C152" s="342">
        <v>7446</v>
      </c>
      <c r="D152" s="342">
        <v>6458</v>
      </c>
      <c r="E152" s="342">
        <v>13904</v>
      </c>
      <c r="F152" s="342">
        <v>849184328</v>
      </c>
      <c r="G152" s="342">
        <v>889035908</v>
      </c>
      <c r="H152" s="342">
        <v>1738220236</v>
      </c>
      <c r="I152" s="342">
        <v>5951581</v>
      </c>
      <c r="J152" t="s">
        <v>246</v>
      </c>
      <c r="K152" t="s">
        <v>577</v>
      </c>
      <c r="L152" t="s">
        <v>198</v>
      </c>
      <c r="M152" t="s">
        <v>154</v>
      </c>
      <c r="N152" s="2"/>
      <c r="O152" s="4"/>
    </row>
    <row r="153" spans="1:15" ht="12.75" customHeight="1" x14ac:dyDescent="0.2">
      <c r="A153" s="369">
        <v>679837</v>
      </c>
      <c r="B153" t="s">
        <v>471</v>
      </c>
      <c r="C153" s="342">
        <v>5652</v>
      </c>
      <c r="D153" s="342">
        <v>7990</v>
      </c>
      <c r="E153" s="342">
        <v>13642</v>
      </c>
      <c r="F153" s="342">
        <v>177767756</v>
      </c>
      <c r="G153" s="342">
        <v>342839546</v>
      </c>
      <c r="H153" s="342">
        <v>520607301</v>
      </c>
      <c r="I153" s="342">
        <v>57961214</v>
      </c>
      <c r="J153" t="s">
        <v>239</v>
      </c>
      <c r="K153" t="s">
        <v>583</v>
      </c>
      <c r="L153" t="s">
        <v>187</v>
      </c>
      <c r="M153" t="s">
        <v>154</v>
      </c>
      <c r="N153" s="2"/>
      <c r="O153" s="4"/>
    </row>
    <row r="154" spans="1:15" ht="12.75" customHeight="1" x14ac:dyDescent="0.2">
      <c r="A154" s="369">
        <v>479550</v>
      </c>
      <c r="B154" t="s">
        <v>384</v>
      </c>
      <c r="C154" s="342">
        <v>6683</v>
      </c>
      <c r="D154" s="342">
        <v>6793</v>
      </c>
      <c r="E154" s="342">
        <v>13476</v>
      </c>
      <c r="F154" s="342">
        <v>518372774</v>
      </c>
      <c r="G154" s="342">
        <v>613226950</v>
      </c>
      <c r="H154" s="342">
        <v>1131599724</v>
      </c>
      <c r="I154" s="342">
        <v>-1412926</v>
      </c>
      <c r="J154" t="s">
        <v>162</v>
      </c>
      <c r="K154" t="s">
        <v>583</v>
      </c>
      <c r="L154" t="s">
        <v>356</v>
      </c>
      <c r="M154" t="s">
        <v>46</v>
      </c>
      <c r="N154" s="2"/>
      <c r="O154" s="4"/>
    </row>
    <row r="155" spans="1:15" ht="12.75" customHeight="1" x14ac:dyDescent="0.2">
      <c r="A155" s="369">
        <v>314682</v>
      </c>
      <c r="B155" t="s">
        <v>591</v>
      </c>
      <c r="C155" s="342">
        <v>7358</v>
      </c>
      <c r="D155" s="342">
        <v>6113</v>
      </c>
      <c r="E155" s="342">
        <v>13471</v>
      </c>
      <c r="F155" s="342">
        <v>1523901065</v>
      </c>
      <c r="G155" s="342">
        <v>1421346814</v>
      </c>
      <c r="H155" s="342">
        <v>2945247879</v>
      </c>
      <c r="I155" s="342">
        <v>21993368</v>
      </c>
      <c r="J155" t="s">
        <v>216</v>
      </c>
      <c r="K155" t="s">
        <v>577</v>
      </c>
      <c r="L155" t="s">
        <v>187</v>
      </c>
      <c r="M155" t="s">
        <v>154</v>
      </c>
      <c r="N155" s="2"/>
      <c r="O155" s="4"/>
    </row>
    <row r="156" spans="1:15" ht="12.75" customHeight="1" x14ac:dyDescent="0.2">
      <c r="A156" s="369">
        <v>252411</v>
      </c>
      <c r="B156" t="s">
        <v>271</v>
      </c>
      <c r="C156" s="342">
        <v>5967</v>
      </c>
      <c r="D156" s="342">
        <v>7283</v>
      </c>
      <c r="E156" s="342">
        <v>13250</v>
      </c>
      <c r="F156" s="342">
        <v>530043794</v>
      </c>
      <c r="G156" s="342">
        <v>754036751</v>
      </c>
      <c r="H156" s="342">
        <v>1284080545</v>
      </c>
      <c r="I156" s="342">
        <v>2935029</v>
      </c>
      <c r="J156" t="s">
        <v>162</v>
      </c>
      <c r="K156" t="s">
        <v>583</v>
      </c>
      <c r="L156" t="s">
        <v>1352</v>
      </c>
      <c r="M156" t="s">
        <v>46</v>
      </c>
      <c r="N156" s="2"/>
      <c r="O156" s="4"/>
    </row>
    <row r="157" spans="1:15" ht="12.75" customHeight="1" x14ac:dyDescent="0.2">
      <c r="A157" s="369">
        <v>158261</v>
      </c>
      <c r="B157" t="s">
        <v>213</v>
      </c>
      <c r="C157" s="342">
        <v>6589</v>
      </c>
      <c r="D157" s="342">
        <v>6406</v>
      </c>
      <c r="E157" s="342">
        <v>12995</v>
      </c>
      <c r="F157" s="342">
        <v>525320357</v>
      </c>
      <c r="G157" s="342">
        <v>628899463</v>
      </c>
      <c r="H157" s="342">
        <v>1154219820</v>
      </c>
      <c r="I157" s="342">
        <v>8822848</v>
      </c>
      <c r="J157" t="s">
        <v>209</v>
      </c>
      <c r="K157" t="s">
        <v>583</v>
      </c>
      <c r="L157" t="s">
        <v>184</v>
      </c>
      <c r="M157" t="s">
        <v>154</v>
      </c>
      <c r="N157" s="2"/>
      <c r="O157" s="4"/>
    </row>
    <row r="158" spans="1:15" ht="12.75" customHeight="1" x14ac:dyDescent="0.2">
      <c r="A158" s="369">
        <v>305243</v>
      </c>
      <c r="B158" t="s">
        <v>629</v>
      </c>
      <c r="C158" s="342">
        <v>5989</v>
      </c>
      <c r="D158" s="342">
        <v>6929</v>
      </c>
      <c r="E158" s="342">
        <v>12918</v>
      </c>
      <c r="F158" s="342">
        <v>272718793</v>
      </c>
      <c r="G158" s="342">
        <v>402953668</v>
      </c>
      <c r="H158" s="342">
        <v>675672461</v>
      </c>
      <c r="I158" s="342">
        <v>10348807</v>
      </c>
      <c r="J158" t="s">
        <v>172</v>
      </c>
      <c r="K158" t="s">
        <v>583</v>
      </c>
      <c r="L158" t="s">
        <v>1514</v>
      </c>
      <c r="M158" t="s">
        <v>46</v>
      </c>
      <c r="N158" s="2"/>
      <c r="O158" s="4"/>
    </row>
    <row r="159" spans="1:15" ht="12.75" customHeight="1" x14ac:dyDescent="0.2">
      <c r="A159" s="369">
        <v>750075</v>
      </c>
      <c r="B159" t="s">
        <v>496</v>
      </c>
      <c r="C159" s="342">
        <v>4628</v>
      </c>
      <c r="D159" s="342">
        <v>8169</v>
      </c>
      <c r="E159" s="342">
        <v>12797</v>
      </c>
      <c r="F159" s="342">
        <v>156171404</v>
      </c>
      <c r="G159" s="342">
        <v>323637319</v>
      </c>
      <c r="H159" s="342">
        <v>479808724</v>
      </c>
      <c r="I159" s="342">
        <v>3516842</v>
      </c>
      <c r="J159" t="s">
        <v>172</v>
      </c>
      <c r="K159" t="s">
        <v>583</v>
      </c>
      <c r="L159" t="s">
        <v>187</v>
      </c>
      <c r="M159" t="s">
        <v>154</v>
      </c>
      <c r="N159" s="2"/>
      <c r="O159" s="4"/>
    </row>
    <row r="160" spans="1:15" ht="12.75" customHeight="1" x14ac:dyDescent="0.2">
      <c r="A160" s="369">
        <v>671453</v>
      </c>
      <c r="B160" t="s">
        <v>468</v>
      </c>
      <c r="C160" s="342">
        <v>7059</v>
      </c>
      <c r="D160" s="342">
        <v>5691</v>
      </c>
      <c r="E160" s="342">
        <v>12750</v>
      </c>
      <c r="F160" s="342">
        <v>981362766</v>
      </c>
      <c r="G160" s="342">
        <v>973515936</v>
      </c>
      <c r="H160" s="342">
        <v>1954878702</v>
      </c>
      <c r="I160" s="342">
        <v>8131785</v>
      </c>
      <c r="J160" t="s">
        <v>246</v>
      </c>
      <c r="K160" t="s">
        <v>577</v>
      </c>
      <c r="L160" t="s">
        <v>241</v>
      </c>
      <c r="M160" t="s">
        <v>154</v>
      </c>
      <c r="N160" s="2"/>
      <c r="O160" s="4"/>
    </row>
    <row r="161" spans="1:15" ht="12.75" customHeight="1" x14ac:dyDescent="0.2">
      <c r="A161" s="369">
        <v>484980</v>
      </c>
      <c r="B161" t="s">
        <v>388</v>
      </c>
      <c r="C161" s="342">
        <v>5457</v>
      </c>
      <c r="D161" s="342">
        <v>7025</v>
      </c>
      <c r="E161" s="342">
        <v>12482</v>
      </c>
      <c r="F161" s="342">
        <v>323050322</v>
      </c>
      <c r="G161" s="342">
        <v>506279975</v>
      </c>
      <c r="H161" s="342">
        <v>829330296</v>
      </c>
      <c r="I161" s="342">
        <v>6575531</v>
      </c>
      <c r="J161" t="s">
        <v>197</v>
      </c>
      <c r="K161" t="s">
        <v>583</v>
      </c>
      <c r="L161" t="s">
        <v>290</v>
      </c>
      <c r="M161" t="s">
        <v>154</v>
      </c>
      <c r="N161" s="2"/>
      <c r="O161" s="4"/>
    </row>
    <row r="162" spans="1:15" ht="12.75" customHeight="1" x14ac:dyDescent="0.2">
      <c r="A162" s="369">
        <v>117002</v>
      </c>
      <c r="B162" t="s">
        <v>176</v>
      </c>
      <c r="C162" s="342">
        <v>8639</v>
      </c>
      <c r="D162" s="342">
        <v>3813</v>
      </c>
      <c r="E162" s="342">
        <v>12452</v>
      </c>
      <c r="F162" s="342">
        <v>634235601</v>
      </c>
      <c r="G162" s="342">
        <v>260544506</v>
      </c>
      <c r="H162" s="342">
        <v>894780108</v>
      </c>
      <c r="I162" s="342">
        <v>5446249</v>
      </c>
      <c r="J162" t="s">
        <v>177</v>
      </c>
      <c r="K162" t="s">
        <v>580</v>
      </c>
      <c r="L162" t="s">
        <v>1505</v>
      </c>
      <c r="M162" t="s">
        <v>154</v>
      </c>
      <c r="N162" s="2"/>
      <c r="O162" s="4"/>
    </row>
    <row r="163" spans="1:15" ht="12.75" customHeight="1" x14ac:dyDescent="0.2">
      <c r="A163" s="369">
        <v>520692</v>
      </c>
      <c r="B163" t="s">
        <v>402</v>
      </c>
      <c r="C163" s="342">
        <v>4897</v>
      </c>
      <c r="D163" s="342">
        <v>7368</v>
      </c>
      <c r="E163" s="342">
        <v>12265</v>
      </c>
      <c r="F163" s="342">
        <v>403260883</v>
      </c>
      <c r="G163" s="342">
        <v>742481967</v>
      </c>
      <c r="H163" s="342">
        <v>1145742849</v>
      </c>
      <c r="I163" s="342">
        <v>290605</v>
      </c>
      <c r="J163" t="s">
        <v>204</v>
      </c>
      <c r="K163" t="s">
        <v>583</v>
      </c>
      <c r="L163" t="s">
        <v>278</v>
      </c>
      <c r="M163" t="s">
        <v>154</v>
      </c>
      <c r="N163" s="2"/>
      <c r="O163" s="4"/>
    </row>
    <row r="164" spans="1:15" ht="12.75" customHeight="1" x14ac:dyDescent="0.2">
      <c r="A164" s="369">
        <v>152835</v>
      </c>
      <c r="B164" t="s">
        <v>210</v>
      </c>
      <c r="C164" s="342">
        <v>8754</v>
      </c>
      <c r="D164" s="342">
        <v>3466</v>
      </c>
      <c r="E164" s="342">
        <v>12220</v>
      </c>
      <c r="F164" s="342">
        <v>1122894172</v>
      </c>
      <c r="G164" s="342">
        <v>484620757</v>
      </c>
      <c r="H164" s="342">
        <v>1607514929</v>
      </c>
      <c r="I164" s="342">
        <v>5341901</v>
      </c>
      <c r="J164" t="s">
        <v>182</v>
      </c>
      <c r="K164" t="s">
        <v>583</v>
      </c>
      <c r="L164" t="s">
        <v>1505</v>
      </c>
      <c r="M164" t="s">
        <v>154</v>
      </c>
      <c r="N164" s="2"/>
      <c r="O164" s="4"/>
    </row>
    <row r="165" spans="1:15" ht="12.75" customHeight="1" x14ac:dyDescent="0.2">
      <c r="A165" s="369">
        <v>450981</v>
      </c>
      <c r="B165" t="s">
        <v>373</v>
      </c>
      <c r="C165" s="342">
        <v>5671</v>
      </c>
      <c r="D165" s="342">
        <v>6507</v>
      </c>
      <c r="E165" s="342">
        <v>12178</v>
      </c>
      <c r="F165" s="342">
        <v>581391719</v>
      </c>
      <c r="G165" s="342">
        <v>816279573</v>
      </c>
      <c r="H165" s="342">
        <v>1397671292</v>
      </c>
      <c r="I165" s="342">
        <v>8976943</v>
      </c>
      <c r="J165" t="s">
        <v>209</v>
      </c>
      <c r="K165" t="s">
        <v>583</v>
      </c>
      <c r="L165" t="s">
        <v>320</v>
      </c>
      <c r="M165" t="s">
        <v>46</v>
      </c>
      <c r="N165" s="2"/>
      <c r="O165" s="4"/>
    </row>
    <row r="166" spans="1:15" ht="12.75" customHeight="1" x14ac:dyDescent="0.2">
      <c r="A166" s="369">
        <v>838383</v>
      </c>
      <c r="B166" t="s">
        <v>523</v>
      </c>
      <c r="C166" s="342">
        <v>5172</v>
      </c>
      <c r="D166" s="342">
        <v>6904</v>
      </c>
      <c r="E166" s="342">
        <v>12076</v>
      </c>
      <c r="F166" s="342">
        <v>230896920</v>
      </c>
      <c r="G166" s="342">
        <v>378485397</v>
      </c>
      <c r="H166" s="342">
        <v>609382317</v>
      </c>
      <c r="I166" s="342">
        <v>7456570</v>
      </c>
      <c r="J166" t="s">
        <v>263</v>
      </c>
      <c r="K166" t="s">
        <v>583</v>
      </c>
      <c r="L166" t="s">
        <v>244</v>
      </c>
      <c r="M166" t="s">
        <v>154</v>
      </c>
      <c r="N166" s="2"/>
      <c r="O166" s="4"/>
    </row>
    <row r="167" spans="1:15" ht="12.75" customHeight="1" x14ac:dyDescent="0.2">
      <c r="A167" s="369">
        <v>670091</v>
      </c>
      <c r="B167" t="s">
        <v>598</v>
      </c>
      <c r="C167" s="342">
        <v>5024</v>
      </c>
      <c r="D167" s="342">
        <v>7020</v>
      </c>
      <c r="E167" s="342">
        <v>12044</v>
      </c>
      <c r="F167" s="342">
        <v>222403654</v>
      </c>
      <c r="G167" s="342">
        <v>374399422</v>
      </c>
      <c r="H167" s="342">
        <v>596803077</v>
      </c>
      <c r="I167" s="342">
        <v>6426438</v>
      </c>
      <c r="J167" t="s">
        <v>172</v>
      </c>
      <c r="K167" t="s">
        <v>583</v>
      </c>
      <c r="L167" t="s">
        <v>313</v>
      </c>
      <c r="M167" t="s">
        <v>46</v>
      </c>
      <c r="N167" s="2"/>
      <c r="O167" s="4"/>
    </row>
    <row r="168" spans="1:15" ht="12.75" customHeight="1" x14ac:dyDescent="0.2">
      <c r="A168" s="369">
        <v>2</v>
      </c>
      <c r="B168" t="s">
        <v>579</v>
      </c>
      <c r="C168" s="342">
        <v>5785</v>
      </c>
      <c r="D168" s="342">
        <v>6058</v>
      </c>
      <c r="E168" s="342">
        <v>11843</v>
      </c>
      <c r="F168" s="342">
        <v>1052217536</v>
      </c>
      <c r="G168" s="342">
        <v>1278731441</v>
      </c>
      <c r="H168" s="342">
        <v>2330948977</v>
      </c>
      <c r="I168" s="342"/>
      <c r="J168" t="s">
        <v>576</v>
      </c>
      <c r="K168" t="s">
        <v>580</v>
      </c>
      <c r="L168" t="s">
        <v>578</v>
      </c>
      <c r="M168" t="s">
        <v>154</v>
      </c>
      <c r="N168" s="2"/>
      <c r="O168" s="4"/>
    </row>
    <row r="169" spans="1:15" ht="12.75" customHeight="1" x14ac:dyDescent="0.2">
      <c r="A169" s="369">
        <v>122432</v>
      </c>
      <c r="B169" t="s">
        <v>183</v>
      </c>
      <c r="C169" s="342">
        <v>6023</v>
      </c>
      <c r="D169" s="342">
        <v>5566</v>
      </c>
      <c r="E169" s="342">
        <v>11589</v>
      </c>
      <c r="F169" s="342">
        <v>250430309</v>
      </c>
      <c r="G169" s="342">
        <v>273252820</v>
      </c>
      <c r="H169" s="342">
        <v>523683129</v>
      </c>
      <c r="I169" s="342">
        <v>6609718</v>
      </c>
      <c r="J169" t="s">
        <v>185</v>
      </c>
      <c r="K169" t="s">
        <v>583</v>
      </c>
      <c r="L169" t="s">
        <v>184</v>
      </c>
      <c r="M169" t="s">
        <v>154</v>
      </c>
      <c r="N169" s="2"/>
      <c r="O169" s="4"/>
    </row>
    <row r="170" spans="1:15" ht="12.75" customHeight="1" x14ac:dyDescent="0.2">
      <c r="A170" s="369">
        <v>420646</v>
      </c>
      <c r="B170" t="s">
        <v>359</v>
      </c>
      <c r="C170" s="342">
        <v>6057</v>
      </c>
      <c r="D170" s="342">
        <v>5486</v>
      </c>
      <c r="E170" s="342">
        <v>11543</v>
      </c>
      <c r="F170" s="342">
        <v>244898366</v>
      </c>
      <c r="G170" s="342">
        <v>296909603</v>
      </c>
      <c r="H170" s="342">
        <v>541807969</v>
      </c>
      <c r="I170" s="342">
        <v>-5488028</v>
      </c>
      <c r="J170" t="s">
        <v>194</v>
      </c>
      <c r="K170" t="s">
        <v>584</v>
      </c>
      <c r="L170" t="s">
        <v>241</v>
      </c>
      <c r="M170" t="s">
        <v>154</v>
      </c>
      <c r="N170" s="2"/>
      <c r="O170" s="4"/>
    </row>
    <row r="171" spans="1:15" ht="12.75" customHeight="1" x14ac:dyDescent="0.2">
      <c r="A171" s="369">
        <v>292193</v>
      </c>
      <c r="B171" t="s">
        <v>291</v>
      </c>
      <c r="C171" s="342">
        <v>5522</v>
      </c>
      <c r="D171" s="342">
        <v>5978</v>
      </c>
      <c r="E171" s="342">
        <v>11500</v>
      </c>
      <c r="F171" s="342">
        <v>388613536</v>
      </c>
      <c r="G171" s="342">
        <v>505913806</v>
      </c>
      <c r="H171" s="342">
        <v>894527342</v>
      </c>
      <c r="I171" s="342">
        <v>4632619</v>
      </c>
      <c r="J171" t="s">
        <v>209</v>
      </c>
      <c r="K171" t="s">
        <v>583</v>
      </c>
      <c r="L171" t="s">
        <v>155</v>
      </c>
      <c r="M171" t="s">
        <v>154</v>
      </c>
      <c r="N171" s="2"/>
      <c r="O171" s="4"/>
    </row>
    <row r="172" spans="1:15" ht="12.75" customHeight="1" x14ac:dyDescent="0.2">
      <c r="A172" s="369">
        <v>362327</v>
      </c>
      <c r="B172" t="s">
        <v>329</v>
      </c>
      <c r="C172" s="342">
        <v>5120</v>
      </c>
      <c r="D172" s="342">
        <v>6306</v>
      </c>
      <c r="E172" s="342">
        <v>11426</v>
      </c>
      <c r="F172" s="342">
        <v>220724297</v>
      </c>
      <c r="G172" s="342">
        <v>330783780</v>
      </c>
      <c r="H172" s="342">
        <v>551508077</v>
      </c>
      <c r="I172" s="342">
        <v>6477271</v>
      </c>
      <c r="J172" t="s">
        <v>263</v>
      </c>
      <c r="K172" t="s">
        <v>583</v>
      </c>
      <c r="L172" t="s">
        <v>1515</v>
      </c>
      <c r="M172" t="s">
        <v>46</v>
      </c>
      <c r="N172" s="2"/>
      <c r="O172" s="4"/>
    </row>
    <row r="173" spans="1:15" ht="12.75" customHeight="1" x14ac:dyDescent="0.2">
      <c r="A173" s="369">
        <v>726117</v>
      </c>
      <c r="B173" t="s">
        <v>488</v>
      </c>
      <c r="C173" s="342">
        <v>5794</v>
      </c>
      <c r="D173" s="342">
        <v>5397</v>
      </c>
      <c r="E173" s="342">
        <v>11191</v>
      </c>
      <c r="F173" s="342">
        <v>218127417</v>
      </c>
      <c r="G173" s="342">
        <v>251348247</v>
      </c>
      <c r="H173" s="342">
        <v>469475665</v>
      </c>
      <c r="I173" s="342">
        <v>-2133270</v>
      </c>
      <c r="J173" t="s">
        <v>159</v>
      </c>
      <c r="K173" t="s">
        <v>584</v>
      </c>
      <c r="L173" t="s">
        <v>155</v>
      </c>
      <c r="M173" t="s">
        <v>154</v>
      </c>
      <c r="N173" s="2"/>
      <c r="O173" s="4"/>
    </row>
    <row r="174" spans="1:15" ht="12.75" customHeight="1" x14ac:dyDescent="0.2">
      <c r="A174" s="369">
        <v>504100</v>
      </c>
      <c r="B174" t="s">
        <v>397</v>
      </c>
      <c r="C174" s="342">
        <v>4486</v>
      </c>
      <c r="D174" s="342">
        <v>6684</v>
      </c>
      <c r="E174" s="342">
        <v>11170</v>
      </c>
      <c r="F174" s="342">
        <v>239071241</v>
      </c>
      <c r="G174" s="342">
        <v>436547005</v>
      </c>
      <c r="H174" s="342">
        <v>675618246</v>
      </c>
      <c r="I174" s="342">
        <v>952689</v>
      </c>
      <c r="J174" t="s">
        <v>263</v>
      </c>
      <c r="K174" t="s">
        <v>583</v>
      </c>
      <c r="L174" t="s">
        <v>187</v>
      </c>
      <c r="M174" t="s">
        <v>154</v>
      </c>
      <c r="N174" s="2"/>
      <c r="O174" s="4"/>
    </row>
    <row r="175" spans="1:15" ht="12.75" customHeight="1" x14ac:dyDescent="0.2">
      <c r="A175" s="369">
        <v>546960</v>
      </c>
      <c r="B175" t="s">
        <v>415</v>
      </c>
      <c r="C175" s="342">
        <v>5993</v>
      </c>
      <c r="D175" s="342">
        <v>4964</v>
      </c>
      <c r="E175" s="342">
        <v>10957</v>
      </c>
      <c r="F175" s="342">
        <v>302292647</v>
      </c>
      <c r="G175" s="342">
        <v>301326855</v>
      </c>
      <c r="H175" s="342">
        <v>603619502</v>
      </c>
      <c r="I175" s="342">
        <v>6217991</v>
      </c>
      <c r="J175" t="s">
        <v>189</v>
      </c>
      <c r="K175" t="s">
        <v>580</v>
      </c>
      <c r="L175" t="s">
        <v>155</v>
      </c>
      <c r="M175" t="s">
        <v>154</v>
      </c>
      <c r="N175" s="2"/>
      <c r="O175" s="4"/>
    </row>
    <row r="176" spans="1:15" ht="12.75" customHeight="1" x14ac:dyDescent="0.2">
      <c r="A176" s="369">
        <v>416982</v>
      </c>
      <c r="B176" t="s">
        <v>355</v>
      </c>
      <c r="C176" s="342">
        <v>4952</v>
      </c>
      <c r="D176" s="342">
        <v>5822</v>
      </c>
      <c r="E176" s="342">
        <v>10774</v>
      </c>
      <c r="F176" s="342">
        <v>370724229</v>
      </c>
      <c r="G176" s="342">
        <v>511689018</v>
      </c>
      <c r="H176" s="342">
        <v>882413247</v>
      </c>
      <c r="I176" s="342">
        <v>4421913</v>
      </c>
      <c r="J176" t="s">
        <v>252</v>
      </c>
      <c r="K176" t="s">
        <v>583</v>
      </c>
      <c r="L176" t="s">
        <v>356</v>
      </c>
      <c r="M176" t="s">
        <v>46</v>
      </c>
      <c r="N176" s="2"/>
      <c r="O176" s="4"/>
    </row>
    <row r="177" spans="1:15" ht="12.75" customHeight="1" x14ac:dyDescent="0.2">
      <c r="A177" s="369">
        <v>950774</v>
      </c>
      <c r="B177" t="s">
        <v>561</v>
      </c>
      <c r="C177" s="342">
        <v>5036</v>
      </c>
      <c r="D177" s="342">
        <v>5698</v>
      </c>
      <c r="E177" s="342">
        <v>10734</v>
      </c>
      <c r="F177" s="342">
        <v>196980180</v>
      </c>
      <c r="G177" s="342">
        <v>293486414</v>
      </c>
      <c r="H177" s="342">
        <v>490466594</v>
      </c>
      <c r="I177" s="342">
        <v>4506280</v>
      </c>
      <c r="J177" t="s">
        <v>172</v>
      </c>
      <c r="K177" t="s">
        <v>583</v>
      </c>
      <c r="L177" t="s">
        <v>184</v>
      </c>
      <c r="M177" t="s">
        <v>154</v>
      </c>
      <c r="N177" s="2"/>
      <c r="O177" s="4"/>
    </row>
    <row r="178" spans="1:15" ht="12.75" customHeight="1" x14ac:dyDescent="0.2">
      <c r="A178" s="369">
        <v>596429</v>
      </c>
      <c r="B178" t="s">
        <v>436</v>
      </c>
      <c r="C178" s="342">
        <v>5739</v>
      </c>
      <c r="D178" s="342">
        <v>4959</v>
      </c>
      <c r="E178" s="342">
        <v>10698</v>
      </c>
      <c r="F178" s="342">
        <v>288821746</v>
      </c>
      <c r="G178" s="342">
        <v>324316884</v>
      </c>
      <c r="H178" s="342">
        <v>613138630</v>
      </c>
      <c r="I178" s="342">
        <v>15211552</v>
      </c>
      <c r="J178" t="s">
        <v>246</v>
      </c>
      <c r="K178" t="s">
        <v>577</v>
      </c>
      <c r="L178" t="s">
        <v>191</v>
      </c>
      <c r="M178" t="s">
        <v>154</v>
      </c>
      <c r="N178" s="2"/>
      <c r="O178" s="4"/>
    </row>
    <row r="179" spans="1:15" ht="12.75" customHeight="1" x14ac:dyDescent="0.2">
      <c r="A179" s="369">
        <v>635623</v>
      </c>
      <c r="B179" t="s">
        <v>450</v>
      </c>
      <c r="C179" s="342">
        <v>5836</v>
      </c>
      <c r="D179" s="342">
        <v>4821</v>
      </c>
      <c r="E179" s="342">
        <v>10657</v>
      </c>
      <c r="F179" s="342">
        <v>755504962</v>
      </c>
      <c r="G179" s="342">
        <v>769924221</v>
      </c>
      <c r="H179" s="342">
        <v>1525429183</v>
      </c>
      <c r="I179" s="342">
        <v>5724972</v>
      </c>
      <c r="J179" t="s">
        <v>246</v>
      </c>
      <c r="K179" t="s">
        <v>577</v>
      </c>
      <c r="L179" t="s">
        <v>241</v>
      </c>
      <c r="M179" t="s">
        <v>154</v>
      </c>
      <c r="N179" s="2"/>
      <c r="O179" s="4"/>
    </row>
    <row r="180" spans="1:15" ht="12.75" customHeight="1" x14ac:dyDescent="0.2">
      <c r="A180" s="369">
        <v>840033</v>
      </c>
      <c r="B180" t="s">
        <v>525</v>
      </c>
      <c r="C180" s="342">
        <v>4554</v>
      </c>
      <c r="D180" s="342">
        <v>6005</v>
      </c>
      <c r="E180" s="342">
        <v>10559</v>
      </c>
      <c r="F180" s="342">
        <v>365520541</v>
      </c>
      <c r="G180" s="342">
        <v>580571981</v>
      </c>
      <c r="H180" s="342">
        <v>946092521</v>
      </c>
      <c r="I180" s="342">
        <v>14046740</v>
      </c>
      <c r="J180" t="s">
        <v>204</v>
      </c>
      <c r="K180" t="s">
        <v>583</v>
      </c>
      <c r="L180" t="s">
        <v>187</v>
      </c>
      <c r="M180" t="s">
        <v>154</v>
      </c>
      <c r="N180" s="2"/>
      <c r="O180" s="4"/>
    </row>
    <row r="181" spans="1:15" ht="12.75" customHeight="1" x14ac:dyDescent="0.2">
      <c r="A181" s="369">
        <v>456475</v>
      </c>
      <c r="B181" t="s">
        <v>374</v>
      </c>
      <c r="C181" s="342">
        <v>4698</v>
      </c>
      <c r="D181" s="342">
        <v>5827</v>
      </c>
      <c r="E181" s="342">
        <v>10525</v>
      </c>
      <c r="F181" s="342">
        <v>328311328</v>
      </c>
      <c r="G181" s="342">
        <v>495517014</v>
      </c>
      <c r="H181" s="342">
        <v>823828341</v>
      </c>
      <c r="I181" s="342">
        <v>11157689</v>
      </c>
      <c r="J181" t="s">
        <v>204</v>
      </c>
      <c r="K181" t="s">
        <v>583</v>
      </c>
      <c r="L181" t="s">
        <v>241</v>
      </c>
      <c r="M181" t="s">
        <v>154</v>
      </c>
      <c r="N181" s="2"/>
      <c r="O181" s="4"/>
    </row>
    <row r="182" spans="1:15" ht="12.75" customHeight="1" x14ac:dyDescent="0.2">
      <c r="A182" s="369">
        <v>191080</v>
      </c>
      <c r="B182" t="s">
        <v>1324</v>
      </c>
      <c r="C182" s="342">
        <v>5242</v>
      </c>
      <c r="D182" s="342">
        <v>5031</v>
      </c>
      <c r="E182" s="342">
        <v>10273</v>
      </c>
      <c r="F182" s="342">
        <v>153358318</v>
      </c>
      <c r="G182" s="342">
        <v>196453857</v>
      </c>
      <c r="H182" s="342">
        <v>349812175</v>
      </c>
      <c r="I182" s="342">
        <v>2089351</v>
      </c>
      <c r="J182" t="s">
        <v>172</v>
      </c>
      <c r="K182" t="s">
        <v>583</v>
      </c>
      <c r="L182" t="s">
        <v>608</v>
      </c>
      <c r="M182" t="s">
        <v>46</v>
      </c>
      <c r="N182" s="2"/>
      <c r="O182" s="4"/>
    </row>
    <row r="183" spans="1:15" ht="12.75" customHeight="1" x14ac:dyDescent="0.2">
      <c r="A183" s="369">
        <v>442483</v>
      </c>
      <c r="B183" t="s">
        <v>366</v>
      </c>
      <c r="C183" s="342">
        <v>4829</v>
      </c>
      <c r="D183" s="342">
        <v>5239</v>
      </c>
      <c r="E183" s="342">
        <v>10068</v>
      </c>
      <c r="F183" s="342">
        <v>149053876</v>
      </c>
      <c r="G183" s="342">
        <v>193322395</v>
      </c>
      <c r="H183" s="342">
        <v>342376271</v>
      </c>
      <c r="I183" s="342">
        <v>5966532</v>
      </c>
      <c r="J183" t="s">
        <v>335</v>
      </c>
      <c r="K183" t="s">
        <v>583</v>
      </c>
      <c r="L183" t="s">
        <v>1521</v>
      </c>
      <c r="M183" t="s">
        <v>154</v>
      </c>
      <c r="N183" s="2"/>
      <c r="O183" s="4"/>
    </row>
    <row r="184" spans="1:15" ht="12.75" customHeight="1" x14ac:dyDescent="0.2">
      <c r="A184" s="369">
        <v>878520</v>
      </c>
      <c r="B184" t="s">
        <v>540</v>
      </c>
      <c r="C184" s="342">
        <v>4962</v>
      </c>
      <c r="D184" s="342">
        <v>5021</v>
      </c>
      <c r="E184" s="342">
        <v>9983</v>
      </c>
      <c r="F184" s="342">
        <v>385758699</v>
      </c>
      <c r="G184" s="342">
        <v>489864036</v>
      </c>
      <c r="H184" s="342">
        <v>875622735</v>
      </c>
      <c r="I184" s="342">
        <v>8333480</v>
      </c>
      <c r="J184" t="s">
        <v>177</v>
      </c>
      <c r="K184" t="s">
        <v>580</v>
      </c>
      <c r="L184" t="s">
        <v>383</v>
      </c>
      <c r="M184" t="s">
        <v>154</v>
      </c>
      <c r="N184" s="2"/>
      <c r="O184" s="4"/>
    </row>
    <row r="185" spans="1:15" ht="12.75" customHeight="1" x14ac:dyDescent="0.2">
      <c r="A185" s="369">
        <v>551507</v>
      </c>
      <c r="B185" t="s">
        <v>416</v>
      </c>
      <c r="C185" s="342">
        <v>3638</v>
      </c>
      <c r="D185" s="342">
        <v>6281</v>
      </c>
      <c r="E185" s="342">
        <v>9919</v>
      </c>
      <c r="F185" s="342">
        <v>244672332</v>
      </c>
      <c r="G185" s="342">
        <v>495299338</v>
      </c>
      <c r="H185" s="342">
        <v>739971669</v>
      </c>
      <c r="I185" s="342">
        <v>1555027</v>
      </c>
      <c r="J185" t="s">
        <v>204</v>
      </c>
      <c r="K185" t="s">
        <v>583</v>
      </c>
      <c r="L185" t="s">
        <v>241</v>
      </c>
      <c r="M185" t="s">
        <v>154</v>
      </c>
      <c r="N185" s="2"/>
      <c r="O185" s="4"/>
    </row>
    <row r="186" spans="1:15" ht="12.75" customHeight="1" x14ac:dyDescent="0.2">
      <c r="A186" s="369">
        <v>598557</v>
      </c>
      <c r="B186" t="s">
        <v>437</v>
      </c>
      <c r="C186" s="342">
        <v>4977</v>
      </c>
      <c r="D186" s="342">
        <v>4801</v>
      </c>
      <c r="E186" s="342">
        <v>9778</v>
      </c>
      <c r="F186" s="342">
        <v>315342895</v>
      </c>
      <c r="G186" s="342">
        <v>353791669</v>
      </c>
      <c r="H186" s="342">
        <v>669134564</v>
      </c>
      <c r="I186" s="342">
        <v>6072164</v>
      </c>
      <c r="J186" t="s">
        <v>197</v>
      </c>
      <c r="K186" t="s">
        <v>583</v>
      </c>
      <c r="L186" t="s">
        <v>320</v>
      </c>
      <c r="M186" t="s">
        <v>46</v>
      </c>
      <c r="N186" s="2"/>
      <c r="O186" s="4"/>
    </row>
    <row r="187" spans="1:15" ht="12.75" customHeight="1" x14ac:dyDescent="0.2">
      <c r="A187" s="369">
        <v>339184</v>
      </c>
      <c r="B187" t="s">
        <v>592</v>
      </c>
      <c r="C187" s="342">
        <v>3686</v>
      </c>
      <c r="D187" s="342">
        <v>5998</v>
      </c>
      <c r="E187" s="342">
        <v>9684</v>
      </c>
      <c r="F187" s="342">
        <v>330676172</v>
      </c>
      <c r="G187" s="342">
        <v>600684793</v>
      </c>
      <c r="H187" s="342">
        <v>931360964</v>
      </c>
      <c r="I187" s="342">
        <v>11040882</v>
      </c>
      <c r="J187" t="s">
        <v>209</v>
      </c>
      <c r="K187" t="s">
        <v>583</v>
      </c>
      <c r="L187" t="s">
        <v>208</v>
      </c>
      <c r="M187" t="s">
        <v>154</v>
      </c>
      <c r="N187" s="2"/>
      <c r="O187" s="4"/>
    </row>
    <row r="188" spans="1:15" ht="12.75" customHeight="1" x14ac:dyDescent="0.2">
      <c r="A188" s="369">
        <v>367813</v>
      </c>
      <c r="B188" t="s">
        <v>332</v>
      </c>
      <c r="C188" s="342">
        <v>4862</v>
      </c>
      <c r="D188" s="342">
        <v>4700</v>
      </c>
      <c r="E188" s="342">
        <v>9562</v>
      </c>
      <c r="F188" s="342">
        <v>321369622</v>
      </c>
      <c r="G188" s="342">
        <v>380417634</v>
      </c>
      <c r="H188" s="342">
        <v>701787256</v>
      </c>
      <c r="I188" s="342">
        <v>4902841</v>
      </c>
      <c r="J188" t="s">
        <v>212</v>
      </c>
      <c r="K188" t="s">
        <v>580</v>
      </c>
      <c r="L188" t="s">
        <v>155</v>
      </c>
      <c r="M188" t="s">
        <v>154</v>
      </c>
      <c r="N188" s="2"/>
      <c r="O188" s="4"/>
    </row>
    <row r="189" spans="1:15" ht="12.75" customHeight="1" x14ac:dyDescent="0.2">
      <c r="A189" s="369">
        <v>838441</v>
      </c>
      <c r="B189" t="s">
        <v>524</v>
      </c>
      <c r="C189" s="342">
        <v>5413</v>
      </c>
      <c r="D189" s="342">
        <v>4114</v>
      </c>
      <c r="E189" s="342">
        <v>9527</v>
      </c>
      <c r="F189" s="342">
        <v>392259258</v>
      </c>
      <c r="G189" s="342">
        <v>367255643</v>
      </c>
      <c r="H189" s="342">
        <v>759514900</v>
      </c>
      <c r="I189" s="342">
        <v>3541736</v>
      </c>
      <c r="J189" t="s">
        <v>209</v>
      </c>
      <c r="K189" t="s">
        <v>583</v>
      </c>
      <c r="L189" t="s">
        <v>168</v>
      </c>
      <c r="M189" t="s">
        <v>154</v>
      </c>
      <c r="N189" s="2"/>
      <c r="O189" s="4"/>
    </row>
    <row r="190" spans="1:15" ht="12.75" customHeight="1" x14ac:dyDescent="0.2">
      <c r="A190" s="369">
        <v>320762</v>
      </c>
      <c r="B190" t="s">
        <v>310</v>
      </c>
      <c r="C190" s="342">
        <v>4788</v>
      </c>
      <c r="D190" s="342">
        <v>4703</v>
      </c>
      <c r="E190" s="342">
        <v>9491</v>
      </c>
      <c r="F190" s="342">
        <v>396787627</v>
      </c>
      <c r="G190" s="342">
        <v>480253930</v>
      </c>
      <c r="H190" s="342">
        <v>877041557</v>
      </c>
      <c r="I190" s="342">
        <v>7262806</v>
      </c>
      <c r="J190" t="s">
        <v>246</v>
      </c>
      <c r="K190" t="s">
        <v>577</v>
      </c>
      <c r="L190" t="s">
        <v>170</v>
      </c>
      <c r="M190" t="s">
        <v>154</v>
      </c>
      <c r="N190" s="2"/>
      <c r="O190" s="4"/>
    </row>
    <row r="191" spans="1:15" ht="12.75" customHeight="1" x14ac:dyDescent="0.2">
      <c r="A191" s="369">
        <v>152181</v>
      </c>
      <c r="B191" t="s">
        <v>207</v>
      </c>
      <c r="C191" s="342">
        <v>3460</v>
      </c>
      <c r="D191" s="342">
        <v>6015</v>
      </c>
      <c r="E191" s="342">
        <v>9475</v>
      </c>
      <c r="F191" s="342">
        <v>373625201</v>
      </c>
      <c r="G191" s="342">
        <v>682948276</v>
      </c>
      <c r="H191" s="342">
        <v>1056573477</v>
      </c>
      <c r="I191" s="342">
        <v>21214562</v>
      </c>
      <c r="J191" t="s">
        <v>209</v>
      </c>
      <c r="K191" t="s">
        <v>583</v>
      </c>
      <c r="L191" t="s">
        <v>208</v>
      </c>
      <c r="M191" t="s">
        <v>154</v>
      </c>
      <c r="N191" s="2"/>
      <c r="O191" s="4"/>
    </row>
    <row r="192" spans="1:15" ht="12.75" customHeight="1" x14ac:dyDescent="0.2">
      <c r="A192" s="369">
        <v>666495</v>
      </c>
      <c r="B192" t="s">
        <v>466</v>
      </c>
      <c r="C192" s="342">
        <v>4871</v>
      </c>
      <c r="D192" s="342">
        <v>4604</v>
      </c>
      <c r="E192" s="342">
        <v>9475</v>
      </c>
      <c r="F192" s="342">
        <v>117934501</v>
      </c>
      <c r="G192" s="342">
        <v>138911171</v>
      </c>
      <c r="H192" s="342">
        <v>256845672</v>
      </c>
      <c r="I192" s="342">
        <v>1885136</v>
      </c>
      <c r="J192" t="s">
        <v>185</v>
      </c>
      <c r="K192" t="s">
        <v>583</v>
      </c>
      <c r="L192" t="s">
        <v>1510</v>
      </c>
      <c r="M192" t="s">
        <v>46</v>
      </c>
      <c r="N192" s="2"/>
      <c r="O192" s="4"/>
    </row>
    <row r="193" spans="1:15" ht="12.75" customHeight="1" x14ac:dyDescent="0.2">
      <c r="A193" s="369">
        <v>584912</v>
      </c>
      <c r="B193" t="s">
        <v>434</v>
      </c>
      <c r="C193" s="342">
        <v>4120</v>
      </c>
      <c r="D193" s="342">
        <v>5098</v>
      </c>
      <c r="E193" s="342">
        <v>9218</v>
      </c>
      <c r="F193" s="342">
        <v>259640243</v>
      </c>
      <c r="G193" s="342">
        <v>386554652</v>
      </c>
      <c r="H193" s="342">
        <v>646194895</v>
      </c>
      <c r="I193" s="342">
        <v>3471481</v>
      </c>
      <c r="J193" t="s">
        <v>156</v>
      </c>
      <c r="K193" t="s">
        <v>583</v>
      </c>
      <c r="L193" t="s">
        <v>244</v>
      </c>
      <c r="M193" t="s">
        <v>154</v>
      </c>
      <c r="N193" s="2"/>
      <c r="O193" s="4"/>
    </row>
    <row r="194" spans="1:15" ht="12.75" customHeight="1" x14ac:dyDescent="0.2">
      <c r="A194" s="369">
        <v>206250</v>
      </c>
      <c r="B194" t="s">
        <v>240</v>
      </c>
      <c r="C194" s="342">
        <v>4392</v>
      </c>
      <c r="D194" s="342">
        <v>4726</v>
      </c>
      <c r="E194" s="342">
        <v>9118</v>
      </c>
      <c r="F194" s="342">
        <v>146835381</v>
      </c>
      <c r="G194" s="342">
        <v>199390648</v>
      </c>
      <c r="H194" s="342">
        <v>346226028</v>
      </c>
      <c r="I194" s="342">
        <v>1586317</v>
      </c>
      <c r="J194" t="s">
        <v>172</v>
      </c>
      <c r="K194" t="s">
        <v>583</v>
      </c>
      <c r="L194" t="s">
        <v>241</v>
      </c>
      <c r="M194" t="s">
        <v>154</v>
      </c>
      <c r="N194" s="2"/>
      <c r="O194" s="4"/>
    </row>
    <row r="195" spans="1:15" ht="12.75" customHeight="1" x14ac:dyDescent="0.2">
      <c r="A195" s="369">
        <v>233585</v>
      </c>
      <c r="B195" t="s">
        <v>626</v>
      </c>
      <c r="C195" s="342">
        <v>3388</v>
      </c>
      <c r="D195" s="342">
        <v>5646</v>
      </c>
      <c r="E195" s="342">
        <v>9034</v>
      </c>
      <c r="F195" s="342">
        <v>264565967</v>
      </c>
      <c r="G195" s="342">
        <v>542045384</v>
      </c>
      <c r="H195" s="342">
        <v>806611352</v>
      </c>
      <c r="I195" s="342">
        <v>176370</v>
      </c>
      <c r="J195" t="s">
        <v>257</v>
      </c>
      <c r="K195" t="s">
        <v>583</v>
      </c>
      <c r="L195" t="s">
        <v>1514</v>
      </c>
      <c r="M195" t="s">
        <v>46</v>
      </c>
      <c r="N195" s="2"/>
      <c r="O195" s="4"/>
    </row>
    <row r="196" spans="1:15" ht="12.75" customHeight="1" x14ac:dyDescent="0.2">
      <c r="A196" s="369">
        <v>336826</v>
      </c>
      <c r="B196" t="s">
        <v>322</v>
      </c>
      <c r="C196" s="342">
        <v>4120</v>
      </c>
      <c r="D196" s="342">
        <v>4749</v>
      </c>
      <c r="E196" s="342">
        <v>8869</v>
      </c>
      <c r="F196" s="342">
        <v>256360950</v>
      </c>
      <c r="G196" s="342">
        <v>342899158</v>
      </c>
      <c r="H196" s="342">
        <v>599260108</v>
      </c>
      <c r="I196" s="342">
        <v>3005641</v>
      </c>
      <c r="J196" t="s">
        <v>185</v>
      </c>
      <c r="K196" t="s">
        <v>583</v>
      </c>
      <c r="L196" t="s">
        <v>1507</v>
      </c>
      <c r="M196" t="s">
        <v>46</v>
      </c>
      <c r="N196" s="2"/>
      <c r="O196" s="4"/>
    </row>
    <row r="197" spans="1:15" ht="12.75" customHeight="1" x14ac:dyDescent="0.2">
      <c r="A197" s="369">
        <v>301580</v>
      </c>
      <c r="B197" t="s">
        <v>297</v>
      </c>
      <c r="C197" s="342">
        <v>4474</v>
      </c>
      <c r="D197" s="342">
        <v>4306</v>
      </c>
      <c r="E197" s="342">
        <v>8780</v>
      </c>
      <c r="F197" s="342">
        <v>395625232</v>
      </c>
      <c r="G197" s="342">
        <v>444083785</v>
      </c>
      <c r="H197" s="342">
        <v>839709017</v>
      </c>
      <c r="I197" s="342">
        <v>9775460</v>
      </c>
      <c r="J197" t="s">
        <v>182</v>
      </c>
      <c r="K197" t="s">
        <v>583</v>
      </c>
      <c r="L197" t="s">
        <v>184</v>
      </c>
      <c r="M197" t="s">
        <v>154</v>
      </c>
      <c r="N197" s="2"/>
      <c r="O197" s="4"/>
    </row>
    <row r="198" spans="1:15" ht="12.75" customHeight="1" x14ac:dyDescent="0.2">
      <c r="A198" s="369">
        <v>469692</v>
      </c>
      <c r="B198" t="s">
        <v>376</v>
      </c>
      <c r="C198" s="342">
        <v>3488</v>
      </c>
      <c r="D198" s="342">
        <v>5290</v>
      </c>
      <c r="E198" s="342">
        <v>8778</v>
      </c>
      <c r="F198" s="342">
        <v>124798650</v>
      </c>
      <c r="G198" s="342">
        <v>248248880</v>
      </c>
      <c r="H198" s="342">
        <v>373047530</v>
      </c>
      <c r="I198" s="342">
        <v>7427355</v>
      </c>
      <c r="J198" t="s">
        <v>221</v>
      </c>
      <c r="K198" t="s">
        <v>583</v>
      </c>
      <c r="L198" t="s">
        <v>191</v>
      </c>
      <c r="M198" t="s">
        <v>46</v>
      </c>
      <c r="N198" s="2"/>
      <c r="O198" s="4"/>
    </row>
    <row r="199" spans="1:15" ht="12.75" customHeight="1" x14ac:dyDescent="0.2">
      <c r="A199" s="369">
        <v>848069</v>
      </c>
      <c r="B199" t="s">
        <v>1387</v>
      </c>
      <c r="C199" s="342">
        <v>3337</v>
      </c>
      <c r="D199" s="342">
        <v>5211</v>
      </c>
      <c r="E199" s="342">
        <v>8548</v>
      </c>
      <c r="F199" s="342">
        <v>255928365</v>
      </c>
      <c r="G199" s="342">
        <v>478263711</v>
      </c>
      <c r="H199" s="342">
        <v>734192076</v>
      </c>
      <c r="I199" s="342">
        <v>5030655</v>
      </c>
      <c r="J199" t="s">
        <v>232</v>
      </c>
      <c r="K199" t="s">
        <v>583</v>
      </c>
      <c r="L199" t="s">
        <v>1513</v>
      </c>
      <c r="M199" t="s">
        <v>46</v>
      </c>
      <c r="N199" s="2"/>
      <c r="O199" s="4"/>
    </row>
    <row r="200" spans="1:15" ht="12.75" customHeight="1" x14ac:dyDescent="0.2">
      <c r="A200" s="369">
        <v>614966</v>
      </c>
      <c r="B200" t="s">
        <v>150</v>
      </c>
      <c r="C200" s="342">
        <v>3168</v>
      </c>
      <c r="D200" s="342">
        <v>5307</v>
      </c>
      <c r="E200" s="342">
        <v>8475</v>
      </c>
      <c r="F200" s="342">
        <v>284282112</v>
      </c>
      <c r="G200" s="342">
        <v>564888186</v>
      </c>
      <c r="H200" s="342">
        <v>849170298</v>
      </c>
      <c r="I200" s="342">
        <v>10487092</v>
      </c>
      <c r="J200" t="s">
        <v>232</v>
      </c>
      <c r="K200" t="s">
        <v>583</v>
      </c>
      <c r="L200" t="s">
        <v>1506</v>
      </c>
      <c r="M200" t="s">
        <v>46</v>
      </c>
      <c r="N200" s="2"/>
      <c r="O200" s="4"/>
    </row>
    <row r="201" spans="1:15" ht="12.75" customHeight="1" x14ac:dyDescent="0.2">
      <c r="A201" s="369">
        <v>556589</v>
      </c>
      <c r="B201" t="s">
        <v>421</v>
      </c>
      <c r="C201" s="342">
        <v>3641</v>
      </c>
      <c r="D201" s="342">
        <v>4799</v>
      </c>
      <c r="E201" s="342">
        <v>8440</v>
      </c>
      <c r="F201" s="342">
        <v>258441457</v>
      </c>
      <c r="G201" s="342">
        <v>399011852</v>
      </c>
      <c r="H201" s="342">
        <v>657453309</v>
      </c>
      <c r="I201" s="342">
        <v>-629647949</v>
      </c>
      <c r="J201" t="s">
        <v>175</v>
      </c>
      <c r="K201" t="s">
        <v>583</v>
      </c>
      <c r="L201" t="s">
        <v>184</v>
      </c>
      <c r="M201" t="s">
        <v>154</v>
      </c>
      <c r="N201" s="2"/>
      <c r="O201" s="4"/>
    </row>
    <row r="202" spans="1:15" ht="12.75" customHeight="1" x14ac:dyDescent="0.2">
      <c r="A202" s="369">
        <v>687509</v>
      </c>
      <c r="B202" t="s">
        <v>474</v>
      </c>
      <c r="C202" s="342">
        <v>2814</v>
      </c>
      <c r="D202" s="342">
        <v>5597</v>
      </c>
      <c r="E202" s="342">
        <v>8411</v>
      </c>
      <c r="F202" s="342">
        <v>194945973</v>
      </c>
      <c r="G202" s="342">
        <v>481597490</v>
      </c>
      <c r="H202" s="342">
        <v>676543463</v>
      </c>
      <c r="I202" s="342">
        <v>6012793</v>
      </c>
      <c r="J202" t="s">
        <v>163</v>
      </c>
      <c r="K202" t="s">
        <v>583</v>
      </c>
      <c r="L202" t="s">
        <v>187</v>
      </c>
      <c r="M202" t="s">
        <v>154</v>
      </c>
      <c r="N202" s="2"/>
      <c r="O202" s="4"/>
    </row>
    <row r="203" spans="1:15" ht="12.75" customHeight="1" x14ac:dyDescent="0.2">
      <c r="A203" s="369">
        <v>806869</v>
      </c>
      <c r="B203" t="s">
        <v>511</v>
      </c>
      <c r="C203" s="342">
        <v>4032</v>
      </c>
      <c r="D203" s="342">
        <v>4359</v>
      </c>
      <c r="E203" s="342">
        <v>8391</v>
      </c>
      <c r="F203" s="342">
        <v>279464799</v>
      </c>
      <c r="G203" s="342">
        <v>364137766</v>
      </c>
      <c r="H203" s="342">
        <v>643602566</v>
      </c>
      <c r="I203" s="342">
        <v>5758139</v>
      </c>
      <c r="J203" t="s">
        <v>209</v>
      </c>
      <c r="K203" t="s">
        <v>583</v>
      </c>
      <c r="L203" t="s">
        <v>383</v>
      </c>
      <c r="M203" t="s">
        <v>154</v>
      </c>
      <c r="N203" s="2"/>
      <c r="O203" s="4"/>
    </row>
    <row r="204" spans="1:15" ht="12.75" customHeight="1" x14ac:dyDescent="0.2">
      <c r="A204" s="369">
        <v>872382</v>
      </c>
      <c r="B204" t="s">
        <v>538</v>
      </c>
      <c r="C204" s="342">
        <v>3892</v>
      </c>
      <c r="D204" s="342">
        <v>4406</v>
      </c>
      <c r="E204" s="342">
        <v>8298</v>
      </c>
      <c r="F204" s="342">
        <v>121199579</v>
      </c>
      <c r="G204" s="342">
        <v>161224889</v>
      </c>
      <c r="H204" s="342">
        <v>282424468</v>
      </c>
      <c r="I204" s="342">
        <v>5160195</v>
      </c>
      <c r="J204" t="s">
        <v>335</v>
      </c>
      <c r="K204" t="s">
        <v>583</v>
      </c>
      <c r="L204" t="s">
        <v>1521</v>
      </c>
      <c r="M204" t="s">
        <v>154</v>
      </c>
      <c r="N204" s="2"/>
      <c r="O204" s="4"/>
    </row>
    <row r="205" spans="1:15" ht="12.75" customHeight="1" x14ac:dyDescent="0.2">
      <c r="A205" s="369">
        <v>811117</v>
      </c>
      <c r="B205" t="s">
        <v>512</v>
      </c>
      <c r="C205" s="342">
        <v>4294</v>
      </c>
      <c r="D205" s="342">
        <v>3967</v>
      </c>
      <c r="E205" s="342">
        <v>8261</v>
      </c>
      <c r="F205" s="342">
        <v>309948954</v>
      </c>
      <c r="G205" s="342">
        <v>340069184</v>
      </c>
      <c r="H205" s="342">
        <v>650018138</v>
      </c>
      <c r="I205" s="342">
        <v>5372696</v>
      </c>
      <c r="J205" t="s">
        <v>197</v>
      </c>
      <c r="K205" t="s">
        <v>583</v>
      </c>
      <c r="L205" t="s">
        <v>187</v>
      </c>
      <c r="M205" t="s">
        <v>154</v>
      </c>
      <c r="N205" s="2"/>
      <c r="O205" s="4"/>
    </row>
    <row r="206" spans="1:15" ht="12.75" customHeight="1" x14ac:dyDescent="0.2">
      <c r="A206" s="369">
        <v>265512</v>
      </c>
      <c r="B206" t="s">
        <v>277</v>
      </c>
      <c r="C206" s="342">
        <v>3319</v>
      </c>
      <c r="D206" s="342">
        <v>4895</v>
      </c>
      <c r="E206" s="342">
        <v>8214</v>
      </c>
      <c r="F206" s="342">
        <v>421743076</v>
      </c>
      <c r="G206" s="342">
        <v>797428836</v>
      </c>
      <c r="H206" s="342">
        <v>1219171912</v>
      </c>
      <c r="I206" s="342">
        <v>-34266627</v>
      </c>
      <c r="J206" t="s">
        <v>159</v>
      </c>
      <c r="K206" t="s">
        <v>584</v>
      </c>
      <c r="L206" t="s">
        <v>278</v>
      </c>
      <c r="M206" t="s">
        <v>154</v>
      </c>
      <c r="N206" s="2"/>
      <c r="O206" s="4"/>
    </row>
    <row r="207" spans="1:15" ht="12.75" customHeight="1" x14ac:dyDescent="0.2">
      <c r="A207" s="369">
        <v>433862</v>
      </c>
      <c r="B207" t="s">
        <v>363</v>
      </c>
      <c r="C207" s="342">
        <v>3198</v>
      </c>
      <c r="D207" s="342">
        <v>4875</v>
      </c>
      <c r="E207" s="342">
        <v>8073</v>
      </c>
      <c r="F207" s="342">
        <v>125293262</v>
      </c>
      <c r="G207" s="342">
        <v>271632024</v>
      </c>
      <c r="H207" s="342">
        <v>396925286</v>
      </c>
      <c r="I207" s="342">
        <v>1221387</v>
      </c>
      <c r="J207" t="s">
        <v>267</v>
      </c>
      <c r="K207" t="s">
        <v>583</v>
      </c>
      <c r="L207" t="s">
        <v>191</v>
      </c>
      <c r="M207" t="s">
        <v>46</v>
      </c>
      <c r="N207" s="2"/>
      <c r="O207" s="4"/>
    </row>
    <row r="208" spans="1:15" s="130" customFormat="1" ht="12.75" customHeight="1" x14ac:dyDescent="0.2">
      <c r="A208" s="369">
        <v>407064</v>
      </c>
      <c r="B208" t="s">
        <v>1378</v>
      </c>
      <c r="C208" s="342">
        <v>3518</v>
      </c>
      <c r="D208" s="342">
        <v>4529</v>
      </c>
      <c r="E208" s="342">
        <v>8047</v>
      </c>
      <c r="F208" s="342">
        <v>256070983</v>
      </c>
      <c r="G208" s="342">
        <v>363990608</v>
      </c>
      <c r="H208" s="342">
        <v>620061591</v>
      </c>
      <c r="I208" s="342">
        <v>-23809</v>
      </c>
      <c r="J208" t="s">
        <v>162</v>
      </c>
      <c r="K208" t="s">
        <v>583</v>
      </c>
      <c r="L208" t="s">
        <v>198</v>
      </c>
      <c r="M208" t="s">
        <v>154</v>
      </c>
      <c r="N208" s="20"/>
    </row>
    <row r="209" spans="1:15" ht="12.75" customHeight="1" x14ac:dyDescent="0.2">
      <c r="A209" s="369">
        <v>721035</v>
      </c>
      <c r="B209" t="s">
        <v>485</v>
      </c>
      <c r="C209" s="342">
        <v>2830</v>
      </c>
      <c r="D209" s="342">
        <v>5064</v>
      </c>
      <c r="E209" s="342">
        <v>7894</v>
      </c>
      <c r="F209" s="342">
        <v>184063423</v>
      </c>
      <c r="G209" s="342">
        <v>397148487</v>
      </c>
      <c r="H209" s="342">
        <v>581211910</v>
      </c>
      <c r="I209" s="342">
        <v>7255650</v>
      </c>
      <c r="J209" t="s">
        <v>156</v>
      </c>
      <c r="K209" t="s">
        <v>583</v>
      </c>
      <c r="L209" t="s">
        <v>1520</v>
      </c>
      <c r="M209" t="s">
        <v>46</v>
      </c>
      <c r="N209" s="2"/>
      <c r="O209" s="4"/>
    </row>
    <row r="210" spans="1:15" ht="12.75" customHeight="1" x14ac:dyDescent="0.2">
      <c r="A210" s="369">
        <v>653097</v>
      </c>
      <c r="B210" t="s">
        <v>457</v>
      </c>
      <c r="C210" s="342">
        <v>3082</v>
      </c>
      <c r="D210" s="342">
        <v>4756</v>
      </c>
      <c r="E210" s="342">
        <v>7838</v>
      </c>
      <c r="F210" s="342">
        <v>148943344</v>
      </c>
      <c r="G210" s="342">
        <v>314129240</v>
      </c>
      <c r="H210" s="342">
        <v>463072585</v>
      </c>
      <c r="I210" s="342">
        <v>951358</v>
      </c>
      <c r="J210" t="s">
        <v>257</v>
      </c>
      <c r="K210" t="s">
        <v>583</v>
      </c>
      <c r="L210" t="s">
        <v>191</v>
      </c>
      <c r="M210" t="s">
        <v>46</v>
      </c>
      <c r="N210" s="2"/>
      <c r="O210" s="4"/>
    </row>
    <row r="211" spans="1:15" ht="12.75" customHeight="1" x14ac:dyDescent="0.2">
      <c r="A211" s="369">
        <v>648964</v>
      </c>
      <c r="B211" t="s">
        <v>454</v>
      </c>
      <c r="C211" s="342">
        <v>3994</v>
      </c>
      <c r="D211" s="342">
        <v>3517</v>
      </c>
      <c r="E211" s="342">
        <v>7511</v>
      </c>
      <c r="F211" s="342">
        <v>214258355</v>
      </c>
      <c r="G211" s="342">
        <v>247502682</v>
      </c>
      <c r="H211" s="342">
        <v>461761036</v>
      </c>
      <c r="I211" s="342">
        <v>-15709296</v>
      </c>
      <c r="J211" t="s">
        <v>159</v>
      </c>
      <c r="K211" t="s">
        <v>584</v>
      </c>
      <c r="L211" t="s">
        <v>191</v>
      </c>
      <c r="M211" t="s">
        <v>154</v>
      </c>
      <c r="N211" s="2"/>
      <c r="O211" s="4"/>
    </row>
    <row r="212" spans="1:15" ht="12.75" customHeight="1" x14ac:dyDescent="0.2">
      <c r="A212" s="369">
        <v>478313</v>
      </c>
      <c r="B212" t="s">
        <v>382</v>
      </c>
      <c r="C212" s="342">
        <v>3573</v>
      </c>
      <c r="D212" s="342">
        <v>3799</v>
      </c>
      <c r="E212" s="342">
        <v>7372</v>
      </c>
      <c r="F212" s="342">
        <v>196319604</v>
      </c>
      <c r="G212" s="342">
        <v>265868037</v>
      </c>
      <c r="H212" s="342">
        <v>462187641</v>
      </c>
      <c r="I212" s="342">
        <v>-5743444</v>
      </c>
      <c r="J212" t="s">
        <v>194</v>
      </c>
      <c r="K212" t="s">
        <v>584</v>
      </c>
      <c r="L212" t="s">
        <v>383</v>
      </c>
      <c r="M212" t="s">
        <v>154</v>
      </c>
      <c r="N212" s="2"/>
      <c r="O212" s="4"/>
    </row>
    <row r="213" spans="1:15" ht="12.75" customHeight="1" x14ac:dyDescent="0.2">
      <c r="A213" s="369">
        <v>494427</v>
      </c>
      <c r="B213" t="s">
        <v>1464</v>
      </c>
      <c r="C213" s="342">
        <v>3239</v>
      </c>
      <c r="D213" s="342">
        <v>3833</v>
      </c>
      <c r="E213" s="342">
        <v>7072</v>
      </c>
      <c r="F213" s="342">
        <v>165831865</v>
      </c>
      <c r="G213" s="342">
        <v>264102095</v>
      </c>
      <c r="H213" s="342">
        <v>429933960</v>
      </c>
      <c r="I213" s="342">
        <v>3628656</v>
      </c>
      <c r="J213" t="s">
        <v>263</v>
      </c>
      <c r="K213" t="s">
        <v>583</v>
      </c>
      <c r="L213" t="s">
        <v>191</v>
      </c>
      <c r="M213" t="s">
        <v>46</v>
      </c>
      <c r="N213" s="2"/>
      <c r="O213" s="4"/>
    </row>
    <row r="214" spans="1:15" ht="12.75" customHeight="1" x14ac:dyDescent="0.2">
      <c r="A214" s="369">
        <v>242081</v>
      </c>
      <c r="B214" t="s">
        <v>259</v>
      </c>
      <c r="C214" s="342">
        <v>3447</v>
      </c>
      <c r="D214" s="342">
        <v>3572</v>
      </c>
      <c r="E214" s="342">
        <v>7019</v>
      </c>
      <c r="F214" s="342">
        <v>265946937</v>
      </c>
      <c r="G214" s="342">
        <v>382870594</v>
      </c>
      <c r="H214" s="342">
        <v>648817530</v>
      </c>
      <c r="I214" s="342">
        <v>-62990698</v>
      </c>
      <c r="J214" t="s">
        <v>159</v>
      </c>
      <c r="K214" t="s">
        <v>584</v>
      </c>
      <c r="L214" t="s">
        <v>241</v>
      </c>
      <c r="M214" t="s">
        <v>154</v>
      </c>
      <c r="N214" s="2"/>
      <c r="O214" s="4"/>
    </row>
    <row r="215" spans="1:15" ht="12.75" customHeight="1" x14ac:dyDescent="0.2">
      <c r="A215" s="369">
        <v>123901</v>
      </c>
      <c r="B215" t="s">
        <v>624</v>
      </c>
      <c r="C215" s="342">
        <v>3753</v>
      </c>
      <c r="D215" s="342">
        <v>3208</v>
      </c>
      <c r="E215" s="342">
        <v>6961</v>
      </c>
      <c r="F215" s="342">
        <v>535478036</v>
      </c>
      <c r="G215" s="342">
        <v>503329500</v>
      </c>
      <c r="H215" s="342">
        <v>1038807536</v>
      </c>
      <c r="I215" s="342">
        <v>9521033</v>
      </c>
      <c r="J215" t="s">
        <v>177</v>
      </c>
      <c r="K215" t="s">
        <v>580</v>
      </c>
      <c r="L215" t="s">
        <v>188</v>
      </c>
      <c r="M215" t="s">
        <v>46</v>
      </c>
      <c r="N215" s="2"/>
      <c r="O215" s="4"/>
    </row>
    <row r="216" spans="1:15" ht="12.75" customHeight="1" x14ac:dyDescent="0.2">
      <c r="A216" s="369">
        <v>416867</v>
      </c>
      <c r="B216" t="s">
        <v>354</v>
      </c>
      <c r="C216" s="342">
        <v>2784</v>
      </c>
      <c r="D216" s="342">
        <v>4154</v>
      </c>
      <c r="E216" s="342">
        <v>6938</v>
      </c>
      <c r="F216" s="342">
        <v>231307866</v>
      </c>
      <c r="G216" s="342">
        <v>384813097</v>
      </c>
      <c r="H216" s="342">
        <v>616120963</v>
      </c>
      <c r="I216" s="342">
        <v>1673112</v>
      </c>
      <c r="J216" t="s">
        <v>156</v>
      </c>
      <c r="K216" t="s">
        <v>583</v>
      </c>
      <c r="L216" t="s">
        <v>1505</v>
      </c>
      <c r="M216" t="s">
        <v>154</v>
      </c>
      <c r="N216" s="2"/>
      <c r="O216" s="4"/>
    </row>
    <row r="217" spans="1:15" ht="12.75" customHeight="1" x14ac:dyDescent="0.2">
      <c r="A217" s="369">
        <v>914945</v>
      </c>
      <c r="B217" t="s">
        <v>552</v>
      </c>
      <c r="C217" s="342">
        <v>3040</v>
      </c>
      <c r="D217" s="342">
        <v>3862</v>
      </c>
      <c r="E217" s="342">
        <v>6902</v>
      </c>
      <c r="F217" s="342">
        <v>138322913</v>
      </c>
      <c r="G217" s="342">
        <v>218812195</v>
      </c>
      <c r="H217" s="342">
        <v>357135108</v>
      </c>
      <c r="I217" s="342">
        <v>3644856</v>
      </c>
      <c r="J217" t="s">
        <v>263</v>
      </c>
      <c r="K217" t="s">
        <v>583</v>
      </c>
      <c r="L217" t="s">
        <v>184</v>
      </c>
      <c r="M217" t="s">
        <v>154</v>
      </c>
      <c r="N217" s="2"/>
      <c r="O217" s="4"/>
    </row>
    <row r="218" spans="1:15" ht="12.75" customHeight="1" x14ac:dyDescent="0.2">
      <c r="A218" s="369">
        <v>469817</v>
      </c>
      <c r="B218" t="s">
        <v>377</v>
      </c>
      <c r="C218" s="342">
        <v>3547</v>
      </c>
      <c r="D218" s="342">
        <v>3309</v>
      </c>
      <c r="E218" s="342">
        <v>6856</v>
      </c>
      <c r="F218" s="342">
        <v>142617373</v>
      </c>
      <c r="G218" s="342">
        <v>170858283</v>
      </c>
      <c r="H218" s="342">
        <v>313475655</v>
      </c>
      <c r="I218" s="342">
        <v>-1023499</v>
      </c>
      <c r="J218" t="s">
        <v>159</v>
      </c>
      <c r="K218" t="s">
        <v>584</v>
      </c>
      <c r="L218" t="s">
        <v>155</v>
      </c>
      <c r="M218" t="s">
        <v>154</v>
      </c>
      <c r="N218" s="2"/>
      <c r="O218" s="4"/>
    </row>
    <row r="219" spans="1:15" ht="12.75" customHeight="1" x14ac:dyDescent="0.2">
      <c r="A219" s="369">
        <v>727057</v>
      </c>
      <c r="B219" t="s">
        <v>489</v>
      </c>
      <c r="C219" s="342">
        <v>2753</v>
      </c>
      <c r="D219" s="342">
        <v>3982</v>
      </c>
      <c r="E219" s="342">
        <v>6735</v>
      </c>
      <c r="F219" s="342">
        <v>665183893</v>
      </c>
      <c r="G219" s="342">
        <v>1140618606</v>
      </c>
      <c r="H219" s="342">
        <v>1805802499</v>
      </c>
      <c r="I219" s="342">
        <v>19088239</v>
      </c>
      <c r="J219" t="s">
        <v>212</v>
      </c>
      <c r="K219" t="s">
        <v>580</v>
      </c>
      <c r="L219" t="s">
        <v>371</v>
      </c>
      <c r="M219" t="s">
        <v>154</v>
      </c>
      <c r="N219" s="2"/>
      <c r="O219" s="4"/>
    </row>
    <row r="220" spans="1:15" ht="12.75" customHeight="1" x14ac:dyDescent="0.2">
      <c r="A220" s="369">
        <v>617670</v>
      </c>
      <c r="B220" t="s">
        <v>446</v>
      </c>
      <c r="C220" s="342">
        <v>2264</v>
      </c>
      <c r="D220" s="342">
        <v>4364</v>
      </c>
      <c r="E220" s="342">
        <v>6628</v>
      </c>
      <c r="F220" s="342">
        <v>153735689</v>
      </c>
      <c r="G220" s="342">
        <v>373650774</v>
      </c>
      <c r="H220" s="342">
        <v>527386462</v>
      </c>
      <c r="I220" s="342">
        <v>-6549651</v>
      </c>
      <c r="J220" t="s">
        <v>257</v>
      </c>
      <c r="K220" t="s">
        <v>583</v>
      </c>
      <c r="L220" t="s">
        <v>187</v>
      </c>
      <c r="M220" t="s">
        <v>154</v>
      </c>
      <c r="N220" s="2"/>
      <c r="O220" s="4"/>
    </row>
    <row r="221" spans="1:15" ht="12.75" customHeight="1" x14ac:dyDescent="0.2">
      <c r="A221" s="369">
        <v>983593</v>
      </c>
      <c r="B221" t="s">
        <v>1346</v>
      </c>
      <c r="C221" s="342">
        <v>2631</v>
      </c>
      <c r="D221" s="342">
        <v>3832</v>
      </c>
      <c r="E221" s="342">
        <v>6463</v>
      </c>
      <c r="F221" s="342">
        <v>101215864</v>
      </c>
      <c r="G221" s="342">
        <v>185343038</v>
      </c>
      <c r="H221" s="342">
        <v>286558903</v>
      </c>
      <c r="I221" s="342">
        <v>4475966</v>
      </c>
      <c r="J221" t="s">
        <v>335</v>
      </c>
      <c r="K221" t="s">
        <v>583</v>
      </c>
      <c r="L221" t="s">
        <v>608</v>
      </c>
      <c r="M221" t="s">
        <v>46</v>
      </c>
      <c r="N221" s="2"/>
      <c r="O221" s="4"/>
    </row>
    <row r="222" spans="1:15" ht="12.75" customHeight="1" x14ac:dyDescent="0.2">
      <c r="A222" s="369">
        <v>405704</v>
      </c>
      <c r="B222" t="s">
        <v>352</v>
      </c>
      <c r="C222" s="342">
        <v>3477</v>
      </c>
      <c r="D222" s="342">
        <v>2974</v>
      </c>
      <c r="E222" s="342">
        <v>6451</v>
      </c>
      <c r="F222" s="342">
        <v>196222419</v>
      </c>
      <c r="G222" s="342">
        <v>230726438</v>
      </c>
      <c r="H222" s="342">
        <v>426948856</v>
      </c>
      <c r="I222" s="342">
        <v>-2825338</v>
      </c>
      <c r="J222" t="s">
        <v>270</v>
      </c>
      <c r="K222" t="s">
        <v>584</v>
      </c>
      <c r="L222" t="s">
        <v>184</v>
      </c>
      <c r="M222" t="s">
        <v>46</v>
      </c>
      <c r="N222" s="2"/>
      <c r="O222" s="4"/>
    </row>
    <row r="223" spans="1:15" ht="12.75" customHeight="1" x14ac:dyDescent="0.2">
      <c r="A223" s="369">
        <v>946285</v>
      </c>
      <c r="B223" t="s">
        <v>559</v>
      </c>
      <c r="C223" s="342">
        <v>2263</v>
      </c>
      <c r="D223" s="342">
        <v>4183</v>
      </c>
      <c r="E223" s="342">
        <v>6446</v>
      </c>
      <c r="F223" s="342">
        <v>595175854</v>
      </c>
      <c r="G223" s="342">
        <v>1309498941</v>
      </c>
      <c r="H223" s="342">
        <v>1904674795</v>
      </c>
      <c r="I223" s="342">
        <v>17190084</v>
      </c>
      <c r="J223" t="s">
        <v>177</v>
      </c>
      <c r="K223" t="s">
        <v>580</v>
      </c>
      <c r="L223" t="s">
        <v>1533</v>
      </c>
      <c r="M223" t="s">
        <v>46</v>
      </c>
      <c r="N223" s="2"/>
      <c r="O223" s="4"/>
    </row>
    <row r="224" spans="1:15" ht="12.75" customHeight="1" x14ac:dyDescent="0.2">
      <c r="A224" s="369">
        <v>997403</v>
      </c>
      <c r="B224" t="s">
        <v>575</v>
      </c>
      <c r="C224" s="342">
        <v>3721</v>
      </c>
      <c r="D224" s="342">
        <v>2709</v>
      </c>
      <c r="E224" s="342">
        <v>6430</v>
      </c>
      <c r="F224" s="342">
        <v>721435665</v>
      </c>
      <c r="G224" s="342">
        <v>592809740</v>
      </c>
      <c r="H224" s="342">
        <v>1314245405</v>
      </c>
      <c r="I224" s="342">
        <v>24736267</v>
      </c>
      <c r="J224" t="s">
        <v>189</v>
      </c>
      <c r="K224" t="s">
        <v>580</v>
      </c>
      <c r="L224" t="s">
        <v>184</v>
      </c>
      <c r="M224" t="s">
        <v>46</v>
      </c>
      <c r="N224" s="2"/>
      <c r="O224" s="4"/>
    </row>
    <row r="225" spans="1:15" ht="12.75" customHeight="1" x14ac:dyDescent="0.2">
      <c r="A225" s="369">
        <v>272898</v>
      </c>
      <c r="B225" t="s">
        <v>282</v>
      </c>
      <c r="C225" s="342">
        <v>2336</v>
      </c>
      <c r="D225" s="342">
        <v>3972</v>
      </c>
      <c r="E225" s="342">
        <v>6308</v>
      </c>
      <c r="F225" s="342">
        <v>167165383</v>
      </c>
      <c r="G225" s="342">
        <v>313556924</v>
      </c>
      <c r="H225" s="342">
        <v>480722308</v>
      </c>
      <c r="I225" s="342">
        <v>467585</v>
      </c>
      <c r="J225" t="s">
        <v>209</v>
      </c>
      <c r="K225" t="s">
        <v>583</v>
      </c>
      <c r="L225" t="s">
        <v>208</v>
      </c>
      <c r="M225" t="s">
        <v>154</v>
      </c>
      <c r="N225" s="2"/>
      <c r="O225" s="4"/>
    </row>
    <row r="226" spans="1:15" ht="12.75" customHeight="1" x14ac:dyDescent="0.2">
      <c r="A226" s="369">
        <v>694539</v>
      </c>
      <c r="B226" t="s">
        <v>477</v>
      </c>
      <c r="C226" s="342">
        <v>2964</v>
      </c>
      <c r="D226" s="342">
        <v>3243</v>
      </c>
      <c r="E226" s="342">
        <v>6207</v>
      </c>
      <c r="F226" s="342">
        <v>289102963</v>
      </c>
      <c r="G226" s="342">
        <v>376992141</v>
      </c>
      <c r="H226" s="342">
        <v>666095104</v>
      </c>
      <c r="I226" s="342">
        <v>4765058</v>
      </c>
      <c r="J226" t="s">
        <v>156</v>
      </c>
      <c r="K226" t="s">
        <v>583</v>
      </c>
      <c r="L226" t="s">
        <v>1505</v>
      </c>
      <c r="M226" t="s">
        <v>154</v>
      </c>
      <c r="N226" s="2"/>
      <c r="O226" s="4"/>
    </row>
    <row r="227" spans="1:15" ht="12.75" customHeight="1" x14ac:dyDescent="0.2">
      <c r="A227" s="369">
        <v>823096</v>
      </c>
      <c r="B227" t="s">
        <v>517</v>
      </c>
      <c r="C227" s="342">
        <v>2279</v>
      </c>
      <c r="D227" s="342">
        <v>3842</v>
      </c>
      <c r="E227" s="342">
        <v>6121</v>
      </c>
      <c r="F227" s="342">
        <v>117241009</v>
      </c>
      <c r="G227" s="342">
        <v>245347523</v>
      </c>
      <c r="H227" s="342">
        <v>362588532</v>
      </c>
      <c r="I227" s="342">
        <v>-47463</v>
      </c>
      <c r="J227" t="s">
        <v>263</v>
      </c>
      <c r="K227" t="s">
        <v>583</v>
      </c>
      <c r="L227" t="s">
        <v>278</v>
      </c>
      <c r="M227" t="s">
        <v>154</v>
      </c>
      <c r="N227" s="2"/>
      <c r="O227" s="4"/>
    </row>
    <row r="228" spans="1:15" ht="12.75" customHeight="1" x14ac:dyDescent="0.2">
      <c r="A228" s="369">
        <v>654459</v>
      </c>
      <c r="B228" t="s">
        <v>458</v>
      </c>
      <c r="C228" s="342">
        <v>2844</v>
      </c>
      <c r="D228" s="342">
        <v>3235</v>
      </c>
      <c r="E228" s="342">
        <v>6079</v>
      </c>
      <c r="F228" s="342">
        <v>134216304</v>
      </c>
      <c r="G228" s="342">
        <v>172787498</v>
      </c>
      <c r="H228" s="342">
        <v>307003802</v>
      </c>
      <c r="I228" s="342">
        <v>1374010</v>
      </c>
      <c r="J228" t="s">
        <v>185</v>
      </c>
      <c r="K228" t="s">
        <v>583</v>
      </c>
      <c r="L228" t="s">
        <v>155</v>
      </c>
      <c r="M228" t="s">
        <v>154</v>
      </c>
      <c r="N228" s="2"/>
      <c r="O228" s="4"/>
    </row>
    <row r="229" spans="1:15" ht="12.75" customHeight="1" x14ac:dyDescent="0.2">
      <c r="A229" s="369">
        <v>515676</v>
      </c>
      <c r="B229" t="s">
        <v>400</v>
      </c>
      <c r="C229" s="342">
        <v>2166</v>
      </c>
      <c r="D229" s="342">
        <v>3872</v>
      </c>
      <c r="E229" s="342">
        <v>6038</v>
      </c>
      <c r="F229" s="342">
        <v>187119535</v>
      </c>
      <c r="G229" s="342">
        <v>385371679</v>
      </c>
      <c r="H229" s="342">
        <v>572491214</v>
      </c>
      <c r="I229" s="342">
        <v>17816442</v>
      </c>
      <c r="J229" t="s">
        <v>156</v>
      </c>
      <c r="K229" t="s">
        <v>583</v>
      </c>
      <c r="L229" t="s">
        <v>241</v>
      </c>
      <c r="M229" t="s">
        <v>154</v>
      </c>
      <c r="N229" s="2"/>
      <c r="O229" s="4"/>
    </row>
    <row r="230" spans="1:15" ht="12.75" customHeight="1" x14ac:dyDescent="0.2">
      <c r="A230" s="369">
        <v>718205</v>
      </c>
      <c r="B230" t="s">
        <v>484</v>
      </c>
      <c r="C230" s="342">
        <v>3193</v>
      </c>
      <c r="D230" s="342">
        <v>2806</v>
      </c>
      <c r="E230" s="342">
        <v>5999</v>
      </c>
      <c r="F230" s="342">
        <v>195992343</v>
      </c>
      <c r="G230" s="342">
        <v>278105736</v>
      </c>
      <c r="H230" s="342">
        <v>474098079</v>
      </c>
      <c r="I230" s="342">
        <v>-5074184</v>
      </c>
      <c r="J230" t="s">
        <v>194</v>
      </c>
      <c r="K230" t="s">
        <v>584</v>
      </c>
      <c r="L230" t="s">
        <v>187</v>
      </c>
      <c r="M230" t="s">
        <v>154</v>
      </c>
      <c r="N230" s="2"/>
      <c r="O230" s="4"/>
    </row>
    <row r="231" spans="1:15" ht="12.75" customHeight="1" x14ac:dyDescent="0.2">
      <c r="A231" s="369">
        <v>551804</v>
      </c>
      <c r="B231" t="s">
        <v>417</v>
      </c>
      <c r="C231" s="342">
        <v>2381</v>
      </c>
      <c r="D231" s="342">
        <v>3307</v>
      </c>
      <c r="E231" s="342">
        <v>5688</v>
      </c>
      <c r="F231" s="342">
        <v>138172452</v>
      </c>
      <c r="G231" s="342">
        <v>260024619</v>
      </c>
      <c r="H231" s="342">
        <v>398197071</v>
      </c>
      <c r="I231" s="342">
        <v>-61650360</v>
      </c>
      <c r="J231" t="s">
        <v>169</v>
      </c>
      <c r="K231" t="s">
        <v>584</v>
      </c>
      <c r="L231" t="s">
        <v>1507</v>
      </c>
      <c r="M231" t="s">
        <v>46</v>
      </c>
      <c r="N231" s="2"/>
      <c r="O231" s="4"/>
    </row>
    <row r="232" spans="1:15" ht="12.75" customHeight="1" x14ac:dyDescent="0.2">
      <c r="A232" s="369">
        <v>615310</v>
      </c>
      <c r="B232" t="s">
        <v>444</v>
      </c>
      <c r="C232" s="342">
        <v>2819</v>
      </c>
      <c r="D232" s="342">
        <v>2793</v>
      </c>
      <c r="E232" s="342">
        <v>5612</v>
      </c>
      <c r="F232" s="342">
        <v>538529245</v>
      </c>
      <c r="G232" s="342">
        <v>612455585</v>
      </c>
      <c r="H232" s="342">
        <v>1150984830</v>
      </c>
      <c r="I232" s="342">
        <v>12606736</v>
      </c>
      <c r="J232" t="s">
        <v>177</v>
      </c>
      <c r="K232" t="s">
        <v>580</v>
      </c>
      <c r="L232" t="s">
        <v>371</v>
      </c>
      <c r="M232" t="s">
        <v>154</v>
      </c>
      <c r="N232" s="2"/>
      <c r="O232" s="4"/>
    </row>
    <row r="233" spans="1:15" ht="12.75" customHeight="1" x14ac:dyDescent="0.2">
      <c r="A233" s="369">
        <v>986604</v>
      </c>
      <c r="B233" t="s">
        <v>572</v>
      </c>
      <c r="C233" s="342">
        <v>2488</v>
      </c>
      <c r="D233" s="342">
        <v>3116</v>
      </c>
      <c r="E233" s="342">
        <v>5604</v>
      </c>
      <c r="F233" s="342">
        <v>142017953</v>
      </c>
      <c r="G233" s="342">
        <v>224185619</v>
      </c>
      <c r="H233" s="342">
        <v>366203572</v>
      </c>
      <c r="I233" s="342">
        <v>4059958</v>
      </c>
      <c r="J233" t="s">
        <v>204</v>
      </c>
      <c r="K233" t="s">
        <v>583</v>
      </c>
      <c r="L233" t="s">
        <v>184</v>
      </c>
      <c r="M233" t="s">
        <v>154</v>
      </c>
      <c r="N233" s="2"/>
      <c r="O233" s="4"/>
    </row>
    <row r="234" spans="1:15" ht="12.75" customHeight="1" x14ac:dyDescent="0.2">
      <c r="A234" s="369">
        <v>661066</v>
      </c>
      <c r="B234" t="s">
        <v>1472</v>
      </c>
      <c r="C234" s="342">
        <v>2537</v>
      </c>
      <c r="D234" s="342">
        <v>3060</v>
      </c>
      <c r="E234" s="342">
        <v>5597</v>
      </c>
      <c r="F234" s="342">
        <v>81076642</v>
      </c>
      <c r="G234" s="342">
        <v>127965096</v>
      </c>
      <c r="H234" s="342">
        <v>209041738</v>
      </c>
      <c r="I234" s="342">
        <v>-578164626</v>
      </c>
      <c r="J234" t="s">
        <v>239</v>
      </c>
      <c r="K234" t="s">
        <v>583</v>
      </c>
      <c r="L234" t="s">
        <v>1509</v>
      </c>
      <c r="M234" t="s">
        <v>46</v>
      </c>
      <c r="N234" s="2"/>
      <c r="O234" s="4"/>
    </row>
    <row r="235" spans="1:15" ht="12.75" customHeight="1" x14ac:dyDescent="0.2">
      <c r="A235" s="369">
        <v>344739</v>
      </c>
      <c r="B235" t="s">
        <v>615</v>
      </c>
      <c r="C235" s="342">
        <v>3025</v>
      </c>
      <c r="D235" s="342">
        <v>2536</v>
      </c>
      <c r="E235" s="342">
        <v>5561</v>
      </c>
      <c r="F235" s="342">
        <v>203368297</v>
      </c>
      <c r="G235" s="342">
        <v>192705299</v>
      </c>
      <c r="H235" s="342">
        <v>396073597</v>
      </c>
      <c r="I235" s="342">
        <v>2458543</v>
      </c>
      <c r="J235" t="s">
        <v>209</v>
      </c>
      <c r="K235" t="s">
        <v>583</v>
      </c>
      <c r="L235" t="s">
        <v>304</v>
      </c>
      <c r="M235" t="s">
        <v>154</v>
      </c>
      <c r="N235" s="2"/>
      <c r="O235" s="4"/>
    </row>
    <row r="236" spans="1:15" ht="12.75" customHeight="1" x14ac:dyDescent="0.2">
      <c r="A236" s="369">
        <v>791863</v>
      </c>
      <c r="B236" t="s">
        <v>1528</v>
      </c>
      <c r="C236" s="342">
        <v>2647</v>
      </c>
      <c r="D236" s="342">
        <v>2853</v>
      </c>
      <c r="E236" s="342">
        <v>5500</v>
      </c>
      <c r="F236" s="342">
        <v>129313140</v>
      </c>
      <c r="G236" s="342">
        <v>152735052</v>
      </c>
      <c r="H236" s="342">
        <v>282048192</v>
      </c>
      <c r="I236" s="342">
        <v>172598520</v>
      </c>
      <c r="J236" t="s">
        <v>162</v>
      </c>
      <c r="K236" t="s">
        <v>583</v>
      </c>
      <c r="L236" t="s">
        <v>1512</v>
      </c>
      <c r="M236" t="s">
        <v>46</v>
      </c>
      <c r="N236" s="2"/>
      <c r="O236" s="4"/>
    </row>
    <row r="237" spans="1:15" ht="12.75" customHeight="1" x14ac:dyDescent="0.2">
      <c r="A237" s="369">
        <v>174490</v>
      </c>
      <c r="B237" t="s">
        <v>1323</v>
      </c>
      <c r="C237" s="342">
        <v>2420</v>
      </c>
      <c r="D237" s="342">
        <v>3035</v>
      </c>
      <c r="E237" s="342">
        <v>5455</v>
      </c>
      <c r="F237" s="342">
        <v>77134467</v>
      </c>
      <c r="G237" s="342">
        <v>124034784</v>
      </c>
      <c r="H237" s="342">
        <v>201169250</v>
      </c>
      <c r="I237" s="342">
        <v>2576027</v>
      </c>
      <c r="J237" t="s">
        <v>214</v>
      </c>
      <c r="K237" t="s">
        <v>583</v>
      </c>
      <c r="L237" t="s">
        <v>1512</v>
      </c>
      <c r="M237" t="s">
        <v>46</v>
      </c>
      <c r="N237" s="2"/>
      <c r="O237" s="4"/>
    </row>
    <row r="238" spans="1:15" ht="12.75" customHeight="1" x14ac:dyDescent="0.2">
      <c r="A238" s="369">
        <v>829945</v>
      </c>
      <c r="B238" t="s">
        <v>520</v>
      </c>
      <c r="C238" s="342">
        <v>2807</v>
      </c>
      <c r="D238" s="342">
        <v>2477</v>
      </c>
      <c r="E238" s="342">
        <v>5284</v>
      </c>
      <c r="F238" s="342">
        <v>173470501</v>
      </c>
      <c r="G238" s="342">
        <v>177671036</v>
      </c>
      <c r="H238" s="342">
        <v>351141537</v>
      </c>
      <c r="I238" s="342">
        <v>2783856</v>
      </c>
      <c r="J238" t="s">
        <v>189</v>
      </c>
      <c r="K238" t="s">
        <v>580</v>
      </c>
      <c r="L238" t="s">
        <v>1352</v>
      </c>
      <c r="M238" t="s">
        <v>46</v>
      </c>
      <c r="N238" s="2"/>
      <c r="O238" s="4"/>
    </row>
    <row r="239" spans="1:15" ht="12.75" customHeight="1" x14ac:dyDescent="0.2">
      <c r="A239" s="369">
        <v>183178</v>
      </c>
      <c r="B239" t="s">
        <v>226</v>
      </c>
      <c r="C239" s="342">
        <v>2450</v>
      </c>
      <c r="D239" s="342">
        <v>2803</v>
      </c>
      <c r="E239" s="342">
        <v>5253</v>
      </c>
      <c r="F239" s="342">
        <v>141759442</v>
      </c>
      <c r="G239" s="342">
        <v>191559819</v>
      </c>
      <c r="H239" s="342">
        <v>333319262</v>
      </c>
      <c r="I239" s="342">
        <v>1243968</v>
      </c>
      <c r="J239" t="s">
        <v>201</v>
      </c>
      <c r="K239" t="s">
        <v>583</v>
      </c>
      <c r="L239" t="s">
        <v>165</v>
      </c>
      <c r="M239" t="s">
        <v>46</v>
      </c>
      <c r="N239" s="2"/>
      <c r="O239" s="4"/>
    </row>
    <row r="240" spans="1:15" ht="12.75" customHeight="1" x14ac:dyDescent="0.2">
      <c r="A240" s="369">
        <v>870907</v>
      </c>
      <c r="B240" t="s">
        <v>537</v>
      </c>
      <c r="C240" s="342">
        <v>2093</v>
      </c>
      <c r="D240" s="342">
        <v>3095</v>
      </c>
      <c r="E240" s="342">
        <v>5188</v>
      </c>
      <c r="F240" s="342">
        <v>110388031</v>
      </c>
      <c r="G240" s="342">
        <v>182014124</v>
      </c>
      <c r="H240" s="342">
        <v>292402156</v>
      </c>
      <c r="I240" s="342">
        <v>3154380</v>
      </c>
      <c r="J240" t="s">
        <v>172</v>
      </c>
      <c r="K240" t="s">
        <v>583</v>
      </c>
      <c r="L240" t="s">
        <v>1521</v>
      </c>
      <c r="M240" t="s">
        <v>46</v>
      </c>
      <c r="N240" s="2"/>
      <c r="O240" s="4"/>
    </row>
    <row r="241" spans="1:15" ht="12.75" customHeight="1" x14ac:dyDescent="0.2">
      <c r="A241" s="369">
        <v>403642</v>
      </c>
      <c r="B241" t="s">
        <v>349</v>
      </c>
      <c r="C241" s="342">
        <v>3038</v>
      </c>
      <c r="D241" s="342">
        <v>2108</v>
      </c>
      <c r="E241" s="342">
        <v>5146</v>
      </c>
      <c r="F241" s="342">
        <v>121925347</v>
      </c>
      <c r="G241" s="342">
        <v>114111236</v>
      </c>
      <c r="H241" s="342">
        <v>236036583</v>
      </c>
      <c r="I241" s="342">
        <v>1480511</v>
      </c>
      <c r="J241" t="s">
        <v>350</v>
      </c>
      <c r="K241" t="s">
        <v>580</v>
      </c>
      <c r="L241" t="s">
        <v>155</v>
      </c>
      <c r="M241" t="s">
        <v>154</v>
      </c>
      <c r="N241" s="2"/>
      <c r="O241" s="4"/>
    </row>
    <row r="242" spans="1:15" ht="12.75" customHeight="1" x14ac:dyDescent="0.2">
      <c r="A242" s="369">
        <v>328021</v>
      </c>
      <c r="B242" t="s">
        <v>314</v>
      </c>
      <c r="C242" s="342">
        <v>2166</v>
      </c>
      <c r="D242" s="342">
        <v>2959</v>
      </c>
      <c r="E242" s="342">
        <v>5125</v>
      </c>
      <c r="F242" s="342">
        <v>104446056</v>
      </c>
      <c r="G242" s="342">
        <v>185204225</v>
      </c>
      <c r="H242" s="342">
        <v>289650280</v>
      </c>
      <c r="I242" s="342">
        <v>53874</v>
      </c>
      <c r="J242" t="s">
        <v>209</v>
      </c>
      <c r="K242" t="s">
        <v>583</v>
      </c>
      <c r="L242" t="s">
        <v>315</v>
      </c>
      <c r="M242" t="s">
        <v>154</v>
      </c>
      <c r="N242" s="2"/>
      <c r="O242" s="4"/>
    </row>
    <row r="243" spans="1:15" ht="12.75" customHeight="1" x14ac:dyDescent="0.2">
      <c r="A243" s="369">
        <v>613133</v>
      </c>
      <c r="B243" t="s">
        <v>442</v>
      </c>
      <c r="C243" s="342">
        <v>2791</v>
      </c>
      <c r="D243" s="342">
        <v>2168</v>
      </c>
      <c r="E243" s="342">
        <v>4959</v>
      </c>
      <c r="F243" s="342">
        <v>137658939</v>
      </c>
      <c r="G243" s="342">
        <v>137064355</v>
      </c>
      <c r="H243" s="342">
        <v>274723294</v>
      </c>
      <c r="I243" s="342">
        <v>-972602</v>
      </c>
      <c r="J243" t="s">
        <v>194</v>
      </c>
      <c r="K243" t="s">
        <v>584</v>
      </c>
      <c r="L243" t="s">
        <v>191</v>
      </c>
      <c r="M243" t="s">
        <v>154</v>
      </c>
      <c r="N243" s="2"/>
      <c r="O243" s="4"/>
    </row>
    <row r="244" spans="1:15" ht="12.75" customHeight="1" x14ac:dyDescent="0.2">
      <c r="A244" s="369">
        <v>300996</v>
      </c>
      <c r="B244" t="s">
        <v>1328</v>
      </c>
      <c r="C244" s="342">
        <v>2147</v>
      </c>
      <c r="D244" s="342">
        <v>2797</v>
      </c>
      <c r="E244" s="342">
        <v>4944</v>
      </c>
      <c r="F244" s="342">
        <v>185442349</v>
      </c>
      <c r="G244" s="342">
        <v>275444123</v>
      </c>
      <c r="H244" s="342">
        <v>460886472</v>
      </c>
      <c r="I244" s="342">
        <v>2338307</v>
      </c>
      <c r="J244" t="s">
        <v>204</v>
      </c>
      <c r="K244" t="s">
        <v>583</v>
      </c>
      <c r="L244" t="s">
        <v>1507</v>
      </c>
      <c r="M244" t="s">
        <v>46</v>
      </c>
      <c r="N244" s="2"/>
      <c r="O244" s="4"/>
    </row>
    <row r="245" spans="1:15" ht="12.75" customHeight="1" x14ac:dyDescent="0.2">
      <c r="A245" s="369">
        <v>517508</v>
      </c>
      <c r="B245" t="s">
        <v>401</v>
      </c>
      <c r="C245" s="342">
        <v>1660</v>
      </c>
      <c r="D245" s="342">
        <v>3188</v>
      </c>
      <c r="E245" s="342">
        <v>4848</v>
      </c>
      <c r="F245" s="342">
        <v>114165400</v>
      </c>
      <c r="G245" s="342">
        <v>257946242</v>
      </c>
      <c r="H245" s="342">
        <v>372111642</v>
      </c>
      <c r="I245" s="342">
        <v>6143135</v>
      </c>
      <c r="J245" t="s">
        <v>252</v>
      </c>
      <c r="K245" t="s">
        <v>583</v>
      </c>
      <c r="L245" t="s">
        <v>179</v>
      </c>
      <c r="M245" t="s">
        <v>46</v>
      </c>
      <c r="N245" s="2"/>
      <c r="O245" s="4"/>
    </row>
    <row r="246" spans="1:15" ht="12.75" customHeight="1" x14ac:dyDescent="0.2">
      <c r="A246" s="369">
        <v>579136</v>
      </c>
      <c r="B246" t="s">
        <v>432</v>
      </c>
      <c r="C246" s="342">
        <v>2237</v>
      </c>
      <c r="D246" s="342">
        <v>2485</v>
      </c>
      <c r="E246" s="342">
        <v>4722</v>
      </c>
      <c r="F246" s="342">
        <v>165260861</v>
      </c>
      <c r="G246" s="342">
        <v>219444509</v>
      </c>
      <c r="H246" s="342">
        <v>384705370</v>
      </c>
      <c r="I246" s="342">
        <v>2954191</v>
      </c>
      <c r="J246" t="s">
        <v>252</v>
      </c>
      <c r="K246" t="s">
        <v>583</v>
      </c>
      <c r="L246" t="s">
        <v>1506</v>
      </c>
      <c r="M246" t="s">
        <v>46</v>
      </c>
      <c r="N246" s="2"/>
      <c r="O246" s="4"/>
    </row>
    <row r="247" spans="1:15" ht="12.75" customHeight="1" x14ac:dyDescent="0.2">
      <c r="A247" s="369">
        <v>320176</v>
      </c>
      <c r="B247" t="s">
        <v>630</v>
      </c>
      <c r="C247" s="342">
        <v>1723</v>
      </c>
      <c r="D247" s="342">
        <v>2948</v>
      </c>
      <c r="E247" s="342">
        <v>4671</v>
      </c>
      <c r="F247" s="342">
        <v>128650568</v>
      </c>
      <c r="G247" s="342">
        <v>241283794</v>
      </c>
      <c r="H247" s="342">
        <v>369934362</v>
      </c>
      <c r="I247" s="342">
        <v>-7055803</v>
      </c>
      <c r="J247" t="s">
        <v>275</v>
      </c>
      <c r="K247" t="s">
        <v>583</v>
      </c>
      <c r="L247" t="s">
        <v>244</v>
      </c>
      <c r="M247" t="s">
        <v>154</v>
      </c>
      <c r="N247" s="2"/>
      <c r="O247" s="4"/>
    </row>
    <row r="248" spans="1:15" ht="12.75" customHeight="1" x14ac:dyDescent="0.2">
      <c r="A248" s="369">
        <v>487108</v>
      </c>
      <c r="B248" t="s">
        <v>389</v>
      </c>
      <c r="C248" s="342">
        <v>1688</v>
      </c>
      <c r="D248" s="342">
        <v>2981</v>
      </c>
      <c r="E248" s="342">
        <v>4669</v>
      </c>
      <c r="F248" s="342">
        <v>113670043</v>
      </c>
      <c r="G248" s="342">
        <v>232496311</v>
      </c>
      <c r="H248" s="342">
        <v>346166355</v>
      </c>
      <c r="I248" s="342">
        <v>-6132940</v>
      </c>
      <c r="J248" t="s">
        <v>254</v>
      </c>
      <c r="K248" t="s">
        <v>583</v>
      </c>
      <c r="L248" t="s">
        <v>315</v>
      </c>
      <c r="M248" t="s">
        <v>154</v>
      </c>
      <c r="N248" s="2"/>
      <c r="O248" s="4"/>
    </row>
    <row r="249" spans="1:15" ht="12.75" customHeight="1" x14ac:dyDescent="0.2">
      <c r="A249" s="369">
        <v>374421</v>
      </c>
      <c r="B249" t="s">
        <v>1459</v>
      </c>
      <c r="C249" s="342">
        <v>1778</v>
      </c>
      <c r="D249" s="342">
        <v>2878</v>
      </c>
      <c r="E249" s="342">
        <v>4656</v>
      </c>
      <c r="F249" s="342">
        <v>137876811</v>
      </c>
      <c r="G249" s="342">
        <v>263472441</v>
      </c>
      <c r="H249" s="342">
        <v>401349252</v>
      </c>
      <c r="I249" s="342">
        <v>12654357</v>
      </c>
      <c r="J249" t="s">
        <v>252</v>
      </c>
      <c r="K249" t="s">
        <v>583</v>
      </c>
      <c r="L249" t="s">
        <v>1509</v>
      </c>
      <c r="M249" t="s">
        <v>46</v>
      </c>
      <c r="N249" s="2"/>
      <c r="O249" s="4"/>
    </row>
    <row r="250" spans="1:15" ht="12.75" customHeight="1" x14ac:dyDescent="0.2">
      <c r="A250" s="369">
        <v>537639</v>
      </c>
      <c r="B250" t="s">
        <v>633</v>
      </c>
      <c r="C250" s="342">
        <v>2100</v>
      </c>
      <c r="D250" s="342">
        <v>2427</v>
      </c>
      <c r="E250" s="342">
        <v>4527</v>
      </c>
      <c r="F250" s="342">
        <v>139124798</v>
      </c>
      <c r="G250" s="342">
        <v>193505381</v>
      </c>
      <c r="H250" s="342">
        <v>332630179</v>
      </c>
      <c r="I250" s="342">
        <v>-7059891</v>
      </c>
      <c r="J250" t="s">
        <v>166</v>
      </c>
      <c r="K250" t="s">
        <v>584</v>
      </c>
      <c r="L250" t="s">
        <v>1508</v>
      </c>
      <c r="M250" t="s">
        <v>46</v>
      </c>
      <c r="N250" s="2"/>
      <c r="O250" s="4"/>
    </row>
    <row r="251" spans="1:15" ht="12.75" customHeight="1" x14ac:dyDescent="0.2">
      <c r="A251" s="369">
        <v>331983</v>
      </c>
      <c r="B251" t="s">
        <v>318</v>
      </c>
      <c r="C251" s="342">
        <v>2602</v>
      </c>
      <c r="D251" s="342">
        <v>1849</v>
      </c>
      <c r="E251" s="342">
        <v>4451</v>
      </c>
      <c r="F251" s="342">
        <v>80149153</v>
      </c>
      <c r="G251" s="342">
        <v>89580944</v>
      </c>
      <c r="H251" s="342">
        <v>169730098</v>
      </c>
      <c r="I251" s="342">
        <v>-462914</v>
      </c>
      <c r="J251" t="s">
        <v>159</v>
      </c>
      <c r="K251" t="s">
        <v>584</v>
      </c>
      <c r="L251" t="s">
        <v>155</v>
      </c>
      <c r="M251" t="s">
        <v>154</v>
      </c>
      <c r="N251" s="2"/>
      <c r="O251" s="4"/>
    </row>
    <row r="252" spans="1:15" ht="12.75" customHeight="1" x14ac:dyDescent="0.2">
      <c r="A252" s="369">
        <v>908806</v>
      </c>
      <c r="B252" t="s">
        <v>152</v>
      </c>
      <c r="C252" s="342">
        <v>1399</v>
      </c>
      <c r="D252" s="342">
        <v>3004</v>
      </c>
      <c r="E252" s="342">
        <v>4403</v>
      </c>
      <c r="F252" s="342">
        <v>108211025</v>
      </c>
      <c r="G252" s="342">
        <v>274319166</v>
      </c>
      <c r="H252" s="342">
        <v>382530191</v>
      </c>
      <c r="I252" s="342">
        <v>-15439082</v>
      </c>
      <c r="J252" t="s">
        <v>257</v>
      </c>
      <c r="K252" t="s">
        <v>583</v>
      </c>
      <c r="L252" t="s">
        <v>1506</v>
      </c>
      <c r="M252" t="s">
        <v>46</v>
      </c>
      <c r="N252" s="2"/>
      <c r="O252" s="4"/>
    </row>
    <row r="253" spans="1:15" ht="12.75" customHeight="1" x14ac:dyDescent="0.2">
      <c r="A253" s="369">
        <v>167114</v>
      </c>
      <c r="B253" t="s">
        <v>587</v>
      </c>
      <c r="C253" s="342">
        <v>2381</v>
      </c>
      <c r="D253" s="342">
        <v>1999</v>
      </c>
      <c r="E253" s="342">
        <v>4380</v>
      </c>
      <c r="F253" s="342">
        <v>252577268</v>
      </c>
      <c r="G253" s="342">
        <v>254884884</v>
      </c>
      <c r="H253" s="342">
        <v>507462152</v>
      </c>
      <c r="I253" s="342">
        <v>3058278</v>
      </c>
      <c r="J253" t="s">
        <v>216</v>
      </c>
      <c r="K253" t="s">
        <v>577</v>
      </c>
      <c r="L253" t="s">
        <v>187</v>
      </c>
      <c r="M253" t="s">
        <v>154</v>
      </c>
      <c r="N253" s="2"/>
      <c r="O253" s="4"/>
    </row>
    <row r="254" spans="1:15" ht="12.75" customHeight="1" x14ac:dyDescent="0.2">
      <c r="A254" s="369">
        <v>560599</v>
      </c>
      <c r="B254" t="s">
        <v>422</v>
      </c>
      <c r="C254" s="342">
        <v>1628</v>
      </c>
      <c r="D254" s="342">
        <v>2748</v>
      </c>
      <c r="E254" s="342">
        <v>4376</v>
      </c>
      <c r="F254" s="342">
        <v>154407310</v>
      </c>
      <c r="G254" s="342">
        <v>306502675</v>
      </c>
      <c r="H254" s="342">
        <v>460909985</v>
      </c>
      <c r="I254" s="342">
        <v>-14217072</v>
      </c>
      <c r="J254" t="s">
        <v>166</v>
      </c>
      <c r="K254" t="s">
        <v>584</v>
      </c>
      <c r="L254" t="s">
        <v>208</v>
      </c>
      <c r="M254" t="s">
        <v>154</v>
      </c>
      <c r="N254" s="2"/>
      <c r="O254" s="4"/>
    </row>
    <row r="255" spans="1:15" ht="12.75" customHeight="1" x14ac:dyDescent="0.2">
      <c r="A255" s="369">
        <v>449090</v>
      </c>
      <c r="B255" t="s">
        <v>372</v>
      </c>
      <c r="C255" s="342">
        <v>2032</v>
      </c>
      <c r="D255" s="342">
        <v>2339</v>
      </c>
      <c r="E255" s="342">
        <v>4371</v>
      </c>
      <c r="F255" s="342">
        <v>68655629</v>
      </c>
      <c r="G255" s="342">
        <v>101855233</v>
      </c>
      <c r="H255" s="342">
        <v>170510862</v>
      </c>
      <c r="I255" s="342">
        <v>2845406</v>
      </c>
      <c r="J255" t="s">
        <v>335</v>
      </c>
      <c r="K255" t="s">
        <v>583</v>
      </c>
      <c r="L255" t="s">
        <v>184</v>
      </c>
      <c r="M255" t="s">
        <v>154</v>
      </c>
      <c r="N255" s="2"/>
      <c r="O255" s="4"/>
    </row>
    <row r="256" spans="1:15" ht="12.75" customHeight="1" x14ac:dyDescent="0.2">
      <c r="A256" s="369">
        <v>104786</v>
      </c>
      <c r="B256" t="s">
        <v>157</v>
      </c>
      <c r="C256" s="342">
        <v>2094</v>
      </c>
      <c r="D256" s="342">
        <v>2251</v>
      </c>
      <c r="E256" s="342">
        <v>4345</v>
      </c>
      <c r="F256" s="342">
        <v>105834162</v>
      </c>
      <c r="G256" s="342">
        <v>137740658</v>
      </c>
      <c r="H256" s="342">
        <v>243574820</v>
      </c>
      <c r="I256" s="342">
        <v>1612761</v>
      </c>
      <c r="J256" t="s">
        <v>159</v>
      </c>
      <c r="K256" t="s">
        <v>584</v>
      </c>
      <c r="L256" t="s">
        <v>1505</v>
      </c>
      <c r="M256" t="s">
        <v>154</v>
      </c>
      <c r="N256" s="2"/>
      <c r="O256" s="4"/>
    </row>
    <row r="257" spans="1:15" ht="12.75" customHeight="1" x14ac:dyDescent="0.2">
      <c r="A257" s="369">
        <v>490292</v>
      </c>
      <c r="B257" t="s">
        <v>391</v>
      </c>
      <c r="C257" s="342">
        <v>1941</v>
      </c>
      <c r="D257" s="342">
        <v>2380</v>
      </c>
      <c r="E257" s="342">
        <v>4321</v>
      </c>
      <c r="F257" s="342">
        <v>134889113</v>
      </c>
      <c r="G257" s="342">
        <v>203836317</v>
      </c>
      <c r="H257" s="342">
        <v>338725429</v>
      </c>
      <c r="I257" s="342">
        <v>-76089</v>
      </c>
      <c r="J257" t="s">
        <v>209</v>
      </c>
      <c r="K257" t="s">
        <v>583</v>
      </c>
      <c r="L257" t="s">
        <v>383</v>
      </c>
      <c r="M257" t="s">
        <v>154</v>
      </c>
      <c r="N257" s="2"/>
      <c r="O257" s="4"/>
    </row>
    <row r="258" spans="1:15" ht="12.75" customHeight="1" x14ac:dyDescent="0.2">
      <c r="A258" s="369">
        <v>973263</v>
      </c>
      <c r="B258" t="s">
        <v>604</v>
      </c>
      <c r="C258" s="342">
        <v>2113</v>
      </c>
      <c r="D258" s="342">
        <v>2169</v>
      </c>
      <c r="E258" s="342">
        <v>4282</v>
      </c>
      <c r="F258" s="342">
        <v>140702313</v>
      </c>
      <c r="G258" s="342">
        <v>167342051</v>
      </c>
      <c r="H258" s="342">
        <v>308044364</v>
      </c>
      <c r="I258" s="342">
        <v>2352039</v>
      </c>
      <c r="J258" t="s">
        <v>209</v>
      </c>
      <c r="K258" t="s">
        <v>583</v>
      </c>
      <c r="L258" t="s">
        <v>1352</v>
      </c>
      <c r="M258" t="s">
        <v>46</v>
      </c>
      <c r="N258" s="2"/>
      <c r="O258" s="4"/>
    </row>
    <row r="259" spans="1:15" ht="12.75" customHeight="1" x14ac:dyDescent="0.2">
      <c r="A259" s="369">
        <v>484923</v>
      </c>
      <c r="B259" t="s">
        <v>387</v>
      </c>
      <c r="C259" s="342">
        <v>2151</v>
      </c>
      <c r="D259" s="342">
        <v>2127</v>
      </c>
      <c r="E259" s="342">
        <v>4278</v>
      </c>
      <c r="F259" s="342">
        <v>139144067</v>
      </c>
      <c r="G259" s="342">
        <v>170528590</v>
      </c>
      <c r="H259" s="342">
        <v>309672657</v>
      </c>
      <c r="I259" s="342">
        <v>2843515</v>
      </c>
      <c r="J259" t="s">
        <v>197</v>
      </c>
      <c r="K259" t="s">
        <v>583</v>
      </c>
      <c r="L259" t="s">
        <v>184</v>
      </c>
      <c r="M259" t="s">
        <v>154</v>
      </c>
      <c r="N259" s="2"/>
      <c r="O259" s="4"/>
    </row>
    <row r="260" spans="1:15" ht="12.75" customHeight="1" x14ac:dyDescent="0.2">
      <c r="A260" s="369">
        <v>668269</v>
      </c>
      <c r="B260" t="s">
        <v>467</v>
      </c>
      <c r="C260" s="342">
        <v>1831</v>
      </c>
      <c r="D260" s="342">
        <v>2392</v>
      </c>
      <c r="E260" s="342">
        <v>4223</v>
      </c>
      <c r="F260" s="342">
        <v>95084164</v>
      </c>
      <c r="G260" s="342">
        <v>155369702</v>
      </c>
      <c r="H260" s="342">
        <v>250453865</v>
      </c>
      <c r="I260" s="342">
        <v>2128827</v>
      </c>
      <c r="J260" t="s">
        <v>197</v>
      </c>
      <c r="K260" t="s">
        <v>583</v>
      </c>
      <c r="L260" t="s">
        <v>250</v>
      </c>
      <c r="M260" t="s">
        <v>46</v>
      </c>
      <c r="N260" s="2"/>
      <c r="O260" s="4"/>
    </row>
    <row r="261" spans="1:15" ht="12.75" customHeight="1" x14ac:dyDescent="0.2">
      <c r="A261" s="369">
        <v>768556</v>
      </c>
      <c r="B261" t="s">
        <v>1475</v>
      </c>
      <c r="C261" s="342">
        <v>2194</v>
      </c>
      <c r="D261" s="342">
        <v>2025</v>
      </c>
      <c r="E261" s="342">
        <v>4219</v>
      </c>
      <c r="F261" s="342">
        <v>83642245</v>
      </c>
      <c r="G261" s="342">
        <v>95844364</v>
      </c>
      <c r="H261" s="342">
        <v>179486609</v>
      </c>
      <c r="I261" s="342">
        <v>550378</v>
      </c>
      <c r="J261" t="s">
        <v>204</v>
      </c>
      <c r="K261" t="s">
        <v>583</v>
      </c>
      <c r="L261" t="s">
        <v>1509</v>
      </c>
      <c r="M261" t="s">
        <v>46</v>
      </c>
      <c r="N261" s="2"/>
      <c r="O261" s="4"/>
    </row>
    <row r="262" spans="1:15" ht="12.75" customHeight="1" x14ac:dyDescent="0.2">
      <c r="A262" s="369">
        <v>388298</v>
      </c>
      <c r="B262" t="s">
        <v>344</v>
      </c>
      <c r="C262" s="342">
        <v>1809</v>
      </c>
      <c r="D262" s="342">
        <v>2353</v>
      </c>
      <c r="E262" s="342">
        <v>4162</v>
      </c>
      <c r="F262" s="342">
        <v>120236380</v>
      </c>
      <c r="G262" s="342">
        <v>172483913</v>
      </c>
      <c r="H262" s="342">
        <v>292720294</v>
      </c>
      <c r="I262" s="342">
        <v>2107023</v>
      </c>
      <c r="J262" t="s">
        <v>197</v>
      </c>
      <c r="K262" t="s">
        <v>583</v>
      </c>
      <c r="L262" t="s">
        <v>230</v>
      </c>
      <c r="M262" t="s">
        <v>46</v>
      </c>
      <c r="N262" s="2"/>
      <c r="O262" s="4"/>
    </row>
    <row r="263" spans="1:15" ht="12.75" customHeight="1" x14ac:dyDescent="0.2">
      <c r="A263" s="369">
        <v>863522</v>
      </c>
      <c r="B263" t="s">
        <v>1531</v>
      </c>
      <c r="C263" s="342">
        <v>1348</v>
      </c>
      <c r="D263" s="342">
        <v>2790</v>
      </c>
      <c r="E263" s="342">
        <v>4138</v>
      </c>
      <c r="F263" s="342">
        <v>119810407</v>
      </c>
      <c r="G263" s="342">
        <v>282967680</v>
      </c>
      <c r="H263" s="342">
        <v>402778087</v>
      </c>
      <c r="I263" s="342">
        <v>393814174</v>
      </c>
      <c r="J263" t="s">
        <v>177</v>
      </c>
      <c r="K263" t="s">
        <v>580</v>
      </c>
      <c r="L263" t="s">
        <v>1512</v>
      </c>
      <c r="M263" t="s">
        <v>46</v>
      </c>
      <c r="N263" s="2"/>
      <c r="O263" s="4"/>
    </row>
    <row r="264" spans="1:15" ht="12.75" customHeight="1" x14ac:dyDescent="0.2">
      <c r="A264" s="369">
        <v>642298</v>
      </c>
      <c r="B264" t="s">
        <v>451</v>
      </c>
      <c r="C264" s="342">
        <v>2155</v>
      </c>
      <c r="D264" s="342">
        <v>1935</v>
      </c>
      <c r="E264" s="342">
        <v>4090</v>
      </c>
      <c r="F264" s="342">
        <v>106389228</v>
      </c>
      <c r="G264" s="342">
        <v>110595603</v>
      </c>
      <c r="H264" s="342">
        <v>216984830</v>
      </c>
      <c r="I264" s="342">
        <v>1103592</v>
      </c>
      <c r="J264" t="s">
        <v>263</v>
      </c>
      <c r="K264" t="s">
        <v>583</v>
      </c>
      <c r="L264" t="s">
        <v>1505</v>
      </c>
      <c r="M264" t="s">
        <v>154</v>
      </c>
      <c r="N264" s="2"/>
      <c r="O264" s="4"/>
    </row>
    <row r="265" spans="1:15" ht="12.75" customHeight="1" x14ac:dyDescent="0.2">
      <c r="A265" s="369">
        <v>131409</v>
      </c>
      <c r="B265" t="s">
        <v>190</v>
      </c>
      <c r="C265" s="342">
        <v>2084</v>
      </c>
      <c r="D265" s="342">
        <v>2003</v>
      </c>
      <c r="E265" s="342">
        <v>4087</v>
      </c>
      <c r="F265" s="342">
        <v>101003051</v>
      </c>
      <c r="G265" s="342">
        <v>118805095</v>
      </c>
      <c r="H265" s="342">
        <v>219808146</v>
      </c>
      <c r="I265" s="342">
        <v>-314118</v>
      </c>
      <c r="J265" t="s">
        <v>159</v>
      </c>
      <c r="K265" t="s">
        <v>584</v>
      </c>
      <c r="L265" t="s">
        <v>191</v>
      </c>
      <c r="M265" t="s">
        <v>46</v>
      </c>
      <c r="N265" s="2"/>
      <c r="O265" s="4"/>
    </row>
    <row r="266" spans="1:15" ht="12.75" customHeight="1" x14ac:dyDescent="0.2">
      <c r="A266" s="369">
        <v>861757</v>
      </c>
      <c r="B266" t="s">
        <v>535</v>
      </c>
      <c r="C266" s="342">
        <v>1966</v>
      </c>
      <c r="D266" s="342">
        <v>2115</v>
      </c>
      <c r="E266" s="342">
        <v>4081</v>
      </c>
      <c r="F266" s="342">
        <v>108934247</v>
      </c>
      <c r="G266" s="342">
        <v>142124268</v>
      </c>
      <c r="H266" s="342">
        <v>251058515</v>
      </c>
      <c r="I266" s="342">
        <v>1114699</v>
      </c>
      <c r="J266" t="s">
        <v>197</v>
      </c>
      <c r="K266" t="s">
        <v>583</v>
      </c>
      <c r="L266" t="s">
        <v>191</v>
      </c>
      <c r="M266" t="s">
        <v>46</v>
      </c>
      <c r="N266" s="2"/>
      <c r="O266" s="4"/>
    </row>
    <row r="267" spans="1:15" ht="12.75" customHeight="1" x14ac:dyDescent="0.2">
      <c r="A267" s="369">
        <v>678128</v>
      </c>
      <c r="B267" t="s">
        <v>470</v>
      </c>
      <c r="C267" s="342">
        <v>1920</v>
      </c>
      <c r="D267" s="342">
        <v>2145</v>
      </c>
      <c r="E267" s="342">
        <v>4065</v>
      </c>
      <c r="F267" s="342">
        <v>140528503</v>
      </c>
      <c r="G267" s="342">
        <v>178813001</v>
      </c>
      <c r="H267" s="342">
        <v>319341504</v>
      </c>
      <c r="I267" s="342">
        <v>-956036</v>
      </c>
      <c r="J267" t="s">
        <v>204</v>
      </c>
      <c r="K267" t="s">
        <v>583</v>
      </c>
      <c r="L267" t="s">
        <v>1505</v>
      </c>
      <c r="M267" t="s">
        <v>154</v>
      </c>
      <c r="N267" s="2"/>
      <c r="O267" s="4"/>
    </row>
    <row r="268" spans="1:15" ht="12.75" customHeight="1" x14ac:dyDescent="0.2">
      <c r="A268" s="369">
        <v>147348</v>
      </c>
      <c r="B268" t="s">
        <v>200</v>
      </c>
      <c r="C268" s="342">
        <v>1673</v>
      </c>
      <c r="D268" s="342">
        <v>2344</v>
      </c>
      <c r="E268" s="342">
        <v>4017</v>
      </c>
      <c r="F268" s="342">
        <v>101562675</v>
      </c>
      <c r="G268" s="342">
        <v>175915477</v>
      </c>
      <c r="H268" s="342">
        <v>277478153</v>
      </c>
      <c r="I268" s="342">
        <v>10138048</v>
      </c>
      <c r="J268" t="s">
        <v>201</v>
      </c>
      <c r="K268" t="s">
        <v>583</v>
      </c>
      <c r="L268" t="s">
        <v>165</v>
      </c>
      <c r="M268" t="s">
        <v>46</v>
      </c>
      <c r="N268" s="2"/>
      <c r="O268" s="4"/>
    </row>
    <row r="269" spans="1:15" ht="12.75" customHeight="1" x14ac:dyDescent="0.2">
      <c r="A269" s="369">
        <v>259903</v>
      </c>
      <c r="B269" t="s">
        <v>610</v>
      </c>
      <c r="C269" s="342">
        <v>1286</v>
      </c>
      <c r="D269" s="342">
        <v>2720</v>
      </c>
      <c r="E269" s="342">
        <v>4006</v>
      </c>
      <c r="F269" s="342">
        <v>73508462</v>
      </c>
      <c r="G269" s="342">
        <v>200397927</v>
      </c>
      <c r="H269" s="342">
        <v>273906389</v>
      </c>
      <c r="I269" s="342">
        <v>-5332430</v>
      </c>
      <c r="J269" t="s">
        <v>267</v>
      </c>
      <c r="K269" t="s">
        <v>583</v>
      </c>
      <c r="L269" t="s">
        <v>184</v>
      </c>
      <c r="M269" t="s">
        <v>46</v>
      </c>
      <c r="N269" s="2"/>
      <c r="O269" s="4"/>
    </row>
    <row r="270" spans="1:15" ht="12.75" customHeight="1" x14ac:dyDescent="0.2">
      <c r="A270" s="369">
        <v>184119</v>
      </c>
      <c r="B270" t="s">
        <v>227</v>
      </c>
      <c r="C270" s="342">
        <v>1783</v>
      </c>
      <c r="D270" s="342">
        <v>2216</v>
      </c>
      <c r="E270" s="342">
        <v>3999</v>
      </c>
      <c r="F270" s="342">
        <v>132610920</v>
      </c>
      <c r="G270" s="342">
        <v>183708675</v>
      </c>
      <c r="H270" s="342">
        <v>316319595</v>
      </c>
      <c r="I270" s="342">
        <v>770443</v>
      </c>
      <c r="J270" t="s">
        <v>162</v>
      </c>
      <c r="K270" t="s">
        <v>583</v>
      </c>
      <c r="L270" t="s">
        <v>198</v>
      </c>
      <c r="M270" t="s">
        <v>154</v>
      </c>
      <c r="N270" s="2"/>
      <c r="O270" s="4"/>
    </row>
    <row r="271" spans="1:15" ht="12.75" customHeight="1" x14ac:dyDescent="0.2">
      <c r="A271" s="369">
        <v>481911</v>
      </c>
      <c r="B271" t="s">
        <v>1463</v>
      </c>
      <c r="C271" s="342">
        <v>1598</v>
      </c>
      <c r="D271" s="342">
        <v>2342</v>
      </c>
      <c r="E271" s="342">
        <v>3940</v>
      </c>
      <c r="F271" s="342">
        <v>52517043</v>
      </c>
      <c r="G271" s="342">
        <v>103680237</v>
      </c>
      <c r="H271" s="342">
        <v>156197280</v>
      </c>
      <c r="I271" s="342">
        <v>1518947</v>
      </c>
      <c r="J271" t="s">
        <v>163</v>
      </c>
      <c r="K271" t="s">
        <v>583</v>
      </c>
      <c r="L271" t="s">
        <v>1509</v>
      </c>
      <c r="M271" t="s">
        <v>46</v>
      </c>
      <c r="N271" s="2"/>
      <c r="O271" s="4"/>
    </row>
    <row r="272" spans="1:15" ht="12.75" customHeight="1" x14ac:dyDescent="0.2">
      <c r="A272" s="369">
        <v>570044</v>
      </c>
      <c r="B272" t="s">
        <v>426</v>
      </c>
      <c r="C272" s="342">
        <v>1771</v>
      </c>
      <c r="D272" s="342">
        <v>2167</v>
      </c>
      <c r="E272" s="342">
        <v>3938</v>
      </c>
      <c r="F272" s="342">
        <v>97280084</v>
      </c>
      <c r="G272" s="342">
        <v>141426863</v>
      </c>
      <c r="H272" s="342">
        <v>238706948</v>
      </c>
      <c r="I272" s="342">
        <v>2783304</v>
      </c>
      <c r="J272" t="s">
        <v>201</v>
      </c>
      <c r="K272" t="s">
        <v>583</v>
      </c>
      <c r="L272" t="s">
        <v>250</v>
      </c>
      <c r="M272" t="s">
        <v>46</v>
      </c>
      <c r="N272" s="2"/>
      <c r="O272" s="4"/>
    </row>
    <row r="273" spans="1:15" ht="12.75" customHeight="1" x14ac:dyDescent="0.2">
      <c r="A273" s="369">
        <v>524702</v>
      </c>
      <c r="B273" t="s">
        <v>404</v>
      </c>
      <c r="C273" s="342">
        <v>2025</v>
      </c>
      <c r="D273" s="342">
        <v>1877</v>
      </c>
      <c r="E273" s="342">
        <v>3902</v>
      </c>
      <c r="F273" s="342">
        <v>111403364</v>
      </c>
      <c r="G273" s="342">
        <v>148446799</v>
      </c>
      <c r="H273" s="342">
        <v>259850163</v>
      </c>
      <c r="I273" s="342">
        <v>-6483491</v>
      </c>
      <c r="J273" t="s">
        <v>159</v>
      </c>
      <c r="K273" t="s">
        <v>584</v>
      </c>
      <c r="L273" t="s">
        <v>187</v>
      </c>
      <c r="M273" t="s">
        <v>154</v>
      </c>
      <c r="N273" s="2"/>
      <c r="O273" s="4"/>
    </row>
    <row r="274" spans="1:15" ht="12.75" customHeight="1" x14ac:dyDescent="0.2">
      <c r="A274" s="369">
        <v>700310</v>
      </c>
      <c r="B274" t="s">
        <v>478</v>
      </c>
      <c r="C274" s="342">
        <v>1936</v>
      </c>
      <c r="D274" s="342">
        <v>1949</v>
      </c>
      <c r="E274" s="342">
        <v>3885</v>
      </c>
      <c r="F274" s="342">
        <v>67203714</v>
      </c>
      <c r="G274" s="342">
        <v>81260364</v>
      </c>
      <c r="H274" s="342">
        <v>148464078</v>
      </c>
      <c r="I274" s="342">
        <v>472818</v>
      </c>
      <c r="J274" t="s">
        <v>199</v>
      </c>
      <c r="K274" t="s">
        <v>584</v>
      </c>
      <c r="L274" t="s">
        <v>250</v>
      </c>
      <c r="M274" t="s">
        <v>46</v>
      </c>
      <c r="N274" s="2"/>
      <c r="O274" s="4"/>
    </row>
    <row r="275" spans="1:15" ht="12.75" customHeight="1" x14ac:dyDescent="0.2">
      <c r="A275" s="369">
        <v>214163</v>
      </c>
      <c r="B275" t="s">
        <v>243</v>
      </c>
      <c r="C275" s="342">
        <v>1983</v>
      </c>
      <c r="D275" s="342">
        <v>1880</v>
      </c>
      <c r="E275" s="342">
        <v>3863</v>
      </c>
      <c r="F275" s="342">
        <v>87876900</v>
      </c>
      <c r="G275" s="342">
        <v>134367224</v>
      </c>
      <c r="H275" s="342">
        <v>222244124</v>
      </c>
      <c r="I275" s="342">
        <v>-3560181</v>
      </c>
      <c r="J275" t="s">
        <v>194</v>
      </c>
      <c r="K275" t="s">
        <v>584</v>
      </c>
      <c r="L275" t="s">
        <v>244</v>
      </c>
      <c r="M275" t="s">
        <v>154</v>
      </c>
      <c r="N275" s="2"/>
      <c r="O275" s="4"/>
    </row>
    <row r="276" spans="1:15" ht="12.75" customHeight="1" x14ac:dyDescent="0.2">
      <c r="A276" s="369">
        <v>981175</v>
      </c>
      <c r="B276" t="s">
        <v>568</v>
      </c>
      <c r="C276" s="342">
        <v>2620</v>
      </c>
      <c r="D276" s="342">
        <v>1195</v>
      </c>
      <c r="E276" s="342">
        <v>3815</v>
      </c>
      <c r="F276" s="342">
        <v>81304750</v>
      </c>
      <c r="G276" s="342">
        <v>32815164</v>
      </c>
      <c r="H276" s="342">
        <v>114119914</v>
      </c>
      <c r="I276" s="342">
        <v>1730183</v>
      </c>
      <c r="J276" t="s">
        <v>177</v>
      </c>
      <c r="K276" t="s">
        <v>580</v>
      </c>
      <c r="L276" t="s">
        <v>1505</v>
      </c>
      <c r="M276" t="s">
        <v>154</v>
      </c>
      <c r="N276" s="2"/>
      <c r="O276" s="4"/>
    </row>
    <row r="277" spans="1:15" ht="12.75" customHeight="1" x14ac:dyDescent="0.2">
      <c r="A277" s="369">
        <v>587337</v>
      </c>
      <c r="B277" t="s">
        <v>435</v>
      </c>
      <c r="C277" s="342">
        <v>1559</v>
      </c>
      <c r="D277" s="342">
        <v>2238</v>
      </c>
      <c r="E277" s="342">
        <v>3797</v>
      </c>
      <c r="F277" s="342">
        <v>96949276</v>
      </c>
      <c r="G277" s="342">
        <v>175171249</v>
      </c>
      <c r="H277" s="342">
        <v>272120525</v>
      </c>
      <c r="I277" s="342">
        <v>-191959</v>
      </c>
      <c r="J277" t="s">
        <v>209</v>
      </c>
      <c r="K277" t="s">
        <v>583</v>
      </c>
      <c r="L277" t="s">
        <v>241</v>
      </c>
      <c r="M277" t="s">
        <v>154</v>
      </c>
      <c r="N277" s="2"/>
      <c r="O277" s="4"/>
    </row>
    <row r="278" spans="1:15" ht="12.75" customHeight="1" x14ac:dyDescent="0.2">
      <c r="A278" s="369">
        <v>639633</v>
      </c>
      <c r="B278" t="s">
        <v>620</v>
      </c>
      <c r="C278" s="342">
        <v>1822</v>
      </c>
      <c r="D278" s="342">
        <v>1942</v>
      </c>
      <c r="E278" s="342">
        <v>3764</v>
      </c>
      <c r="F278" s="342">
        <v>56142295</v>
      </c>
      <c r="G278" s="342">
        <v>72503373</v>
      </c>
      <c r="H278" s="342">
        <v>128645668</v>
      </c>
      <c r="I278" s="342">
        <v>-981129</v>
      </c>
      <c r="J278" t="s">
        <v>177</v>
      </c>
      <c r="K278" t="s">
        <v>580</v>
      </c>
      <c r="L278" t="s">
        <v>184</v>
      </c>
      <c r="M278" t="s">
        <v>46</v>
      </c>
      <c r="N278" s="2"/>
      <c r="O278" s="4"/>
    </row>
    <row r="279" spans="1:15" ht="12.75" customHeight="1" x14ac:dyDescent="0.2">
      <c r="A279" s="369">
        <v>280867</v>
      </c>
      <c r="B279" t="s">
        <v>283</v>
      </c>
      <c r="C279" s="342">
        <v>1793</v>
      </c>
      <c r="D279" s="342">
        <v>1867</v>
      </c>
      <c r="E279" s="342">
        <v>3660</v>
      </c>
      <c r="F279" s="342">
        <v>87784741</v>
      </c>
      <c r="G279" s="342">
        <v>103537784</v>
      </c>
      <c r="H279" s="342">
        <v>191322526</v>
      </c>
      <c r="I279" s="342">
        <v>2384656</v>
      </c>
      <c r="J279" t="s">
        <v>185</v>
      </c>
      <c r="K279" t="s">
        <v>583</v>
      </c>
      <c r="L279" t="s">
        <v>320</v>
      </c>
      <c r="M279" t="s">
        <v>46</v>
      </c>
      <c r="N279" s="2"/>
      <c r="O279" s="4"/>
    </row>
    <row r="280" spans="1:15" ht="12.75" customHeight="1" x14ac:dyDescent="0.2">
      <c r="A280" s="369">
        <v>517748</v>
      </c>
      <c r="B280" t="s">
        <v>1465</v>
      </c>
      <c r="C280" s="342">
        <v>1397</v>
      </c>
      <c r="D280" s="342">
        <v>2246</v>
      </c>
      <c r="E280" s="342">
        <v>3643</v>
      </c>
      <c r="F280" s="342">
        <v>44640939</v>
      </c>
      <c r="G280" s="342">
        <v>118797449</v>
      </c>
      <c r="H280" s="342">
        <v>163438388</v>
      </c>
      <c r="I280" s="342">
        <v>16736079</v>
      </c>
      <c r="J280" t="s">
        <v>163</v>
      </c>
      <c r="K280" t="s">
        <v>583</v>
      </c>
      <c r="L280" t="s">
        <v>1509</v>
      </c>
      <c r="M280" t="s">
        <v>46</v>
      </c>
      <c r="N280" s="2"/>
      <c r="O280" s="4"/>
    </row>
    <row r="281" spans="1:15" ht="12.75" customHeight="1" x14ac:dyDescent="0.2">
      <c r="A281" s="369">
        <v>562728</v>
      </c>
      <c r="B281" t="s">
        <v>424</v>
      </c>
      <c r="C281" s="342">
        <v>1727</v>
      </c>
      <c r="D281" s="342">
        <v>1886</v>
      </c>
      <c r="E281" s="342">
        <v>3613</v>
      </c>
      <c r="F281" s="342">
        <v>72435993</v>
      </c>
      <c r="G281" s="342">
        <v>91006454</v>
      </c>
      <c r="H281" s="342">
        <v>163442447</v>
      </c>
      <c r="I281" s="342">
        <v>2632934</v>
      </c>
      <c r="J281" t="s">
        <v>201</v>
      </c>
      <c r="K281" t="s">
        <v>583</v>
      </c>
      <c r="L281" t="s">
        <v>320</v>
      </c>
      <c r="M281" t="s">
        <v>46</v>
      </c>
      <c r="N281" s="2"/>
      <c r="O281" s="4"/>
    </row>
    <row r="282" spans="1:15" ht="12.75" customHeight="1" x14ac:dyDescent="0.2">
      <c r="A282" s="369">
        <v>680124</v>
      </c>
      <c r="B282" t="s">
        <v>1353</v>
      </c>
      <c r="C282" s="342">
        <v>945</v>
      </c>
      <c r="D282" s="342">
        <v>2626</v>
      </c>
      <c r="E282" s="342">
        <v>3571</v>
      </c>
      <c r="F282" s="342">
        <v>62511902</v>
      </c>
      <c r="G282" s="342">
        <v>165971181</v>
      </c>
      <c r="H282" s="342">
        <v>228483082</v>
      </c>
      <c r="I282" s="342">
        <v>7227786</v>
      </c>
      <c r="J282" t="s">
        <v>162</v>
      </c>
      <c r="K282" t="s">
        <v>583</v>
      </c>
      <c r="L282" t="s">
        <v>492</v>
      </c>
      <c r="M282" t="s">
        <v>154</v>
      </c>
      <c r="N282" s="2"/>
      <c r="O282" s="4"/>
    </row>
    <row r="283" spans="1:15" ht="12.75" customHeight="1" x14ac:dyDescent="0.2">
      <c r="A283" s="369">
        <v>582791</v>
      </c>
      <c r="B283" t="s">
        <v>433</v>
      </c>
      <c r="C283" s="342">
        <v>1549</v>
      </c>
      <c r="D283" s="342">
        <v>2003</v>
      </c>
      <c r="E283" s="342">
        <v>3552</v>
      </c>
      <c r="F283" s="342">
        <v>62455042</v>
      </c>
      <c r="G283" s="342">
        <v>95884128</v>
      </c>
      <c r="H283" s="342">
        <v>158339171</v>
      </c>
      <c r="I283" s="342">
        <v>795642</v>
      </c>
      <c r="J283" t="s">
        <v>214</v>
      </c>
      <c r="K283" t="s">
        <v>583</v>
      </c>
      <c r="L283" t="s">
        <v>155</v>
      </c>
      <c r="M283" t="s">
        <v>154</v>
      </c>
      <c r="N283" s="2"/>
      <c r="O283" s="4"/>
    </row>
    <row r="284" spans="1:15" ht="12.75" customHeight="1" x14ac:dyDescent="0.2">
      <c r="A284" s="369">
        <v>384107</v>
      </c>
      <c r="B284" t="s">
        <v>1518</v>
      </c>
      <c r="C284" s="342">
        <v>1496</v>
      </c>
      <c r="D284" s="342">
        <v>2024</v>
      </c>
      <c r="E284" s="342">
        <v>3520</v>
      </c>
      <c r="F284" s="342">
        <v>116321207</v>
      </c>
      <c r="G284" s="342">
        <v>183346210</v>
      </c>
      <c r="H284" s="342">
        <v>299667417</v>
      </c>
      <c r="I284" s="342">
        <v>10407333</v>
      </c>
      <c r="J284" t="s">
        <v>204</v>
      </c>
      <c r="K284" t="s">
        <v>583</v>
      </c>
      <c r="L284" t="s">
        <v>1510</v>
      </c>
      <c r="M284" t="s">
        <v>46</v>
      </c>
      <c r="N284" s="2"/>
      <c r="O284" s="4"/>
    </row>
    <row r="285" spans="1:15" ht="12.75" customHeight="1" x14ac:dyDescent="0.2">
      <c r="A285" s="369">
        <v>302760</v>
      </c>
      <c r="B285" t="s">
        <v>1455</v>
      </c>
      <c r="C285" s="342">
        <v>1699</v>
      </c>
      <c r="D285" s="342">
        <v>1813</v>
      </c>
      <c r="E285" s="342">
        <v>3512</v>
      </c>
      <c r="F285" s="342">
        <v>73117860</v>
      </c>
      <c r="G285" s="342">
        <v>86300880</v>
      </c>
      <c r="H285" s="342">
        <v>159418740</v>
      </c>
      <c r="I285" s="342">
        <v>957144</v>
      </c>
      <c r="J285" t="s">
        <v>177</v>
      </c>
      <c r="K285" t="s">
        <v>580</v>
      </c>
      <c r="L285" t="s">
        <v>1509</v>
      </c>
      <c r="M285" t="s">
        <v>46</v>
      </c>
      <c r="N285" s="2"/>
      <c r="O285" s="4"/>
    </row>
    <row r="286" spans="1:15" ht="12.75" customHeight="1" x14ac:dyDescent="0.2">
      <c r="A286" s="369">
        <v>295857</v>
      </c>
      <c r="B286" t="s">
        <v>294</v>
      </c>
      <c r="C286" s="342">
        <v>1335</v>
      </c>
      <c r="D286" s="342">
        <v>2160</v>
      </c>
      <c r="E286" s="342">
        <v>3495</v>
      </c>
      <c r="F286" s="342">
        <v>67689981</v>
      </c>
      <c r="G286" s="342">
        <v>126864202</v>
      </c>
      <c r="H286" s="342">
        <v>194554183</v>
      </c>
      <c r="I286" s="342">
        <v>114614</v>
      </c>
      <c r="J286" t="s">
        <v>172</v>
      </c>
      <c r="K286" t="s">
        <v>583</v>
      </c>
      <c r="L286" t="s">
        <v>1505</v>
      </c>
      <c r="M286" t="s">
        <v>154</v>
      </c>
      <c r="N286" s="2"/>
      <c r="O286" s="4"/>
    </row>
    <row r="287" spans="1:15" ht="12.75" customHeight="1" x14ac:dyDescent="0.2">
      <c r="A287" s="369">
        <v>717496</v>
      </c>
      <c r="B287" t="s">
        <v>481</v>
      </c>
      <c r="C287" s="342">
        <v>1363</v>
      </c>
      <c r="D287" s="342">
        <v>2079</v>
      </c>
      <c r="E287" s="342">
        <v>3442</v>
      </c>
      <c r="F287" s="342">
        <v>52558774</v>
      </c>
      <c r="G287" s="342">
        <v>95923047</v>
      </c>
      <c r="H287" s="342">
        <v>148481821</v>
      </c>
      <c r="I287" s="342">
        <v>889192</v>
      </c>
      <c r="J287" t="s">
        <v>162</v>
      </c>
      <c r="K287" t="s">
        <v>583</v>
      </c>
      <c r="L287" t="s">
        <v>1510</v>
      </c>
      <c r="M287" t="s">
        <v>46</v>
      </c>
      <c r="N287" s="2"/>
      <c r="O287" s="4"/>
    </row>
    <row r="288" spans="1:15" ht="12.75" customHeight="1" x14ac:dyDescent="0.2">
      <c r="A288" s="369">
        <v>479840</v>
      </c>
      <c r="B288" t="s">
        <v>385</v>
      </c>
      <c r="C288" s="342">
        <v>1259</v>
      </c>
      <c r="D288" s="342">
        <v>2061</v>
      </c>
      <c r="E288" s="342">
        <v>3320</v>
      </c>
      <c r="F288" s="342">
        <v>64350748</v>
      </c>
      <c r="G288" s="342">
        <v>117528175</v>
      </c>
      <c r="H288" s="342">
        <v>181878923</v>
      </c>
      <c r="I288" s="342">
        <v>-710587</v>
      </c>
      <c r="J288" t="s">
        <v>185</v>
      </c>
      <c r="K288" t="s">
        <v>583</v>
      </c>
      <c r="L288" t="s">
        <v>241</v>
      </c>
      <c r="M288" t="s">
        <v>154</v>
      </c>
      <c r="N288" s="2"/>
      <c r="O288" s="4"/>
    </row>
    <row r="289" spans="1:15" ht="12.75" customHeight="1" x14ac:dyDescent="0.2">
      <c r="A289" s="369">
        <v>865774</v>
      </c>
      <c r="B289" t="s">
        <v>536</v>
      </c>
      <c r="C289" s="342">
        <v>1646</v>
      </c>
      <c r="D289" s="342">
        <v>1567</v>
      </c>
      <c r="E289" s="342">
        <v>3213</v>
      </c>
      <c r="F289" s="342">
        <v>69926001</v>
      </c>
      <c r="G289" s="342">
        <v>90997239</v>
      </c>
      <c r="H289" s="342">
        <v>160923241</v>
      </c>
      <c r="I289" s="342">
        <v>-75391</v>
      </c>
      <c r="J289" t="s">
        <v>194</v>
      </c>
      <c r="K289" t="s">
        <v>584</v>
      </c>
      <c r="L289" t="s">
        <v>1352</v>
      </c>
      <c r="M289" t="s">
        <v>46</v>
      </c>
      <c r="N289" s="2"/>
      <c r="O289" s="4"/>
    </row>
    <row r="290" spans="1:15" ht="12.75" customHeight="1" x14ac:dyDescent="0.2">
      <c r="A290" s="369">
        <v>443721</v>
      </c>
      <c r="B290" t="s">
        <v>369</v>
      </c>
      <c r="C290" s="342">
        <v>1374</v>
      </c>
      <c r="D290" s="342">
        <v>1815</v>
      </c>
      <c r="E290" s="342">
        <v>3189</v>
      </c>
      <c r="F290" s="342">
        <v>91327432</v>
      </c>
      <c r="G290" s="342">
        <v>161842424</v>
      </c>
      <c r="H290" s="342">
        <v>253169856</v>
      </c>
      <c r="I290" s="342">
        <v>-43880650</v>
      </c>
      <c r="J290" t="s">
        <v>199</v>
      </c>
      <c r="K290" t="s">
        <v>584</v>
      </c>
      <c r="L290" t="s">
        <v>356</v>
      </c>
      <c r="M290" t="s">
        <v>46</v>
      </c>
      <c r="N290" s="2"/>
      <c r="O290" s="4"/>
    </row>
    <row r="291" spans="1:15" ht="12.75" customHeight="1" x14ac:dyDescent="0.2">
      <c r="A291" s="369">
        <v>111518</v>
      </c>
      <c r="B291" t="s">
        <v>164</v>
      </c>
      <c r="C291" s="342">
        <v>1649</v>
      </c>
      <c r="D291" s="342">
        <v>1508</v>
      </c>
      <c r="E291" s="342">
        <v>3157</v>
      </c>
      <c r="F291" s="342">
        <v>58283512</v>
      </c>
      <c r="G291" s="342">
        <v>66605428</v>
      </c>
      <c r="H291" s="342">
        <v>124888940</v>
      </c>
      <c r="I291" s="342">
        <v>932731</v>
      </c>
      <c r="J291" t="s">
        <v>166</v>
      </c>
      <c r="K291" t="s">
        <v>584</v>
      </c>
      <c r="L291" t="s">
        <v>165</v>
      </c>
      <c r="M291" t="s">
        <v>46</v>
      </c>
      <c r="N291" s="2"/>
      <c r="O291" s="4"/>
    </row>
    <row r="292" spans="1:15" ht="12.75" customHeight="1" x14ac:dyDescent="0.2">
      <c r="A292" s="369">
        <v>621631</v>
      </c>
      <c r="B292" t="s">
        <v>447</v>
      </c>
      <c r="C292" s="342">
        <v>1412</v>
      </c>
      <c r="D292" s="342">
        <v>1704</v>
      </c>
      <c r="E292" s="342">
        <v>3116</v>
      </c>
      <c r="F292" s="342">
        <v>67390836</v>
      </c>
      <c r="G292" s="342">
        <v>92248363</v>
      </c>
      <c r="H292" s="342">
        <v>159639200</v>
      </c>
      <c r="I292" s="342">
        <v>-2016903</v>
      </c>
      <c r="J292" t="s">
        <v>199</v>
      </c>
      <c r="K292" t="s">
        <v>584</v>
      </c>
      <c r="L292" t="s">
        <v>250</v>
      </c>
      <c r="M292" t="s">
        <v>46</v>
      </c>
      <c r="N292" s="2"/>
      <c r="O292" s="4"/>
    </row>
    <row r="293" spans="1:15" ht="12.75" customHeight="1" x14ac:dyDescent="0.2">
      <c r="A293" s="369">
        <v>832360</v>
      </c>
      <c r="B293" t="s">
        <v>521</v>
      </c>
      <c r="C293" s="342">
        <v>1582</v>
      </c>
      <c r="D293" s="342">
        <v>1500</v>
      </c>
      <c r="E293" s="342">
        <v>3082</v>
      </c>
      <c r="F293" s="342">
        <v>169248996</v>
      </c>
      <c r="G293" s="342">
        <v>193065787</v>
      </c>
      <c r="H293" s="342">
        <v>362314783</v>
      </c>
      <c r="I293" s="342">
        <v>2620298</v>
      </c>
      <c r="J293" t="s">
        <v>246</v>
      </c>
      <c r="K293" t="s">
        <v>577</v>
      </c>
      <c r="L293" t="s">
        <v>241</v>
      </c>
      <c r="M293" t="s">
        <v>154</v>
      </c>
      <c r="N293" s="2"/>
      <c r="O293" s="4"/>
    </row>
    <row r="294" spans="1:15" ht="12.75" customHeight="1" x14ac:dyDescent="0.2">
      <c r="A294" s="369">
        <v>296327</v>
      </c>
      <c r="B294" t="s">
        <v>295</v>
      </c>
      <c r="C294" s="342">
        <v>1413</v>
      </c>
      <c r="D294" s="342">
        <v>1640</v>
      </c>
      <c r="E294" s="342">
        <v>3053</v>
      </c>
      <c r="F294" s="342">
        <v>63247406</v>
      </c>
      <c r="G294" s="342">
        <v>88046714</v>
      </c>
      <c r="H294" s="342">
        <v>151294120</v>
      </c>
      <c r="I294" s="342">
        <v>1459273</v>
      </c>
      <c r="J294" t="s">
        <v>201</v>
      </c>
      <c r="K294" t="s">
        <v>583</v>
      </c>
      <c r="L294" t="s">
        <v>181</v>
      </c>
      <c r="M294" t="s">
        <v>46</v>
      </c>
      <c r="N294" s="2"/>
      <c r="O294" s="4"/>
    </row>
    <row r="295" spans="1:15" ht="12.75" customHeight="1" x14ac:dyDescent="0.2">
      <c r="A295" s="369">
        <v>408484</v>
      </c>
      <c r="B295" t="s">
        <v>353</v>
      </c>
      <c r="C295" s="342">
        <v>1593</v>
      </c>
      <c r="D295" s="342">
        <v>1456</v>
      </c>
      <c r="E295" s="342">
        <v>3049</v>
      </c>
      <c r="F295" s="342">
        <v>79622259</v>
      </c>
      <c r="G295" s="342">
        <v>86483700</v>
      </c>
      <c r="H295" s="342">
        <v>166105959</v>
      </c>
      <c r="I295" s="342">
        <v>1612160</v>
      </c>
      <c r="J295" t="s">
        <v>189</v>
      </c>
      <c r="K295" t="s">
        <v>580</v>
      </c>
      <c r="L295" t="s">
        <v>1507</v>
      </c>
      <c r="M295" t="s">
        <v>46</v>
      </c>
      <c r="N295" s="2"/>
      <c r="O295" s="4"/>
    </row>
    <row r="296" spans="1:15" ht="12.75" customHeight="1" x14ac:dyDescent="0.2">
      <c r="A296" s="369">
        <v>153833</v>
      </c>
      <c r="B296" t="s">
        <v>211</v>
      </c>
      <c r="C296" s="342">
        <v>1103</v>
      </c>
      <c r="D296" s="342">
        <v>1907</v>
      </c>
      <c r="E296" s="342">
        <v>3010</v>
      </c>
      <c r="F296" s="342">
        <v>37513908</v>
      </c>
      <c r="G296" s="342">
        <v>73324203</v>
      </c>
      <c r="H296" s="342">
        <v>110838111</v>
      </c>
      <c r="I296" s="342">
        <v>447084</v>
      </c>
      <c r="J296" t="s">
        <v>212</v>
      </c>
      <c r="K296" t="s">
        <v>580</v>
      </c>
      <c r="L296" t="s">
        <v>1507</v>
      </c>
      <c r="M296" t="s">
        <v>46</v>
      </c>
      <c r="N296" s="2"/>
      <c r="O296" s="4"/>
    </row>
    <row r="297" spans="1:15" ht="12.75" customHeight="1" x14ac:dyDescent="0.2">
      <c r="A297" s="369">
        <v>103606</v>
      </c>
      <c r="B297" t="s">
        <v>153</v>
      </c>
      <c r="C297" s="342">
        <v>1227</v>
      </c>
      <c r="D297" s="342">
        <v>1662</v>
      </c>
      <c r="E297" s="342">
        <v>2889</v>
      </c>
      <c r="F297" s="342">
        <v>122273610</v>
      </c>
      <c r="G297" s="342">
        <v>190773832</v>
      </c>
      <c r="H297" s="342">
        <v>313047442</v>
      </c>
      <c r="I297" s="342">
        <v>5024186</v>
      </c>
      <c r="J297" t="s">
        <v>156</v>
      </c>
      <c r="K297" t="s">
        <v>583</v>
      </c>
      <c r="L297" t="s">
        <v>155</v>
      </c>
      <c r="M297" t="s">
        <v>154</v>
      </c>
      <c r="N297" s="2"/>
      <c r="O297" s="4"/>
    </row>
    <row r="298" spans="1:15" ht="12.75" customHeight="1" x14ac:dyDescent="0.2">
      <c r="A298" s="369">
        <v>442897</v>
      </c>
      <c r="B298" t="s">
        <v>368</v>
      </c>
      <c r="C298" s="342">
        <v>1360</v>
      </c>
      <c r="D298" s="342">
        <v>1514</v>
      </c>
      <c r="E298" s="342">
        <v>2874</v>
      </c>
      <c r="F298" s="342">
        <v>110094744</v>
      </c>
      <c r="G298" s="342">
        <v>172032146</v>
      </c>
      <c r="H298" s="342">
        <v>282126890</v>
      </c>
      <c r="I298" s="342">
        <v>26688</v>
      </c>
      <c r="J298" t="s">
        <v>194</v>
      </c>
      <c r="K298" t="s">
        <v>584</v>
      </c>
      <c r="L298" t="s">
        <v>198</v>
      </c>
      <c r="M298" t="s">
        <v>154</v>
      </c>
      <c r="N298" s="2"/>
      <c r="O298" s="4"/>
    </row>
    <row r="299" spans="1:15" ht="12.75" customHeight="1" x14ac:dyDescent="0.2">
      <c r="A299" s="369">
        <v>349150</v>
      </c>
      <c r="B299" t="s">
        <v>1458</v>
      </c>
      <c r="C299" s="342">
        <v>1198</v>
      </c>
      <c r="D299" s="342">
        <v>1625</v>
      </c>
      <c r="E299" s="342">
        <v>2823</v>
      </c>
      <c r="F299" s="342">
        <v>65882003</v>
      </c>
      <c r="G299" s="342">
        <v>110118550</v>
      </c>
      <c r="H299" s="342">
        <v>176000552</v>
      </c>
      <c r="I299" s="342">
        <v>-4033818</v>
      </c>
      <c r="J299" t="s">
        <v>172</v>
      </c>
      <c r="K299" t="s">
        <v>583</v>
      </c>
      <c r="L299" t="s">
        <v>1516</v>
      </c>
      <c r="M299" t="s">
        <v>46</v>
      </c>
      <c r="N299" s="2"/>
      <c r="O299" s="4"/>
    </row>
    <row r="300" spans="1:15" ht="12.75" customHeight="1" x14ac:dyDescent="0.2">
      <c r="A300" s="369">
        <v>275495</v>
      </c>
      <c r="B300" t="s">
        <v>628</v>
      </c>
      <c r="C300" s="342">
        <v>1337</v>
      </c>
      <c r="D300" s="342">
        <v>1476</v>
      </c>
      <c r="E300" s="342">
        <v>2813</v>
      </c>
      <c r="F300" s="342">
        <v>46939187</v>
      </c>
      <c r="G300" s="342">
        <v>65475011</v>
      </c>
      <c r="H300" s="342">
        <v>112414198</v>
      </c>
      <c r="I300" s="342">
        <v>1261248</v>
      </c>
      <c r="J300" t="s">
        <v>214</v>
      </c>
      <c r="K300" t="s">
        <v>583</v>
      </c>
      <c r="L300" t="s">
        <v>1514</v>
      </c>
      <c r="M300" t="s">
        <v>46</v>
      </c>
      <c r="N300" s="2"/>
      <c r="O300" s="4"/>
    </row>
    <row r="301" spans="1:15" ht="12.75" customHeight="1" x14ac:dyDescent="0.2">
      <c r="A301" s="369">
        <v>553578</v>
      </c>
      <c r="B301" t="s">
        <v>1339</v>
      </c>
      <c r="C301" s="342">
        <v>1045</v>
      </c>
      <c r="D301" s="342">
        <v>1624</v>
      </c>
      <c r="E301" s="342">
        <v>2669</v>
      </c>
      <c r="F301" s="342">
        <v>49723814</v>
      </c>
      <c r="G301" s="342">
        <v>100854276</v>
      </c>
      <c r="H301" s="342">
        <v>150578090</v>
      </c>
      <c r="I301" s="342">
        <v>1837147</v>
      </c>
      <c r="J301" t="s">
        <v>163</v>
      </c>
      <c r="K301" t="s">
        <v>583</v>
      </c>
      <c r="L301" t="s">
        <v>1509</v>
      </c>
      <c r="M301" t="s">
        <v>46</v>
      </c>
      <c r="N301" s="2"/>
      <c r="O301" s="4"/>
    </row>
    <row r="302" spans="1:15" ht="12.75" customHeight="1" x14ac:dyDescent="0.2">
      <c r="A302" s="369">
        <v>408062</v>
      </c>
      <c r="B302" t="s">
        <v>337</v>
      </c>
      <c r="C302" s="342">
        <v>974</v>
      </c>
      <c r="D302" s="342">
        <v>1631</v>
      </c>
      <c r="E302" s="342">
        <v>2605</v>
      </c>
      <c r="F302" s="342">
        <v>57698727</v>
      </c>
      <c r="G302" s="342">
        <v>109752370</v>
      </c>
      <c r="H302" s="342">
        <v>167451097</v>
      </c>
      <c r="I302" s="342">
        <v>-1184123</v>
      </c>
      <c r="J302" t="s">
        <v>263</v>
      </c>
      <c r="K302" t="s">
        <v>583</v>
      </c>
      <c r="L302" t="s">
        <v>1520</v>
      </c>
      <c r="M302" t="s">
        <v>46</v>
      </c>
      <c r="N302" s="2"/>
      <c r="O302" s="4"/>
    </row>
    <row r="303" spans="1:15" ht="12.75" customHeight="1" x14ac:dyDescent="0.2">
      <c r="A303" s="369">
        <v>320358</v>
      </c>
      <c r="B303" t="s">
        <v>1330</v>
      </c>
      <c r="C303" s="342">
        <v>1210</v>
      </c>
      <c r="D303" s="342">
        <v>1392</v>
      </c>
      <c r="E303" s="342">
        <v>2602</v>
      </c>
      <c r="F303" s="342">
        <v>83926718</v>
      </c>
      <c r="G303" s="342">
        <v>116500784</v>
      </c>
      <c r="H303" s="342">
        <v>200427502</v>
      </c>
      <c r="I303" s="342">
        <v>-201965</v>
      </c>
      <c r="J303" t="s">
        <v>162</v>
      </c>
      <c r="K303" t="s">
        <v>583</v>
      </c>
      <c r="L303" t="s">
        <v>1507</v>
      </c>
      <c r="M303" t="s">
        <v>46</v>
      </c>
      <c r="N303" s="2"/>
      <c r="O303" s="4"/>
    </row>
    <row r="304" spans="1:15" ht="12.75" customHeight="1" x14ac:dyDescent="0.2">
      <c r="A304" s="369">
        <v>768499</v>
      </c>
      <c r="B304" t="s">
        <v>1474</v>
      </c>
      <c r="C304" s="342">
        <v>916</v>
      </c>
      <c r="D304" s="342">
        <v>1621</v>
      </c>
      <c r="E304" s="342">
        <v>2537</v>
      </c>
      <c r="F304" s="342">
        <v>43972198</v>
      </c>
      <c r="G304" s="342">
        <v>92052017</v>
      </c>
      <c r="H304" s="342">
        <v>136024215</v>
      </c>
      <c r="I304" s="342">
        <v>769826</v>
      </c>
      <c r="J304" t="s">
        <v>221</v>
      </c>
      <c r="K304" t="s">
        <v>583</v>
      </c>
      <c r="L304" t="s">
        <v>1509</v>
      </c>
      <c r="M304" t="s">
        <v>46</v>
      </c>
      <c r="N304" s="2"/>
      <c r="O304" s="4"/>
    </row>
    <row r="305" spans="1:15" ht="12.75" customHeight="1" x14ac:dyDescent="0.2">
      <c r="A305" s="369">
        <v>330746</v>
      </c>
      <c r="B305" t="s">
        <v>316</v>
      </c>
      <c r="C305" s="342">
        <v>1217</v>
      </c>
      <c r="D305" s="342">
        <v>1311</v>
      </c>
      <c r="E305" s="342">
        <v>2528</v>
      </c>
      <c r="F305" s="342">
        <v>62868568</v>
      </c>
      <c r="G305" s="342">
        <v>97216953</v>
      </c>
      <c r="H305" s="342">
        <v>160085522</v>
      </c>
      <c r="I305" s="342">
        <v>-1777420</v>
      </c>
      <c r="J305" t="s">
        <v>159</v>
      </c>
      <c r="K305" t="s">
        <v>584</v>
      </c>
      <c r="L305" t="s">
        <v>1505</v>
      </c>
      <c r="M305" t="s">
        <v>154</v>
      </c>
      <c r="N305" s="2"/>
      <c r="O305" s="4"/>
    </row>
    <row r="306" spans="1:15" ht="12.75" customHeight="1" x14ac:dyDescent="0.2">
      <c r="A306" s="369">
        <v>418699</v>
      </c>
      <c r="B306" t="s">
        <v>595</v>
      </c>
      <c r="C306" s="342">
        <v>1294</v>
      </c>
      <c r="D306" s="342">
        <v>1209</v>
      </c>
      <c r="E306" s="342">
        <v>2503</v>
      </c>
      <c r="F306" s="342">
        <v>84296880</v>
      </c>
      <c r="G306" s="342">
        <v>107249083</v>
      </c>
      <c r="H306" s="342">
        <v>191545963</v>
      </c>
      <c r="I306" s="342">
        <v>-11679689</v>
      </c>
      <c r="J306" t="s">
        <v>194</v>
      </c>
      <c r="K306" t="s">
        <v>584</v>
      </c>
      <c r="L306" t="s">
        <v>290</v>
      </c>
      <c r="M306" t="s">
        <v>154</v>
      </c>
      <c r="N306" s="2"/>
      <c r="O306" s="4"/>
    </row>
    <row r="307" spans="1:15" ht="12.75" customHeight="1" x14ac:dyDescent="0.2">
      <c r="A307" s="369">
        <v>459891</v>
      </c>
      <c r="B307" t="s">
        <v>1380</v>
      </c>
      <c r="C307" s="342">
        <v>868</v>
      </c>
      <c r="D307" s="342">
        <v>1603</v>
      </c>
      <c r="E307" s="342">
        <v>2471</v>
      </c>
      <c r="F307" s="342">
        <v>41128672</v>
      </c>
      <c r="G307" s="342">
        <v>80364705</v>
      </c>
      <c r="H307" s="342">
        <v>121493377</v>
      </c>
      <c r="I307" s="342">
        <v>-838028</v>
      </c>
      <c r="J307" t="s">
        <v>172</v>
      </c>
      <c r="K307" t="s">
        <v>583</v>
      </c>
      <c r="L307" t="s">
        <v>198</v>
      </c>
      <c r="M307" t="s">
        <v>154</v>
      </c>
      <c r="N307" s="2"/>
      <c r="O307" s="4"/>
    </row>
    <row r="308" spans="1:15" ht="12.75" customHeight="1" x14ac:dyDescent="0.2">
      <c r="A308" s="369">
        <v>262741</v>
      </c>
      <c r="B308" t="s">
        <v>1327</v>
      </c>
      <c r="C308" s="342">
        <v>1039</v>
      </c>
      <c r="D308" s="342">
        <v>1426</v>
      </c>
      <c r="E308" s="342">
        <v>2465</v>
      </c>
      <c r="F308" s="342">
        <v>26099220</v>
      </c>
      <c r="G308" s="342">
        <v>45738567</v>
      </c>
      <c r="H308" s="342">
        <v>71837786</v>
      </c>
      <c r="I308" s="342">
        <v>-3125181</v>
      </c>
      <c r="J308" t="s">
        <v>163</v>
      </c>
      <c r="K308" t="s">
        <v>583</v>
      </c>
      <c r="L308" t="s">
        <v>608</v>
      </c>
      <c r="M308" t="s">
        <v>46</v>
      </c>
      <c r="N308" s="2"/>
      <c r="O308" s="4"/>
    </row>
    <row r="309" spans="1:15" ht="12.75" customHeight="1" x14ac:dyDescent="0.2">
      <c r="A309" s="369">
        <v>316752</v>
      </c>
      <c r="B309" t="s">
        <v>307</v>
      </c>
      <c r="C309" s="342">
        <v>931</v>
      </c>
      <c r="D309" s="342">
        <v>1527</v>
      </c>
      <c r="E309" s="342">
        <v>2458</v>
      </c>
      <c r="F309" s="342">
        <v>65093743</v>
      </c>
      <c r="G309" s="342">
        <v>138969789</v>
      </c>
      <c r="H309" s="342">
        <v>204063532</v>
      </c>
      <c r="I309" s="342">
        <v>-32225903</v>
      </c>
      <c r="J309" t="s">
        <v>270</v>
      </c>
      <c r="K309" t="s">
        <v>584</v>
      </c>
      <c r="L309" t="s">
        <v>1511</v>
      </c>
      <c r="M309" t="s">
        <v>46</v>
      </c>
      <c r="N309" s="2"/>
      <c r="O309" s="4"/>
    </row>
    <row r="310" spans="1:15" ht="12.75" customHeight="1" x14ac:dyDescent="0.2">
      <c r="A310" s="369">
        <v>488932</v>
      </c>
      <c r="B310" t="s">
        <v>390</v>
      </c>
      <c r="C310" s="342">
        <v>1336</v>
      </c>
      <c r="D310" s="342">
        <v>1114</v>
      </c>
      <c r="E310" s="342">
        <v>2450</v>
      </c>
      <c r="F310" s="342">
        <v>73434536</v>
      </c>
      <c r="G310" s="342">
        <v>73311508</v>
      </c>
      <c r="H310" s="342">
        <v>146746044</v>
      </c>
      <c r="I310" s="342">
        <v>1392435</v>
      </c>
      <c r="J310" t="s">
        <v>162</v>
      </c>
      <c r="K310" t="s">
        <v>583</v>
      </c>
      <c r="L310" t="s">
        <v>1506</v>
      </c>
      <c r="M310" t="s">
        <v>46</v>
      </c>
      <c r="N310" s="2"/>
      <c r="O310" s="4"/>
    </row>
    <row r="311" spans="1:15" ht="12.75" customHeight="1" x14ac:dyDescent="0.2">
      <c r="A311" s="369">
        <v>294918</v>
      </c>
      <c r="B311" t="s">
        <v>293</v>
      </c>
      <c r="C311" s="342">
        <v>1011</v>
      </c>
      <c r="D311" s="342">
        <v>1411</v>
      </c>
      <c r="E311" s="342">
        <v>2422</v>
      </c>
      <c r="F311" s="342">
        <v>72572946</v>
      </c>
      <c r="G311" s="342">
        <v>131450543</v>
      </c>
      <c r="H311" s="342">
        <v>204023489</v>
      </c>
      <c r="I311" s="342">
        <v>-8561646</v>
      </c>
      <c r="J311" t="s">
        <v>194</v>
      </c>
      <c r="K311" t="s">
        <v>584</v>
      </c>
      <c r="L311" t="s">
        <v>1505</v>
      </c>
      <c r="M311" t="s">
        <v>154</v>
      </c>
      <c r="N311" s="2"/>
      <c r="O311" s="4"/>
    </row>
    <row r="312" spans="1:15" ht="12.75" customHeight="1" x14ac:dyDescent="0.2">
      <c r="A312" s="369">
        <v>385401</v>
      </c>
      <c r="B312" t="s">
        <v>341</v>
      </c>
      <c r="C312" s="342">
        <v>1012</v>
      </c>
      <c r="D312" s="342">
        <v>1366</v>
      </c>
      <c r="E312" s="342">
        <v>2378</v>
      </c>
      <c r="F312" s="342">
        <v>51474009</v>
      </c>
      <c r="G312" s="342">
        <v>86227153</v>
      </c>
      <c r="H312" s="342">
        <v>137701162</v>
      </c>
      <c r="I312" s="342">
        <v>166799</v>
      </c>
      <c r="J312" t="s">
        <v>263</v>
      </c>
      <c r="K312" t="s">
        <v>583</v>
      </c>
      <c r="L312" t="s">
        <v>241</v>
      </c>
      <c r="M312" t="s">
        <v>154</v>
      </c>
      <c r="N312" s="2"/>
      <c r="O312" s="4"/>
    </row>
    <row r="313" spans="1:15" ht="12.75" customHeight="1" x14ac:dyDescent="0.2">
      <c r="A313" s="369">
        <v>192146</v>
      </c>
      <c r="B313" t="s">
        <v>1373</v>
      </c>
      <c r="C313" s="342">
        <v>974</v>
      </c>
      <c r="D313" s="342">
        <v>1397</v>
      </c>
      <c r="E313" s="342">
        <v>2371</v>
      </c>
      <c r="F313" s="342">
        <v>56585948</v>
      </c>
      <c r="G313" s="342">
        <v>100701292</v>
      </c>
      <c r="H313" s="342">
        <v>157287240</v>
      </c>
      <c r="I313" s="342">
        <v>710325</v>
      </c>
      <c r="J313" t="s">
        <v>214</v>
      </c>
      <c r="K313" t="s">
        <v>583</v>
      </c>
      <c r="L313" t="s">
        <v>1513</v>
      </c>
      <c r="M313" t="s">
        <v>46</v>
      </c>
      <c r="N313" s="2"/>
      <c r="O313" s="4"/>
    </row>
    <row r="314" spans="1:15" ht="12.75" customHeight="1" x14ac:dyDescent="0.2">
      <c r="A314" s="369">
        <v>912220</v>
      </c>
      <c r="B314" t="s">
        <v>551</v>
      </c>
      <c r="C314" s="342">
        <v>1122</v>
      </c>
      <c r="D314" s="342">
        <v>1242</v>
      </c>
      <c r="E314" s="342">
        <v>2364</v>
      </c>
      <c r="F314" s="342">
        <v>73322530</v>
      </c>
      <c r="G314" s="342">
        <v>93309107</v>
      </c>
      <c r="H314" s="342">
        <v>166631636</v>
      </c>
      <c r="I314" s="342">
        <v>-1542401</v>
      </c>
      <c r="J314" t="s">
        <v>162</v>
      </c>
      <c r="K314" t="s">
        <v>583</v>
      </c>
      <c r="L314" t="s">
        <v>198</v>
      </c>
      <c r="M314" t="s">
        <v>154</v>
      </c>
      <c r="N314" s="2"/>
      <c r="O314" s="4"/>
    </row>
    <row r="315" spans="1:15" ht="12.75" customHeight="1" x14ac:dyDescent="0.2">
      <c r="A315" s="369">
        <v>170894</v>
      </c>
      <c r="B315" t="s">
        <v>606</v>
      </c>
      <c r="C315" s="342">
        <v>898</v>
      </c>
      <c r="D315" s="342">
        <v>1415</v>
      </c>
      <c r="E315" s="342">
        <v>2313</v>
      </c>
      <c r="F315" s="342">
        <v>36421692</v>
      </c>
      <c r="G315" s="342">
        <v>72563232</v>
      </c>
      <c r="H315" s="342">
        <v>108984924</v>
      </c>
      <c r="I315" s="342">
        <v>945279</v>
      </c>
      <c r="J315" t="s">
        <v>221</v>
      </c>
      <c r="K315" t="s">
        <v>583</v>
      </c>
      <c r="L315" t="s">
        <v>1510</v>
      </c>
      <c r="M315" t="s">
        <v>46</v>
      </c>
      <c r="N315" s="2"/>
      <c r="O315" s="4"/>
    </row>
    <row r="316" spans="1:15" ht="12.75" customHeight="1" x14ac:dyDescent="0.2">
      <c r="A316" s="369">
        <v>184416</v>
      </c>
      <c r="B316" t="s">
        <v>228</v>
      </c>
      <c r="C316" s="342">
        <v>1167</v>
      </c>
      <c r="D316" s="342">
        <v>1141</v>
      </c>
      <c r="E316" s="342">
        <v>2308</v>
      </c>
      <c r="F316" s="342">
        <v>86667466</v>
      </c>
      <c r="G316" s="342">
        <v>106292167</v>
      </c>
      <c r="H316" s="342">
        <v>192959633</v>
      </c>
      <c r="I316" s="342">
        <v>828154</v>
      </c>
      <c r="J316" t="s">
        <v>156</v>
      </c>
      <c r="K316" t="s">
        <v>583</v>
      </c>
      <c r="L316" t="s">
        <v>168</v>
      </c>
      <c r="M316" t="s">
        <v>154</v>
      </c>
      <c r="N316" s="2"/>
      <c r="O316" s="4"/>
    </row>
    <row r="317" spans="1:15" ht="12.75" customHeight="1" x14ac:dyDescent="0.2">
      <c r="A317" s="369">
        <v>500976</v>
      </c>
      <c r="B317" t="s">
        <v>1383</v>
      </c>
      <c r="C317" s="342">
        <v>972</v>
      </c>
      <c r="D317" s="342">
        <v>1333</v>
      </c>
      <c r="E317" s="342">
        <v>2305</v>
      </c>
      <c r="F317" s="342">
        <v>52918835</v>
      </c>
      <c r="G317" s="342">
        <v>97293718</v>
      </c>
      <c r="H317" s="342">
        <v>150212554</v>
      </c>
      <c r="I317" s="342">
        <v>1520096</v>
      </c>
      <c r="J317" t="s">
        <v>252</v>
      </c>
      <c r="K317" t="s">
        <v>583</v>
      </c>
      <c r="L317" t="s">
        <v>519</v>
      </c>
      <c r="M317" t="s">
        <v>154</v>
      </c>
      <c r="N317" s="2"/>
      <c r="O317" s="4"/>
    </row>
    <row r="318" spans="1:15" ht="12.75" customHeight="1" x14ac:dyDescent="0.2">
      <c r="A318" s="369">
        <v>496497</v>
      </c>
      <c r="B318" t="s">
        <v>618</v>
      </c>
      <c r="C318" s="342">
        <v>1118</v>
      </c>
      <c r="D318" s="342">
        <v>1168</v>
      </c>
      <c r="E318" s="342">
        <v>2286</v>
      </c>
      <c r="F318" s="342">
        <v>59330822</v>
      </c>
      <c r="G318" s="342">
        <v>72358488</v>
      </c>
      <c r="H318" s="342">
        <v>131689310</v>
      </c>
      <c r="I318" s="342">
        <v>-32978</v>
      </c>
      <c r="J318" t="s">
        <v>159</v>
      </c>
      <c r="K318" t="s">
        <v>584</v>
      </c>
      <c r="L318" t="s">
        <v>184</v>
      </c>
      <c r="M318" t="s">
        <v>46</v>
      </c>
      <c r="N318" s="2"/>
      <c r="O318" s="4"/>
    </row>
    <row r="319" spans="1:15" ht="12.75" customHeight="1" x14ac:dyDescent="0.2">
      <c r="A319" s="369">
        <v>785907</v>
      </c>
      <c r="B319" t="s">
        <v>508</v>
      </c>
      <c r="C319" s="342">
        <v>1056</v>
      </c>
      <c r="D319" s="342">
        <v>1201</v>
      </c>
      <c r="E319" s="342">
        <v>2257</v>
      </c>
      <c r="F319" s="342">
        <v>85547385</v>
      </c>
      <c r="G319" s="342">
        <v>115174757</v>
      </c>
      <c r="H319" s="342">
        <v>200722143</v>
      </c>
      <c r="I319" s="342">
        <v>1739680</v>
      </c>
      <c r="J319" t="s">
        <v>162</v>
      </c>
      <c r="K319" t="s">
        <v>583</v>
      </c>
      <c r="L319" t="s">
        <v>187</v>
      </c>
      <c r="M319" t="s">
        <v>154</v>
      </c>
      <c r="N319" s="2"/>
      <c r="O319" s="4"/>
    </row>
    <row r="320" spans="1:15" ht="12.75" customHeight="1" x14ac:dyDescent="0.2">
      <c r="A320" s="369">
        <v>308908</v>
      </c>
      <c r="B320" t="s">
        <v>612</v>
      </c>
      <c r="C320" s="342">
        <v>1178</v>
      </c>
      <c r="D320" s="342">
        <v>986</v>
      </c>
      <c r="E320" s="342">
        <v>2164</v>
      </c>
      <c r="F320" s="342">
        <v>40173365</v>
      </c>
      <c r="G320" s="342">
        <v>47219090</v>
      </c>
      <c r="H320" s="342">
        <v>87392455</v>
      </c>
      <c r="I320" s="342">
        <v>-268706</v>
      </c>
      <c r="J320" t="s">
        <v>159</v>
      </c>
      <c r="K320" t="s">
        <v>584</v>
      </c>
      <c r="L320" t="s">
        <v>304</v>
      </c>
      <c r="M320" t="s">
        <v>154</v>
      </c>
      <c r="N320" s="2"/>
      <c r="O320" s="4"/>
    </row>
    <row r="321" spans="1:15" ht="12.75" customHeight="1" x14ac:dyDescent="0.2">
      <c r="A321" s="369">
        <v>976506</v>
      </c>
      <c r="B321" t="s">
        <v>623</v>
      </c>
      <c r="C321" s="342">
        <v>1008</v>
      </c>
      <c r="D321" s="342">
        <v>1069</v>
      </c>
      <c r="E321" s="342">
        <v>2077</v>
      </c>
      <c r="F321" s="342">
        <v>64245899</v>
      </c>
      <c r="G321" s="342">
        <v>74341522</v>
      </c>
      <c r="H321" s="342">
        <v>138587421</v>
      </c>
      <c r="I321" s="342">
        <v>996904</v>
      </c>
      <c r="J321" t="s">
        <v>254</v>
      </c>
      <c r="K321" t="s">
        <v>583</v>
      </c>
      <c r="L321" t="s">
        <v>1508</v>
      </c>
      <c r="M321" t="s">
        <v>46</v>
      </c>
      <c r="N321" s="2"/>
      <c r="O321" s="4"/>
    </row>
    <row r="322" spans="1:15" ht="12.75" customHeight="1" x14ac:dyDescent="0.2">
      <c r="A322" s="369">
        <v>189258</v>
      </c>
      <c r="B322" t="s">
        <v>231</v>
      </c>
      <c r="C322" s="342">
        <v>782</v>
      </c>
      <c r="D322" s="342">
        <v>1285</v>
      </c>
      <c r="E322" s="342">
        <v>2067</v>
      </c>
      <c r="F322" s="342">
        <v>43041267</v>
      </c>
      <c r="G322" s="342">
        <v>83670391</v>
      </c>
      <c r="H322" s="342">
        <v>126711658</v>
      </c>
      <c r="I322" s="342">
        <v>-5038824</v>
      </c>
      <c r="J322" t="s">
        <v>163</v>
      </c>
      <c r="K322" t="s">
        <v>583</v>
      </c>
      <c r="L322" t="s">
        <v>1511</v>
      </c>
      <c r="M322" t="s">
        <v>46</v>
      </c>
      <c r="N322" s="2"/>
      <c r="O322" s="4"/>
    </row>
    <row r="323" spans="1:15" ht="12.75" customHeight="1" x14ac:dyDescent="0.2">
      <c r="A323" s="369">
        <v>112755</v>
      </c>
      <c r="B323" t="s">
        <v>167</v>
      </c>
      <c r="C323" s="342">
        <v>1083</v>
      </c>
      <c r="D323" s="342">
        <v>981</v>
      </c>
      <c r="E323" s="342">
        <v>2064</v>
      </c>
      <c r="F323" s="342">
        <v>52293030</v>
      </c>
      <c r="G323" s="342">
        <v>63823987</v>
      </c>
      <c r="H323" s="342">
        <v>116117018</v>
      </c>
      <c r="I323" s="342">
        <v>-1538146</v>
      </c>
      <c r="J323" t="s">
        <v>159</v>
      </c>
      <c r="K323" t="s">
        <v>584</v>
      </c>
      <c r="L323" t="s">
        <v>168</v>
      </c>
      <c r="M323" t="s">
        <v>154</v>
      </c>
      <c r="N323" s="2"/>
      <c r="O323" s="4"/>
    </row>
    <row r="324" spans="1:15" ht="12.75" customHeight="1" x14ac:dyDescent="0.2">
      <c r="A324" s="369">
        <v>182584</v>
      </c>
      <c r="B324" t="s">
        <v>607</v>
      </c>
      <c r="C324" s="342">
        <v>974</v>
      </c>
      <c r="D324" s="342">
        <v>1059</v>
      </c>
      <c r="E324" s="342">
        <v>2033</v>
      </c>
      <c r="F324" s="342">
        <v>68240011</v>
      </c>
      <c r="G324" s="342">
        <v>87461727</v>
      </c>
      <c r="H324" s="342">
        <v>155701738</v>
      </c>
      <c r="I324" s="342">
        <v>1201363</v>
      </c>
      <c r="J324" t="s">
        <v>201</v>
      </c>
      <c r="K324" t="s">
        <v>583</v>
      </c>
      <c r="L324" t="s">
        <v>225</v>
      </c>
      <c r="M324" t="s">
        <v>46</v>
      </c>
      <c r="N324" s="2"/>
      <c r="O324" s="4"/>
    </row>
    <row r="325" spans="1:15" ht="12.75" customHeight="1" x14ac:dyDescent="0.2">
      <c r="A325" s="369">
        <v>570630</v>
      </c>
      <c r="B325" t="s">
        <v>427</v>
      </c>
      <c r="C325" s="342">
        <v>1182</v>
      </c>
      <c r="D325" s="342">
        <v>841</v>
      </c>
      <c r="E325" s="342">
        <v>2023</v>
      </c>
      <c r="F325" s="342">
        <v>55221738</v>
      </c>
      <c r="G325" s="342">
        <v>45300831</v>
      </c>
      <c r="H325" s="342">
        <v>100522569</v>
      </c>
      <c r="I325" s="342">
        <v>618492</v>
      </c>
      <c r="J325" t="s">
        <v>185</v>
      </c>
      <c r="K325" t="s">
        <v>583</v>
      </c>
      <c r="L325" t="s">
        <v>1505</v>
      </c>
      <c r="M325" t="s">
        <v>154</v>
      </c>
      <c r="N325" s="2"/>
      <c r="O325" s="4"/>
    </row>
    <row r="326" spans="1:15" ht="12.75" customHeight="1" x14ac:dyDescent="0.2">
      <c r="A326" s="369">
        <v>874271</v>
      </c>
      <c r="B326" t="s">
        <v>539</v>
      </c>
      <c r="C326" s="342">
        <v>850</v>
      </c>
      <c r="D326" s="342">
        <v>1172</v>
      </c>
      <c r="E326" s="342">
        <v>2022</v>
      </c>
      <c r="F326" s="342">
        <v>39364850</v>
      </c>
      <c r="G326" s="342">
        <v>69827127</v>
      </c>
      <c r="H326" s="342">
        <v>109191977</v>
      </c>
      <c r="I326" s="342">
        <v>1376376</v>
      </c>
      <c r="J326" t="s">
        <v>221</v>
      </c>
      <c r="K326" t="s">
        <v>583</v>
      </c>
      <c r="L326" t="s">
        <v>1511</v>
      </c>
      <c r="M326" t="s">
        <v>46</v>
      </c>
      <c r="N326" s="2"/>
      <c r="O326" s="4"/>
    </row>
    <row r="327" spans="1:15" ht="12.75" customHeight="1" x14ac:dyDescent="0.2">
      <c r="A327" s="369">
        <v>477729</v>
      </c>
      <c r="B327" t="s">
        <v>1336</v>
      </c>
      <c r="C327" s="342">
        <v>800</v>
      </c>
      <c r="D327" s="342">
        <v>1177</v>
      </c>
      <c r="E327" s="342">
        <v>1977</v>
      </c>
      <c r="F327" s="342">
        <v>44549092</v>
      </c>
      <c r="G327" s="342">
        <v>79257118</v>
      </c>
      <c r="H327" s="342">
        <v>123806211</v>
      </c>
      <c r="I327" s="342">
        <v>875723</v>
      </c>
      <c r="J327" t="s">
        <v>263</v>
      </c>
      <c r="K327" t="s">
        <v>583</v>
      </c>
      <c r="L327" t="s">
        <v>608</v>
      </c>
      <c r="M327" t="s">
        <v>46</v>
      </c>
      <c r="N327" s="2"/>
      <c r="O327" s="4"/>
    </row>
    <row r="328" spans="1:15" ht="12.75" customHeight="1" x14ac:dyDescent="0.2">
      <c r="A328" s="369">
        <v>577833</v>
      </c>
      <c r="B328" t="s">
        <v>431</v>
      </c>
      <c r="C328" s="342">
        <v>898</v>
      </c>
      <c r="D328" s="342">
        <v>1014</v>
      </c>
      <c r="E328" s="342">
        <v>1912</v>
      </c>
      <c r="F328" s="342">
        <v>54027085</v>
      </c>
      <c r="G328" s="342">
        <v>72780259</v>
      </c>
      <c r="H328" s="342">
        <v>126807344</v>
      </c>
      <c r="I328" s="342">
        <v>-232671</v>
      </c>
      <c r="J328" t="s">
        <v>209</v>
      </c>
      <c r="K328" t="s">
        <v>583</v>
      </c>
      <c r="L328" t="s">
        <v>1505</v>
      </c>
      <c r="M328" t="s">
        <v>154</v>
      </c>
      <c r="N328" s="2"/>
      <c r="O328" s="4"/>
    </row>
    <row r="329" spans="1:15" ht="12.75" customHeight="1" x14ac:dyDescent="0.2">
      <c r="A329" s="369">
        <v>529016</v>
      </c>
      <c r="B329" t="s">
        <v>406</v>
      </c>
      <c r="C329" s="342">
        <v>820</v>
      </c>
      <c r="D329" s="342">
        <v>1019</v>
      </c>
      <c r="E329" s="342">
        <v>1839</v>
      </c>
      <c r="F329" s="342">
        <v>36400293</v>
      </c>
      <c r="G329" s="342">
        <v>51934519</v>
      </c>
      <c r="H329" s="342">
        <v>88334812</v>
      </c>
      <c r="I329" s="342">
        <v>909589</v>
      </c>
      <c r="J329" t="s">
        <v>185</v>
      </c>
      <c r="K329" t="s">
        <v>583</v>
      </c>
      <c r="L329" t="s">
        <v>1506</v>
      </c>
      <c r="M329" t="s">
        <v>46</v>
      </c>
      <c r="N329" s="2"/>
      <c r="O329" s="4"/>
    </row>
    <row r="330" spans="1:15" ht="12.75" customHeight="1" x14ac:dyDescent="0.2">
      <c r="A330" s="369">
        <v>235291</v>
      </c>
      <c r="B330" t="s">
        <v>1326</v>
      </c>
      <c r="C330" s="342">
        <v>826</v>
      </c>
      <c r="D330" s="342">
        <v>990</v>
      </c>
      <c r="E330" s="342">
        <v>1816</v>
      </c>
      <c r="F330" s="342">
        <v>20585225</v>
      </c>
      <c r="G330" s="342">
        <v>30213707</v>
      </c>
      <c r="H330" s="342">
        <v>50798932</v>
      </c>
      <c r="I330" s="342">
        <v>1203994</v>
      </c>
      <c r="J330" t="s">
        <v>239</v>
      </c>
      <c r="K330" t="s">
        <v>583</v>
      </c>
      <c r="L330" t="s">
        <v>608</v>
      </c>
      <c r="M330" t="s">
        <v>46</v>
      </c>
      <c r="N330" s="2"/>
      <c r="O330" s="4"/>
    </row>
    <row r="331" spans="1:15" ht="12.75" customHeight="1" x14ac:dyDescent="0.2">
      <c r="A331" s="369">
        <v>555102</v>
      </c>
      <c r="B331" t="s">
        <v>418</v>
      </c>
      <c r="C331" s="342">
        <v>883</v>
      </c>
      <c r="D331" s="342">
        <v>854</v>
      </c>
      <c r="E331" s="342">
        <v>1737</v>
      </c>
      <c r="F331" s="342">
        <v>144903096</v>
      </c>
      <c r="G331" s="342">
        <v>151569477</v>
      </c>
      <c r="H331" s="342">
        <v>296472573</v>
      </c>
      <c r="I331" s="342">
        <v>-2953364</v>
      </c>
      <c r="J331" t="s">
        <v>162</v>
      </c>
      <c r="K331" t="s">
        <v>583</v>
      </c>
      <c r="L331" t="s">
        <v>1522</v>
      </c>
      <c r="M331" t="s">
        <v>46</v>
      </c>
      <c r="N331" s="2"/>
      <c r="O331" s="4"/>
    </row>
    <row r="332" spans="1:15" ht="12.75" customHeight="1" x14ac:dyDescent="0.2">
      <c r="A332" s="369">
        <v>900894</v>
      </c>
      <c r="B332" t="s">
        <v>1390</v>
      </c>
      <c r="C332" s="342">
        <v>766</v>
      </c>
      <c r="D332" s="342">
        <v>967</v>
      </c>
      <c r="E332" s="342">
        <v>1733</v>
      </c>
      <c r="F332" s="342">
        <v>45810319</v>
      </c>
      <c r="G332" s="342">
        <v>64597679</v>
      </c>
      <c r="H332" s="342">
        <v>110407998</v>
      </c>
      <c r="I332" s="342">
        <v>-173081</v>
      </c>
      <c r="J332" t="s">
        <v>199</v>
      </c>
      <c r="K332" t="s">
        <v>584</v>
      </c>
      <c r="L332" t="s">
        <v>1513</v>
      </c>
      <c r="M332" t="s">
        <v>46</v>
      </c>
      <c r="N332" s="2"/>
      <c r="O332" s="4"/>
    </row>
    <row r="333" spans="1:15" ht="12.75" customHeight="1" x14ac:dyDescent="0.2">
      <c r="A333" s="369">
        <v>118000</v>
      </c>
      <c r="B333" t="s">
        <v>180</v>
      </c>
      <c r="C333" s="342">
        <v>450</v>
      </c>
      <c r="D333" s="342">
        <v>1239</v>
      </c>
      <c r="E333" s="342">
        <v>1689</v>
      </c>
      <c r="F333" s="342">
        <v>16174756</v>
      </c>
      <c r="G333" s="342">
        <v>48790750</v>
      </c>
      <c r="H333" s="342">
        <v>64965507</v>
      </c>
      <c r="I333" s="342">
        <v>524523</v>
      </c>
      <c r="J333" t="s">
        <v>162</v>
      </c>
      <c r="K333" t="s">
        <v>583</v>
      </c>
      <c r="L333" t="s">
        <v>1507</v>
      </c>
      <c r="M333" t="s">
        <v>46</v>
      </c>
      <c r="N333" s="2"/>
      <c r="O333" s="4"/>
    </row>
    <row r="334" spans="1:15" ht="12.75" customHeight="1" x14ac:dyDescent="0.2">
      <c r="A334" s="369">
        <v>922435</v>
      </c>
      <c r="B334" t="s">
        <v>1482</v>
      </c>
      <c r="C334" s="342">
        <v>687</v>
      </c>
      <c r="D334" s="342">
        <v>997</v>
      </c>
      <c r="E334" s="342">
        <v>1684</v>
      </c>
      <c r="F334" s="342">
        <v>32288628</v>
      </c>
      <c r="G334" s="342">
        <v>55867165</v>
      </c>
      <c r="H334" s="342">
        <v>88155793</v>
      </c>
      <c r="I334" s="342">
        <v>296773</v>
      </c>
      <c r="J334" t="s">
        <v>263</v>
      </c>
      <c r="K334" t="s">
        <v>583</v>
      </c>
      <c r="L334" t="s">
        <v>1516</v>
      </c>
      <c r="M334" t="s">
        <v>46</v>
      </c>
      <c r="N334" s="2"/>
      <c r="O334" s="4"/>
    </row>
    <row r="335" spans="1:15" ht="12.75" customHeight="1" x14ac:dyDescent="0.2">
      <c r="A335" s="369">
        <v>889261</v>
      </c>
      <c r="B335" t="s">
        <v>545</v>
      </c>
      <c r="C335" s="342">
        <v>656</v>
      </c>
      <c r="D335" s="342">
        <v>1009</v>
      </c>
      <c r="E335" s="342">
        <v>1665</v>
      </c>
      <c r="F335" s="342">
        <v>37059091</v>
      </c>
      <c r="G335" s="342">
        <v>75264210</v>
      </c>
      <c r="H335" s="342">
        <v>112323301</v>
      </c>
      <c r="I335" s="342">
        <v>-2952172</v>
      </c>
      <c r="J335" t="s">
        <v>204</v>
      </c>
      <c r="K335" t="s">
        <v>583</v>
      </c>
      <c r="L335" t="s">
        <v>1506</v>
      </c>
      <c r="M335" t="s">
        <v>46</v>
      </c>
      <c r="N335" s="2"/>
      <c r="O335" s="4"/>
    </row>
    <row r="336" spans="1:15" ht="12.75" customHeight="1" x14ac:dyDescent="0.2">
      <c r="A336" s="369">
        <v>764951</v>
      </c>
      <c r="B336" t="s">
        <v>502</v>
      </c>
      <c r="C336" s="342">
        <v>766</v>
      </c>
      <c r="D336" s="342">
        <v>887</v>
      </c>
      <c r="E336" s="342">
        <v>1653</v>
      </c>
      <c r="F336" s="342">
        <v>33272285</v>
      </c>
      <c r="G336" s="342">
        <v>47081838</v>
      </c>
      <c r="H336" s="342">
        <v>80354123</v>
      </c>
      <c r="I336" s="342">
        <v>327749</v>
      </c>
      <c r="J336" t="s">
        <v>185</v>
      </c>
      <c r="K336" t="s">
        <v>583</v>
      </c>
      <c r="L336" t="s">
        <v>250</v>
      </c>
      <c r="M336" t="s">
        <v>46</v>
      </c>
      <c r="N336" s="2"/>
      <c r="O336" s="4"/>
    </row>
    <row r="337" spans="1:15" ht="12.75" customHeight="1" x14ac:dyDescent="0.2">
      <c r="A337" s="369">
        <v>465147</v>
      </c>
      <c r="B337" t="s">
        <v>1381</v>
      </c>
      <c r="C337" s="342">
        <v>339</v>
      </c>
      <c r="D337" s="342">
        <v>1282</v>
      </c>
      <c r="E337" s="342">
        <v>1621</v>
      </c>
      <c r="F337" s="342">
        <v>18514214</v>
      </c>
      <c r="G337" s="342">
        <v>70391656</v>
      </c>
      <c r="H337" s="342">
        <v>88905869</v>
      </c>
      <c r="I337" s="342">
        <v>1013140</v>
      </c>
      <c r="J337" t="s">
        <v>162</v>
      </c>
      <c r="K337" t="s">
        <v>583</v>
      </c>
      <c r="L337" t="s">
        <v>208</v>
      </c>
      <c r="M337" t="s">
        <v>154</v>
      </c>
      <c r="N337" s="2"/>
      <c r="O337" s="4"/>
    </row>
    <row r="338" spans="1:15" ht="12.75" customHeight="1" x14ac:dyDescent="0.2">
      <c r="A338" s="369">
        <v>844100</v>
      </c>
      <c r="B338" t="s">
        <v>529</v>
      </c>
      <c r="C338" s="342">
        <v>799</v>
      </c>
      <c r="D338" s="342">
        <v>819</v>
      </c>
      <c r="E338" s="342">
        <v>1618</v>
      </c>
      <c r="F338" s="342">
        <v>31045338</v>
      </c>
      <c r="G338" s="342">
        <v>43648835</v>
      </c>
      <c r="H338" s="342">
        <v>74694173</v>
      </c>
      <c r="I338" s="342">
        <v>-1411453</v>
      </c>
      <c r="J338" t="s">
        <v>159</v>
      </c>
      <c r="K338" t="s">
        <v>584</v>
      </c>
      <c r="L338" t="s">
        <v>1505</v>
      </c>
      <c r="M338" t="s">
        <v>154</v>
      </c>
      <c r="N338" s="2"/>
      <c r="O338" s="4"/>
    </row>
    <row r="339" spans="1:15" ht="12.75" customHeight="1" x14ac:dyDescent="0.2">
      <c r="A339" s="369">
        <v>470104</v>
      </c>
      <c r="B339" t="s">
        <v>378</v>
      </c>
      <c r="C339" s="342">
        <v>551</v>
      </c>
      <c r="D339" s="342">
        <v>1059</v>
      </c>
      <c r="E339" s="342">
        <v>1610</v>
      </c>
      <c r="F339" s="342">
        <v>24599140</v>
      </c>
      <c r="G339" s="342">
        <v>63619256</v>
      </c>
      <c r="H339" s="342">
        <v>88218396</v>
      </c>
      <c r="I339" s="342">
        <v>-1424821</v>
      </c>
      <c r="J339" t="s">
        <v>214</v>
      </c>
      <c r="K339" t="s">
        <v>583</v>
      </c>
      <c r="L339" t="s">
        <v>241</v>
      </c>
      <c r="M339" t="s">
        <v>154</v>
      </c>
      <c r="N339" s="2"/>
      <c r="O339" s="4"/>
    </row>
    <row r="340" spans="1:15" ht="12.75" customHeight="1" x14ac:dyDescent="0.2">
      <c r="A340" s="369">
        <v>563254</v>
      </c>
      <c r="B340" t="s">
        <v>1523</v>
      </c>
      <c r="C340" s="342">
        <v>764</v>
      </c>
      <c r="D340" s="342">
        <v>793</v>
      </c>
      <c r="E340" s="342">
        <v>1557</v>
      </c>
      <c r="F340" s="342">
        <v>44903641</v>
      </c>
      <c r="G340" s="342">
        <v>56522804</v>
      </c>
      <c r="H340" s="342">
        <v>101426445</v>
      </c>
      <c r="I340" s="342">
        <v>394629</v>
      </c>
      <c r="J340" t="s">
        <v>204</v>
      </c>
      <c r="K340" t="s">
        <v>583</v>
      </c>
      <c r="L340" t="s">
        <v>1510</v>
      </c>
      <c r="M340" t="s">
        <v>46</v>
      </c>
      <c r="N340" s="2"/>
      <c r="O340" s="4"/>
    </row>
    <row r="341" spans="1:15" ht="12.75" customHeight="1" x14ac:dyDescent="0.2">
      <c r="A341" s="369">
        <v>331686</v>
      </c>
      <c r="B341" t="s">
        <v>317</v>
      </c>
      <c r="C341" s="342">
        <v>666</v>
      </c>
      <c r="D341" s="342">
        <v>860</v>
      </c>
      <c r="E341" s="342">
        <v>1526</v>
      </c>
      <c r="F341" s="342">
        <v>31502821</v>
      </c>
      <c r="G341" s="342">
        <v>54435697</v>
      </c>
      <c r="H341" s="342">
        <v>85938518</v>
      </c>
      <c r="I341" s="342">
        <v>-4920714</v>
      </c>
      <c r="J341" t="s">
        <v>166</v>
      </c>
      <c r="K341" t="s">
        <v>584</v>
      </c>
      <c r="L341" t="s">
        <v>198</v>
      </c>
      <c r="M341" t="s">
        <v>154</v>
      </c>
      <c r="N341" s="2"/>
      <c r="O341" s="4"/>
    </row>
    <row r="342" spans="1:15" ht="12.75" customHeight="1" x14ac:dyDescent="0.2">
      <c r="A342" s="369">
        <v>420463</v>
      </c>
      <c r="B342" t="s">
        <v>358</v>
      </c>
      <c r="C342" s="342">
        <v>653</v>
      </c>
      <c r="D342" s="342">
        <v>862</v>
      </c>
      <c r="E342" s="342">
        <v>1515</v>
      </c>
      <c r="F342" s="342">
        <v>61146978</v>
      </c>
      <c r="G342" s="342">
        <v>89671463</v>
      </c>
      <c r="H342" s="342">
        <v>150818441</v>
      </c>
      <c r="I342" s="342">
        <v>827412</v>
      </c>
      <c r="J342" t="s">
        <v>156</v>
      </c>
      <c r="K342" t="s">
        <v>583</v>
      </c>
      <c r="L342" t="s">
        <v>250</v>
      </c>
      <c r="M342" t="s">
        <v>46</v>
      </c>
      <c r="N342" s="2"/>
      <c r="O342" s="4"/>
    </row>
    <row r="343" spans="1:15" ht="12.75" customHeight="1" x14ac:dyDescent="0.2">
      <c r="A343" s="369">
        <v>554691</v>
      </c>
      <c r="B343" t="s">
        <v>634</v>
      </c>
      <c r="C343" s="342">
        <v>667</v>
      </c>
      <c r="D343" s="342">
        <v>780</v>
      </c>
      <c r="E343" s="342">
        <v>1447</v>
      </c>
      <c r="F343" s="342">
        <v>44775302</v>
      </c>
      <c r="G343" s="342">
        <v>69340814</v>
      </c>
      <c r="H343" s="342">
        <v>114116116</v>
      </c>
      <c r="I343" s="342">
        <v>-4782791</v>
      </c>
      <c r="J343" t="s">
        <v>159</v>
      </c>
      <c r="K343" t="s">
        <v>584</v>
      </c>
      <c r="L343" t="s">
        <v>244</v>
      </c>
      <c r="M343" t="s">
        <v>154</v>
      </c>
      <c r="N343" s="2"/>
      <c r="O343" s="4"/>
    </row>
    <row r="344" spans="1:15" ht="12.75" customHeight="1" x14ac:dyDescent="0.2">
      <c r="A344" s="369">
        <v>571695</v>
      </c>
      <c r="B344" t="s">
        <v>428</v>
      </c>
      <c r="C344" s="342">
        <v>788</v>
      </c>
      <c r="D344" s="342">
        <v>619</v>
      </c>
      <c r="E344" s="342">
        <v>1407</v>
      </c>
      <c r="F344" s="342">
        <v>27228247</v>
      </c>
      <c r="G344" s="342">
        <v>25923587</v>
      </c>
      <c r="H344" s="342">
        <v>53151833</v>
      </c>
      <c r="I344" s="342">
        <v>223669</v>
      </c>
      <c r="J344" t="s">
        <v>185</v>
      </c>
      <c r="K344" t="s">
        <v>583</v>
      </c>
      <c r="L344" t="s">
        <v>230</v>
      </c>
      <c r="M344" t="s">
        <v>46</v>
      </c>
      <c r="N344" s="2"/>
      <c r="O344" s="4"/>
    </row>
    <row r="345" spans="1:15" ht="12.75" customHeight="1" x14ac:dyDescent="0.2">
      <c r="A345" s="369">
        <v>479725</v>
      </c>
      <c r="B345" t="s">
        <v>160</v>
      </c>
      <c r="C345" s="342">
        <v>677</v>
      </c>
      <c r="D345" s="342">
        <v>723</v>
      </c>
      <c r="E345" s="342">
        <v>1400</v>
      </c>
      <c r="F345" s="342">
        <v>51340915</v>
      </c>
      <c r="G345" s="342">
        <v>60791913</v>
      </c>
      <c r="H345" s="342">
        <v>112132829</v>
      </c>
      <c r="I345" s="342">
        <v>1851778</v>
      </c>
      <c r="J345" t="s">
        <v>162</v>
      </c>
      <c r="K345" t="s">
        <v>583</v>
      </c>
      <c r="L345" t="s">
        <v>1520</v>
      </c>
      <c r="M345" t="s">
        <v>46</v>
      </c>
      <c r="N345" s="2"/>
      <c r="O345" s="4"/>
    </row>
    <row r="346" spans="1:15" ht="12.75" customHeight="1" x14ac:dyDescent="0.2">
      <c r="A346" s="369">
        <v>626945</v>
      </c>
      <c r="B346" t="s">
        <v>448</v>
      </c>
      <c r="C346" s="342">
        <v>552</v>
      </c>
      <c r="D346" s="342">
        <v>840</v>
      </c>
      <c r="E346" s="342">
        <v>1392</v>
      </c>
      <c r="F346" s="342">
        <v>49999339</v>
      </c>
      <c r="G346" s="342">
        <v>90154863</v>
      </c>
      <c r="H346" s="342">
        <v>140154202</v>
      </c>
      <c r="I346" s="342">
        <v>2901309</v>
      </c>
      <c r="J346" t="s">
        <v>204</v>
      </c>
      <c r="K346" t="s">
        <v>583</v>
      </c>
      <c r="L346" t="s">
        <v>1506</v>
      </c>
      <c r="M346" t="s">
        <v>46</v>
      </c>
      <c r="N346" s="2"/>
      <c r="O346" s="4"/>
    </row>
    <row r="347" spans="1:15" ht="12.75" customHeight="1" x14ac:dyDescent="0.2">
      <c r="A347" s="369">
        <v>756031</v>
      </c>
      <c r="B347" t="s">
        <v>1527</v>
      </c>
      <c r="C347" s="342">
        <v>590</v>
      </c>
      <c r="D347" s="342">
        <v>792</v>
      </c>
      <c r="E347" s="342">
        <v>1382</v>
      </c>
      <c r="F347" s="342">
        <v>14510065</v>
      </c>
      <c r="G347" s="342">
        <v>24019794</v>
      </c>
      <c r="H347" s="342">
        <v>38529858</v>
      </c>
      <c r="I347" s="342">
        <v>51210958</v>
      </c>
      <c r="J347" t="s">
        <v>239</v>
      </c>
      <c r="K347" t="s">
        <v>583</v>
      </c>
      <c r="L347" t="s">
        <v>1512</v>
      </c>
      <c r="M347" t="s">
        <v>46</v>
      </c>
      <c r="N347" s="2"/>
      <c r="O347" s="4"/>
    </row>
    <row r="348" spans="1:15" ht="12.75" customHeight="1" x14ac:dyDescent="0.2">
      <c r="A348" s="369">
        <v>934711</v>
      </c>
      <c r="B348" t="s">
        <v>556</v>
      </c>
      <c r="C348" s="342">
        <v>519</v>
      </c>
      <c r="D348" s="342">
        <v>856</v>
      </c>
      <c r="E348" s="342">
        <v>1375</v>
      </c>
      <c r="F348" s="342">
        <v>36158366</v>
      </c>
      <c r="G348" s="342">
        <v>72215363</v>
      </c>
      <c r="H348" s="342">
        <v>108373729</v>
      </c>
      <c r="I348" s="342">
        <v>27487627</v>
      </c>
      <c r="J348" t="s">
        <v>270</v>
      </c>
      <c r="K348" t="s">
        <v>584</v>
      </c>
      <c r="L348" t="s">
        <v>290</v>
      </c>
      <c r="M348" t="s">
        <v>154</v>
      </c>
      <c r="N348" s="2"/>
      <c r="O348" s="4"/>
    </row>
    <row r="349" spans="1:15" ht="12.75" customHeight="1" x14ac:dyDescent="0.2">
      <c r="A349" s="369">
        <v>259499</v>
      </c>
      <c r="B349" t="s">
        <v>273</v>
      </c>
      <c r="C349" s="342">
        <v>597</v>
      </c>
      <c r="D349" s="342">
        <v>775</v>
      </c>
      <c r="E349" s="342">
        <v>1372</v>
      </c>
      <c r="F349" s="342">
        <v>41136437</v>
      </c>
      <c r="G349" s="342">
        <v>75738730</v>
      </c>
      <c r="H349" s="342">
        <v>116875167</v>
      </c>
      <c r="I349" s="342">
        <v>-6890492</v>
      </c>
      <c r="J349" t="s">
        <v>270</v>
      </c>
      <c r="K349" t="s">
        <v>584</v>
      </c>
      <c r="L349" t="s">
        <v>1506</v>
      </c>
      <c r="M349" t="s">
        <v>46</v>
      </c>
      <c r="N349" s="2"/>
      <c r="O349" s="4"/>
    </row>
    <row r="350" spans="1:15" ht="12.75" customHeight="1" x14ac:dyDescent="0.2">
      <c r="A350" s="369">
        <v>401810</v>
      </c>
      <c r="B350" t="s">
        <v>348</v>
      </c>
      <c r="C350" s="342">
        <v>557</v>
      </c>
      <c r="D350" s="342">
        <v>781</v>
      </c>
      <c r="E350" s="342">
        <v>1338</v>
      </c>
      <c r="F350" s="342">
        <v>25335199</v>
      </c>
      <c r="G350" s="342">
        <v>43338629</v>
      </c>
      <c r="H350" s="342">
        <v>68673828</v>
      </c>
      <c r="I350" s="342">
        <v>914474</v>
      </c>
      <c r="J350" t="s">
        <v>263</v>
      </c>
      <c r="K350" t="s">
        <v>583</v>
      </c>
      <c r="L350" t="s">
        <v>206</v>
      </c>
      <c r="M350" t="s">
        <v>46</v>
      </c>
      <c r="N350" s="2"/>
      <c r="O350" s="4"/>
    </row>
    <row r="351" spans="1:15" ht="12.75" customHeight="1" x14ac:dyDescent="0.2">
      <c r="A351" s="369">
        <v>720201</v>
      </c>
      <c r="B351" t="s">
        <v>1526</v>
      </c>
      <c r="C351" s="342">
        <v>503</v>
      </c>
      <c r="D351" s="342">
        <v>804</v>
      </c>
      <c r="E351" s="342">
        <v>1307</v>
      </c>
      <c r="F351" s="342">
        <v>27954772</v>
      </c>
      <c r="G351" s="342">
        <v>53293967</v>
      </c>
      <c r="H351" s="342">
        <v>81248739</v>
      </c>
      <c r="I351" s="342">
        <v>95043031</v>
      </c>
      <c r="J351" t="s">
        <v>221</v>
      </c>
      <c r="K351" t="s">
        <v>583</v>
      </c>
      <c r="L351" t="s">
        <v>1512</v>
      </c>
      <c r="M351" t="s">
        <v>46</v>
      </c>
      <c r="N351" s="2"/>
      <c r="O351" s="4"/>
    </row>
    <row r="352" spans="1:15" ht="12.75" customHeight="1" x14ac:dyDescent="0.2">
      <c r="A352" s="369">
        <v>391896</v>
      </c>
      <c r="B352" t="s">
        <v>1460</v>
      </c>
      <c r="C352" s="342">
        <v>444</v>
      </c>
      <c r="D352" s="342">
        <v>843</v>
      </c>
      <c r="E352" s="342">
        <v>1287</v>
      </c>
      <c r="F352" s="342">
        <v>25527888</v>
      </c>
      <c r="G352" s="342">
        <v>57668613</v>
      </c>
      <c r="H352" s="342">
        <v>83196501</v>
      </c>
      <c r="I352" s="342">
        <v>-115105</v>
      </c>
      <c r="J352" t="s">
        <v>257</v>
      </c>
      <c r="K352" t="s">
        <v>583</v>
      </c>
      <c r="L352" t="s">
        <v>1509</v>
      </c>
      <c r="M352" t="s">
        <v>46</v>
      </c>
      <c r="N352" s="2"/>
      <c r="O352" s="4"/>
    </row>
    <row r="353" spans="1:15" ht="12.75" customHeight="1" x14ac:dyDescent="0.2">
      <c r="A353" s="369">
        <v>184580</v>
      </c>
      <c r="B353" t="s">
        <v>229</v>
      </c>
      <c r="C353" s="342">
        <v>612</v>
      </c>
      <c r="D353" s="342">
        <v>645</v>
      </c>
      <c r="E353" s="342">
        <v>1257</v>
      </c>
      <c r="F353" s="342">
        <v>35957026</v>
      </c>
      <c r="G353" s="342">
        <v>42032985</v>
      </c>
      <c r="H353" s="342">
        <v>77990011</v>
      </c>
      <c r="I353" s="342">
        <v>517075</v>
      </c>
      <c r="J353" t="s">
        <v>162</v>
      </c>
      <c r="K353" t="s">
        <v>583</v>
      </c>
      <c r="L353" t="s">
        <v>230</v>
      </c>
      <c r="M353" t="s">
        <v>46</v>
      </c>
      <c r="N353" s="2"/>
      <c r="O353" s="4"/>
    </row>
    <row r="354" spans="1:15" ht="12.75" customHeight="1" x14ac:dyDescent="0.2">
      <c r="A354" s="369">
        <v>723270</v>
      </c>
      <c r="B354" t="s">
        <v>487</v>
      </c>
      <c r="C354" s="342">
        <v>449</v>
      </c>
      <c r="D354" s="342">
        <v>758</v>
      </c>
      <c r="E354" s="342">
        <v>1207</v>
      </c>
      <c r="F354" s="342">
        <v>27387202</v>
      </c>
      <c r="G354" s="342">
        <v>55650878</v>
      </c>
      <c r="H354" s="342">
        <v>83038080</v>
      </c>
      <c r="I354" s="342">
        <v>118036</v>
      </c>
      <c r="J354" t="s">
        <v>162</v>
      </c>
      <c r="K354" t="s">
        <v>583</v>
      </c>
      <c r="L354" t="s">
        <v>179</v>
      </c>
      <c r="M354" t="s">
        <v>46</v>
      </c>
      <c r="N354" s="2"/>
      <c r="O354" s="4"/>
    </row>
    <row r="355" spans="1:15" ht="12.75" customHeight="1" x14ac:dyDescent="0.2">
      <c r="A355" s="369">
        <v>992099</v>
      </c>
      <c r="B355" t="s">
        <v>1348</v>
      </c>
      <c r="C355" s="342">
        <v>522</v>
      </c>
      <c r="D355" s="342">
        <v>683</v>
      </c>
      <c r="E355" s="342">
        <v>1205</v>
      </c>
      <c r="F355" s="342">
        <v>25657627</v>
      </c>
      <c r="G355" s="342">
        <v>42440778</v>
      </c>
      <c r="H355" s="342">
        <v>68098404</v>
      </c>
      <c r="I355" s="342">
        <v>513165</v>
      </c>
      <c r="J355" t="s">
        <v>263</v>
      </c>
      <c r="K355" t="s">
        <v>583</v>
      </c>
      <c r="L355" t="s">
        <v>1331</v>
      </c>
      <c r="M355" t="s">
        <v>46</v>
      </c>
      <c r="N355" s="2"/>
      <c r="O355" s="4"/>
    </row>
    <row r="356" spans="1:15" ht="12.75" customHeight="1" x14ac:dyDescent="0.2">
      <c r="A356" s="369">
        <v>545426</v>
      </c>
      <c r="B356" t="s">
        <v>412</v>
      </c>
      <c r="C356" s="342">
        <v>489</v>
      </c>
      <c r="D356" s="342">
        <v>689</v>
      </c>
      <c r="E356" s="342">
        <v>1178</v>
      </c>
      <c r="F356" s="342">
        <v>37724502</v>
      </c>
      <c r="G356" s="342">
        <v>61091666</v>
      </c>
      <c r="H356" s="342">
        <v>98816168</v>
      </c>
      <c r="I356" s="342">
        <v>567779</v>
      </c>
      <c r="J356" t="s">
        <v>162</v>
      </c>
      <c r="K356" t="s">
        <v>583</v>
      </c>
      <c r="L356" t="s">
        <v>155</v>
      </c>
      <c r="M356" t="s">
        <v>154</v>
      </c>
      <c r="N356" s="2"/>
      <c r="O356" s="4"/>
    </row>
    <row r="357" spans="1:15" ht="12.75" customHeight="1" x14ac:dyDescent="0.2">
      <c r="A357" s="369">
        <v>401695</v>
      </c>
      <c r="B357" t="s">
        <v>1334</v>
      </c>
      <c r="C357" s="342">
        <v>467</v>
      </c>
      <c r="D357" s="342">
        <v>708</v>
      </c>
      <c r="E357" s="342">
        <v>1175</v>
      </c>
      <c r="F357" s="342">
        <v>38754527</v>
      </c>
      <c r="G357" s="342">
        <v>66056303</v>
      </c>
      <c r="H357" s="342">
        <v>104810830</v>
      </c>
      <c r="I357" s="342">
        <v>1276262</v>
      </c>
      <c r="J357" t="s">
        <v>232</v>
      </c>
      <c r="K357" t="s">
        <v>583</v>
      </c>
      <c r="L357" t="s">
        <v>1331</v>
      </c>
      <c r="M357" t="s">
        <v>46</v>
      </c>
      <c r="N357" s="2"/>
      <c r="O357" s="4"/>
    </row>
    <row r="358" spans="1:15" ht="12.75" customHeight="1" x14ac:dyDescent="0.2">
      <c r="A358" s="369">
        <v>256362</v>
      </c>
      <c r="B358" t="s">
        <v>272</v>
      </c>
      <c r="C358" s="342">
        <v>439</v>
      </c>
      <c r="D358" s="342">
        <v>725</v>
      </c>
      <c r="E358" s="342">
        <v>1164</v>
      </c>
      <c r="F358" s="342">
        <v>29517027</v>
      </c>
      <c r="G358" s="342">
        <v>58631203</v>
      </c>
      <c r="H358" s="342">
        <v>88148229</v>
      </c>
      <c r="I358" s="342">
        <v>195244</v>
      </c>
      <c r="J358" t="s">
        <v>204</v>
      </c>
      <c r="K358" t="s">
        <v>583</v>
      </c>
      <c r="L358" t="s">
        <v>155</v>
      </c>
      <c r="M358" t="s">
        <v>154</v>
      </c>
      <c r="N358" s="2"/>
      <c r="O358" s="4"/>
    </row>
    <row r="359" spans="1:15" ht="12.75" customHeight="1" x14ac:dyDescent="0.2">
      <c r="A359" s="369">
        <v>955435</v>
      </c>
      <c r="B359" t="s">
        <v>638</v>
      </c>
      <c r="C359" s="342">
        <v>485</v>
      </c>
      <c r="D359" s="342">
        <v>662</v>
      </c>
      <c r="E359" s="342">
        <v>1147</v>
      </c>
      <c r="F359" s="342">
        <v>27204399</v>
      </c>
      <c r="G359" s="342">
        <v>49958354</v>
      </c>
      <c r="H359" s="342">
        <v>77162753</v>
      </c>
      <c r="I359" s="342">
        <v>-1543846</v>
      </c>
      <c r="J359" t="s">
        <v>199</v>
      </c>
      <c r="K359" t="s">
        <v>584</v>
      </c>
      <c r="L359" t="s">
        <v>188</v>
      </c>
      <c r="M359" t="s">
        <v>46</v>
      </c>
      <c r="N359" s="2"/>
      <c r="O359" s="4"/>
    </row>
    <row r="360" spans="1:15" ht="12.75" customHeight="1" x14ac:dyDescent="0.2">
      <c r="A360" s="369">
        <v>447086</v>
      </c>
      <c r="B360" t="s">
        <v>370</v>
      </c>
      <c r="C360" s="342">
        <v>549</v>
      </c>
      <c r="D360" s="342">
        <v>591</v>
      </c>
      <c r="E360" s="342">
        <v>1140</v>
      </c>
      <c r="F360" s="342">
        <v>51276236</v>
      </c>
      <c r="G360" s="342">
        <v>51858900</v>
      </c>
      <c r="H360" s="342">
        <v>103135136</v>
      </c>
      <c r="I360" s="342">
        <v>-150288</v>
      </c>
      <c r="J360" t="s">
        <v>350</v>
      </c>
      <c r="K360" t="s">
        <v>580</v>
      </c>
      <c r="L360" t="s">
        <v>371</v>
      </c>
      <c r="M360" t="s">
        <v>154</v>
      </c>
      <c r="N360" s="2"/>
      <c r="O360" s="4"/>
    </row>
    <row r="361" spans="1:15" ht="12.75" customHeight="1" x14ac:dyDescent="0.2">
      <c r="A361" s="369">
        <v>574582</v>
      </c>
      <c r="B361" t="s">
        <v>430</v>
      </c>
      <c r="C361" s="342">
        <v>597</v>
      </c>
      <c r="D361" s="342">
        <v>538</v>
      </c>
      <c r="E361" s="342">
        <v>1135</v>
      </c>
      <c r="F361" s="342">
        <v>17945593</v>
      </c>
      <c r="G361" s="342">
        <v>23599638</v>
      </c>
      <c r="H361" s="342">
        <v>41545231</v>
      </c>
      <c r="I361" s="342">
        <v>-1077265</v>
      </c>
      <c r="J361" t="s">
        <v>166</v>
      </c>
      <c r="K361" t="s">
        <v>584</v>
      </c>
      <c r="L361" t="s">
        <v>250</v>
      </c>
      <c r="M361" t="s">
        <v>46</v>
      </c>
      <c r="N361" s="2"/>
      <c r="O361" s="4"/>
    </row>
    <row r="362" spans="1:15" ht="12.75" customHeight="1" x14ac:dyDescent="0.2">
      <c r="A362" s="369">
        <v>322479</v>
      </c>
      <c r="B362" t="s">
        <v>311</v>
      </c>
      <c r="C362" s="342">
        <v>476</v>
      </c>
      <c r="D362" s="342">
        <v>642</v>
      </c>
      <c r="E362" s="342">
        <v>1118</v>
      </c>
      <c r="F362" s="342">
        <v>15732018</v>
      </c>
      <c r="G362" s="342">
        <v>25948891</v>
      </c>
      <c r="H362" s="342">
        <v>41680909</v>
      </c>
      <c r="I362" s="342">
        <v>653271</v>
      </c>
      <c r="J362" t="s">
        <v>185</v>
      </c>
      <c r="K362" t="s">
        <v>583</v>
      </c>
      <c r="L362" t="s">
        <v>1506</v>
      </c>
      <c r="M362" t="s">
        <v>46</v>
      </c>
      <c r="N362" s="2"/>
      <c r="O362" s="4"/>
    </row>
    <row r="363" spans="1:15" ht="12.75" customHeight="1" x14ac:dyDescent="0.2">
      <c r="A363" s="369">
        <v>170423</v>
      </c>
      <c r="B363" t="s">
        <v>219</v>
      </c>
      <c r="C363" s="342">
        <v>502</v>
      </c>
      <c r="D363" s="342">
        <v>615</v>
      </c>
      <c r="E363" s="342">
        <v>1117</v>
      </c>
      <c r="F363" s="342">
        <v>35632916</v>
      </c>
      <c r="G363" s="342">
        <v>51620461</v>
      </c>
      <c r="H363" s="342">
        <v>87253377</v>
      </c>
      <c r="I363" s="342">
        <v>758245</v>
      </c>
      <c r="J363" t="s">
        <v>209</v>
      </c>
      <c r="K363" t="s">
        <v>583</v>
      </c>
      <c r="L363" t="s">
        <v>193</v>
      </c>
      <c r="M363" t="s">
        <v>154</v>
      </c>
      <c r="N363" s="2"/>
      <c r="O363" s="4"/>
    </row>
    <row r="364" spans="1:15" ht="12.75" customHeight="1" x14ac:dyDescent="0.2">
      <c r="A364" s="369">
        <v>515973</v>
      </c>
      <c r="B364" t="s">
        <v>1337</v>
      </c>
      <c r="C364" s="342">
        <v>540</v>
      </c>
      <c r="D364" s="342">
        <v>547</v>
      </c>
      <c r="E364" s="342">
        <v>1087</v>
      </c>
      <c r="F364" s="342">
        <v>20387196</v>
      </c>
      <c r="G364" s="342">
        <v>23878679</v>
      </c>
      <c r="H364" s="342">
        <v>44265875</v>
      </c>
      <c r="I364" s="342">
        <v>-1650282</v>
      </c>
      <c r="J364" t="s">
        <v>270</v>
      </c>
      <c r="K364" t="s">
        <v>584</v>
      </c>
      <c r="L364" t="s">
        <v>1507</v>
      </c>
      <c r="M364" t="s">
        <v>46</v>
      </c>
      <c r="N364" s="2"/>
      <c r="O364" s="4"/>
    </row>
    <row r="365" spans="1:15" ht="12.75" customHeight="1" x14ac:dyDescent="0.2">
      <c r="A365" s="369">
        <v>480145</v>
      </c>
      <c r="B365" t="s">
        <v>386</v>
      </c>
      <c r="C365" s="342">
        <v>541</v>
      </c>
      <c r="D365" s="342">
        <v>543</v>
      </c>
      <c r="E365" s="342">
        <v>1084</v>
      </c>
      <c r="F365" s="342">
        <v>22716769</v>
      </c>
      <c r="G365" s="342">
        <v>28210934</v>
      </c>
      <c r="H365" s="342">
        <v>50927703</v>
      </c>
      <c r="I365" s="342">
        <v>-3443723</v>
      </c>
      <c r="J365" t="s">
        <v>350</v>
      </c>
      <c r="K365" t="s">
        <v>580</v>
      </c>
      <c r="L365" t="s">
        <v>1507</v>
      </c>
      <c r="M365" t="s">
        <v>46</v>
      </c>
      <c r="N365" s="2"/>
      <c r="O365" s="4"/>
    </row>
    <row r="366" spans="1:15" ht="12.75" customHeight="1" x14ac:dyDescent="0.2">
      <c r="A366" s="369">
        <v>625236</v>
      </c>
      <c r="B366" t="s">
        <v>1470</v>
      </c>
      <c r="C366" s="342">
        <v>408</v>
      </c>
      <c r="D366" s="342">
        <v>651</v>
      </c>
      <c r="E366" s="342">
        <v>1059</v>
      </c>
      <c r="F366" s="342">
        <v>18507219</v>
      </c>
      <c r="G366" s="342">
        <v>36926667</v>
      </c>
      <c r="H366" s="342">
        <v>55433885</v>
      </c>
      <c r="I366" s="342">
        <v>453254</v>
      </c>
      <c r="J366" t="s">
        <v>204</v>
      </c>
      <c r="K366" t="s">
        <v>583</v>
      </c>
      <c r="L366" t="s">
        <v>1509</v>
      </c>
      <c r="M366" t="s">
        <v>46</v>
      </c>
      <c r="N366" s="2"/>
      <c r="O366" s="4"/>
    </row>
    <row r="367" spans="1:15" ht="12.75" customHeight="1" x14ac:dyDescent="0.2">
      <c r="A367" s="369">
        <v>444315</v>
      </c>
      <c r="B367" t="s">
        <v>1335</v>
      </c>
      <c r="C367" s="342">
        <v>575</v>
      </c>
      <c r="D367" s="342">
        <v>458</v>
      </c>
      <c r="E367" s="342">
        <v>1033</v>
      </c>
      <c r="F367" s="342">
        <v>25930524</v>
      </c>
      <c r="G367" s="342">
        <v>27193419</v>
      </c>
      <c r="H367" s="342">
        <v>53123944</v>
      </c>
      <c r="I367" s="342">
        <v>1094761</v>
      </c>
      <c r="J367" t="s">
        <v>189</v>
      </c>
      <c r="K367" t="s">
        <v>580</v>
      </c>
      <c r="L367" t="s">
        <v>1507</v>
      </c>
      <c r="M367" t="s">
        <v>46</v>
      </c>
      <c r="N367" s="2"/>
      <c r="O367" s="4"/>
    </row>
    <row r="368" spans="1:15" ht="12.75" customHeight="1" x14ac:dyDescent="0.2">
      <c r="A368" s="369">
        <v>173435</v>
      </c>
      <c r="B368" t="s">
        <v>222</v>
      </c>
      <c r="C368" s="342">
        <v>466</v>
      </c>
      <c r="D368" s="342">
        <v>564</v>
      </c>
      <c r="E368" s="342">
        <v>1030</v>
      </c>
      <c r="F368" s="342">
        <v>24108079</v>
      </c>
      <c r="G368" s="342">
        <v>38683066</v>
      </c>
      <c r="H368" s="342">
        <v>62791145</v>
      </c>
      <c r="I368" s="342">
        <v>-1848927</v>
      </c>
      <c r="J368" t="s">
        <v>224</v>
      </c>
      <c r="K368" t="s">
        <v>584</v>
      </c>
      <c r="L368" t="s">
        <v>1511</v>
      </c>
      <c r="M368" t="s">
        <v>46</v>
      </c>
      <c r="N368" s="2"/>
      <c r="O368" s="4"/>
    </row>
    <row r="369" spans="1:15" ht="12.75" customHeight="1" x14ac:dyDescent="0.2">
      <c r="A369" s="369">
        <v>814947</v>
      </c>
      <c r="B369" t="s">
        <v>1477</v>
      </c>
      <c r="C369" s="342">
        <v>363</v>
      </c>
      <c r="D369" s="342">
        <v>656</v>
      </c>
      <c r="E369" s="342">
        <v>1019</v>
      </c>
      <c r="F369" s="342">
        <v>20044241</v>
      </c>
      <c r="G369" s="342">
        <v>40347753</v>
      </c>
      <c r="H369" s="342">
        <v>60391994</v>
      </c>
      <c r="I369" s="342">
        <v>-446960</v>
      </c>
      <c r="J369" t="s">
        <v>185</v>
      </c>
      <c r="K369" t="s">
        <v>583</v>
      </c>
      <c r="L369" t="s">
        <v>1516</v>
      </c>
      <c r="M369" t="s">
        <v>46</v>
      </c>
      <c r="N369" s="2"/>
      <c r="O369" s="4"/>
    </row>
    <row r="370" spans="1:15" ht="12.75" customHeight="1" x14ac:dyDescent="0.2">
      <c r="A370" s="369">
        <v>159442</v>
      </c>
      <c r="B370" t="s">
        <v>1452</v>
      </c>
      <c r="C370" s="342">
        <v>400</v>
      </c>
      <c r="D370" s="342">
        <v>567</v>
      </c>
      <c r="E370" s="342">
        <v>967</v>
      </c>
      <c r="F370" s="342">
        <v>22507680</v>
      </c>
      <c r="G370" s="342">
        <v>40753275</v>
      </c>
      <c r="H370" s="342">
        <v>63260955</v>
      </c>
      <c r="I370" s="342">
        <v>1118588</v>
      </c>
      <c r="J370" t="s">
        <v>214</v>
      </c>
      <c r="K370" t="s">
        <v>583</v>
      </c>
      <c r="L370" t="s">
        <v>1509</v>
      </c>
      <c r="M370" t="s">
        <v>46</v>
      </c>
      <c r="N370" s="2"/>
      <c r="O370" s="4"/>
    </row>
    <row r="371" spans="1:15" ht="12.75" customHeight="1" x14ac:dyDescent="0.2">
      <c r="A371" s="369">
        <v>901603</v>
      </c>
      <c r="B371" t="s">
        <v>548</v>
      </c>
      <c r="C371" s="342">
        <v>533</v>
      </c>
      <c r="D371" s="342">
        <v>434</v>
      </c>
      <c r="E371" s="342">
        <v>967</v>
      </c>
      <c r="F371" s="342">
        <v>20909639</v>
      </c>
      <c r="G371" s="342">
        <v>24422563</v>
      </c>
      <c r="H371" s="342">
        <v>45332203</v>
      </c>
      <c r="I371" s="342">
        <v>-480704</v>
      </c>
      <c r="J371" t="s">
        <v>159</v>
      </c>
      <c r="K371" t="s">
        <v>584</v>
      </c>
      <c r="L371" t="s">
        <v>1352</v>
      </c>
      <c r="M371" t="s">
        <v>46</v>
      </c>
      <c r="N371" s="2"/>
      <c r="O371" s="4"/>
    </row>
    <row r="372" spans="1:15" ht="12.75" customHeight="1" x14ac:dyDescent="0.2">
      <c r="A372" s="369">
        <v>231100</v>
      </c>
      <c r="B372" t="s">
        <v>1325</v>
      </c>
      <c r="C372" s="342">
        <v>363</v>
      </c>
      <c r="D372" s="342">
        <v>568</v>
      </c>
      <c r="E372" s="342">
        <v>931</v>
      </c>
      <c r="F372" s="342">
        <v>16479292</v>
      </c>
      <c r="G372" s="342">
        <v>33562522</v>
      </c>
      <c r="H372" s="342">
        <v>50041814</v>
      </c>
      <c r="I372" s="342">
        <v>3430057</v>
      </c>
      <c r="J372" t="s">
        <v>172</v>
      </c>
      <c r="K372" t="s">
        <v>583</v>
      </c>
      <c r="L372" t="s">
        <v>1509</v>
      </c>
      <c r="M372" t="s">
        <v>46</v>
      </c>
      <c r="N372" s="2"/>
      <c r="O372" s="4"/>
    </row>
    <row r="373" spans="1:15" ht="12.75" customHeight="1" x14ac:dyDescent="0.2">
      <c r="A373" s="369">
        <v>846527</v>
      </c>
      <c r="B373" t="s">
        <v>636</v>
      </c>
      <c r="C373" s="342">
        <v>471</v>
      </c>
      <c r="D373" s="342">
        <v>448</v>
      </c>
      <c r="E373" s="342">
        <v>919</v>
      </c>
      <c r="F373" s="342">
        <v>31459115</v>
      </c>
      <c r="G373" s="342">
        <v>35048676</v>
      </c>
      <c r="H373" s="342">
        <v>66507791</v>
      </c>
      <c r="I373" s="342">
        <v>2887450</v>
      </c>
      <c r="J373" t="s">
        <v>209</v>
      </c>
      <c r="K373" t="s">
        <v>583</v>
      </c>
      <c r="L373" t="s">
        <v>184</v>
      </c>
      <c r="M373" t="s">
        <v>46</v>
      </c>
      <c r="N373" s="2"/>
      <c r="O373" s="4"/>
    </row>
    <row r="374" spans="1:15" ht="12.75" customHeight="1" x14ac:dyDescent="0.2">
      <c r="A374" s="369">
        <v>496729</v>
      </c>
      <c r="B374" t="s">
        <v>1382</v>
      </c>
      <c r="C374" s="342">
        <v>261</v>
      </c>
      <c r="D374" s="342">
        <v>639</v>
      </c>
      <c r="E374" s="342">
        <v>900</v>
      </c>
      <c r="F374" s="342">
        <v>18438505</v>
      </c>
      <c r="G374" s="342">
        <v>50676579</v>
      </c>
      <c r="H374" s="342">
        <v>69115084</v>
      </c>
      <c r="I374" s="342">
        <v>25269488</v>
      </c>
      <c r="J374" t="s">
        <v>232</v>
      </c>
      <c r="K374" t="s">
        <v>583</v>
      </c>
      <c r="L374" t="s">
        <v>1510</v>
      </c>
      <c r="M374" t="s">
        <v>46</v>
      </c>
      <c r="N374" s="2"/>
      <c r="O374" s="4"/>
    </row>
    <row r="375" spans="1:15" ht="12.75" customHeight="1" x14ac:dyDescent="0.2">
      <c r="A375" s="369">
        <v>688986</v>
      </c>
      <c r="B375" t="s">
        <v>475</v>
      </c>
      <c r="C375" s="342">
        <v>399</v>
      </c>
      <c r="D375" s="342">
        <v>487</v>
      </c>
      <c r="E375" s="342">
        <v>886</v>
      </c>
      <c r="F375" s="342">
        <v>23702518</v>
      </c>
      <c r="G375" s="342">
        <v>35242068</v>
      </c>
      <c r="H375" s="342">
        <v>58944586</v>
      </c>
      <c r="I375" s="342">
        <v>-130594</v>
      </c>
      <c r="J375" t="s">
        <v>252</v>
      </c>
      <c r="K375" t="s">
        <v>583</v>
      </c>
      <c r="L375" t="s">
        <v>1511</v>
      </c>
      <c r="M375" t="s">
        <v>46</v>
      </c>
      <c r="N375" s="2"/>
      <c r="O375" s="4"/>
    </row>
    <row r="376" spans="1:15" ht="12.75" customHeight="1" x14ac:dyDescent="0.2">
      <c r="A376" s="369">
        <v>901181</v>
      </c>
      <c r="B376" t="s">
        <v>547</v>
      </c>
      <c r="C376" s="342">
        <v>415</v>
      </c>
      <c r="D376" s="342">
        <v>449</v>
      </c>
      <c r="E376" s="342">
        <v>864</v>
      </c>
      <c r="F376" s="342">
        <v>22569598</v>
      </c>
      <c r="G376" s="342">
        <v>26588837</v>
      </c>
      <c r="H376" s="342">
        <v>49158435</v>
      </c>
      <c r="I376" s="342">
        <v>370439</v>
      </c>
      <c r="J376" t="s">
        <v>185</v>
      </c>
      <c r="K376" t="s">
        <v>583</v>
      </c>
      <c r="L376" t="s">
        <v>1352</v>
      </c>
      <c r="M376" t="s">
        <v>46</v>
      </c>
      <c r="N376" s="2"/>
      <c r="O376" s="4"/>
    </row>
    <row r="377" spans="1:15" ht="12.75" customHeight="1" x14ac:dyDescent="0.2">
      <c r="A377" s="369">
        <v>309492</v>
      </c>
      <c r="B377" t="s">
        <v>613</v>
      </c>
      <c r="C377" s="342">
        <v>400</v>
      </c>
      <c r="D377" s="342">
        <v>463</v>
      </c>
      <c r="E377" s="342">
        <v>863</v>
      </c>
      <c r="F377" s="342">
        <v>18971877</v>
      </c>
      <c r="G377" s="342">
        <v>27973727</v>
      </c>
      <c r="H377" s="342">
        <v>46945605</v>
      </c>
      <c r="I377" s="342">
        <v>-138114</v>
      </c>
      <c r="J377" t="s">
        <v>185</v>
      </c>
      <c r="K377" t="s">
        <v>583</v>
      </c>
      <c r="L377" t="s">
        <v>1517</v>
      </c>
      <c r="M377" t="s">
        <v>46</v>
      </c>
      <c r="N377" s="2"/>
      <c r="O377" s="4"/>
    </row>
    <row r="378" spans="1:15" ht="12.75" customHeight="1" x14ac:dyDescent="0.2">
      <c r="A378" s="369">
        <v>332156</v>
      </c>
      <c r="B378" t="s">
        <v>319</v>
      </c>
      <c r="C378" s="342">
        <v>253</v>
      </c>
      <c r="D378" s="342">
        <v>591</v>
      </c>
      <c r="E378" s="342">
        <v>844</v>
      </c>
      <c r="F378" s="342">
        <v>15069796</v>
      </c>
      <c r="G378" s="342">
        <v>36830963</v>
      </c>
      <c r="H378" s="342">
        <v>51900760</v>
      </c>
      <c r="I378" s="342">
        <v>-4257549</v>
      </c>
      <c r="J378" t="s">
        <v>275</v>
      </c>
      <c r="K378" t="s">
        <v>583</v>
      </c>
      <c r="L378" t="s">
        <v>320</v>
      </c>
      <c r="M378" t="s">
        <v>46</v>
      </c>
      <c r="N378" s="2"/>
      <c r="O378" s="4"/>
    </row>
    <row r="379" spans="1:15" ht="12.75" customHeight="1" x14ac:dyDescent="0.2">
      <c r="A379" s="369">
        <v>785493</v>
      </c>
      <c r="B379" t="s">
        <v>507</v>
      </c>
      <c r="C379" s="342">
        <v>358</v>
      </c>
      <c r="D379" s="342">
        <v>473</v>
      </c>
      <c r="E379" s="342">
        <v>831</v>
      </c>
      <c r="F379" s="342">
        <v>18938705</v>
      </c>
      <c r="G379" s="342">
        <v>30723138</v>
      </c>
      <c r="H379" s="342">
        <v>49661843</v>
      </c>
      <c r="I379" s="342">
        <v>-216424</v>
      </c>
      <c r="J379" t="s">
        <v>197</v>
      </c>
      <c r="K379" t="s">
        <v>583</v>
      </c>
      <c r="L379" t="s">
        <v>236</v>
      </c>
      <c r="M379" t="s">
        <v>46</v>
      </c>
      <c r="N379" s="2"/>
      <c r="O379" s="4"/>
    </row>
    <row r="380" spans="1:15" ht="12.75" customHeight="1" x14ac:dyDescent="0.2">
      <c r="A380" s="369">
        <v>296749</v>
      </c>
      <c r="B380" t="s">
        <v>296</v>
      </c>
      <c r="C380" s="342">
        <v>323</v>
      </c>
      <c r="D380" s="342">
        <v>506</v>
      </c>
      <c r="E380" s="342">
        <v>829</v>
      </c>
      <c r="F380" s="342">
        <v>23721875</v>
      </c>
      <c r="G380" s="342">
        <v>45993656</v>
      </c>
      <c r="H380" s="342">
        <v>69715531</v>
      </c>
      <c r="I380" s="342">
        <v>853353</v>
      </c>
      <c r="J380" t="s">
        <v>232</v>
      </c>
      <c r="K380" t="s">
        <v>583</v>
      </c>
      <c r="L380" t="s">
        <v>1511</v>
      </c>
      <c r="M380" t="s">
        <v>46</v>
      </c>
      <c r="N380" s="2"/>
      <c r="O380" s="4"/>
    </row>
    <row r="381" spans="1:15" ht="12.75" customHeight="1" x14ac:dyDescent="0.2">
      <c r="A381" s="369">
        <v>886606</v>
      </c>
      <c r="B381" t="s">
        <v>1479</v>
      </c>
      <c r="C381" s="342">
        <v>318</v>
      </c>
      <c r="D381" s="342">
        <v>505</v>
      </c>
      <c r="E381" s="342">
        <v>823</v>
      </c>
      <c r="F381" s="342">
        <v>17759505</v>
      </c>
      <c r="G381" s="342">
        <v>33968768</v>
      </c>
      <c r="H381" s="342">
        <v>51728273</v>
      </c>
      <c r="I381" s="342">
        <v>-423995</v>
      </c>
      <c r="J381" t="s">
        <v>257</v>
      </c>
      <c r="K381" t="s">
        <v>583</v>
      </c>
      <c r="L381" t="s">
        <v>1516</v>
      </c>
      <c r="M381" t="s">
        <v>46</v>
      </c>
      <c r="N381" s="2"/>
      <c r="O381" s="4"/>
    </row>
    <row r="382" spans="1:15" ht="12.75" customHeight="1" x14ac:dyDescent="0.2">
      <c r="A382" s="369">
        <v>368407</v>
      </c>
      <c r="B382" t="s">
        <v>334</v>
      </c>
      <c r="C382" s="342">
        <v>348</v>
      </c>
      <c r="D382" s="342">
        <v>474</v>
      </c>
      <c r="E382" s="342">
        <v>822</v>
      </c>
      <c r="F382" s="342">
        <v>13034186</v>
      </c>
      <c r="G382" s="342">
        <v>21321505</v>
      </c>
      <c r="H382" s="342">
        <v>34355692</v>
      </c>
      <c r="I382" s="342">
        <v>262451</v>
      </c>
      <c r="J382" t="s">
        <v>335</v>
      </c>
      <c r="K382" t="s">
        <v>583</v>
      </c>
      <c r="L382" t="s">
        <v>1511</v>
      </c>
      <c r="M382" t="s">
        <v>46</v>
      </c>
      <c r="N382" s="2"/>
      <c r="O382" s="4"/>
    </row>
    <row r="383" spans="1:15" ht="12.75" customHeight="1" x14ac:dyDescent="0.2">
      <c r="A383" s="369">
        <v>987784</v>
      </c>
      <c r="B383" t="s">
        <v>1347</v>
      </c>
      <c r="C383" s="342">
        <v>362</v>
      </c>
      <c r="D383" s="342">
        <v>451</v>
      </c>
      <c r="E383" s="342">
        <v>813</v>
      </c>
      <c r="F383" s="342">
        <v>12228386</v>
      </c>
      <c r="G383" s="342">
        <v>19702235</v>
      </c>
      <c r="H383" s="342">
        <v>31930622</v>
      </c>
      <c r="I383" s="342">
        <v>212252</v>
      </c>
      <c r="J383" t="s">
        <v>335</v>
      </c>
      <c r="K383" t="s">
        <v>583</v>
      </c>
      <c r="L383" t="s">
        <v>1509</v>
      </c>
      <c r="M383" t="s">
        <v>46</v>
      </c>
      <c r="N383" s="2"/>
      <c r="O383" s="4"/>
    </row>
    <row r="384" spans="1:15" ht="12.75" customHeight="1" x14ac:dyDescent="0.2">
      <c r="A384" s="369">
        <v>652628</v>
      </c>
      <c r="B384" t="s">
        <v>456</v>
      </c>
      <c r="C384" s="342">
        <v>343</v>
      </c>
      <c r="D384" s="342">
        <v>467</v>
      </c>
      <c r="E384" s="342">
        <v>810</v>
      </c>
      <c r="F384" s="342">
        <v>15879540</v>
      </c>
      <c r="G384" s="342">
        <v>26834714</v>
      </c>
      <c r="H384" s="342">
        <v>42714254</v>
      </c>
      <c r="I384" s="342">
        <v>410813</v>
      </c>
      <c r="J384" t="s">
        <v>214</v>
      </c>
      <c r="K384" t="s">
        <v>583</v>
      </c>
      <c r="L384" t="s">
        <v>206</v>
      </c>
      <c r="M384" t="s">
        <v>46</v>
      </c>
      <c r="N384" s="2"/>
      <c r="O384" s="4"/>
    </row>
    <row r="385" spans="1:15" ht="12.75" customHeight="1" x14ac:dyDescent="0.2">
      <c r="A385" s="369">
        <v>759100</v>
      </c>
      <c r="B385" t="s">
        <v>501</v>
      </c>
      <c r="C385" s="342">
        <v>357</v>
      </c>
      <c r="D385" s="342">
        <v>446</v>
      </c>
      <c r="E385" s="342">
        <v>803</v>
      </c>
      <c r="F385" s="342">
        <v>19835614</v>
      </c>
      <c r="G385" s="342">
        <v>30921384</v>
      </c>
      <c r="H385" s="342">
        <v>50756998</v>
      </c>
      <c r="I385" s="342">
        <v>782073</v>
      </c>
      <c r="J385" t="s">
        <v>197</v>
      </c>
      <c r="K385" t="s">
        <v>583</v>
      </c>
      <c r="L385" t="s">
        <v>179</v>
      </c>
      <c r="M385" t="s">
        <v>46</v>
      </c>
      <c r="N385" s="2"/>
      <c r="O385" s="4"/>
    </row>
    <row r="386" spans="1:15" ht="12.75" customHeight="1" x14ac:dyDescent="0.2">
      <c r="A386" s="369">
        <v>410258</v>
      </c>
      <c r="B386" t="s">
        <v>1461</v>
      </c>
      <c r="C386" s="342">
        <v>272</v>
      </c>
      <c r="D386" s="342">
        <v>531</v>
      </c>
      <c r="E386" s="342">
        <v>803</v>
      </c>
      <c r="F386" s="342">
        <v>13293584</v>
      </c>
      <c r="G386" s="342">
        <v>33175618</v>
      </c>
      <c r="H386" s="342">
        <v>46469202</v>
      </c>
      <c r="I386" s="342">
        <v>367779</v>
      </c>
      <c r="J386" t="s">
        <v>254</v>
      </c>
      <c r="K386" t="s">
        <v>583</v>
      </c>
      <c r="L386" t="s">
        <v>1509</v>
      </c>
      <c r="M386" t="s">
        <v>46</v>
      </c>
      <c r="N386" s="2"/>
      <c r="O386" s="4"/>
    </row>
    <row r="387" spans="1:15" ht="12.75" customHeight="1" x14ac:dyDescent="0.2">
      <c r="A387" s="369">
        <v>377432</v>
      </c>
      <c r="B387" t="s">
        <v>336</v>
      </c>
      <c r="C387" s="342">
        <v>295</v>
      </c>
      <c r="D387" s="342">
        <v>489</v>
      </c>
      <c r="E387" s="342">
        <v>784</v>
      </c>
      <c r="F387" s="342">
        <v>13206206</v>
      </c>
      <c r="G387" s="342">
        <v>27252307</v>
      </c>
      <c r="H387" s="342">
        <v>40458513</v>
      </c>
      <c r="I387" s="342">
        <v>117777</v>
      </c>
      <c r="J387" t="s">
        <v>214</v>
      </c>
      <c r="K387" t="s">
        <v>583</v>
      </c>
      <c r="L387" t="s">
        <v>184</v>
      </c>
      <c r="M387" t="s">
        <v>154</v>
      </c>
      <c r="N387" s="2"/>
      <c r="O387" s="4"/>
    </row>
    <row r="388" spans="1:15" ht="12.75" customHeight="1" x14ac:dyDescent="0.2">
      <c r="A388" s="369">
        <v>237834</v>
      </c>
      <c r="B388" t="s">
        <v>258</v>
      </c>
      <c r="C388" s="342">
        <v>349</v>
      </c>
      <c r="D388" s="342">
        <v>429</v>
      </c>
      <c r="E388" s="342">
        <v>778</v>
      </c>
      <c r="F388" s="342">
        <v>22023575</v>
      </c>
      <c r="G388" s="342">
        <v>35381162</v>
      </c>
      <c r="H388" s="342">
        <v>57404738</v>
      </c>
      <c r="I388" s="342">
        <v>365845</v>
      </c>
      <c r="J388" t="s">
        <v>197</v>
      </c>
      <c r="K388" t="s">
        <v>583</v>
      </c>
      <c r="L388" t="s">
        <v>236</v>
      </c>
      <c r="M388" t="s">
        <v>46</v>
      </c>
      <c r="N388" s="2"/>
      <c r="O388" s="4"/>
    </row>
    <row r="389" spans="1:15" ht="12.75" customHeight="1" x14ac:dyDescent="0.2">
      <c r="A389" s="369">
        <v>715955</v>
      </c>
      <c r="B389" t="s">
        <v>1354</v>
      </c>
      <c r="C389" s="342">
        <v>123</v>
      </c>
      <c r="D389" s="342">
        <v>655</v>
      </c>
      <c r="E389" s="342">
        <v>778</v>
      </c>
      <c r="F389" s="342">
        <v>4702179</v>
      </c>
      <c r="G389" s="342">
        <v>23186011</v>
      </c>
      <c r="H389" s="342">
        <v>27888190</v>
      </c>
      <c r="I389" s="342">
        <v>769191</v>
      </c>
      <c r="J389" t="s">
        <v>172</v>
      </c>
      <c r="K389" t="s">
        <v>583</v>
      </c>
      <c r="L389" t="s">
        <v>492</v>
      </c>
      <c r="M389" t="s">
        <v>154</v>
      </c>
      <c r="N389" s="2"/>
      <c r="O389" s="4"/>
    </row>
    <row r="390" spans="1:15" ht="12.75" customHeight="1" x14ac:dyDescent="0.2">
      <c r="A390" s="369">
        <v>887497</v>
      </c>
      <c r="B390" t="s">
        <v>543</v>
      </c>
      <c r="C390" s="342">
        <v>229</v>
      </c>
      <c r="D390" s="342">
        <v>532</v>
      </c>
      <c r="E390" s="342">
        <v>761</v>
      </c>
      <c r="F390" s="342">
        <v>11157794</v>
      </c>
      <c r="G390" s="342">
        <v>33550486</v>
      </c>
      <c r="H390" s="342">
        <v>44708280</v>
      </c>
      <c r="I390" s="342">
        <v>189999</v>
      </c>
      <c r="J390" t="s">
        <v>254</v>
      </c>
      <c r="K390" t="s">
        <v>583</v>
      </c>
      <c r="L390" t="s">
        <v>1511</v>
      </c>
      <c r="M390" t="s">
        <v>46</v>
      </c>
      <c r="N390" s="2"/>
      <c r="O390" s="4"/>
    </row>
    <row r="391" spans="1:15" ht="12.75" customHeight="1" x14ac:dyDescent="0.2">
      <c r="A391" s="369">
        <v>201111</v>
      </c>
      <c r="B391" t="s">
        <v>234</v>
      </c>
      <c r="C391" s="342">
        <v>419</v>
      </c>
      <c r="D391" s="342">
        <v>335</v>
      </c>
      <c r="E391" s="342">
        <v>754</v>
      </c>
      <c r="F391" s="342">
        <v>25632893</v>
      </c>
      <c r="G391" s="342">
        <v>24861003</v>
      </c>
      <c r="H391" s="342">
        <v>50493896</v>
      </c>
      <c r="I391" s="342">
        <v>115797</v>
      </c>
      <c r="J391" t="s">
        <v>182</v>
      </c>
      <c r="K391" t="s">
        <v>583</v>
      </c>
      <c r="L391" t="s">
        <v>198</v>
      </c>
      <c r="M391" t="s">
        <v>154</v>
      </c>
      <c r="N391" s="2"/>
      <c r="O391" s="4"/>
    </row>
    <row r="392" spans="1:15" ht="12.75" customHeight="1" x14ac:dyDescent="0.2">
      <c r="A392" s="369">
        <v>772509</v>
      </c>
      <c r="B392" t="s">
        <v>504</v>
      </c>
      <c r="C392" s="342">
        <v>350</v>
      </c>
      <c r="D392" s="342">
        <v>398</v>
      </c>
      <c r="E392" s="342">
        <v>748</v>
      </c>
      <c r="F392" s="342">
        <v>14574502</v>
      </c>
      <c r="G392" s="342">
        <v>19868064</v>
      </c>
      <c r="H392" s="342">
        <v>34442566</v>
      </c>
      <c r="I392" s="342">
        <v>-1143661</v>
      </c>
      <c r="J392" t="s">
        <v>162</v>
      </c>
      <c r="K392" t="s">
        <v>583</v>
      </c>
      <c r="L392" t="s">
        <v>1506</v>
      </c>
      <c r="M392" t="s">
        <v>46</v>
      </c>
      <c r="N392" s="2"/>
      <c r="O392" s="4"/>
    </row>
    <row r="393" spans="1:15" ht="12.75" customHeight="1" x14ac:dyDescent="0.2">
      <c r="A393" s="369">
        <v>260497</v>
      </c>
      <c r="B393" t="s">
        <v>274</v>
      </c>
      <c r="C393" s="342">
        <v>264</v>
      </c>
      <c r="D393" s="342">
        <v>480</v>
      </c>
      <c r="E393" s="342">
        <v>744</v>
      </c>
      <c r="F393" s="342">
        <v>14589690</v>
      </c>
      <c r="G393" s="342">
        <v>28569839</v>
      </c>
      <c r="H393" s="342">
        <v>43159529</v>
      </c>
      <c r="I393" s="342">
        <v>-1365920</v>
      </c>
      <c r="J393" t="s">
        <v>275</v>
      </c>
      <c r="K393" t="s">
        <v>583</v>
      </c>
      <c r="L393" t="s">
        <v>181</v>
      </c>
      <c r="M393" t="s">
        <v>46</v>
      </c>
      <c r="N393" s="2"/>
      <c r="O393" s="4"/>
    </row>
    <row r="394" spans="1:15" ht="12.75" customHeight="1" x14ac:dyDescent="0.2">
      <c r="A394" s="369">
        <v>134593</v>
      </c>
      <c r="B394" t="s">
        <v>192</v>
      </c>
      <c r="C394" s="342">
        <v>360</v>
      </c>
      <c r="D394" s="342">
        <v>374</v>
      </c>
      <c r="E394" s="342">
        <v>734</v>
      </c>
      <c r="F394" s="342">
        <v>16780832</v>
      </c>
      <c r="G394" s="342">
        <v>22956528</v>
      </c>
      <c r="H394" s="342">
        <v>39737360</v>
      </c>
      <c r="I394" s="342">
        <v>386218</v>
      </c>
      <c r="J394" t="s">
        <v>159</v>
      </c>
      <c r="K394" t="s">
        <v>584</v>
      </c>
      <c r="L394" t="s">
        <v>193</v>
      </c>
      <c r="M394" t="s">
        <v>154</v>
      </c>
      <c r="N394" s="2"/>
      <c r="O394" s="4"/>
    </row>
    <row r="395" spans="1:15" ht="12.75" customHeight="1" x14ac:dyDescent="0.2">
      <c r="A395" s="369">
        <v>666313</v>
      </c>
      <c r="B395" t="s">
        <v>464</v>
      </c>
      <c r="C395" s="342">
        <v>276</v>
      </c>
      <c r="D395" s="342">
        <v>434</v>
      </c>
      <c r="E395" s="342">
        <v>710</v>
      </c>
      <c r="F395" s="342">
        <v>7634237</v>
      </c>
      <c r="G395" s="342">
        <v>14893363</v>
      </c>
      <c r="H395" s="342">
        <v>22527600</v>
      </c>
      <c r="I395" s="342">
        <v>27943</v>
      </c>
      <c r="J395" t="s">
        <v>172</v>
      </c>
      <c r="K395" t="s">
        <v>583</v>
      </c>
      <c r="L395" t="s">
        <v>465</v>
      </c>
      <c r="M395" t="s">
        <v>46</v>
      </c>
      <c r="N395" s="2"/>
      <c r="O395" s="4"/>
    </row>
    <row r="396" spans="1:15" ht="12.75" customHeight="1" x14ac:dyDescent="0.2">
      <c r="A396" s="369">
        <v>294322</v>
      </c>
      <c r="B396" t="s">
        <v>292</v>
      </c>
      <c r="C396" s="342">
        <v>346</v>
      </c>
      <c r="D396" s="342">
        <v>344</v>
      </c>
      <c r="E396" s="342">
        <v>690</v>
      </c>
      <c r="F396" s="342">
        <v>16142393</v>
      </c>
      <c r="G396" s="342">
        <v>20841128</v>
      </c>
      <c r="H396" s="342">
        <v>36983521</v>
      </c>
      <c r="I396" s="342">
        <v>278358</v>
      </c>
      <c r="J396" t="s">
        <v>162</v>
      </c>
      <c r="K396" t="s">
        <v>583</v>
      </c>
      <c r="L396" t="s">
        <v>206</v>
      </c>
      <c r="M396" t="s">
        <v>46</v>
      </c>
      <c r="N396" s="2"/>
      <c r="O396" s="4"/>
    </row>
    <row r="397" spans="1:15" ht="12.75" customHeight="1" x14ac:dyDescent="0.2">
      <c r="A397" s="369">
        <v>804385</v>
      </c>
      <c r="B397" t="s">
        <v>1476</v>
      </c>
      <c r="C397" s="342">
        <v>251</v>
      </c>
      <c r="D397" s="342">
        <v>423</v>
      </c>
      <c r="E397" s="342">
        <v>674</v>
      </c>
      <c r="F397" s="342">
        <v>15515437</v>
      </c>
      <c r="G397" s="342">
        <v>31907024</v>
      </c>
      <c r="H397" s="342">
        <v>47422461</v>
      </c>
      <c r="I397" s="342">
        <v>352034</v>
      </c>
      <c r="J397" t="s">
        <v>204</v>
      </c>
      <c r="K397" t="s">
        <v>583</v>
      </c>
      <c r="L397" t="s">
        <v>1509</v>
      </c>
      <c r="M397" t="s">
        <v>46</v>
      </c>
      <c r="N397" s="2"/>
      <c r="O397" s="4"/>
    </row>
    <row r="398" spans="1:15" ht="12.75" customHeight="1" x14ac:dyDescent="0.2">
      <c r="A398" s="369">
        <v>613729</v>
      </c>
      <c r="B398" t="s">
        <v>443</v>
      </c>
      <c r="C398" s="342">
        <v>347</v>
      </c>
      <c r="D398" s="342">
        <v>317</v>
      </c>
      <c r="E398" s="342">
        <v>664</v>
      </c>
      <c r="F398" s="342">
        <v>28881016</v>
      </c>
      <c r="G398" s="342">
        <v>29791926</v>
      </c>
      <c r="H398" s="342">
        <v>58672941</v>
      </c>
      <c r="I398" s="342">
        <v>424441</v>
      </c>
      <c r="J398" t="s">
        <v>162</v>
      </c>
      <c r="K398" t="s">
        <v>583</v>
      </c>
      <c r="L398" t="s">
        <v>1352</v>
      </c>
      <c r="M398" t="s">
        <v>46</v>
      </c>
      <c r="N398" s="2"/>
      <c r="O398" s="4"/>
    </row>
    <row r="399" spans="1:15" ht="12.75" customHeight="1" x14ac:dyDescent="0.2">
      <c r="A399" s="369">
        <v>318469</v>
      </c>
      <c r="B399" t="s">
        <v>309</v>
      </c>
      <c r="C399" s="342">
        <v>225</v>
      </c>
      <c r="D399" s="342">
        <v>392</v>
      </c>
      <c r="E399" s="342">
        <v>617</v>
      </c>
      <c r="F399" s="342">
        <v>11647804</v>
      </c>
      <c r="G399" s="342">
        <v>26391891</v>
      </c>
      <c r="H399" s="342">
        <v>38039695</v>
      </c>
      <c r="I399" s="342">
        <v>1235782</v>
      </c>
      <c r="J399" t="s">
        <v>201</v>
      </c>
      <c r="K399" t="s">
        <v>583</v>
      </c>
      <c r="L399" t="s">
        <v>171</v>
      </c>
      <c r="M399" t="s">
        <v>46</v>
      </c>
      <c r="N399" s="2"/>
      <c r="O399" s="4"/>
    </row>
    <row r="400" spans="1:15" ht="12.75" customHeight="1" x14ac:dyDescent="0.2">
      <c r="A400" s="369">
        <v>408898</v>
      </c>
      <c r="B400" t="s">
        <v>631</v>
      </c>
      <c r="C400" s="342">
        <v>304</v>
      </c>
      <c r="D400" s="342">
        <v>310</v>
      </c>
      <c r="E400" s="342">
        <v>614</v>
      </c>
      <c r="F400" s="342">
        <v>16211955</v>
      </c>
      <c r="G400" s="342">
        <v>21070431</v>
      </c>
      <c r="H400" s="342">
        <v>37282385</v>
      </c>
      <c r="I400" s="342">
        <v>74710</v>
      </c>
      <c r="J400" t="s">
        <v>270</v>
      </c>
      <c r="K400" t="s">
        <v>584</v>
      </c>
      <c r="L400" t="s">
        <v>1352</v>
      </c>
      <c r="M400" t="s">
        <v>46</v>
      </c>
      <c r="N400" s="2"/>
      <c r="O400" s="4"/>
    </row>
    <row r="401" spans="1:15" ht="12.75" customHeight="1" x14ac:dyDescent="0.2">
      <c r="A401" s="369">
        <v>384750</v>
      </c>
      <c r="B401" t="s">
        <v>616</v>
      </c>
      <c r="C401" s="342">
        <v>286</v>
      </c>
      <c r="D401" s="342">
        <v>324</v>
      </c>
      <c r="E401" s="342">
        <v>610</v>
      </c>
      <c r="F401" s="342">
        <v>14907745</v>
      </c>
      <c r="G401" s="342">
        <v>23448839</v>
      </c>
      <c r="H401" s="342">
        <v>38356584</v>
      </c>
      <c r="I401" s="342">
        <v>-2239978</v>
      </c>
      <c r="J401" t="s">
        <v>159</v>
      </c>
      <c r="K401" t="s">
        <v>584</v>
      </c>
      <c r="L401" t="s">
        <v>289</v>
      </c>
      <c r="M401" t="s">
        <v>154</v>
      </c>
      <c r="N401" s="2"/>
      <c r="O401" s="4"/>
    </row>
    <row r="402" spans="1:15" ht="12.75" customHeight="1" x14ac:dyDescent="0.2">
      <c r="A402" s="369">
        <v>440065</v>
      </c>
      <c r="B402" t="s">
        <v>365</v>
      </c>
      <c r="C402" s="342">
        <v>270</v>
      </c>
      <c r="D402" s="342">
        <v>335</v>
      </c>
      <c r="E402" s="342">
        <v>605</v>
      </c>
      <c r="F402" s="342">
        <v>15454575</v>
      </c>
      <c r="G402" s="342">
        <v>22896887</v>
      </c>
      <c r="H402" s="342">
        <v>38351462</v>
      </c>
      <c r="I402" s="342">
        <v>130009</v>
      </c>
      <c r="J402" t="s">
        <v>175</v>
      </c>
      <c r="K402" t="s">
        <v>583</v>
      </c>
      <c r="L402" t="s">
        <v>1511</v>
      </c>
      <c r="M402" t="s">
        <v>46</v>
      </c>
      <c r="N402" s="2"/>
      <c r="O402" s="4"/>
    </row>
    <row r="403" spans="1:15" ht="12.75" customHeight="1" x14ac:dyDescent="0.2">
      <c r="A403" s="369">
        <v>562421</v>
      </c>
      <c r="B403" t="s">
        <v>423</v>
      </c>
      <c r="C403" s="342">
        <v>212</v>
      </c>
      <c r="D403" s="342">
        <v>388</v>
      </c>
      <c r="E403" s="342">
        <v>600</v>
      </c>
      <c r="F403" s="342">
        <v>15107425</v>
      </c>
      <c r="G403" s="342">
        <v>30885093</v>
      </c>
      <c r="H403" s="342">
        <v>45992518</v>
      </c>
      <c r="I403" s="342">
        <v>-358485</v>
      </c>
      <c r="J403" t="s">
        <v>162</v>
      </c>
      <c r="K403" t="s">
        <v>583</v>
      </c>
      <c r="L403" t="s">
        <v>320</v>
      </c>
      <c r="M403" t="s">
        <v>46</v>
      </c>
      <c r="N403" s="2"/>
      <c r="O403" s="4"/>
    </row>
    <row r="404" spans="1:15" ht="12.75" customHeight="1" x14ac:dyDescent="0.2">
      <c r="A404" s="369">
        <v>832717</v>
      </c>
      <c r="B404" t="s">
        <v>601</v>
      </c>
      <c r="C404" s="342">
        <v>242</v>
      </c>
      <c r="D404" s="342">
        <v>358</v>
      </c>
      <c r="E404" s="342">
        <v>600</v>
      </c>
      <c r="F404" s="342">
        <v>14084746</v>
      </c>
      <c r="G404" s="342">
        <v>26876543</v>
      </c>
      <c r="H404" s="342">
        <v>40961288</v>
      </c>
      <c r="I404" s="342">
        <v>-4284503</v>
      </c>
      <c r="J404" t="s">
        <v>159</v>
      </c>
      <c r="K404" t="s">
        <v>584</v>
      </c>
      <c r="L404" t="s">
        <v>290</v>
      </c>
      <c r="M404" t="s">
        <v>154</v>
      </c>
      <c r="N404" s="2"/>
      <c r="O404" s="4"/>
    </row>
    <row r="405" spans="1:15" ht="12.75" customHeight="1" x14ac:dyDescent="0.2">
      <c r="A405" s="369">
        <v>313320</v>
      </c>
      <c r="B405" t="s">
        <v>1456</v>
      </c>
      <c r="C405" s="342">
        <v>209</v>
      </c>
      <c r="D405" s="342">
        <v>385</v>
      </c>
      <c r="E405" s="342">
        <v>594</v>
      </c>
      <c r="F405" s="342">
        <v>10907817</v>
      </c>
      <c r="G405" s="342">
        <v>21607760</v>
      </c>
      <c r="H405" s="342">
        <v>32515576</v>
      </c>
      <c r="I405" s="342">
        <v>-239831</v>
      </c>
      <c r="J405" t="s">
        <v>263</v>
      </c>
      <c r="K405" t="s">
        <v>583</v>
      </c>
      <c r="L405" t="s">
        <v>1516</v>
      </c>
      <c r="M405" t="s">
        <v>46</v>
      </c>
      <c r="N405" s="2"/>
      <c r="O405" s="4"/>
    </row>
    <row r="406" spans="1:15" ht="12.75" customHeight="1" x14ac:dyDescent="0.2">
      <c r="A406" s="369">
        <v>242495</v>
      </c>
      <c r="B406" t="s">
        <v>260</v>
      </c>
      <c r="C406" s="342">
        <v>254</v>
      </c>
      <c r="D406" s="342">
        <v>336</v>
      </c>
      <c r="E406" s="342">
        <v>590</v>
      </c>
      <c r="F406" s="342">
        <v>17250715</v>
      </c>
      <c r="G406" s="342">
        <v>26285442</v>
      </c>
      <c r="H406" s="342">
        <v>43536157</v>
      </c>
      <c r="I406" s="342">
        <v>436696</v>
      </c>
      <c r="J406" t="s">
        <v>197</v>
      </c>
      <c r="K406" t="s">
        <v>583</v>
      </c>
      <c r="L406" t="s">
        <v>1515</v>
      </c>
      <c r="M406" t="s">
        <v>46</v>
      </c>
      <c r="N406" s="2"/>
      <c r="O406" s="4"/>
    </row>
    <row r="407" spans="1:15" ht="12.75" customHeight="1" x14ac:dyDescent="0.2">
      <c r="A407" s="369">
        <v>304659</v>
      </c>
      <c r="B407" t="s">
        <v>1329</v>
      </c>
      <c r="C407" s="342">
        <v>221</v>
      </c>
      <c r="D407" s="342">
        <v>350</v>
      </c>
      <c r="E407" s="342">
        <v>571</v>
      </c>
      <c r="F407" s="342">
        <v>14488670</v>
      </c>
      <c r="G407" s="342">
        <v>29470855</v>
      </c>
      <c r="H407" s="342">
        <v>43959525</v>
      </c>
      <c r="I407" s="342">
        <v>147628</v>
      </c>
      <c r="J407" t="s">
        <v>204</v>
      </c>
      <c r="K407" t="s">
        <v>583</v>
      </c>
      <c r="L407" t="s">
        <v>265</v>
      </c>
      <c r="M407" t="s">
        <v>46</v>
      </c>
      <c r="N407" s="2"/>
      <c r="O407" s="4"/>
    </row>
    <row r="408" spans="1:15" ht="12.75" customHeight="1" x14ac:dyDescent="0.2">
      <c r="A408" s="369">
        <v>920439</v>
      </c>
      <c r="B408" t="s">
        <v>1345</v>
      </c>
      <c r="C408" s="342">
        <v>241</v>
      </c>
      <c r="D408" s="342">
        <v>326</v>
      </c>
      <c r="E408" s="342">
        <v>567</v>
      </c>
      <c r="F408" s="342">
        <v>7708490</v>
      </c>
      <c r="G408" s="342">
        <v>13979485</v>
      </c>
      <c r="H408" s="342">
        <v>21687975</v>
      </c>
      <c r="I408" s="342">
        <v>267336</v>
      </c>
      <c r="J408" t="s">
        <v>214</v>
      </c>
      <c r="K408" t="s">
        <v>583</v>
      </c>
      <c r="L408" t="s">
        <v>1331</v>
      </c>
      <c r="M408" t="s">
        <v>46</v>
      </c>
      <c r="N408" s="2"/>
      <c r="O408" s="4"/>
    </row>
    <row r="409" spans="1:15" ht="12.75" customHeight="1" x14ac:dyDescent="0.2">
      <c r="A409" s="369">
        <v>502922</v>
      </c>
      <c r="B409" t="s">
        <v>396</v>
      </c>
      <c r="C409" s="342">
        <v>144</v>
      </c>
      <c r="D409" s="342">
        <v>364</v>
      </c>
      <c r="E409" s="342">
        <v>508</v>
      </c>
      <c r="F409" s="342">
        <v>7271865</v>
      </c>
      <c r="G409" s="342">
        <v>20944879</v>
      </c>
      <c r="H409" s="342">
        <v>28216744</v>
      </c>
      <c r="I409" s="342">
        <v>218279</v>
      </c>
      <c r="J409" t="s">
        <v>163</v>
      </c>
      <c r="K409" t="s">
        <v>583</v>
      </c>
      <c r="L409" t="s">
        <v>269</v>
      </c>
      <c r="M409" t="s">
        <v>46</v>
      </c>
      <c r="N409" s="2"/>
      <c r="O409" s="4"/>
    </row>
    <row r="410" spans="1:15" ht="12.75" customHeight="1" x14ac:dyDescent="0.2">
      <c r="A410" s="369">
        <v>395434</v>
      </c>
      <c r="B410" t="s">
        <v>347</v>
      </c>
      <c r="C410" s="342">
        <v>169</v>
      </c>
      <c r="D410" s="342">
        <v>339</v>
      </c>
      <c r="E410" s="342">
        <v>508</v>
      </c>
      <c r="F410" s="342">
        <v>6591361</v>
      </c>
      <c r="G410" s="342">
        <v>18828318</v>
      </c>
      <c r="H410" s="342">
        <v>25419678</v>
      </c>
      <c r="I410" s="342">
        <v>1003173</v>
      </c>
      <c r="J410" t="s">
        <v>201</v>
      </c>
      <c r="K410" t="s">
        <v>583</v>
      </c>
      <c r="L410" t="s">
        <v>269</v>
      </c>
      <c r="M410" t="s">
        <v>46</v>
      </c>
      <c r="N410" s="2"/>
      <c r="O410" s="4"/>
    </row>
    <row r="411" spans="1:15" ht="12.75" customHeight="1" x14ac:dyDescent="0.2">
      <c r="A411" s="369">
        <v>475897</v>
      </c>
      <c r="B411" t="s">
        <v>381</v>
      </c>
      <c r="C411" s="342">
        <v>243</v>
      </c>
      <c r="D411" s="342">
        <v>263</v>
      </c>
      <c r="E411" s="342">
        <v>506</v>
      </c>
      <c r="F411" s="342">
        <v>6818563</v>
      </c>
      <c r="G411" s="342">
        <v>10083173</v>
      </c>
      <c r="H411" s="342">
        <v>16901736</v>
      </c>
      <c r="I411" s="342">
        <v>269205</v>
      </c>
      <c r="J411" t="s">
        <v>185</v>
      </c>
      <c r="K411" t="s">
        <v>583</v>
      </c>
      <c r="L411" t="s">
        <v>1511</v>
      </c>
      <c r="M411" t="s">
        <v>46</v>
      </c>
      <c r="N411" s="2"/>
      <c r="O411" s="4"/>
    </row>
    <row r="412" spans="1:15" ht="12.75" customHeight="1" x14ac:dyDescent="0.2">
      <c r="A412" s="369">
        <v>721506</v>
      </c>
      <c r="B412" t="s">
        <v>486</v>
      </c>
      <c r="C412" s="342">
        <v>242</v>
      </c>
      <c r="D412" s="342">
        <v>259</v>
      </c>
      <c r="E412" s="342">
        <v>501</v>
      </c>
      <c r="F412" s="342">
        <v>22050512</v>
      </c>
      <c r="G412" s="342">
        <v>29217657</v>
      </c>
      <c r="H412" s="342">
        <v>51268169</v>
      </c>
      <c r="I412" s="342">
        <v>-3504120</v>
      </c>
      <c r="J412" t="s">
        <v>159</v>
      </c>
      <c r="K412" t="s">
        <v>584</v>
      </c>
      <c r="L412" t="s">
        <v>198</v>
      </c>
      <c r="M412" t="s">
        <v>154</v>
      </c>
      <c r="N412" s="2"/>
      <c r="O412" s="4"/>
    </row>
    <row r="413" spans="1:15" ht="12.75" customHeight="1" x14ac:dyDescent="0.2">
      <c r="A413" s="369">
        <v>857037</v>
      </c>
      <c r="B413" t="s">
        <v>1343</v>
      </c>
      <c r="C413" s="342">
        <v>290</v>
      </c>
      <c r="D413" s="342">
        <v>211</v>
      </c>
      <c r="E413" s="342">
        <v>501</v>
      </c>
      <c r="F413" s="342">
        <v>8256150</v>
      </c>
      <c r="G413" s="342">
        <v>8437947</v>
      </c>
      <c r="H413" s="342">
        <v>16694097</v>
      </c>
      <c r="I413" s="342">
        <v>-240506</v>
      </c>
      <c r="J413" t="s">
        <v>177</v>
      </c>
      <c r="K413" t="s">
        <v>580</v>
      </c>
      <c r="L413" t="s">
        <v>1331</v>
      </c>
      <c r="M413" t="s">
        <v>46</v>
      </c>
      <c r="N413" s="2"/>
      <c r="O413" s="4"/>
    </row>
    <row r="414" spans="1:15" ht="12.75" customHeight="1" x14ac:dyDescent="0.2">
      <c r="A414" s="369">
        <v>686626</v>
      </c>
      <c r="B414" t="s">
        <v>472</v>
      </c>
      <c r="C414" s="342">
        <v>222</v>
      </c>
      <c r="D414" s="342">
        <v>278</v>
      </c>
      <c r="E414" s="342">
        <v>500</v>
      </c>
      <c r="F414" s="342">
        <v>13648949</v>
      </c>
      <c r="G414" s="342">
        <v>21800769</v>
      </c>
      <c r="H414" s="342">
        <v>35449718</v>
      </c>
      <c r="I414" s="342">
        <v>530950</v>
      </c>
      <c r="J414" t="s">
        <v>204</v>
      </c>
      <c r="K414" t="s">
        <v>583</v>
      </c>
      <c r="L414" t="s">
        <v>1506</v>
      </c>
      <c r="M414" t="s">
        <v>46</v>
      </c>
      <c r="N414" s="2"/>
      <c r="O414" s="4"/>
    </row>
    <row r="415" spans="1:15" ht="12.75" customHeight="1" x14ac:dyDescent="0.2">
      <c r="A415" s="369">
        <v>205832</v>
      </c>
      <c r="B415" t="s">
        <v>1374</v>
      </c>
      <c r="C415" s="342">
        <v>171</v>
      </c>
      <c r="D415" s="342">
        <v>317</v>
      </c>
      <c r="E415" s="342">
        <v>488</v>
      </c>
      <c r="F415" s="342">
        <v>13415998</v>
      </c>
      <c r="G415" s="342">
        <v>28621568</v>
      </c>
      <c r="H415" s="342">
        <v>42037566</v>
      </c>
      <c r="I415" s="342">
        <v>-1753155</v>
      </c>
      <c r="J415" t="s">
        <v>177</v>
      </c>
      <c r="K415" t="s">
        <v>580</v>
      </c>
      <c r="L415" t="s">
        <v>304</v>
      </c>
      <c r="M415" t="s">
        <v>154</v>
      </c>
      <c r="N415" s="2"/>
      <c r="O415" s="4"/>
    </row>
    <row r="416" spans="1:15" ht="12.75" customHeight="1" x14ac:dyDescent="0.2">
      <c r="A416" s="369">
        <v>770263</v>
      </c>
      <c r="B416" t="s">
        <v>503</v>
      </c>
      <c r="C416" s="342">
        <v>163</v>
      </c>
      <c r="D416" s="342">
        <v>321</v>
      </c>
      <c r="E416" s="342">
        <v>484</v>
      </c>
      <c r="F416" s="342">
        <v>9037061</v>
      </c>
      <c r="G416" s="342">
        <v>21669733</v>
      </c>
      <c r="H416" s="342">
        <v>30706794</v>
      </c>
      <c r="I416" s="342">
        <v>-91335</v>
      </c>
      <c r="J416" t="s">
        <v>267</v>
      </c>
      <c r="K416" t="s">
        <v>583</v>
      </c>
      <c r="L416" t="s">
        <v>1506</v>
      </c>
      <c r="M416" t="s">
        <v>46</v>
      </c>
      <c r="N416" s="2"/>
      <c r="O416" s="4"/>
    </row>
    <row r="417" spans="1:15" ht="12.75" customHeight="1" x14ac:dyDescent="0.2">
      <c r="A417" s="369">
        <v>393488</v>
      </c>
      <c r="B417" t="s">
        <v>1361</v>
      </c>
      <c r="C417" s="342">
        <v>185</v>
      </c>
      <c r="D417" s="342">
        <v>297</v>
      </c>
      <c r="E417" s="342">
        <v>482</v>
      </c>
      <c r="F417" s="342">
        <v>9862291</v>
      </c>
      <c r="G417" s="342">
        <v>19120836</v>
      </c>
      <c r="H417" s="342">
        <v>28983127</v>
      </c>
      <c r="I417" s="342">
        <v>1179765</v>
      </c>
      <c r="J417" t="s">
        <v>162</v>
      </c>
      <c r="K417" t="s">
        <v>583</v>
      </c>
      <c r="L417" t="s">
        <v>198</v>
      </c>
      <c r="M417" t="s">
        <v>154</v>
      </c>
      <c r="N417" s="2"/>
      <c r="O417" s="4"/>
    </row>
    <row r="418" spans="1:15" ht="12.75" customHeight="1" x14ac:dyDescent="0.2">
      <c r="A418" s="369">
        <v>698952</v>
      </c>
      <c r="B418" t="s">
        <v>621</v>
      </c>
      <c r="C418" s="342">
        <v>238</v>
      </c>
      <c r="D418" s="342">
        <v>224</v>
      </c>
      <c r="E418" s="342">
        <v>462</v>
      </c>
      <c r="F418" s="342">
        <v>24827676</v>
      </c>
      <c r="G418" s="342">
        <v>24011045</v>
      </c>
      <c r="H418" s="342">
        <v>48838721</v>
      </c>
      <c r="I418" s="342">
        <v>5047414</v>
      </c>
      <c r="J418" t="s">
        <v>162</v>
      </c>
      <c r="K418" t="s">
        <v>583</v>
      </c>
      <c r="L418" t="s">
        <v>184</v>
      </c>
      <c r="M418" t="s">
        <v>154</v>
      </c>
      <c r="N418" s="2"/>
      <c r="O418" s="4"/>
    </row>
    <row r="419" spans="1:15" ht="12.75" customHeight="1" x14ac:dyDescent="0.2">
      <c r="A419" s="369">
        <v>277491</v>
      </c>
      <c r="B419" t="s">
        <v>1454</v>
      </c>
      <c r="C419" s="342">
        <v>152</v>
      </c>
      <c r="D419" s="342">
        <v>304</v>
      </c>
      <c r="E419" s="342">
        <v>456</v>
      </c>
      <c r="F419" s="342">
        <v>10081669</v>
      </c>
      <c r="G419" s="342">
        <v>25712202</v>
      </c>
      <c r="H419" s="342">
        <v>35793871</v>
      </c>
      <c r="I419" s="342">
        <v>-1440226</v>
      </c>
      <c r="J419" t="s">
        <v>270</v>
      </c>
      <c r="K419" t="s">
        <v>584</v>
      </c>
      <c r="L419" t="s">
        <v>1516</v>
      </c>
      <c r="M419" t="s">
        <v>46</v>
      </c>
      <c r="N419" s="2"/>
      <c r="O419" s="4"/>
    </row>
    <row r="420" spans="1:15" ht="12.75" customHeight="1" x14ac:dyDescent="0.2">
      <c r="A420" s="369">
        <v>757575</v>
      </c>
      <c r="B420" t="s">
        <v>1386</v>
      </c>
      <c r="C420" s="342">
        <v>180</v>
      </c>
      <c r="D420" s="342">
        <v>276</v>
      </c>
      <c r="E420" s="342">
        <v>456</v>
      </c>
      <c r="F420" s="342">
        <v>11580408</v>
      </c>
      <c r="G420" s="342">
        <v>20113303</v>
      </c>
      <c r="H420" s="342">
        <v>31693711</v>
      </c>
      <c r="I420" s="342">
        <v>-80554</v>
      </c>
      <c r="J420" t="s">
        <v>214</v>
      </c>
      <c r="K420" t="s">
        <v>583</v>
      </c>
      <c r="L420" t="s">
        <v>1513</v>
      </c>
      <c r="M420" t="s">
        <v>46</v>
      </c>
      <c r="N420" s="2"/>
      <c r="O420" s="4"/>
    </row>
    <row r="421" spans="1:15" ht="12.75" customHeight="1" x14ac:dyDescent="0.2">
      <c r="A421" s="369">
        <v>354290</v>
      </c>
      <c r="B421" t="s">
        <v>325</v>
      </c>
      <c r="C421" s="342">
        <v>219</v>
      </c>
      <c r="D421" s="342">
        <v>234</v>
      </c>
      <c r="E421" s="342">
        <v>453</v>
      </c>
      <c r="F421" s="342">
        <v>11012240</v>
      </c>
      <c r="G421" s="342">
        <v>13882696</v>
      </c>
      <c r="H421" s="342">
        <v>24894936</v>
      </c>
      <c r="I421" s="342">
        <v>780922</v>
      </c>
      <c r="J421" t="s">
        <v>197</v>
      </c>
      <c r="K421" t="s">
        <v>583</v>
      </c>
      <c r="L421" t="s">
        <v>171</v>
      </c>
      <c r="M421" t="s">
        <v>46</v>
      </c>
      <c r="N421" s="2"/>
      <c r="O421" s="4"/>
    </row>
    <row r="422" spans="1:15" ht="12.75" customHeight="1" x14ac:dyDescent="0.2">
      <c r="A422" s="369">
        <v>843698</v>
      </c>
      <c r="B422" t="s">
        <v>528</v>
      </c>
      <c r="C422" s="342">
        <v>173</v>
      </c>
      <c r="D422" s="342">
        <v>275</v>
      </c>
      <c r="E422" s="342">
        <v>448</v>
      </c>
      <c r="F422" s="342">
        <v>9746585</v>
      </c>
      <c r="G422" s="342">
        <v>17701097</v>
      </c>
      <c r="H422" s="342">
        <v>27447682</v>
      </c>
      <c r="I422" s="342">
        <v>358001</v>
      </c>
      <c r="J422" t="s">
        <v>263</v>
      </c>
      <c r="K422" t="s">
        <v>583</v>
      </c>
      <c r="L422" t="s">
        <v>1506</v>
      </c>
      <c r="M422" t="s">
        <v>46</v>
      </c>
      <c r="N422" s="2"/>
      <c r="O422" s="4"/>
    </row>
    <row r="423" spans="1:15" ht="12.75" customHeight="1" x14ac:dyDescent="0.2">
      <c r="A423" s="369">
        <v>755033</v>
      </c>
      <c r="B423" t="s">
        <v>499</v>
      </c>
      <c r="C423" s="342">
        <v>137</v>
      </c>
      <c r="D423" s="342">
        <v>298</v>
      </c>
      <c r="E423" s="342">
        <v>435</v>
      </c>
      <c r="F423" s="342">
        <v>5215872</v>
      </c>
      <c r="G423" s="342">
        <v>15534420</v>
      </c>
      <c r="H423" s="342">
        <v>20750291</v>
      </c>
      <c r="I423" s="342">
        <v>-212492</v>
      </c>
      <c r="J423" t="s">
        <v>163</v>
      </c>
      <c r="K423" t="s">
        <v>583</v>
      </c>
      <c r="L423" t="s">
        <v>1511</v>
      </c>
      <c r="M423" t="s">
        <v>46</v>
      </c>
      <c r="N423" s="2"/>
      <c r="O423" s="4"/>
    </row>
    <row r="424" spans="1:15" ht="12.75" customHeight="1" x14ac:dyDescent="0.2">
      <c r="A424" s="369">
        <v>324665</v>
      </c>
      <c r="B424" t="s">
        <v>312</v>
      </c>
      <c r="C424" s="342">
        <v>205</v>
      </c>
      <c r="D424" s="342">
        <v>224</v>
      </c>
      <c r="E424" s="342">
        <v>429</v>
      </c>
      <c r="F424" s="342">
        <v>12173045</v>
      </c>
      <c r="G424" s="342">
        <v>14659230</v>
      </c>
      <c r="H424" s="342">
        <v>26832276</v>
      </c>
      <c r="I424" s="342">
        <v>513582</v>
      </c>
      <c r="J424" t="s">
        <v>201</v>
      </c>
      <c r="K424" t="s">
        <v>583</v>
      </c>
      <c r="L424" t="s">
        <v>313</v>
      </c>
      <c r="M424" t="s">
        <v>46</v>
      </c>
      <c r="N424" s="2"/>
      <c r="O424" s="4"/>
    </row>
    <row r="425" spans="1:15" ht="12.75" customHeight="1" x14ac:dyDescent="0.2">
      <c r="A425" s="369">
        <v>616797</v>
      </c>
      <c r="B425" t="s">
        <v>445</v>
      </c>
      <c r="C425" s="342">
        <v>201</v>
      </c>
      <c r="D425" s="342">
        <v>221</v>
      </c>
      <c r="E425" s="342">
        <v>422</v>
      </c>
      <c r="F425" s="342">
        <v>13186499</v>
      </c>
      <c r="G425" s="342">
        <v>17371639</v>
      </c>
      <c r="H425" s="342">
        <v>30558138</v>
      </c>
      <c r="I425" s="342">
        <v>181855</v>
      </c>
      <c r="J425" t="s">
        <v>204</v>
      </c>
      <c r="K425" t="s">
        <v>583</v>
      </c>
      <c r="L425" t="s">
        <v>206</v>
      </c>
      <c r="M425" t="s">
        <v>46</v>
      </c>
      <c r="N425" s="2"/>
      <c r="O425" s="4"/>
    </row>
    <row r="426" spans="1:15" ht="12.75" customHeight="1" x14ac:dyDescent="0.2">
      <c r="A426" s="369">
        <v>356063</v>
      </c>
      <c r="B426" t="s">
        <v>326</v>
      </c>
      <c r="C426" s="342">
        <v>180</v>
      </c>
      <c r="D426" s="342">
        <v>234</v>
      </c>
      <c r="E426" s="342">
        <v>414</v>
      </c>
      <c r="F426" s="342">
        <v>9855584</v>
      </c>
      <c r="G426" s="342">
        <v>14867224</v>
      </c>
      <c r="H426" s="342">
        <v>24722808</v>
      </c>
      <c r="I426" s="342">
        <v>713682</v>
      </c>
      <c r="J426" t="s">
        <v>175</v>
      </c>
      <c r="K426" t="s">
        <v>583</v>
      </c>
      <c r="L426" t="s">
        <v>236</v>
      </c>
      <c r="M426" t="s">
        <v>46</v>
      </c>
      <c r="N426" s="2"/>
      <c r="O426" s="4"/>
    </row>
    <row r="427" spans="1:15" ht="12.75" customHeight="1" x14ac:dyDescent="0.2">
      <c r="A427" s="369">
        <v>916122</v>
      </c>
      <c r="B427" t="s">
        <v>1480</v>
      </c>
      <c r="C427" s="342">
        <v>172</v>
      </c>
      <c r="D427" s="342">
        <v>242</v>
      </c>
      <c r="E427" s="342">
        <v>414</v>
      </c>
      <c r="F427" s="342">
        <v>7735662</v>
      </c>
      <c r="G427" s="342">
        <v>14125108</v>
      </c>
      <c r="H427" s="342">
        <v>21860770</v>
      </c>
      <c r="I427" s="342">
        <v>64256</v>
      </c>
      <c r="J427" t="s">
        <v>185</v>
      </c>
      <c r="K427" t="s">
        <v>583</v>
      </c>
      <c r="L427" t="s">
        <v>1509</v>
      </c>
      <c r="M427" t="s">
        <v>46</v>
      </c>
      <c r="N427" s="2"/>
      <c r="O427" s="4"/>
    </row>
    <row r="428" spans="1:15" ht="12.75" customHeight="1" x14ac:dyDescent="0.2">
      <c r="A428" s="369">
        <v>917955</v>
      </c>
      <c r="B428" t="s">
        <v>1481</v>
      </c>
      <c r="C428" s="342">
        <v>171</v>
      </c>
      <c r="D428" s="342">
        <v>211</v>
      </c>
      <c r="E428" s="342">
        <v>382</v>
      </c>
      <c r="F428" s="342">
        <v>8890270</v>
      </c>
      <c r="G428" s="342">
        <v>13357653</v>
      </c>
      <c r="H428" s="342">
        <v>22247923</v>
      </c>
      <c r="I428" s="342">
        <v>338359</v>
      </c>
      <c r="J428" t="s">
        <v>263</v>
      </c>
      <c r="K428" t="s">
        <v>583</v>
      </c>
      <c r="L428" t="s">
        <v>1511</v>
      </c>
      <c r="M428" t="s">
        <v>46</v>
      </c>
      <c r="N428" s="2"/>
      <c r="O428" s="4"/>
    </row>
    <row r="429" spans="1:15" ht="12.75" customHeight="1" x14ac:dyDescent="0.2">
      <c r="A429" s="369">
        <v>882126</v>
      </c>
      <c r="B429" t="s">
        <v>542</v>
      </c>
      <c r="C429" s="342">
        <v>133</v>
      </c>
      <c r="D429" s="342">
        <v>244</v>
      </c>
      <c r="E429" s="342">
        <v>377</v>
      </c>
      <c r="F429" s="342">
        <v>8832763</v>
      </c>
      <c r="G429" s="342">
        <v>20207163</v>
      </c>
      <c r="H429" s="342">
        <v>29039925</v>
      </c>
      <c r="I429" s="342">
        <v>-544039</v>
      </c>
      <c r="J429" t="s">
        <v>257</v>
      </c>
      <c r="K429" t="s">
        <v>583</v>
      </c>
      <c r="L429" t="s">
        <v>1511</v>
      </c>
      <c r="M429" t="s">
        <v>46</v>
      </c>
      <c r="N429" s="2"/>
      <c r="O429" s="4"/>
    </row>
    <row r="430" spans="1:15" ht="12.75" customHeight="1" x14ac:dyDescent="0.2">
      <c r="A430" s="369">
        <v>250878</v>
      </c>
      <c r="B430" t="s">
        <v>268</v>
      </c>
      <c r="C430" s="342">
        <v>122</v>
      </c>
      <c r="D430" s="342">
        <v>249</v>
      </c>
      <c r="E430" s="342">
        <v>371</v>
      </c>
      <c r="F430" s="342">
        <v>4867042</v>
      </c>
      <c r="G430" s="342">
        <v>11099667</v>
      </c>
      <c r="H430" s="342">
        <v>15966709</v>
      </c>
      <c r="I430" s="342">
        <v>-359177</v>
      </c>
      <c r="J430" t="s">
        <v>263</v>
      </c>
      <c r="K430" t="s">
        <v>583</v>
      </c>
      <c r="L430" t="s">
        <v>269</v>
      </c>
      <c r="M430" t="s">
        <v>46</v>
      </c>
      <c r="N430" s="2"/>
      <c r="O430" s="4"/>
    </row>
    <row r="431" spans="1:15" ht="12.75" customHeight="1" x14ac:dyDescent="0.2">
      <c r="A431" s="369">
        <v>660704</v>
      </c>
      <c r="B431" t="s">
        <v>460</v>
      </c>
      <c r="C431" s="342">
        <v>117</v>
      </c>
      <c r="D431" s="342">
        <v>245</v>
      </c>
      <c r="E431" s="342">
        <v>362</v>
      </c>
      <c r="F431" s="342">
        <v>5503349</v>
      </c>
      <c r="G431" s="342">
        <v>14472127</v>
      </c>
      <c r="H431" s="342">
        <v>19975477</v>
      </c>
      <c r="I431" s="342">
        <v>97986</v>
      </c>
      <c r="J431" t="s">
        <v>335</v>
      </c>
      <c r="K431" t="s">
        <v>583</v>
      </c>
      <c r="L431" t="s">
        <v>1524</v>
      </c>
      <c r="M431" t="s">
        <v>46</v>
      </c>
      <c r="N431" s="2"/>
      <c r="O431" s="4"/>
    </row>
    <row r="432" spans="1:15" ht="12.75" customHeight="1" x14ac:dyDescent="0.2">
      <c r="A432" s="369">
        <v>755090</v>
      </c>
      <c r="B432" t="s">
        <v>600</v>
      </c>
      <c r="C432" s="342">
        <v>172</v>
      </c>
      <c r="D432" s="342">
        <v>190</v>
      </c>
      <c r="E432" s="342">
        <v>362</v>
      </c>
      <c r="F432" s="342">
        <v>7549141</v>
      </c>
      <c r="G432" s="342">
        <v>9707986</v>
      </c>
      <c r="H432" s="342">
        <v>17257127</v>
      </c>
      <c r="I432" s="342">
        <v>202654</v>
      </c>
      <c r="J432" t="s">
        <v>185</v>
      </c>
      <c r="K432" t="s">
        <v>583</v>
      </c>
      <c r="L432" t="s">
        <v>313</v>
      </c>
      <c r="M432" t="s">
        <v>46</v>
      </c>
      <c r="N432" s="2"/>
      <c r="O432" s="4"/>
    </row>
    <row r="433" spans="1:15" ht="12.75" customHeight="1" x14ac:dyDescent="0.2">
      <c r="A433" s="369">
        <v>167643</v>
      </c>
      <c r="B433" t="s">
        <v>217</v>
      </c>
      <c r="C433" s="342">
        <v>221</v>
      </c>
      <c r="D433" s="342">
        <v>140</v>
      </c>
      <c r="E433" s="342">
        <v>361</v>
      </c>
      <c r="F433" s="342">
        <v>9433774</v>
      </c>
      <c r="G433" s="342">
        <v>7391996</v>
      </c>
      <c r="H433" s="342">
        <v>16825770</v>
      </c>
      <c r="I433" s="342">
        <v>116009</v>
      </c>
      <c r="J433" t="s">
        <v>162</v>
      </c>
      <c r="K433" t="s">
        <v>583</v>
      </c>
      <c r="L433" t="s">
        <v>218</v>
      </c>
      <c r="M433" t="s">
        <v>46</v>
      </c>
      <c r="N433" s="2"/>
      <c r="O433" s="4"/>
    </row>
    <row r="434" spans="1:15" ht="12.75" customHeight="1" x14ac:dyDescent="0.2">
      <c r="A434" s="369">
        <v>116293</v>
      </c>
      <c r="B434" t="s">
        <v>173</v>
      </c>
      <c r="C434" s="342">
        <v>143</v>
      </c>
      <c r="D434" s="342">
        <v>217</v>
      </c>
      <c r="E434" s="342">
        <v>360</v>
      </c>
      <c r="F434" s="342">
        <v>8610036</v>
      </c>
      <c r="G434" s="342">
        <v>16150489</v>
      </c>
      <c r="H434" s="342">
        <v>24760526</v>
      </c>
      <c r="I434" s="342">
        <v>134180</v>
      </c>
      <c r="J434" t="s">
        <v>175</v>
      </c>
      <c r="K434" t="s">
        <v>583</v>
      </c>
      <c r="L434" t="s">
        <v>1506</v>
      </c>
      <c r="M434" t="s">
        <v>46</v>
      </c>
      <c r="N434" s="2"/>
      <c r="O434" s="4"/>
    </row>
    <row r="435" spans="1:15" ht="12.75" customHeight="1" x14ac:dyDescent="0.2">
      <c r="A435" s="369">
        <v>473470</v>
      </c>
      <c r="B435" t="s">
        <v>379</v>
      </c>
      <c r="C435" s="342">
        <v>139</v>
      </c>
      <c r="D435" s="342">
        <v>215</v>
      </c>
      <c r="E435" s="342">
        <v>354</v>
      </c>
      <c r="F435" s="342">
        <v>4660641</v>
      </c>
      <c r="G435" s="342">
        <v>8447825</v>
      </c>
      <c r="H435" s="342">
        <v>13108466</v>
      </c>
      <c r="I435" s="342">
        <v>-67306</v>
      </c>
      <c r="J435" t="s">
        <v>185</v>
      </c>
      <c r="K435" t="s">
        <v>583</v>
      </c>
      <c r="L435" t="s">
        <v>206</v>
      </c>
      <c r="M435" t="s">
        <v>46</v>
      </c>
      <c r="N435" s="2"/>
      <c r="O435" s="4"/>
    </row>
    <row r="436" spans="1:15" ht="12.75" customHeight="1" x14ac:dyDescent="0.2">
      <c r="A436" s="369">
        <v>651679</v>
      </c>
      <c r="B436" t="s">
        <v>455</v>
      </c>
      <c r="C436" s="342">
        <v>200</v>
      </c>
      <c r="D436" s="342">
        <v>150</v>
      </c>
      <c r="E436" s="342">
        <v>350</v>
      </c>
      <c r="F436" s="342">
        <v>20523031</v>
      </c>
      <c r="G436" s="342">
        <v>23853350</v>
      </c>
      <c r="H436" s="342">
        <v>44376381</v>
      </c>
      <c r="I436" s="342">
        <v>-363507</v>
      </c>
      <c r="J436" t="s">
        <v>159</v>
      </c>
      <c r="K436" t="s">
        <v>584</v>
      </c>
      <c r="L436" t="s">
        <v>184</v>
      </c>
      <c r="M436" t="s">
        <v>46</v>
      </c>
      <c r="N436" s="2"/>
      <c r="O436" s="4"/>
    </row>
    <row r="437" spans="1:15" ht="12.75" customHeight="1" x14ac:dyDescent="0.2">
      <c r="A437" s="369">
        <v>687442</v>
      </c>
      <c r="B437" t="s">
        <v>473</v>
      </c>
      <c r="C437" s="342">
        <v>91</v>
      </c>
      <c r="D437" s="342">
        <v>253</v>
      </c>
      <c r="E437" s="342">
        <v>344</v>
      </c>
      <c r="F437" s="342">
        <v>5512821</v>
      </c>
      <c r="G437" s="342">
        <v>23188394</v>
      </c>
      <c r="H437" s="342">
        <v>28701215</v>
      </c>
      <c r="I437" s="342">
        <v>1293668</v>
      </c>
      <c r="J437" t="s">
        <v>201</v>
      </c>
      <c r="K437" t="s">
        <v>583</v>
      </c>
      <c r="L437" t="s">
        <v>179</v>
      </c>
      <c r="M437" t="s">
        <v>46</v>
      </c>
      <c r="N437" s="2"/>
      <c r="O437" s="4"/>
    </row>
    <row r="438" spans="1:15" ht="12.75" customHeight="1" x14ac:dyDescent="0.2">
      <c r="A438" s="369">
        <v>280925</v>
      </c>
      <c r="B438" t="s">
        <v>284</v>
      </c>
      <c r="C438" s="342">
        <v>121</v>
      </c>
      <c r="D438" s="342">
        <v>218</v>
      </c>
      <c r="E438" s="342">
        <v>339</v>
      </c>
      <c r="F438" s="342">
        <v>5673570</v>
      </c>
      <c r="G438" s="342">
        <v>15384274</v>
      </c>
      <c r="H438" s="342">
        <v>21057844</v>
      </c>
      <c r="I438" s="342">
        <v>-3542295</v>
      </c>
      <c r="J438" t="s">
        <v>199</v>
      </c>
      <c r="K438" t="s">
        <v>584</v>
      </c>
      <c r="L438" t="s">
        <v>1511</v>
      </c>
      <c r="M438" t="s">
        <v>46</v>
      </c>
      <c r="N438" s="2"/>
      <c r="O438" s="4"/>
    </row>
    <row r="439" spans="1:15" ht="12.75" customHeight="1" x14ac:dyDescent="0.2">
      <c r="A439" s="369">
        <v>792697</v>
      </c>
      <c r="B439" t="s">
        <v>509</v>
      </c>
      <c r="C439" s="342">
        <v>125</v>
      </c>
      <c r="D439" s="342">
        <v>209</v>
      </c>
      <c r="E439" s="342">
        <v>334</v>
      </c>
      <c r="F439" s="342">
        <v>7879299</v>
      </c>
      <c r="G439" s="342">
        <v>17003739</v>
      </c>
      <c r="H439" s="342">
        <v>24883039</v>
      </c>
      <c r="I439" s="342">
        <v>92276</v>
      </c>
      <c r="J439" t="s">
        <v>209</v>
      </c>
      <c r="K439" t="s">
        <v>583</v>
      </c>
      <c r="L439" t="s">
        <v>1520</v>
      </c>
      <c r="M439" t="s">
        <v>46</v>
      </c>
      <c r="N439" s="2"/>
      <c r="O439" s="4"/>
    </row>
    <row r="440" spans="1:15" ht="12.75" customHeight="1" x14ac:dyDescent="0.2">
      <c r="A440" s="369">
        <v>780411</v>
      </c>
      <c r="B440" t="s">
        <v>506</v>
      </c>
      <c r="C440" s="342">
        <v>95</v>
      </c>
      <c r="D440" s="342">
        <v>231</v>
      </c>
      <c r="E440" s="342">
        <v>326</v>
      </c>
      <c r="F440" s="342">
        <v>4666493</v>
      </c>
      <c r="G440" s="342">
        <v>14842799</v>
      </c>
      <c r="H440" s="342">
        <v>19509293</v>
      </c>
      <c r="I440" s="342">
        <v>-987191</v>
      </c>
      <c r="J440" t="s">
        <v>275</v>
      </c>
      <c r="K440" t="s">
        <v>583</v>
      </c>
      <c r="L440" t="s">
        <v>494</v>
      </c>
      <c r="M440" t="s">
        <v>46</v>
      </c>
      <c r="N440" s="2"/>
      <c r="O440" s="4"/>
    </row>
    <row r="441" spans="1:15" ht="12.75" customHeight="1" x14ac:dyDescent="0.2">
      <c r="A441" s="369">
        <v>882358</v>
      </c>
      <c r="B441" t="s">
        <v>637</v>
      </c>
      <c r="C441" s="342">
        <v>91</v>
      </c>
      <c r="D441" s="342">
        <v>232</v>
      </c>
      <c r="E441" s="342">
        <v>323</v>
      </c>
      <c r="F441" s="342">
        <v>7044616</v>
      </c>
      <c r="G441" s="342">
        <v>17541877</v>
      </c>
      <c r="H441" s="342">
        <v>24586493</v>
      </c>
      <c r="I441" s="342">
        <v>-1072463</v>
      </c>
      <c r="J441" t="s">
        <v>270</v>
      </c>
      <c r="K441" t="s">
        <v>584</v>
      </c>
      <c r="L441" t="s">
        <v>184</v>
      </c>
      <c r="M441" t="s">
        <v>46</v>
      </c>
      <c r="N441" s="2"/>
      <c r="O441" s="4"/>
    </row>
    <row r="442" spans="1:15" ht="12.75" customHeight="1" x14ac:dyDescent="0.2">
      <c r="A442" s="369">
        <v>389239</v>
      </c>
      <c r="B442" t="s">
        <v>1377</v>
      </c>
      <c r="C442" s="342">
        <v>97</v>
      </c>
      <c r="D442" s="342">
        <v>225</v>
      </c>
      <c r="E442" s="342">
        <v>322</v>
      </c>
      <c r="F442" s="342">
        <v>5911599</v>
      </c>
      <c r="G442" s="342">
        <v>17853489</v>
      </c>
      <c r="H442" s="342">
        <v>23765088</v>
      </c>
      <c r="I442" s="342">
        <v>7139025</v>
      </c>
      <c r="J442" t="s">
        <v>252</v>
      </c>
      <c r="K442" t="s">
        <v>583</v>
      </c>
      <c r="L442" t="s">
        <v>1510</v>
      </c>
      <c r="M442" t="s">
        <v>46</v>
      </c>
      <c r="N442" s="2"/>
      <c r="O442" s="4"/>
    </row>
    <row r="443" spans="1:15" ht="12.75" customHeight="1" x14ac:dyDescent="0.2">
      <c r="A443" s="369">
        <v>968891</v>
      </c>
      <c r="B443" t="s">
        <v>564</v>
      </c>
      <c r="C443" s="342">
        <v>87</v>
      </c>
      <c r="D443" s="342">
        <v>232</v>
      </c>
      <c r="E443" s="342">
        <v>319</v>
      </c>
      <c r="F443" s="342">
        <v>6042158</v>
      </c>
      <c r="G443" s="342">
        <v>16078431</v>
      </c>
      <c r="H443" s="342">
        <v>22120588</v>
      </c>
      <c r="I443" s="342">
        <v>-170536</v>
      </c>
      <c r="J443" t="s">
        <v>254</v>
      </c>
      <c r="K443" t="s">
        <v>583</v>
      </c>
      <c r="L443" t="s">
        <v>1511</v>
      </c>
      <c r="M443" t="s">
        <v>46</v>
      </c>
      <c r="N443" s="2"/>
      <c r="O443" s="4"/>
    </row>
    <row r="444" spans="1:15" ht="12.75" customHeight="1" x14ac:dyDescent="0.2">
      <c r="A444" s="369">
        <v>923383</v>
      </c>
      <c r="B444" t="s">
        <v>554</v>
      </c>
      <c r="C444" s="342">
        <v>140</v>
      </c>
      <c r="D444" s="342">
        <v>167</v>
      </c>
      <c r="E444" s="342">
        <v>307</v>
      </c>
      <c r="F444" s="342">
        <v>7635143</v>
      </c>
      <c r="G444" s="342">
        <v>10135640</v>
      </c>
      <c r="H444" s="342">
        <v>17770783</v>
      </c>
      <c r="I444" s="342">
        <v>178413</v>
      </c>
      <c r="J444" t="s">
        <v>162</v>
      </c>
      <c r="K444" t="s">
        <v>583</v>
      </c>
      <c r="L444" t="s">
        <v>1511</v>
      </c>
      <c r="M444" t="s">
        <v>46</v>
      </c>
      <c r="N444" s="2"/>
      <c r="O444" s="4"/>
    </row>
    <row r="445" spans="1:15" ht="12.75" customHeight="1" x14ac:dyDescent="0.2">
      <c r="A445" s="369">
        <v>910109</v>
      </c>
      <c r="B445" t="s">
        <v>1532</v>
      </c>
      <c r="C445" s="342">
        <v>117</v>
      </c>
      <c r="D445" s="342">
        <v>186</v>
      </c>
      <c r="E445" s="342">
        <v>303</v>
      </c>
      <c r="F445" s="342">
        <v>5314491</v>
      </c>
      <c r="G445" s="342">
        <v>10891744</v>
      </c>
      <c r="H445" s="342">
        <v>16206235</v>
      </c>
      <c r="I445" s="342">
        <v>206323</v>
      </c>
      <c r="J445" t="s">
        <v>214</v>
      </c>
      <c r="K445" t="s">
        <v>583</v>
      </c>
      <c r="L445" t="s">
        <v>1511</v>
      </c>
      <c r="M445" t="s">
        <v>46</v>
      </c>
      <c r="N445" s="2"/>
      <c r="O445" s="4"/>
    </row>
    <row r="446" spans="1:15" ht="12.75" customHeight="1" x14ac:dyDescent="0.2">
      <c r="A446" s="369">
        <v>246868</v>
      </c>
      <c r="B446" t="s">
        <v>264</v>
      </c>
      <c r="C446" s="342">
        <v>117</v>
      </c>
      <c r="D446" s="342">
        <v>184</v>
      </c>
      <c r="E446" s="342">
        <v>301</v>
      </c>
      <c r="F446" s="342">
        <v>4969881</v>
      </c>
      <c r="G446" s="342">
        <v>9765159</v>
      </c>
      <c r="H446" s="342">
        <v>14735040</v>
      </c>
      <c r="I446" s="342">
        <v>-163507</v>
      </c>
      <c r="J446" t="s">
        <v>257</v>
      </c>
      <c r="K446" t="s">
        <v>583</v>
      </c>
      <c r="L446" t="s">
        <v>265</v>
      </c>
      <c r="M446" t="s">
        <v>46</v>
      </c>
      <c r="N446" s="2"/>
      <c r="O446" s="4"/>
    </row>
    <row r="447" spans="1:15" ht="12.75" customHeight="1" x14ac:dyDescent="0.2">
      <c r="A447" s="369">
        <v>202002</v>
      </c>
      <c r="B447" t="s">
        <v>235</v>
      </c>
      <c r="C447" s="342">
        <v>126</v>
      </c>
      <c r="D447" s="342">
        <v>172</v>
      </c>
      <c r="E447" s="342">
        <v>298</v>
      </c>
      <c r="F447" s="342">
        <v>8303686</v>
      </c>
      <c r="G447" s="342">
        <v>11295278</v>
      </c>
      <c r="H447" s="342">
        <v>19598964</v>
      </c>
      <c r="I447" s="342">
        <v>186031</v>
      </c>
      <c r="J447" t="s">
        <v>162</v>
      </c>
      <c r="K447" t="s">
        <v>583</v>
      </c>
      <c r="L447" t="s">
        <v>236</v>
      </c>
      <c r="M447" t="s">
        <v>46</v>
      </c>
      <c r="N447" s="2"/>
      <c r="O447" s="4"/>
    </row>
    <row r="448" spans="1:15" ht="12.75" customHeight="1" x14ac:dyDescent="0.2">
      <c r="A448" s="369">
        <v>850776</v>
      </c>
      <c r="B448" t="s">
        <v>1478</v>
      </c>
      <c r="C448" s="342">
        <v>117</v>
      </c>
      <c r="D448" s="342">
        <v>181</v>
      </c>
      <c r="E448" s="342">
        <v>298</v>
      </c>
      <c r="F448" s="342">
        <v>6422301</v>
      </c>
      <c r="G448" s="342">
        <v>11329291</v>
      </c>
      <c r="H448" s="342">
        <v>17751592</v>
      </c>
      <c r="I448" s="342">
        <v>498235</v>
      </c>
      <c r="J448" t="s">
        <v>204</v>
      </c>
      <c r="K448" t="s">
        <v>583</v>
      </c>
      <c r="L448" t="s">
        <v>1516</v>
      </c>
      <c r="M448" t="s">
        <v>46</v>
      </c>
      <c r="N448" s="2"/>
      <c r="O448" s="4"/>
    </row>
    <row r="449" spans="1:15" ht="12.75" customHeight="1" x14ac:dyDescent="0.2">
      <c r="A449" s="369">
        <v>384511</v>
      </c>
      <c r="B449" t="s">
        <v>339</v>
      </c>
      <c r="C449" s="342">
        <v>119</v>
      </c>
      <c r="D449" s="342">
        <v>171</v>
      </c>
      <c r="E449" s="342">
        <v>290</v>
      </c>
      <c r="F449" s="342">
        <v>6979507</v>
      </c>
      <c r="G449" s="342">
        <v>11575055</v>
      </c>
      <c r="H449" s="342">
        <v>18554562</v>
      </c>
      <c r="I449" s="342">
        <v>3307</v>
      </c>
      <c r="J449" t="s">
        <v>185</v>
      </c>
      <c r="K449" t="s">
        <v>583</v>
      </c>
      <c r="L449" t="s">
        <v>1506</v>
      </c>
      <c r="M449" t="s">
        <v>46</v>
      </c>
      <c r="N449" s="2"/>
      <c r="O449" s="4"/>
    </row>
    <row r="450" spans="1:15" ht="12.75" customHeight="1" x14ac:dyDescent="0.2">
      <c r="A450" s="369">
        <v>538751</v>
      </c>
      <c r="B450" t="s">
        <v>410</v>
      </c>
      <c r="C450" s="342">
        <v>101</v>
      </c>
      <c r="D450" s="342">
        <v>182</v>
      </c>
      <c r="E450" s="342">
        <v>283</v>
      </c>
      <c r="F450" s="342">
        <v>6157772</v>
      </c>
      <c r="G450" s="342">
        <v>11275625</v>
      </c>
      <c r="H450" s="342">
        <v>17433397</v>
      </c>
      <c r="I450" s="342">
        <v>-181758</v>
      </c>
      <c r="J450" t="s">
        <v>175</v>
      </c>
      <c r="K450" t="s">
        <v>583</v>
      </c>
      <c r="L450" t="s">
        <v>269</v>
      </c>
      <c r="M450" t="s">
        <v>46</v>
      </c>
      <c r="N450" s="2"/>
      <c r="O450" s="4"/>
    </row>
    <row r="451" spans="1:15" ht="12.75" customHeight="1" x14ac:dyDescent="0.2">
      <c r="A451" s="369">
        <v>874560</v>
      </c>
      <c r="B451" t="s">
        <v>602</v>
      </c>
      <c r="C451" s="342">
        <v>119</v>
      </c>
      <c r="D451" s="342">
        <v>163</v>
      </c>
      <c r="E451" s="342">
        <v>282</v>
      </c>
      <c r="F451" s="342">
        <v>11544829</v>
      </c>
      <c r="G451" s="342">
        <v>19759382</v>
      </c>
      <c r="H451" s="342">
        <v>31304210</v>
      </c>
      <c r="I451" s="342">
        <v>-16069</v>
      </c>
      <c r="J451" t="s">
        <v>166</v>
      </c>
      <c r="K451" t="s">
        <v>584</v>
      </c>
      <c r="L451" t="s">
        <v>241</v>
      </c>
      <c r="M451" t="s">
        <v>154</v>
      </c>
      <c r="N451" s="2"/>
      <c r="O451" s="4"/>
    </row>
    <row r="452" spans="1:15" ht="12.75" customHeight="1" x14ac:dyDescent="0.2">
      <c r="A452" s="369">
        <v>827691</v>
      </c>
      <c r="B452" t="s">
        <v>1530</v>
      </c>
      <c r="C452" s="342">
        <v>120</v>
      </c>
      <c r="D452" s="342">
        <v>152</v>
      </c>
      <c r="E452" s="342">
        <v>272</v>
      </c>
      <c r="F452" s="342">
        <v>8594537</v>
      </c>
      <c r="G452" s="342">
        <v>12230881</v>
      </c>
      <c r="H452" s="342">
        <v>20825418</v>
      </c>
      <c r="I452" s="342">
        <v>16299472</v>
      </c>
      <c r="J452" t="s">
        <v>254</v>
      </c>
      <c r="K452" t="s">
        <v>583</v>
      </c>
      <c r="L452" t="s">
        <v>1512</v>
      </c>
      <c r="M452" t="s">
        <v>46</v>
      </c>
      <c r="N452" s="2"/>
      <c r="O452" s="4"/>
    </row>
    <row r="453" spans="1:15" ht="12.75" customHeight="1" x14ac:dyDescent="0.2">
      <c r="A453" s="369">
        <v>229625</v>
      </c>
      <c r="B453" t="s">
        <v>249</v>
      </c>
      <c r="C453" s="342">
        <v>107</v>
      </c>
      <c r="D453" s="342">
        <v>139</v>
      </c>
      <c r="E453" s="342">
        <v>246</v>
      </c>
      <c r="F453" s="342">
        <v>5736553</v>
      </c>
      <c r="G453" s="342">
        <v>9479370</v>
      </c>
      <c r="H453" s="342">
        <v>15215923</v>
      </c>
      <c r="I453" s="342">
        <v>-528668</v>
      </c>
      <c r="J453" t="s">
        <v>224</v>
      </c>
      <c r="K453" t="s">
        <v>584</v>
      </c>
      <c r="L453" t="s">
        <v>250</v>
      </c>
      <c r="M453" t="s">
        <v>46</v>
      </c>
      <c r="N453" s="2"/>
      <c r="O453" s="4"/>
    </row>
    <row r="454" spans="1:15" ht="12.75" customHeight="1" x14ac:dyDescent="0.2">
      <c r="A454" s="369">
        <v>848770</v>
      </c>
      <c r="B454" t="s">
        <v>1342</v>
      </c>
      <c r="C454" s="342">
        <v>104</v>
      </c>
      <c r="D454" s="342">
        <v>137</v>
      </c>
      <c r="E454" s="342">
        <v>241</v>
      </c>
      <c r="F454" s="342">
        <v>3272353</v>
      </c>
      <c r="G454" s="342">
        <v>5586737</v>
      </c>
      <c r="H454" s="342">
        <v>8859089</v>
      </c>
      <c r="I454" s="342">
        <v>115760</v>
      </c>
      <c r="J454" t="s">
        <v>185</v>
      </c>
      <c r="K454" t="s">
        <v>583</v>
      </c>
      <c r="L454" t="s">
        <v>1331</v>
      </c>
      <c r="M454" t="s">
        <v>46</v>
      </c>
      <c r="N454" s="2"/>
      <c r="O454" s="4"/>
    </row>
    <row r="455" spans="1:15" ht="12.75" customHeight="1" x14ac:dyDescent="0.2">
      <c r="A455" s="369">
        <v>357658</v>
      </c>
      <c r="B455" t="s">
        <v>1358</v>
      </c>
      <c r="C455" s="342">
        <v>96</v>
      </c>
      <c r="D455" s="342">
        <v>144</v>
      </c>
      <c r="E455" s="342">
        <v>240</v>
      </c>
      <c r="F455" s="342">
        <v>4803892</v>
      </c>
      <c r="G455" s="342">
        <v>9820048</v>
      </c>
      <c r="H455" s="342">
        <v>14623940</v>
      </c>
      <c r="I455" s="342">
        <v>-287116</v>
      </c>
      <c r="J455" t="s">
        <v>209</v>
      </c>
      <c r="K455" t="s">
        <v>583</v>
      </c>
      <c r="L455" t="s">
        <v>198</v>
      </c>
      <c r="M455" t="s">
        <v>154</v>
      </c>
      <c r="N455" s="2"/>
      <c r="O455" s="4"/>
    </row>
    <row r="456" spans="1:15" ht="12.75" customHeight="1" x14ac:dyDescent="0.2">
      <c r="A456" s="369">
        <v>404236</v>
      </c>
      <c r="B456" t="s">
        <v>351</v>
      </c>
      <c r="C456" s="342">
        <v>106</v>
      </c>
      <c r="D456" s="342">
        <v>133</v>
      </c>
      <c r="E456" s="342">
        <v>239</v>
      </c>
      <c r="F456" s="342">
        <v>4075714</v>
      </c>
      <c r="G456" s="342">
        <v>6434320</v>
      </c>
      <c r="H456" s="342">
        <v>10510035</v>
      </c>
      <c r="I456" s="342">
        <v>95190</v>
      </c>
      <c r="J456" t="s">
        <v>172</v>
      </c>
      <c r="K456" t="s">
        <v>583</v>
      </c>
      <c r="L456" t="s">
        <v>1511</v>
      </c>
      <c r="M456" t="s">
        <v>46</v>
      </c>
      <c r="N456" s="2"/>
      <c r="O456" s="4"/>
    </row>
    <row r="457" spans="1:15" ht="12.75" customHeight="1" x14ac:dyDescent="0.2">
      <c r="A457" s="369">
        <v>532558</v>
      </c>
      <c r="B457" t="s">
        <v>1384</v>
      </c>
      <c r="C457" s="342">
        <v>43</v>
      </c>
      <c r="D457" s="342">
        <v>195</v>
      </c>
      <c r="E457" s="342">
        <v>238</v>
      </c>
      <c r="F457" s="342">
        <v>3069076</v>
      </c>
      <c r="G457" s="342">
        <v>17935873</v>
      </c>
      <c r="H457" s="342">
        <v>21004949</v>
      </c>
      <c r="I457" s="342">
        <v>1180089</v>
      </c>
      <c r="J457" t="s">
        <v>163</v>
      </c>
      <c r="K457" t="s">
        <v>583</v>
      </c>
      <c r="L457" t="s">
        <v>1510</v>
      </c>
      <c r="M457" t="s">
        <v>46</v>
      </c>
      <c r="N457" s="2"/>
      <c r="O457" s="4"/>
    </row>
    <row r="458" spans="1:15" ht="12.75" customHeight="1" x14ac:dyDescent="0.2">
      <c r="A458" s="369">
        <v>899773</v>
      </c>
      <c r="B458" t="s">
        <v>1344</v>
      </c>
      <c r="C458" s="342">
        <v>109</v>
      </c>
      <c r="D458" s="342">
        <v>112</v>
      </c>
      <c r="E458" s="342">
        <v>221</v>
      </c>
      <c r="F458" s="342">
        <v>4029568</v>
      </c>
      <c r="G458" s="342">
        <v>5544320</v>
      </c>
      <c r="H458" s="342">
        <v>9573888</v>
      </c>
      <c r="I458" s="342">
        <v>64391</v>
      </c>
      <c r="J458" t="s">
        <v>185</v>
      </c>
      <c r="K458" t="s">
        <v>583</v>
      </c>
      <c r="L458" t="s">
        <v>1331</v>
      </c>
      <c r="M458" t="s">
        <v>46</v>
      </c>
      <c r="N458" s="2"/>
      <c r="O458" s="4"/>
    </row>
    <row r="459" spans="1:15" ht="12.75" customHeight="1" x14ac:dyDescent="0.2">
      <c r="A459" s="369">
        <v>753731</v>
      </c>
      <c r="B459" t="s">
        <v>498</v>
      </c>
      <c r="C459" s="342">
        <v>52</v>
      </c>
      <c r="D459" s="342">
        <v>147</v>
      </c>
      <c r="E459" s="342">
        <v>199</v>
      </c>
      <c r="F459" s="342">
        <v>3689920</v>
      </c>
      <c r="G459" s="342">
        <v>9793578</v>
      </c>
      <c r="H459" s="342">
        <v>13483497</v>
      </c>
      <c r="I459" s="342">
        <v>-501614</v>
      </c>
      <c r="J459" t="s">
        <v>257</v>
      </c>
      <c r="K459" t="s">
        <v>583</v>
      </c>
      <c r="L459" t="s">
        <v>269</v>
      </c>
      <c r="M459" t="s">
        <v>46</v>
      </c>
      <c r="N459" s="2"/>
      <c r="O459" s="4"/>
    </row>
    <row r="460" spans="1:15" ht="12.75" customHeight="1" x14ac:dyDescent="0.2">
      <c r="A460" s="369">
        <v>696898</v>
      </c>
      <c r="B460" t="s">
        <v>1473</v>
      </c>
      <c r="C460" s="342">
        <v>89</v>
      </c>
      <c r="D460" s="342">
        <v>110</v>
      </c>
      <c r="E460" s="342">
        <v>199</v>
      </c>
      <c r="F460" s="342">
        <v>4152048</v>
      </c>
      <c r="G460" s="342">
        <v>5875302</v>
      </c>
      <c r="H460" s="342">
        <v>10027350</v>
      </c>
      <c r="I460" s="342">
        <v>108955</v>
      </c>
      <c r="J460" t="s">
        <v>185</v>
      </c>
      <c r="K460" t="s">
        <v>583</v>
      </c>
      <c r="L460" t="s">
        <v>1509</v>
      </c>
      <c r="M460" t="s">
        <v>46</v>
      </c>
      <c r="N460" s="2"/>
      <c r="O460" s="4"/>
    </row>
    <row r="461" spans="1:15" ht="12.75" customHeight="1" x14ac:dyDescent="0.2">
      <c r="A461" s="369">
        <v>980284</v>
      </c>
      <c r="B461" t="s">
        <v>605</v>
      </c>
      <c r="C461" s="342">
        <v>70</v>
      </c>
      <c r="D461" s="342">
        <v>122</v>
      </c>
      <c r="E461" s="342">
        <v>192</v>
      </c>
      <c r="F461" s="342">
        <v>2947954</v>
      </c>
      <c r="G461" s="342">
        <v>7278013</v>
      </c>
      <c r="H461" s="342">
        <v>10225968</v>
      </c>
      <c r="I461" s="342">
        <v>-221661</v>
      </c>
      <c r="J461" t="s">
        <v>169</v>
      </c>
      <c r="K461" t="s">
        <v>584</v>
      </c>
      <c r="L461" t="s">
        <v>171</v>
      </c>
      <c r="M461" t="s">
        <v>46</v>
      </c>
      <c r="N461" s="2"/>
      <c r="O461" s="4"/>
    </row>
    <row r="462" spans="1:15" ht="12.75" customHeight="1" x14ac:dyDescent="0.2">
      <c r="A462" s="369">
        <v>419101</v>
      </c>
      <c r="B462" t="s">
        <v>357</v>
      </c>
      <c r="C462" s="342">
        <v>73</v>
      </c>
      <c r="D462" s="342">
        <v>118</v>
      </c>
      <c r="E462" s="342">
        <v>191</v>
      </c>
      <c r="F462" s="342">
        <v>2533059</v>
      </c>
      <c r="G462" s="342">
        <v>4781294</v>
      </c>
      <c r="H462" s="342">
        <v>7314353</v>
      </c>
      <c r="I462" s="342">
        <v>52143</v>
      </c>
      <c r="J462" t="s">
        <v>172</v>
      </c>
      <c r="K462" t="s">
        <v>583</v>
      </c>
      <c r="L462" t="s">
        <v>320</v>
      </c>
      <c r="M462" t="s">
        <v>46</v>
      </c>
      <c r="N462" s="2"/>
      <c r="O462" s="4"/>
    </row>
    <row r="463" spans="1:15" s="130" customFormat="1" ht="12.75" customHeight="1" x14ac:dyDescent="0.2">
      <c r="A463" s="369">
        <v>367698</v>
      </c>
      <c r="B463" t="s">
        <v>1376</v>
      </c>
      <c r="C463" s="342">
        <v>80</v>
      </c>
      <c r="D463" s="342">
        <v>108</v>
      </c>
      <c r="E463" s="342">
        <v>188</v>
      </c>
      <c r="F463" s="342">
        <v>4162774</v>
      </c>
      <c r="G463" s="342">
        <v>7314790</v>
      </c>
      <c r="H463" s="342">
        <v>11477564</v>
      </c>
      <c r="I463" s="342">
        <v>176454</v>
      </c>
      <c r="J463" t="s">
        <v>185</v>
      </c>
      <c r="K463" t="s">
        <v>583</v>
      </c>
      <c r="L463" t="s">
        <v>1513</v>
      </c>
      <c r="M463" t="s">
        <v>46</v>
      </c>
      <c r="N463" s="20"/>
    </row>
    <row r="464" spans="1:15" ht="12.75" customHeight="1" x14ac:dyDescent="0.2">
      <c r="A464" s="369">
        <v>666370</v>
      </c>
      <c r="B464" t="s">
        <v>1341</v>
      </c>
      <c r="C464" s="342">
        <v>56</v>
      </c>
      <c r="D464" s="342">
        <v>129</v>
      </c>
      <c r="E464" s="342">
        <v>185</v>
      </c>
      <c r="F464" s="342">
        <v>4446254</v>
      </c>
      <c r="G464" s="342">
        <v>9153772</v>
      </c>
      <c r="H464" s="342">
        <v>13600027</v>
      </c>
      <c r="I464" s="342">
        <v>-101666</v>
      </c>
      <c r="J464" t="s">
        <v>257</v>
      </c>
      <c r="K464" t="s">
        <v>583</v>
      </c>
      <c r="L464" t="s">
        <v>1331</v>
      </c>
      <c r="M464" t="s">
        <v>46</v>
      </c>
      <c r="N464" s="2"/>
      <c r="O464" s="4"/>
    </row>
    <row r="465" spans="1:15" ht="12.75" customHeight="1" x14ac:dyDescent="0.2">
      <c r="A465" s="369">
        <v>861104</v>
      </c>
      <c r="B465" t="s">
        <v>533</v>
      </c>
      <c r="C465" s="342">
        <v>69</v>
      </c>
      <c r="D465" s="342">
        <v>112</v>
      </c>
      <c r="E465" s="342">
        <v>181</v>
      </c>
      <c r="F465" s="342">
        <v>4310594</v>
      </c>
      <c r="G465" s="342">
        <v>9926405</v>
      </c>
      <c r="H465" s="342">
        <v>14236999</v>
      </c>
      <c r="I465" s="342">
        <v>-319585</v>
      </c>
      <c r="J465" t="s">
        <v>177</v>
      </c>
      <c r="K465" t="s">
        <v>580</v>
      </c>
      <c r="L465" t="s">
        <v>383</v>
      </c>
      <c r="M465" t="s">
        <v>154</v>
      </c>
      <c r="N465" s="2"/>
      <c r="O465" s="4"/>
    </row>
    <row r="466" spans="1:15" ht="12.75" customHeight="1" x14ac:dyDescent="0.2">
      <c r="A466" s="369">
        <v>555466</v>
      </c>
      <c r="B466" t="s">
        <v>420</v>
      </c>
      <c r="C466" s="342">
        <v>88</v>
      </c>
      <c r="D466" s="342">
        <v>91</v>
      </c>
      <c r="E466" s="342">
        <v>179</v>
      </c>
      <c r="F466" s="342">
        <v>5383590</v>
      </c>
      <c r="G466" s="342">
        <v>6095122</v>
      </c>
      <c r="H466" s="342">
        <v>11478712</v>
      </c>
      <c r="I466" s="342">
        <v>-48197</v>
      </c>
      <c r="J466" t="s">
        <v>162</v>
      </c>
      <c r="K466" t="s">
        <v>583</v>
      </c>
      <c r="L466" t="s">
        <v>265</v>
      </c>
      <c r="M466" t="s">
        <v>46</v>
      </c>
      <c r="N466" s="2"/>
      <c r="O466" s="4"/>
    </row>
    <row r="467" spans="1:15" ht="12.75" customHeight="1" x14ac:dyDescent="0.2">
      <c r="A467" s="369">
        <v>386870</v>
      </c>
      <c r="B467" t="s">
        <v>342</v>
      </c>
      <c r="C467" s="342">
        <v>64</v>
      </c>
      <c r="D467" s="342">
        <v>111</v>
      </c>
      <c r="E467" s="342">
        <v>175</v>
      </c>
      <c r="F467" s="342">
        <v>8488721</v>
      </c>
      <c r="G467" s="342">
        <v>17671759</v>
      </c>
      <c r="H467" s="342">
        <v>26160479</v>
      </c>
      <c r="I467" s="342">
        <v>126358</v>
      </c>
      <c r="J467" t="s">
        <v>166</v>
      </c>
      <c r="K467" t="s">
        <v>584</v>
      </c>
      <c r="L467" t="s">
        <v>1519</v>
      </c>
      <c r="M467" t="s">
        <v>46</v>
      </c>
      <c r="N467" s="2"/>
      <c r="O467" s="4"/>
    </row>
    <row r="468" spans="1:15" ht="12.75" customHeight="1" x14ac:dyDescent="0.2">
      <c r="A468" s="369">
        <v>606103</v>
      </c>
      <c r="B468" t="s">
        <v>438</v>
      </c>
      <c r="C468" s="342">
        <v>103</v>
      </c>
      <c r="D468" s="342">
        <v>68</v>
      </c>
      <c r="E468" s="342">
        <v>171</v>
      </c>
      <c r="F468" s="342">
        <v>4613351</v>
      </c>
      <c r="G468" s="342">
        <v>5633280</v>
      </c>
      <c r="H468" s="342">
        <v>10246631</v>
      </c>
      <c r="I468" s="342">
        <v>452817</v>
      </c>
      <c r="J468" t="s">
        <v>270</v>
      </c>
      <c r="K468" t="s">
        <v>584</v>
      </c>
      <c r="L468" t="s">
        <v>1508</v>
      </c>
      <c r="M468" t="s">
        <v>46</v>
      </c>
      <c r="N468" s="2"/>
      <c r="O468" s="4"/>
    </row>
    <row r="469" spans="1:15" ht="12.75" customHeight="1" x14ac:dyDescent="0.2">
      <c r="A469" s="369">
        <v>810465</v>
      </c>
      <c r="B469" t="s">
        <v>1529</v>
      </c>
      <c r="C469" s="342">
        <v>70</v>
      </c>
      <c r="D469" s="342">
        <v>91</v>
      </c>
      <c r="E469" s="342">
        <v>161</v>
      </c>
      <c r="F469" s="342">
        <v>3438940</v>
      </c>
      <c r="G469" s="342">
        <v>3747860</v>
      </c>
      <c r="H469" s="342">
        <v>7186800</v>
      </c>
      <c r="I469" s="342">
        <v>-153481</v>
      </c>
      <c r="J469" t="s">
        <v>185</v>
      </c>
      <c r="K469" t="s">
        <v>583</v>
      </c>
      <c r="L469" t="s">
        <v>1511</v>
      </c>
      <c r="M469" t="s">
        <v>46</v>
      </c>
      <c r="N469" s="2"/>
      <c r="O469" s="4"/>
    </row>
    <row r="470" spans="1:15" ht="12.75" customHeight="1" x14ac:dyDescent="0.2">
      <c r="A470" s="369">
        <v>365981</v>
      </c>
      <c r="B470" t="s">
        <v>331</v>
      </c>
      <c r="C470" s="342">
        <v>66</v>
      </c>
      <c r="D470" s="342">
        <v>95</v>
      </c>
      <c r="E470" s="342">
        <v>161</v>
      </c>
      <c r="F470" s="342">
        <v>2686255</v>
      </c>
      <c r="G470" s="342">
        <v>4283145</v>
      </c>
      <c r="H470" s="342">
        <v>6969400</v>
      </c>
      <c r="I470" s="342">
        <v>73802</v>
      </c>
      <c r="J470" t="s">
        <v>214</v>
      </c>
      <c r="K470" t="s">
        <v>583</v>
      </c>
      <c r="L470" t="s">
        <v>206</v>
      </c>
      <c r="M470" t="s">
        <v>46</v>
      </c>
      <c r="N470" s="2"/>
      <c r="O470" s="4"/>
    </row>
    <row r="471" spans="1:15" ht="12.75" customHeight="1" x14ac:dyDescent="0.2">
      <c r="A471" s="369">
        <v>865063</v>
      </c>
      <c r="B471" t="s">
        <v>1389</v>
      </c>
      <c r="C471" s="342">
        <v>58</v>
      </c>
      <c r="D471" s="342">
        <v>100</v>
      </c>
      <c r="E471" s="342">
        <v>158</v>
      </c>
      <c r="F471" s="342">
        <v>5503738</v>
      </c>
      <c r="G471" s="342">
        <v>7704753</v>
      </c>
      <c r="H471" s="342">
        <v>13208491</v>
      </c>
      <c r="I471" s="342">
        <v>-346561</v>
      </c>
      <c r="J471" t="s">
        <v>185</v>
      </c>
      <c r="K471" t="s">
        <v>583</v>
      </c>
      <c r="L471" t="s">
        <v>1513</v>
      </c>
      <c r="M471" t="s">
        <v>46</v>
      </c>
      <c r="N471" s="2"/>
      <c r="O471" s="4"/>
    </row>
    <row r="472" spans="1:15" ht="12.75" customHeight="1" x14ac:dyDescent="0.2">
      <c r="A472" s="369">
        <v>647669</v>
      </c>
      <c r="B472" t="s">
        <v>1340</v>
      </c>
      <c r="C472" s="342">
        <v>76</v>
      </c>
      <c r="D472" s="342">
        <v>78</v>
      </c>
      <c r="E472" s="342">
        <v>154</v>
      </c>
      <c r="F472" s="342">
        <v>3721779</v>
      </c>
      <c r="G472" s="342">
        <v>5468823</v>
      </c>
      <c r="H472" s="342">
        <v>9190602</v>
      </c>
      <c r="I472" s="342">
        <v>1764577</v>
      </c>
      <c r="J472" t="s">
        <v>177</v>
      </c>
      <c r="K472" t="s">
        <v>580</v>
      </c>
      <c r="L472" t="s">
        <v>1507</v>
      </c>
      <c r="M472" t="s">
        <v>46</v>
      </c>
      <c r="N472" s="2"/>
      <c r="O472" s="4"/>
    </row>
    <row r="473" spans="1:15" ht="12.75" customHeight="1" x14ac:dyDescent="0.2">
      <c r="A473" s="369">
        <v>660829</v>
      </c>
      <c r="B473" t="s">
        <v>462</v>
      </c>
      <c r="C473" s="342">
        <v>62</v>
      </c>
      <c r="D473" s="342">
        <v>88</v>
      </c>
      <c r="E473" s="342">
        <v>150</v>
      </c>
      <c r="F473" s="342">
        <v>5494806</v>
      </c>
      <c r="G473" s="342">
        <v>10126033</v>
      </c>
      <c r="H473" s="342">
        <v>15620839</v>
      </c>
      <c r="I473" s="342">
        <v>1385504</v>
      </c>
      <c r="J473" t="s">
        <v>194</v>
      </c>
      <c r="K473" t="s">
        <v>584</v>
      </c>
      <c r="L473" t="s">
        <v>1505</v>
      </c>
      <c r="M473" t="s">
        <v>154</v>
      </c>
      <c r="N473" s="2"/>
      <c r="O473" s="4"/>
    </row>
    <row r="474" spans="1:15" ht="12.75" customHeight="1" x14ac:dyDescent="0.2">
      <c r="A474" s="369">
        <v>674101</v>
      </c>
      <c r="B474" t="s">
        <v>599</v>
      </c>
      <c r="C474" s="342">
        <v>53</v>
      </c>
      <c r="D474" s="342">
        <v>92</v>
      </c>
      <c r="E474" s="342">
        <v>145</v>
      </c>
      <c r="F474" s="342">
        <v>3198709</v>
      </c>
      <c r="G474" s="342">
        <v>5783466</v>
      </c>
      <c r="H474" s="342">
        <v>8982175</v>
      </c>
      <c r="I474" s="342">
        <v>-2366992</v>
      </c>
      <c r="J474" t="s">
        <v>254</v>
      </c>
      <c r="K474" t="s">
        <v>583</v>
      </c>
      <c r="L474" t="s">
        <v>171</v>
      </c>
      <c r="M474" t="s">
        <v>46</v>
      </c>
      <c r="N474" s="2"/>
      <c r="O474" s="4"/>
    </row>
    <row r="475" spans="1:15" ht="12.75" customHeight="1" x14ac:dyDescent="0.2">
      <c r="A475" s="369">
        <v>282632</v>
      </c>
      <c r="B475" t="s">
        <v>590</v>
      </c>
      <c r="C475" s="342">
        <v>44</v>
      </c>
      <c r="D475" s="342">
        <v>91</v>
      </c>
      <c r="E475" s="342">
        <v>135</v>
      </c>
      <c r="F475" s="342">
        <v>3777308</v>
      </c>
      <c r="G475" s="342">
        <v>7463310</v>
      </c>
      <c r="H475" s="342">
        <v>11240618</v>
      </c>
      <c r="I475" s="342">
        <v>-172920</v>
      </c>
      <c r="J475" t="s">
        <v>162</v>
      </c>
      <c r="K475" t="s">
        <v>583</v>
      </c>
      <c r="L475" t="s">
        <v>171</v>
      </c>
      <c r="M475" t="s">
        <v>46</v>
      </c>
      <c r="N475" s="2"/>
      <c r="O475" s="4"/>
    </row>
    <row r="476" spans="1:15" ht="12.75" customHeight="1" x14ac:dyDescent="0.2">
      <c r="A476" s="369">
        <v>352872</v>
      </c>
      <c r="B476" t="s">
        <v>324</v>
      </c>
      <c r="C476" s="342">
        <v>39</v>
      </c>
      <c r="D476" s="342">
        <v>92</v>
      </c>
      <c r="E476" s="342">
        <v>131</v>
      </c>
      <c r="F476" s="342">
        <v>2365890</v>
      </c>
      <c r="G476" s="342">
        <v>8324340</v>
      </c>
      <c r="H476" s="342">
        <v>10690231</v>
      </c>
      <c r="I476" s="342">
        <v>233930</v>
      </c>
      <c r="J476" t="s">
        <v>204</v>
      </c>
      <c r="K476" t="s">
        <v>583</v>
      </c>
      <c r="L476" t="s">
        <v>206</v>
      </c>
      <c r="M476" t="s">
        <v>46</v>
      </c>
      <c r="N476" s="2"/>
      <c r="O476" s="4"/>
    </row>
    <row r="477" spans="1:15" ht="12.75" customHeight="1" x14ac:dyDescent="0.2">
      <c r="A477" s="369">
        <v>111096</v>
      </c>
      <c r="B477" t="s">
        <v>1369</v>
      </c>
      <c r="C477" s="342">
        <v>37</v>
      </c>
      <c r="D477" s="342">
        <v>91</v>
      </c>
      <c r="E477" s="342">
        <v>128</v>
      </c>
      <c r="F477" s="342">
        <v>1527277</v>
      </c>
      <c r="G477" s="342">
        <v>5141091</v>
      </c>
      <c r="H477" s="342">
        <v>6668368</v>
      </c>
      <c r="I477" s="342">
        <v>938169</v>
      </c>
      <c r="J477" t="s">
        <v>204</v>
      </c>
      <c r="K477" t="s">
        <v>583</v>
      </c>
      <c r="L477" t="s">
        <v>196</v>
      </c>
      <c r="M477" t="s">
        <v>154</v>
      </c>
      <c r="N477" s="2"/>
      <c r="O477" s="4"/>
    </row>
    <row r="478" spans="1:15" ht="12.75" customHeight="1" x14ac:dyDescent="0.2">
      <c r="A478" s="369">
        <v>938845</v>
      </c>
      <c r="B478" t="s">
        <v>557</v>
      </c>
      <c r="C478" s="342">
        <v>30</v>
      </c>
      <c r="D478" s="342">
        <v>94</v>
      </c>
      <c r="E478" s="342">
        <v>124</v>
      </c>
      <c r="F478" s="342">
        <v>1573377</v>
      </c>
      <c r="G478" s="342">
        <v>6785426</v>
      </c>
      <c r="H478" s="342">
        <v>8358802</v>
      </c>
      <c r="I478" s="342">
        <v>-81614</v>
      </c>
      <c r="J478" t="s">
        <v>263</v>
      </c>
      <c r="K478" t="s">
        <v>583</v>
      </c>
      <c r="L478" t="s">
        <v>1508</v>
      </c>
      <c r="M478" t="s">
        <v>46</v>
      </c>
      <c r="N478" s="2"/>
      <c r="O478" s="4"/>
    </row>
    <row r="479" spans="1:15" ht="12.75" customHeight="1" x14ac:dyDescent="0.2">
      <c r="A479" s="369">
        <v>717900</v>
      </c>
      <c r="B479" t="s">
        <v>483</v>
      </c>
      <c r="C479" s="342">
        <v>49</v>
      </c>
      <c r="D479" s="342">
        <v>66</v>
      </c>
      <c r="E479" s="342">
        <v>115</v>
      </c>
      <c r="F479" s="342">
        <v>2539055</v>
      </c>
      <c r="G479" s="342">
        <v>5086011</v>
      </c>
      <c r="H479" s="342">
        <v>7625067</v>
      </c>
      <c r="I479" s="342">
        <v>-483616</v>
      </c>
      <c r="J479" t="s">
        <v>199</v>
      </c>
      <c r="K479" t="s">
        <v>584</v>
      </c>
      <c r="L479" t="s">
        <v>269</v>
      </c>
      <c r="M479" t="s">
        <v>46</v>
      </c>
      <c r="N479" s="2"/>
      <c r="O479" s="4"/>
    </row>
    <row r="480" spans="1:15" ht="12.75" customHeight="1" x14ac:dyDescent="0.2">
      <c r="A480" s="369">
        <v>151001</v>
      </c>
      <c r="B480" t="s">
        <v>205</v>
      </c>
      <c r="C480" s="342">
        <v>48</v>
      </c>
      <c r="D480" s="342">
        <v>64</v>
      </c>
      <c r="E480" s="342">
        <v>112</v>
      </c>
      <c r="F480" s="342">
        <v>1320734</v>
      </c>
      <c r="G480" s="342">
        <v>2737149</v>
      </c>
      <c r="H480" s="342">
        <v>4057883</v>
      </c>
      <c r="I480" s="342">
        <v>5548</v>
      </c>
      <c r="J480" t="s">
        <v>185</v>
      </c>
      <c r="K480" t="s">
        <v>583</v>
      </c>
      <c r="L480" t="s">
        <v>206</v>
      </c>
      <c r="M480" t="s">
        <v>46</v>
      </c>
      <c r="N480" s="2"/>
      <c r="O480" s="4"/>
    </row>
    <row r="481" spans="1:15" ht="12.75" customHeight="1" x14ac:dyDescent="0.2">
      <c r="A481" s="369">
        <v>981340</v>
      </c>
      <c r="B481" t="s">
        <v>569</v>
      </c>
      <c r="C481" s="342">
        <v>29</v>
      </c>
      <c r="D481" s="342">
        <v>80</v>
      </c>
      <c r="E481" s="342">
        <v>109</v>
      </c>
      <c r="F481" s="342">
        <v>1638644</v>
      </c>
      <c r="G481" s="342">
        <v>3711547</v>
      </c>
      <c r="H481" s="342">
        <v>5350191</v>
      </c>
      <c r="I481" s="342">
        <v>340461</v>
      </c>
      <c r="J481" t="s">
        <v>185</v>
      </c>
      <c r="K481" t="s">
        <v>583</v>
      </c>
      <c r="L481" t="s">
        <v>179</v>
      </c>
      <c r="M481" t="s">
        <v>46</v>
      </c>
      <c r="N481" s="2"/>
      <c r="O481" s="4"/>
    </row>
    <row r="482" spans="1:15" ht="12.75" customHeight="1" x14ac:dyDescent="0.2">
      <c r="A482" s="369">
        <v>360495</v>
      </c>
      <c r="B482" t="s">
        <v>594</v>
      </c>
      <c r="C482" s="342">
        <v>45</v>
      </c>
      <c r="D482" s="342">
        <v>63</v>
      </c>
      <c r="E482" s="342">
        <v>108</v>
      </c>
      <c r="F482" s="342">
        <v>3116468</v>
      </c>
      <c r="G482" s="342">
        <v>4121056</v>
      </c>
      <c r="H482" s="342">
        <v>7237524</v>
      </c>
      <c r="I482" s="342">
        <v>79676</v>
      </c>
      <c r="J482" t="s">
        <v>204</v>
      </c>
      <c r="K482" t="s">
        <v>583</v>
      </c>
      <c r="L482" t="s">
        <v>313</v>
      </c>
      <c r="M482" t="s">
        <v>46</v>
      </c>
      <c r="N482" s="2"/>
      <c r="O482" s="4"/>
    </row>
    <row r="483" spans="1:15" ht="12.75" customHeight="1" x14ac:dyDescent="0.2">
      <c r="A483" s="369">
        <v>664482</v>
      </c>
      <c r="B483" t="s">
        <v>463</v>
      </c>
      <c r="C483" s="342">
        <v>38</v>
      </c>
      <c r="D483" s="342">
        <v>64</v>
      </c>
      <c r="E483" s="342">
        <v>102</v>
      </c>
      <c r="F483" s="342">
        <v>1912216</v>
      </c>
      <c r="G483" s="342">
        <v>4839551</v>
      </c>
      <c r="H483" s="342">
        <v>6751767</v>
      </c>
      <c r="I483" s="342">
        <v>-199862</v>
      </c>
      <c r="J483" t="s">
        <v>199</v>
      </c>
      <c r="K483" t="s">
        <v>584</v>
      </c>
      <c r="L483" t="s">
        <v>250</v>
      </c>
      <c r="M483" t="s">
        <v>46</v>
      </c>
      <c r="N483" s="2"/>
      <c r="O483" s="4"/>
    </row>
    <row r="484" spans="1:15" ht="12.75" customHeight="1" x14ac:dyDescent="0.2">
      <c r="A484" s="369">
        <v>339473</v>
      </c>
      <c r="B484" t="s">
        <v>614</v>
      </c>
      <c r="C484" s="342">
        <v>26</v>
      </c>
      <c r="D484" s="342">
        <v>71</v>
      </c>
      <c r="E484" s="342">
        <v>97</v>
      </c>
      <c r="F484" s="342">
        <v>1706760</v>
      </c>
      <c r="G484" s="342">
        <v>4862574</v>
      </c>
      <c r="H484" s="342">
        <v>6569334</v>
      </c>
      <c r="I484" s="342">
        <v>255211</v>
      </c>
      <c r="J484" t="s">
        <v>197</v>
      </c>
      <c r="K484" t="s">
        <v>583</v>
      </c>
      <c r="L484" t="s">
        <v>225</v>
      </c>
      <c r="M484" t="s">
        <v>46</v>
      </c>
      <c r="N484" s="2"/>
      <c r="O484" s="4"/>
    </row>
    <row r="485" spans="1:15" ht="12.75" customHeight="1" x14ac:dyDescent="0.2">
      <c r="A485" s="369">
        <v>429316</v>
      </c>
      <c r="B485" t="s">
        <v>1363</v>
      </c>
      <c r="C485" s="342">
        <v>40</v>
      </c>
      <c r="D485" s="342">
        <v>52</v>
      </c>
      <c r="E485" s="342">
        <v>92</v>
      </c>
      <c r="F485" s="342">
        <v>1560832</v>
      </c>
      <c r="G485" s="342">
        <v>1730998</v>
      </c>
      <c r="H485" s="342">
        <v>3291830</v>
      </c>
      <c r="I485" s="342">
        <v>117036</v>
      </c>
      <c r="J485" t="s">
        <v>172</v>
      </c>
      <c r="K485" t="s">
        <v>583</v>
      </c>
      <c r="L485" t="s">
        <v>198</v>
      </c>
      <c r="M485" t="s">
        <v>154</v>
      </c>
      <c r="N485" s="2"/>
      <c r="O485" s="4"/>
    </row>
    <row r="486" spans="1:15" ht="12.75" customHeight="1" x14ac:dyDescent="0.2">
      <c r="A486" s="369">
        <v>536806</v>
      </c>
      <c r="B486" t="s">
        <v>1466</v>
      </c>
      <c r="C486" s="342">
        <v>22</v>
      </c>
      <c r="D486" s="342">
        <v>66</v>
      </c>
      <c r="E486" s="342">
        <v>88</v>
      </c>
      <c r="F486" s="342">
        <v>653733</v>
      </c>
      <c r="G486" s="342">
        <v>4116222</v>
      </c>
      <c r="H486" s="342">
        <v>4769955</v>
      </c>
      <c r="I486" s="342">
        <v>1009527</v>
      </c>
      <c r="J486" t="s">
        <v>163</v>
      </c>
      <c r="K486" t="s">
        <v>583</v>
      </c>
      <c r="L486" t="s">
        <v>1509</v>
      </c>
      <c r="M486" t="s">
        <v>46</v>
      </c>
      <c r="N486" s="2"/>
      <c r="O486" s="4"/>
    </row>
    <row r="487" spans="1:15" ht="12.75" customHeight="1" x14ac:dyDescent="0.2">
      <c r="A487" s="369">
        <v>238832</v>
      </c>
      <c r="B487" t="s">
        <v>627</v>
      </c>
      <c r="C487" s="342">
        <v>30</v>
      </c>
      <c r="D487" s="342">
        <v>57</v>
      </c>
      <c r="E487" s="342">
        <v>87</v>
      </c>
      <c r="F487" s="342">
        <v>1171714</v>
      </c>
      <c r="G487" s="342">
        <v>4552160</v>
      </c>
      <c r="H487" s="342">
        <v>5723874</v>
      </c>
      <c r="I487" s="342">
        <v>68672</v>
      </c>
      <c r="J487" t="s">
        <v>185</v>
      </c>
      <c r="K487" t="s">
        <v>583</v>
      </c>
      <c r="L487" t="s">
        <v>188</v>
      </c>
      <c r="M487" t="s">
        <v>46</v>
      </c>
      <c r="N487" s="2"/>
      <c r="O487" s="4"/>
    </row>
    <row r="488" spans="1:15" ht="12.75" customHeight="1" x14ac:dyDescent="0.2">
      <c r="A488" s="369">
        <v>852079</v>
      </c>
      <c r="B488" t="s">
        <v>531</v>
      </c>
      <c r="C488" s="342">
        <v>21</v>
      </c>
      <c r="D488" s="342">
        <v>42</v>
      </c>
      <c r="E488" s="342">
        <v>63</v>
      </c>
      <c r="F488" s="342">
        <v>946926</v>
      </c>
      <c r="G488" s="342">
        <v>1881065</v>
      </c>
      <c r="H488" s="342">
        <v>2827990</v>
      </c>
      <c r="I488" s="342">
        <v>29478</v>
      </c>
      <c r="J488" t="s">
        <v>275</v>
      </c>
      <c r="K488" t="s">
        <v>583</v>
      </c>
      <c r="L488" t="s">
        <v>494</v>
      </c>
      <c r="M488" t="s">
        <v>46</v>
      </c>
      <c r="N488" s="2"/>
      <c r="O488" s="4"/>
    </row>
    <row r="489" spans="1:15" ht="12.75" customHeight="1" x14ac:dyDescent="0.2">
      <c r="A489" s="369">
        <v>116111</v>
      </c>
      <c r="B489" t="s">
        <v>585</v>
      </c>
      <c r="C489" s="342">
        <v>19</v>
      </c>
      <c r="D489" s="342">
        <v>44</v>
      </c>
      <c r="E489" s="342">
        <v>63</v>
      </c>
      <c r="F489" s="342">
        <v>657140</v>
      </c>
      <c r="G489" s="342">
        <v>1764548</v>
      </c>
      <c r="H489" s="342">
        <v>2421688</v>
      </c>
      <c r="I489" s="342">
        <v>-5538</v>
      </c>
      <c r="J489" t="s">
        <v>172</v>
      </c>
      <c r="K489" t="s">
        <v>583</v>
      </c>
      <c r="L489" t="s">
        <v>171</v>
      </c>
      <c r="M489" t="s">
        <v>46</v>
      </c>
      <c r="N489" s="2"/>
      <c r="O489" s="4"/>
    </row>
    <row r="490" spans="1:15" ht="12.75" customHeight="1" x14ac:dyDescent="0.2">
      <c r="A490" s="369">
        <v>793109</v>
      </c>
      <c r="B490" t="s">
        <v>510</v>
      </c>
      <c r="C490" s="342">
        <v>25</v>
      </c>
      <c r="D490" s="342">
        <v>37</v>
      </c>
      <c r="E490" s="342">
        <v>62</v>
      </c>
      <c r="F490" s="342">
        <v>1504504</v>
      </c>
      <c r="G490" s="342">
        <v>2300174</v>
      </c>
      <c r="H490" s="342">
        <v>3804678</v>
      </c>
      <c r="I490" s="342">
        <v>100280</v>
      </c>
      <c r="J490" t="s">
        <v>162</v>
      </c>
      <c r="K490" t="s">
        <v>583</v>
      </c>
      <c r="L490" t="s">
        <v>250</v>
      </c>
      <c r="M490" t="s">
        <v>46</v>
      </c>
      <c r="N490" s="2"/>
      <c r="O490" s="4"/>
    </row>
    <row r="491" spans="1:15" ht="12.75" customHeight="1" x14ac:dyDescent="0.2">
      <c r="A491" s="369">
        <v>994095</v>
      </c>
      <c r="B491" t="s">
        <v>1484</v>
      </c>
      <c r="C491" s="342">
        <v>12</v>
      </c>
      <c r="D491" s="342">
        <v>46</v>
      </c>
      <c r="E491" s="342">
        <v>58</v>
      </c>
      <c r="F491" s="342">
        <v>419036</v>
      </c>
      <c r="G491" s="342">
        <v>2673385</v>
      </c>
      <c r="H491" s="342">
        <v>3092421</v>
      </c>
      <c r="I491" s="342">
        <v>-18031</v>
      </c>
      <c r="J491" t="s">
        <v>263</v>
      </c>
      <c r="K491" t="s">
        <v>583</v>
      </c>
      <c r="L491" t="s">
        <v>1516</v>
      </c>
      <c r="M491" t="s">
        <v>46</v>
      </c>
      <c r="N491" s="2"/>
      <c r="O491" s="4"/>
    </row>
    <row r="492" spans="1:15" ht="12.75" customHeight="1" x14ac:dyDescent="0.2">
      <c r="A492" s="369">
        <v>887901</v>
      </c>
      <c r="B492" t="s">
        <v>544</v>
      </c>
      <c r="C492" s="342">
        <v>16</v>
      </c>
      <c r="D492" s="342">
        <v>36</v>
      </c>
      <c r="E492" s="342">
        <v>52</v>
      </c>
      <c r="F492" s="342">
        <v>495200</v>
      </c>
      <c r="G492" s="342">
        <v>1827944</v>
      </c>
      <c r="H492" s="342">
        <v>2323145</v>
      </c>
      <c r="I492" s="342">
        <v>84283</v>
      </c>
      <c r="J492" t="s">
        <v>275</v>
      </c>
      <c r="K492" t="s">
        <v>583</v>
      </c>
      <c r="L492" t="s">
        <v>494</v>
      </c>
      <c r="M492" t="s">
        <v>46</v>
      </c>
      <c r="N492" s="2"/>
      <c r="O492" s="4"/>
    </row>
    <row r="493" spans="1:15" ht="12.75" customHeight="1" x14ac:dyDescent="0.2">
      <c r="A493" s="369">
        <v>245381</v>
      </c>
      <c r="B493" t="s">
        <v>262</v>
      </c>
      <c r="C493" s="342">
        <v>16</v>
      </c>
      <c r="D493" s="342">
        <v>35</v>
      </c>
      <c r="E493" s="342">
        <v>51</v>
      </c>
      <c r="F493" s="342">
        <v>713271</v>
      </c>
      <c r="G493" s="342">
        <v>2120813</v>
      </c>
      <c r="H493" s="342">
        <v>2834084</v>
      </c>
      <c r="I493" s="342">
        <v>34709</v>
      </c>
      <c r="J493" t="s">
        <v>263</v>
      </c>
      <c r="K493" t="s">
        <v>583</v>
      </c>
      <c r="L493" t="s">
        <v>206</v>
      </c>
      <c r="M493" t="s">
        <v>46</v>
      </c>
      <c r="N493" s="2"/>
      <c r="O493" s="4"/>
    </row>
    <row r="494" spans="1:15" ht="12.75" customHeight="1" x14ac:dyDescent="0.2">
      <c r="A494" s="369">
        <v>572637</v>
      </c>
      <c r="B494" t="s">
        <v>1468</v>
      </c>
      <c r="C494" s="342">
        <v>13</v>
      </c>
      <c r="D494" s="342">
        <v>34</v>
      </c>
      <c r="E494" s="342">
        <v>47</v>
      </c>
      <c r="F494" s="342">
        <v>688892</v>
      </c>
      <c r="G494" s="342">
        <v>2789376</v>
      </c>
      <c r="H494" s="342">
        <v>3478268</v>
      </c>
      <c r="I494" s="342">
        <v>79513</v>
      </c>
      <c r="J494" t="s">
        <v>270</v>
      </c>
      <c r="K494" t="s">
        <v>584</v>
      </c>
      <c r="L494" t="s">
        <v>1509</v>
      </c>
      <c r="M494" t="s">
        <v>46</v>
      </c>
      <c r="N494" s="2"/>
      <c r="O494" s="4"/>
    </row>
    <row r="495" spans="1:15" ht="12.75" customHeight="1" x14ac:dyDescent="0.2">
      <c r="A495" s="369">
        <v>690693</v>
      </c>
      <c r="B495" t="s">
        <v>476</v>
      </c>
      <c r="C495" s="342">
        <v>9</v>
      </c>
      <c r="D495" s="342">
        <v>36</v>
      </c>
      <c r="E495" s="342">
        <v>45</v>
      </c>
      <c r="F495" s="342">
        <v>433244</v>
      </c>
      <c r="G495" s="342">
        <v>2056770</v>
      </c>
      <c r="H495" s="342">
        <v>2490013</v>
      </c>
      <c r="I495" s="342">
        <v>93635</v>
      </c>
      <c r="J495" t="s">
        <v>162</v>
      </c>
      <c r="K495" t="s">
        <v>583</v>
      </c>
      <c r="L495" t="s">
        <v>1511</v>
      </c>
      <c r="M495" t="s">
        <v>46</v>
      </c>
      <c r="N495" s="2"/>
      <c r="O495" s="4"/>
    </row>
    <row r="496" spans="1:15" ht="12.75" customHeight="1" x14ac:dyDescent="0.2">
      <c r="A496" s="369">
        <v>317040</v>
      </c>
      <c r="B496" t="s">
        <v>308</v>
      </c>
      <c r="C496" s="342">
        <v>13</v>
      </c>
      <c r="D496" s="342">
        <v>30</v>
      </c>
      <c r="E496" s="342">
        <v>43</v>
      </c>
      <c r="F496" s="342">
        <v>804883</v>
      </c>
      <c r="G496" s="342">
        <v>1240966</v>
      </c>
      <c r="H496" s="342">
        <v>2045850</v>
      </c>
      <c r="I496" s="342">
        <v>154110</v>
      </c>
      <c r="J496" t="s">
        <v>162</v>
      </c>
      <c r="K496" t="s">
        <v>583</v>
      </c>
      <c r="L496" t="s">
        <v>206</v>
      </c>
      <c r="M496" t="s">
        <v>46</v>
      </c>
      <c r="N496" s="2"/>
      <c r="O496" s="4"/>
    </row>
    <row r="497" spans="1:15" ht="12.75" customHeight="1" x14ac:dyDescent="0.2">
      <c r="A497" s="369">
        <v>958264</v>
      </c>
      <c r="B497" t="s">
        <v>1483</v>
      </c>
      <c r="C497" s="342">
        <v>7</v>
      </c>
      <c r="D497" s="342">
        <v>30</v>
      </c>
      <c r="E497" s="342">
        <v>37</v>
      </c>
      <c r="F497" s="342">
        <v>261276</v>
      </c>
      <c r="G497" s="342">
        <v>1957283</v>
      </c>
      <c r="H497" s="342">
        <v>2218560</v>
      </c>
      <c r="I497" s="342">
        <v>-625045</v>
      </c>
      <c r="J497" t="s">
        <v>257</v>
      </c>
      <c r="K497" t="s">
        <v>583</v>
      </c>
      <c r="L497" t="s">
        <v>1516</v>
      </c>
      <c r="M497" t="s">
        <v>46</v>
      </c>
      <c r="N497" s="2"/>
      <c r="O497" s="4"/>
    </row>
    <row r="498" spans="1:15" ht="12.75" customHeight="1" x14ac:dyDescent="0.2">
      <c r="A498" s="369">
        <v>146928</v>
      </c>
      <c r="B498" t="s">
        <v>1451</v>
      </c>
      <c r="C498" s="342">
        <v>13</v>
      </c>
      <c r="D498" s="342">
        <v>20</v>
      </c>
      <c r="E498" s="342">
        <v>33</v>
      </c>
      <c r="F498" s="342">
        <v>822336</v>
      </c>
      <c r="G498" s="342">
        <v>1264251</v>
      </c>
      <c r="H498" s="342">
        <v>2086587</v>
      </c>
      <c r="I498" s="342">
        <v>359112</v>
      </c>
      <c r="J498" t="s">
        <v>209</v>
      </c>
      <c r="K498" t="s">
        <v>583</v>
      </c>
      <c r="L498" t="s">
        <v>383</v>
      </c>
      <c r="M498" t="s">
        <v>154</v>
      </c>
      <c r="N498" s="2"/>
      <c r="O498" s="4"/>
    </row>
    <row r="499" spans="1:15" ht="12.75" customHeight="1" x14ac:dyDescent="0.2">
      <c r="A499" s="369">
        <v>153007</v>
      </c>
      <c r="B499" t="s">
        <v>586</v>
      </c>
      <c r="C499" s="342">
        <v>4</v>
      </c>
      <c r="D499" s="342">
        <v>27</v>
      </c>
      <c r="E499" s="342">
        <v>31</v>
      </c>
      <c r="F499" s="342">
        <v>227591</v>
      </c>
      <c r="G499" s="342">
        <v>1949650</v>
      </c>
      <c r="H499" s="342">
        <v>2177241</v>
      </c>
      <c r="I499" s="342">
        <v>-44462</v>
      </c>
      <c r="J499" t="s">
        <v>162</v>
      </c>
      <c r="K499" t="s">
        <v>583</v>
      </c>
      <c r="L499" t="s">
        <v>181</v>
      </c>
      <c r="M499" t="s">
        <v>46</v>
      </c>
      <c r="N499" s="2"/>
      <c r="O499" s="4"/>
    </row>
    <row r="500" spans="1:15" ht="12.75" customHeight="1" x14ac:dyDescent="0.2">
      <c r="A500" s="369">
        <v>643700</v>
      </c>
      <c r="B500" t="s">
        <v>452</v>
      </c>
      <c r="C500" s="342">
        <v>9</v>
      </c>
      <c r="D500" s="342">
        <v>19</v>
      </c>
      <c r="E500" s="342">
        <v>28</v>
      </c>
      <c r="F500" s="342">
        <v>511650</v>
      </c>
      <c r="G500" s="342">
        <v>2533039</v>
      </c>
      <c r="H500" s="342">
        <v>3044689</v>
      </c>
      <c r="I500" s="342">
        <v>-46344</v>
      </c>
      <c r="J500" t="s">
        <v>209</v>
      </c>
      <c r="K500" t="s">
        <v>583</v>
      </c>
      <c r="L500" t="s">
        <v>193</v>
      </c>
      <c r="M500" t="s">
        <v>154</v>
      </c>
      <c r="N500" s="2"/>
      <c r="O500" s="4"/>
    </row>
    <row r="501" spans="1:15" ht="12.75" customHeight="1" x14ac:dyDescent="0.2">
      <c r="A501" s="369">
        <v>182759</v>
      </c>
      <c r="B501" t="s">
        <v>1453</v>
      </c>
      <c r="C501" s="342">
        <v>3</v>
      </c>
      <c r="D501" s="342">
        <v>22</v>
      </c>
      <c r="E501" s="342">
        <v>25</v>
      </c>
      <c r="F501" s="342">
        <v>167438</v>
      </c>
      <c r="G501" s="342">
        <v>2114626</v>
      </c>
      <c r="H501" s="342">
        <v>2282063</v>
      </c>
      <c r="I501" s="342">
        <v>283995</v>
      </c>
      <c r="J501" t="s">
        <v>175</v>
      </c>
      <c r="K501" t="s">
        <v>583</v>
      </c>
      <c r="L501" t="s">
        <v>383</v>
      </c>
      <c r="M501" t="s">
        <v>154</v>
      </c>
      <c r="N501" s="2"/>
      <c r="O501" s="4"/>
    </row>
    <row r="502" spans="1:15" ht="12.75" customHeight="1" x14ac:dyDescent="0.2">
      <c r="A502" s="369">
        <v>117176</v>
      </c>
      <c r="B502" t="s">
        <v>178</v>
      </c>
      <c r="C502" s="342">
        <v>5</v>
      </c>
      <c r="D502" s="342">
        <v>19</v>
      </c>
      <c r="E502" s="342">
        <v>24</v>
      </c>
      <c r="F502" s="342">
        <v>137418</v>
      </c>
      <c r="G502" s="342">
        <v>788090</v>
      </c>
      <c r="H502" s="342">
        <v>925508</v>
      </c>
      <c r="I502" s="342">
        <v>22921</v>
      </c>
      <c r="J502" t="s">
        <v>172</v>
      </c>
      <c r="K502" t="s">
        <v>583</v>
      </c>
      <c r="L502" t="s">
        <v>179</v>
      </c>
      <c r="M502" t="s">
        <v>46</v>
      </c>
      <c r="N502" s="2"/>
      <c r="O502" s="4"/>
    </row>
    <row r="503" spans="1:15" ht="12.75" customHeight="1" x14ac:dyDescent="0.2">
      <c r="A503" s="369">
        <v>165755</v>
      </c>
      <c r="B503" t="s">
        <v>1355</v>
      </c>
      <c r="C503" s="342">
        <v>2</v>
      </c>
      <c r="D503" s="342">
        <v>21</v>
      </c>
      <c r="E503" s="342">
        <v>23</v>
      </c>
      <c r="F503" s="342">
        <v>23833</v>
      </c>
      <c r="G503" s="342">
        <v>2141622</v>
      </c>
      <c r="H503" s="342">
        <v>2165455</v>
      </c>
      <c r="I503" s="342">
        <v>688751</v>
      </c>
      <c r="J503" t="s">
        <v>201</v>
      </c>
      <c r="K503" t="s">
        <v>583</v>
      </c>
      <c r="L503" t="s">
        <v>218</v>
      </c>
      <c r="M503" t="s">
        <v>46</v>
      </c>
      <c r="N503" s="2"/>
      <c r="O503" s="4"/>
    </row>
    <row r="504" spans="1:15" ht="12.75" customHeight="1" x14ac:dyDescent="0.2">
      <c r="A504" s="369">
        <v>608463</v>
      </c>
      <c r="B504" t="s">
        <v>1469</v>
      </c>
      <c r="C504" s="342">
        <v>2</v>
      </c>
      <c r="D504" s="342">
        <v>15</v>
      </c>
      <c r="E504" s="342">
        <v>17</v>
      </c>
      <c r="F504" s="342">
        <v>63264</v>
      </c>
      <c r="G504" s="342">
        <v>677032</v>
      </c>
      <c r="H504" s="342">
        <v>740296</v>
      </c>
      <c r="I504" s="342">
        <v>152318</v>
      </c>
      <c r="J504" t="s">
        <v>263</v>
      </c>
      <c r="K504" t="s">
        <v>583</v>
      </c>
      <c r="L504" t="s">
        <v>1509</v>
      </c>
      <c r="M504" t="s">
        <v>46</v>
      </c>
      <c r="N504" s="2"/>
      <c r="O504" s="4"/>
    </row>
    <row r="505" spans="1:15" ht="12.75" customHeight="1" x14ac:dyDescent="0.2">
      <c r="A505" s="369">
        <v>106849</v>
      </c>
      <c r="B505" t="s">
        <v>1368</v>
      </c>
      <c r="C505" s="342">
        <v>4</v>
      </c>
      <c r="D505" s="342">
        <v>10</v>
      </c>
      <c r="E505" s="342">
        <v>14</v>
      </c>
      <c r="F505" s="342">
        <v>91533</v>
      </c>
      <c r="G505" s="342">
        <v>1058699</v>
      </c>
      <c r="H505" s="342">
        <v>1150233</v>
      </c>
      <c r="I505" s="342">
        <v>-141409</v>
      </c>
      <c r="J505" t="s">
        <v>209</v>
      </c>
      <c r="K505" t="s">
        <v>583</v>
      </c>
      <c r="L505" t="s">
        <v>281</v>
      </c>
      <c r="M505" t="s">
        <v>154</v>
      </c>
      <c r="N505" s="2"/>
      <c r="O505" s="4"/>
    </row>
    <row r="506" spans="1:15" ht="12.75" customHeight="1" x14ac:dyDescent="0.2">
      <c r="A506" s="369">
        <v>523050</v>
      </c>
      <c r="B506" t="s">
        <v>1338</v>
      </c>
      <c r="C506" s="342">
        <v>5</v>
      </c>
      <c r="D506" s="342">
        <v>7</v>
      </c>
      <c r="E506" s="342">
        <v>12</v>
      </c>
      <c r="F506" s="342">
        <v>242316</v>
      </c>
      <c r="G506" s="342">
        <v>737591</v>
      </c>
      <c r="H506" s="342">
        <v>979907</v>
      </c>
      <c r="I506" s="342">
        <v>6108</v>
      </c>
      <c r="J506" t="s">
        <v>162</v>
      </c>
      <c r="K506" t="s">
        <v>583</v>
      </c>
      <c r="L506" t="s">
        <v>1331</v>
      </c>
      <c r="M506" t="s">
        <v>46</v>
      </c>
      <c r="N506" s="2"/>
      <c r="O506" s="4"/>
    </row>
    <row r="507" spans="1:15" ht="12.75" customHeight="1" x14ac:dyDescent="0.2">
      <c r="A507" s="369">
        <v>129924</v>
      </c>
      <c r="B507" t="s">
        <v>1370</v>
      </c>
      <c r="C507" s="342">
        <v>7</v>
      </c>
      <c r="D507" s="342">
        <v>3</v>
      </c>
      <c r="E507" s="342">
        <v>10</v>
      </c>
      <c r="F507" s="342">
        <v>412766</v>
      </c>
      <c r="G507" s="342">
        <v>222728</v>
      </c>
      <c r="H507" s="342">
        <v>635494</v>
      </c>
      <c r="I507" s="342">
        <v>234338</v>
      </c>
      <c r="J507" t="s">
        <v>166</v>
      </c>
      <c r="K507" t="s">
        <v>584</v>
      </c>
      <c r="L507" t="s">
        <v>1508</v>
      </c>
      <c r="M507" t="s">
        <v>46</v>
      </c>
      <c r="N507" s="2"/>
      <c r="O507" s="4"/>
    </row>
    <row r="508" spans="1:15" ht="12.75" customHeight="1" x14ac:dyDescent="0.2">
      <c r="A508" s="369">
        <v>644294</v>
      </c>
      <c r="B508" t="s">
        <v>1471</v>
      </c>
      <c r="C508" s="342">
        <v>6</v>
      </c>
      <c r="D508" s="342">
        <v>3</v>
      </c>
      <c r="E508" s="342">
        <v>9</v>
      </c>
      <c r="F508" s="342">
        <v>230621</v>
      </c>
      <c r="G508" s="342">
        <v>163941</v>
      </c>
      <c r="H508" s="342">
        <v>394562</v>
      </c>
      <c r="I508" s="342">
        <v>-117038</v>
      </c>
      <c r="J508" t="s">
        <v>275</v>
      </c>
      <c r="K508" t="s">
        <v>583</v>
      </c>
      <c r="L508" t="s">
        <v>1509</v>
      </c>
      <c r="M508" t="s">
        <v>46</v>
      </c>
      <c r="N508" s="2"/>
      <c r="O508" s="4"/>
    </row>
    <row r="509" spans="1:15" ht="12.75" customHeight="1" x14ac:dyDescent="0.2">
      <c r="A509" s="369">
        <v>367987</v>
      </c>
      <c r="B509" t="s">
        <v>333</v>
      </c>
      <c r="C509" s="342">
        <v>2</v>
      </c>
      <c r="D509" s="342">
        <v>6</v>
      </c>
      <c r="E509" s="342">
        <v>8</v>
      </c>
      <c r="F509" s="342">
        <v>82365</v>
      </c>
      <c r="G509" s="342">
        <v>344633</v>
      </c>
      <c r="H509" s="342">
        <v>426998</v>
      </c>
      <c r="I509" s="342">
        <v>4511</v>
      </c>
      <c r="J509" t="s">
        <v>172</v>
      </c>
      <c r="K509" t="s">
        <v>583</v>
      </c>
      <c r="L509" t="s">
        <v>250</v>
      </c>
      <c r="M509" t="s">
        <v>46</v>
      </c>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510">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2020-05-31</v>
      </c>
      <c r="C5" s="98"/>
      <c r="D5" s="98"/>
      <c r="E5" s="98"/>
      <c r="F5" s="98"/>
      <c r="G5" s="98"/>
      <c r="H5" s="98"/>
      <c r="I5" s="98"/>
      <c r="J5" s="98"/>
    </row>
    <row r="6" spans="1:16" x14ac:dyDescent="0.2">
      <c r="B6" s="271" t="str">
        <f>'Fondval &amp; marknadsvärde'!A7</f>
        <v>Nästa uppdatering: 2020-07-08</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10" t="s">
        <v>85</v>
      </c>
      <c r="D10" s="411"/>
      <c r="E10" s="412"/>
      <c r="F10" s="410" t="s">
        <v>50</v>
      </c>
      <c r="G10" s="411"/>
      <c r="H10" s="412"/>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1504</v>
      </c>
      <c r="J11" s="98"/>
      <c r="L11" s="102"/>
      <c r="M11" s="330"/>
      <c r="N11" s="338"/>
      <c r="O11" s="330"/>
      <c r="P11" s="330"/>
    </row>
    <row r="12" spans="1:16" ht="12.75" customHeight="1" x14ac:dyDescent="0.2">
      <c r="A12" s="103"/>
      <c r="B12" s="381" t="s">
        <v>146</v>
      </c>
      <c r="C12" s="384">
        <v>2237125</v>
      </c>
      <c r="D12" s="384">
        <v>2452468</v>
      </c>
      <c r="E12" s="384">
        <v>4689593</v>
      </c>
      <c r="F12" s="384">
        <v>256841554869</v>
      </c>
      <c r="G12" s="384">
        <v>318657749685</v>
      </c>
      <c r="H12" s="384">
        <v>575499304553</v>
      </c>
      <c r="I12" s="385"/>
      <c r="J12" s="98"/>
      <c r="L12" s="339"/>
      <c r="M12" s="330"/>
      <c r="N12" s="330"/>
      <c r="O12" s="330"/>
      <c r="P12" s="330"/>
    </row>
    <row r="13" spans="1:16" ht="12.75" customHeight="1" x14ac:dyDescent="0.2">
      <c r="A13" s="103"/>
      <c r="B13" s="381" t="s">
        <v>611</v>
      </c>
      <c r="C13" s="384">
        <v>141253</v>
      </c>
      <c r="D13" s="384">
        <v>160081</v>
      </c>
      <c r="E13" s="384">
        <v>301334</v>
      </c>
      <c r="F13" s="384">
        <v>16884791733</v>
      </c>
      <c r="G13" s="384">
        <v>23829400332</v>
      </c>
      <c r="H13" s="384">
        <v>40714192065</v>
      </c>
      <c r="I13" s="386">
        <f>VLOOKUP($B$12:$B$21,Fondstatistik!$B$24:$Q$998,2,FALSE)</f>
        <v>12</v>
      </c>
      <c r="J13" s="98"/>
      <c r="L13" s="102"/>
      <c r="M13" s="330"/>
      <c r="N13" s="330"/>
      <c r="O13" s="330"/>
      <c r="P13" s="330"/>
    </row>
    <row r="14" spans="1:16" ht="12.75" customHeight="1" x14ac:dyDescent="0.2">
      <c r="A14" s="103"/>
      <c r="B14" s="381" t="s">
        <v>83</v>
      </c>
      <c r="C14" s="384">
        <v>99419</v>
      </c>
      <c r="D14" s="384">
        <v>104068</v>
      </c>
      <c r="E14" s="384">
        <v>203487</v>
      </c>
      <c r="F14" s="384">
        <v>8796525170</v>
      </c>
      <c r="G14" s="384">
        <v>11475337661</v>
      </c>
      <c r="H14" s="384">
        <v>20271862830</v>
      </c>
      <c r="I14" s="386">
        <f>VLOOKUP($B$12:$B$21,Fondstatistik!$B$24:$Q$998,2,FALSE)</f>
        <v>-8</v>
      </c>
      <c r="J14" s="98"/>
      <c r="L14" s="332"/>
      <c r="M14" s="331"/>
      <c r="N14" s="331"/>
      <c r="O14" s="331"/>
      <c r="P14" s="331"/>
    </row>
    <row r="15" spans="1:16" ht="12.75" customHeight="1" x14ac:dyDescent="0.2">
      <c r="A15" s="103"/>
      <c r="B15" s="381" t="s">
        <v>74</v>
      </c>
      <c r="C15" s="384">
        <v>94623</v>
      </c>
      <c r="D15" s="384">
        <v>100678</v>
      </c>
      <c r="E15" s="384">
        <v>195301</v>
      </c>
      <c r="F15" s="384">
        <v>9360958818</v>
      </c>
      <c r="G15" s="384">
        <v>11939338726</v>
      </c>
      <c r="H15" s="384">
        <v>21300297544</v>
      </c>
      <c r="I15" s="386">
        <f>VLOOKUP($B$12:$B$21,Fondstatistik!$B$24:$Q$998,2,FALSE)</f>
        <v>-7</v>
      </c>
      <c r="J15" s="98"/>
      <c r="M15" s="331"/>
      <c r="N15" s="331"/>
      <c r="O15" s="331"/>
      <c r="P15" s="331"/>
    </row>
    <row r="16" spans="1:16" ht="12.75" customHeight="1" x14ac:dyDescent="0.2">
      <c r="A16" s="103"/>
      <c r="B16" s="381" t="s">
        <v>82</v>
      </c>
      <c r="C16" s="384">
        <v>93433</v>
      </c>
      <c r="D16" s="384">
        <v>95265</v>
      </c>
      <c r="E16" s="384">
        <v>188698</v>
      </c>
      <c r="F16" s="384">
        <v>8070025455</v>
      </c>
      <c r="G16" s="384">
        <v>10357780445</v>
      </c>
      <c r="H16" s="384">
        <v>18427805900</v>
      </c>
      <c r="I16" s="386">
        <f>VLOOKUP($B$12:$B$21,Fondstatistik!$B$24:$Q$998,2,FALSE)</f>
        <v>-8</v>
      </c>
      <c r="J16" s="98"/>
    </row>
    <row r="17" spans="1:10" ht="12.75" customHeight="1" x14ac:dyDescent="0.2">
      <c r="A17" s="103"/>
      <c r="B17" s="381" t="s">
        <v>39</v>
      </c>
      <c r="C17" s="384">
        <v>95747</v>
      </c>
      <c r="D17" s="384">
        <v>76698</v>
      </c>
      <c r="E17" s="384">
        <v>172445</v>
      </c>
      <c r="F17" s="384">
        <v>9888727118</v>
      </c>
      <c r="G17" s="384">
        <v>9639510265</v>
      </c>
      <c r="H17" s="384">
        <v>19528237382</v>
      </c>
      <c r="I17" s="386">
        <f>VLOOKUP($B$12:$B$21,Fondstatistik!$B$24:$Q$998,2,FALSE)</f>
        <v>-8</v>
      </c>
      <c r="J17" s="98"/>
    </row>
    <row r="18" spans="1:10" ht="12.75" customHeight="1" x14ac:dyDescent="0.2">
      <c r="A18" s="103"/>
      <c r="B18" s="381" t="s">
        <v>151</v>
      </c>
      <c r="C18" s="384">
        <v>82023</v>
      </c>
      <c r="D18" s="384">
        <v>71998</v>
      </c>
      <c r="E18" s="384">
        <v>154021</v>
      </c>
      <c r="F18" s="384">
        <v>6037474861</v>
      </c>
      <c r="G18" s="384">
        <v>6436345668</v>
      </c>
      <c r="H18" s="384">
        <v>12473820530</v>
      </c>
      <c r="I18" s="386">
        <f>VLOOKUP($B$12:$B$21,Fondstatistik!$B$24:$Q$998,2,FALSE)</f>
        <v>-7</v>
      </c>
      <c r="J18" s="98"/>
    </row>
    <row r="19" spans="1:10" ht="12.75" customHeight="1" x14ac:dyDescent="0.2">
      <c r="A19" s="103"/>
      <c r="B19" s="381" t="s">
        <v>118</v>
      </c>
      <c r="C19" s="384">
        <v>57048</v>
      </c>
      <c r="D19" s="384">
        <v>84855</v>
      </c>
      <c r="E19" s="384">
        <v>141903</v>
      </c>
      <c r="F19" s="384">
        <v>8178588458</v>
      </c>
      <c r="G19" s="384">
        <v>13404442476</v>
      </c>
      <c r="H19" s="384">
        <v>21583030934</v>
      </c>
      <c r="I19" s="386">
        <f>VLOOKUP($B$12:$B$21,Fondstatistik!$B$24:$Q$998,2,FALSE)</f>
        <v>-10</v>
      </c>
      <c r="J19" s="98"/>
    </row>
    <row r="20" spans="1:10" ht="12.75" customHeight="1" x14ac:dyDescent="0.2">
      <c r="A20" s="103"/>
      <c r="B20" s="381" t="s">
        <v>37</v>
      </c>
      <c r="C20" s="384">
        <v>63916</v>
      </c>
      <c r="D20" s="384">
        <v>63048</v>
      </c>
      <c r="E20" s="384">
        <v>126964</v>
      </c>
      <c r="F20" s="384">
        <v>11736983974</v>
      </c>
      <c r="G20" s="384">
        <v>14159131556</v>
      </c>
      <c r="H20" s="384">
        <v>25896115530</v>
      </c>
      <c r="I20" s="386">
        <f>VLOOKUP($B$12:$B$21,Fondstatistik!$B$24:$Q$998,2,FALSE)</f>
        <v>-8</v>
      </c>
      <c r="J20" s="98"/>
    </row>
    <row r="21" spans="1:10" ht="12.75" customHeight="1" x14ac:dyDescent="0.2">
      <c r="A21" s="103"/>
      <c r="B21" s="381" t="s">
        <v>148</v>
      </c>
      <c r="C21" s="384">
        <v>67429</v>
      </c>
      <c r="D21" s="384">
        <v>59218</v>
      </c>
      <c r="E21" s="384">
        <v>126647</v>
      </c>
      <c r="F21" s="384">
        <v>5713604716</v>
      </c>
      <c r="G21" s="384">
        <v>6102009019</v>
      </c>
      <c r="H21" s="384">
        <v>11815613735</v>
      </c>
      <c r="I21" s="386">
        <f>VLOOKUP($B$12:$B$21,Fondstatistik!$B$24:$Q$998,2,FALSE)</f>
        <v>-7</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10" t="s">
        <v>85</v>
      </c>
      <c r="D24" s="411"/>
      <c r="E24" s="412"/>
      <c r="F24" s="410" t="s">
        <v>50</v>
      </c>
      <c r="G24" s="411"/>
      <c r="H24" s="412"/>
      <c r="I24" s="112" t="s">
        <v>62</v>
      </c>
      <c r="J24" s="98"/>
    </row>
    <row r="25" spans="1:10" x14ac:dyDescent="0.2">
      <c r="A25" s="103"/>
      <c r="B25" s="111"/>
      <c r="C25" s="113" t="s">
        <v>52</v>
      </c>
      <c r="D25" s="114" t="s">
        <v>53</v>
      </c>
      <c r="E25" s="114" t="s">
        <v>54</v>
      </c>
      <c r="F25" s="114" t="s">
        <v>52</v>
      </c>
      <c r="G25" s="114" t="s">
        <v>53</v>
      </c>
      <c r="H25" s="114" t="s">
        <v>54</v>
      </c>
      <c r="I25" s="115" t="s">
        <v>1504</v>
      </c>
      <c r="J25" s="98"/>
    </row>
    <row r="26" spans="1:10" ht="12.75" customHeight="1" x14ac:dyDescent="0.2">
      <c r="A26" s="103"/>
      <c r="B26" s="381" t="s">
        <v>146</v>
      </c>
      <c r="C26" s="384">
        <v>2237125</v>
      </c>
      <c r="D26" s="384">
        <v>2452468</v>
      </c>
      <c r="E26" s="384">
        <v>4689593</v>
      </c>
      <c r="F26" s="384">
        <v>256841554869</v>
      </c>
      <c r="G26" s="384">
        <v>318657749685</v>
      </c>
      <c r="H26" s="384">
        <v>575499304553</v>
      </c>
      <c r="I26" s="387"/>
      <c r="J26" s="98"/>
    </row>
    <row r="27" spans="1:10" ht="12.75" customHeight="1" x14ac:dyDescent="0.2">
      <c r="A27" s="103"/>
      <c r="B27" s="381" t="s">
        <v>611</v>
      </c>
      <c r="C27" s="384">
        <v>141253</v>
      </c>
      <c r="D27" s="384">
        <v>160081</v>
      </c>
      <c r="E27" s="384">
        <v>301334</v>
      </c>
      <c r="F27" s="384">
        <v>16884791733</v>
      </c>
      <c r="G27" s="384">
        <v>23829400332</v>
      </c>
      <c r="H27" s="384">
        <v>40714192065</v>
      </c>
      <c r="I27" s="387">
        <f>VLOOKUP($B$27:$B$35,Fondstatistik!$B$24:$Q$998,2,FALSE)</f>
        <v>12</v>
      </c>
      <c r="J27" s="98"/>
    </row>
    <row r="28" spans="1:10" ht="12.75" customHeight="1" x14ac:dyDescent="0.2">
      <c r="A28" s="103"/>
      <c r="B28" s="381" t="s">
        <v>37</v>
      </c>
      <c r="C28" s="384">
        <v>63916</v>
      </c>
      <c r="D28" s="384">
        <v>63048</v>
      </c>
      <c r="E28" s="384">
        <v>126964</v>
      </c>
      <c r="F28" s="384">
        <v>11736983974</v>
      </c>
      <c r="G28" s="384">
        <v>14159131556</v>
      </c>
      <c r="H28" s="384">
        <v>25896115530</v>
      </c>
      <c r="I28" s="387">
        <f>VLOOKUP($B$27:$B$35,Fondstatistik!$B$24:$Q$998,2,FALSE)</f>
        <v>-8</v>
      </c>
      <c r="J28" s="98"/>
    </row>
    <row r="29" spans="1:10" ht="12.75" customHeight="1" x14ac:dyDescent="0.2">
      <c r="A29" s="103"/>
      <c r="B29" s="381" t="s">
        <v>38</v>
      </c>
      <c r="C29" s="384">
        <v>65780</v>
      </c>
      <c r="D29" s="384">
        <v>50750</v>
      </c>
      <c r="E29" s="384">
        <v>116530</v>
      </c>
      <c r="F29" s="384">
        <v>12816426310</v>
      </c>
      <c r="G29" s="384">
        <v>11544434241</v>
      </c>
      <c r="H29" s="384">
        <v>24360860551</v>
      </c>
      <c r="I29" s="387">
        <f>VLOOKUP($B$27:$B$35,Fondstatistik!$B$24:$Q$998,2,FALSE)</f>
        <v>-8</v>
      </c>
      <c r="J29" s="98"/>
    </row>
    <row r="30" spans="1:10" ht="12.75" customHeight="1" x14ac:dyDescent="0.2">
      <c r="A30" s="103"/>
      <c r="B30" s="381" t="s">
        <v>102</v>
      </c>
      <c r="C30" s="384">
        <v>46744</v>
      </c>
      <c r="D30" s="384">
        <v>37230</v>
      </c>
      <c r="E30" s="384">
        <v>83974</v>
      </c>
      <c r="F30" s="384">
        <v>11556683134</v>
      </c>
      <c r="G30" s="384">
        <v>10811902093</v>
      </c>
      <c r="H30" s="384">
        <v>22368585227</v>
      </c>
      <c r="I30" s="387">
        <f>VLOOKUP($B$27:$B$35,Fondstatistik!$B$24:$Q$998,2,FALSE)</f>
        <v>-7</v>
      </c>
      <c r="J30" s="98"/>
    </row>
    <row r="31" spans="1:10" ht="12.75" customHeight="1" x14ac:dyDescent="0.2">
      <c r="A31" s="103"/>
      <c r="B31" s="381" t="s">
        <v>118</v>
      </c>
      <c r="C31" s="384">
        <v>57048</v>
      </c>
      <c r="D31" s="384">
        <v>84855</v>
      </c>
      <c r="E31" s="384">
        <v>141903</v>
      </c>
      <c r="F31" s="384">
        <v>8178588458</v>
      </c>
      <c r="G31" s="384">
        <v>13404442476</v>
      </c>
      <c r="H31" s="384">
        <v>21583030934</v>
      </c>
      <c r="I31" s="387">
        <f>VLOOKUP($B$27:$B$35,Fondstatistik!$B$24:$Q$998,2,FALSE)</f>
        <v>-10</v>
      </c>
      <c r="J31" s="98"/>
    </row>
    <row r="32" spans="1:10" ht="12.75" customHeight="1" x14ac:dyDescent="0.2">
      <c r="A32" s="103"/>
      <c r="B32" s="381" t="s">
        <v>74</v>
      </c>
      <c r="C32" s="384">
        <v>94623</v>
      </c>
      <c r="D32" s="384">
        <v>100678</v>
      </c>
      <c r="E32" s="384">
        <v>195301</v>
      </c>
      <c r="F32" s="384">
        <v>9360958818</v>
      </c>
      <c r="G32" s="384">
        <v>11939338726</v>
      </c>
      <c r="H32" s="384">
        <v>21300297544</v>
      </c>
      <c r="I32" s="387">
        <f>VLOOKUP($B$27:$B$35,Fondstatistik!$B$24:$Q$998,2,FALSE)</f>
        <v>-7</v>
      </c>
      <c r="J32" s="98"/>
    </row>
    <row r="33" spans="1:13" ht="12.75" customHeight="1" x14ac:dyDescent="0.2">
      <c r="A33" s="103"/>
      <c r="B33" s="381" t="s">
        <v>83</v>
      </c>
      <c r="C33" s="384">
        <v>99419</v>
      </c>
      <c r="D33" s="384">
        <v>104068</v>
      </c>
      <c r="E33" s="384">
        <v>203487</v>
      </c>
      <c r="F33" s="384">
        <v>8796525170</v>
      </c>
      <c r="G33" s="384">
        <v>11475337661</v>
      </c>
      <c r="H33" s="384">
        <v>20271862830</v>
      </c>
      <c r="I33" s="387">
        <f>VLOOKUP($B$27:$B$35,Fondstatistik!$B$24:$Q$998,2,FALSE)</f>
        <v>-8</v>
      </c>
      <c r="J33" s="98"/>
    </row>
    <row r="34" spans="1:13" ht="12.75" customHeight="1" x14ac:dyDescent="0.2">
      <c r="A34" s="103"/>
      <c r="B34" s="381" t="s">
        <v>39</v>
      </c>
      <c r="C34" s="384">
        <v>95747</v>
      </c>
      <c r="D34" s="384">
        <v>76698</v>
      </c>
      <c r="E34" s="384">
        <v>172445</v>
      </c>
      <c r="F34" s="384">
        <v>9888727118</v>
      </c>
      <c r="G34" s="384">
        <v>9639510265</v>
      </c>
      <c r="H34" s="384">
        <v>19528237382</v>
      </c>
      <c r="I34" s="387">
        <f>VLOOKUP($B$27:$B$35,Fondstatistik!$B$24:$Q$998,2,FALSE)</f>
        <v>-8</v>
      </c>
      <c r="J34" s="98"/>
    </row>
    <row r="35" spans="1:13" ht="12.75" customHeight="1" x14ac:dyDescent="0.2">
      <c r="A35" s="103"/>
      <c r="B35" s="381" t="s">
        <v>287</v>
      </c>
      <c r="C35" s="384">
        <v>44389</v>
      </c>
      <c r="D35" s="384">
        <v>36704</v>
      </c>
      <c r="E35" s="384">
        <v>81093</v>
      </c>
      <c r="F35" s="384">
        <v>9392841599</v>
      </c>
      <c r="G35" s="384">
        <v>9110032871</v>
      </c>
      <c r="H35" s="384">
        <v>18502874470</v>
      </c>
      <c r="I35" s="387">
        <f>VLOOKUP($B$27:$B$35,Fondstatistik!$B$24:$Q$998,2,FALSE)</f>
        <v>-8</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1" t="s">
        <v>1462</v>
      </c>
      <c r="C39" s="382">
        <v>20</v>
      </c>
      <c r="D39" s="382">
        <v>6</v>
      </c>
      <c r="E39" s="382">
        <v>16</v>
      </c>
      <c r="F39" s="382">
        <v>21</v>
      </c>
      <c r="G39" s="382">
        <v>37</v>
      </c>
      <c r="H39" s="382">
        <v>118</v>
      </c>
      <c r="I39" s="382">
        <v>191</v>
      </c>
      <c r="J39" s="383">
        <v>23.8</v>
      </c>
    </row>
    <row r="40" spans="1:13" ht="12.75" customHeight="1" x14ac:dyDescent="0.2">
      <c r="A40" s="103"/>
      <c r="B40" s="381" t="s">
        <v>1382</v>
      </c>
      <c r="C40" s="382"/>
      <c r="D40" s="382">
        <v>7</v>
      </c>
      <c r="E40" s="382">
        <v>12</v>
      </c>
      <c r="F40" s="382"/>
      <c r="G40" s="382"/>
      <c r="H40" s="382">
        <v>96</v>
      </c>
      <c r="I40" s="382">
        <v>168</v>
      </c>
      <c r="J40" s="383">
        <v>21.8</v>
      </c>
    </row>
    <row r="41" spans="1:13" ht="12.75" customHeight="1" x14ac:dyDescent="0.2">
      <c r="A41" s="103"/>
      <c r="B41" s="381" t="s">
        <v>611</v>
      </c>
      <c r="C41" s="382">
        <v>12</v>
      </c>
      <c r="D41" s="382">
        <v>4</v>
      </c>
      <c r="E41" s="382">
        <v>14</v>
      </c>
      <c r="F41" s="382">
        <v>14</v>
      </c>
      <c r="G41" s="382">
        <v>34</v>
      </c>
      <c r="H41" s="382">
        <v>90</v>
      </c>
      <c r="I41" s="382">
        <v>152</v>
      </c>
      <c r="J41" s="383">
        <v>20.3</v>
      </c>
    </row>
    <row r="42" spans="1:13" ht="12.75" customHeight="1" x14ac:dyDescent="0.2">
      <c r="A42" s="103"/>
      <c r="B42" s="381" t="s">
        <v>150</v>
      </c>
      <c r="C42" s="382">
        <v>3</v>
      </c>
      <c r="D42" s="382">
        <v>3</v>
      </c>
      <c r="E42" s="382">
        <v>6</v>
      </c>
      <c r="F42" s="382">
        <v>8</v>
      </c>
      <c r="G42" s="382">
        <v>28</v>
      </c>
      <c r="H42" s="382">
        <v>69</v>
      </c>
      <c r="I42" s="382">
        <v>141</v>
      </c>
      <c r="J42" s="383">
        <v>19.3</v>
      </c>
    </row>
    <row r="43" spans="1:13" ht="12.75" customHeight="1" x14ac:dyDescent="0.2">
      <c r="A43" s="103"/>
      <c r="B43" s="381" t="s">
        <v>635</v>
      </c>
      <c r="C43" s="382">
        <v>12</v>
      </c>
      <c r="D43" s="382">
        <v>2</v>
      </c>
      <c r="E43" s="382">
        <v>14</v>
      </c>
      <c r="F43" s="382">
        <v>14</v>
      </c>
      <c r="G43" s="382">
        <v>31</v>
      </c>
      <c r="H43" s="382">
        <v>74</v>
      </c>
      <c r="I43" s="382">
        <v>138</v>
      </c>
      <c r="J43" s="383">
        <v>18.899999999999999</v>
      </c>
      <c r="M43" s="104"/>
    </row>
    <row r="44" spans="1:13" ht="12.75" customHeight="1" x14ac:dyDescent="0.2">
      <c r="A44" s="103"/>
      <c r="B44" s="381" t="s">
        <v>119</v>
      </c>
      <c r="C44" s="382">
        <v>0</v>
      </c>
      <c r="D44" s="382">
        <v>2</v>
      </c>
      <c r="E44" s="382">
        <v>3</v>
      </c>
      <c r="F44" s="382">
        <v>-1</v>
      </c>
      <c r="G44" s="382">
        <v>13</v>
      </c>
      <c r="H44" s="382">
        <v>61</v>
      </c>
      <c r="I44" s="382">
        <v>134</v>
      </c>
      <c r="J44" s="383">
        <v>18.5</v>
      </c>
      <c r="L44" s="104"/>
      <c r="M44" s="104"/>
    </row>
    <row r="45" spans="1:13" ht="12.75" customHeight="1" x14ac:dyDescent="0.2">
      <c r="A45" s="103"/>
      <c r="B45" s="381" t="s">
        <v>149</v>
      </c>
      <c r="C45" s="382">
        <v>0</v>
      </c>
      <c r="D45" s="382">
        <v>3</v>
      </c>
      <c r="E45" s="382">
        <v>1</v>
      </c>
      <c r="F45" s="382">
        <v>-1</v>
      </c>
      <c r="G45" s="382">
        <v>14</v>
      </c>
      <c r="H45" s="382">
        <v>62</v>
      </c>
      <c r="I45" s="382">
        <v>133</v>
      </c>
      <c r="J45" s="383">
        <v>18.399999999999999</v>
      </c>
      <c r="L45" s="104"/>
      <c r="M45" s="104"/>
    </row>
    <row r="46" spans="1:13" ht="12.75" customHeight="1" x14ac:dyDescent="0.2">
      <c r="A46" s="103"/>
      <c r="B46" s="381" t="s">
        <v>1334</v>
      </c>
      <c r="C46" s="382">
        <v>1</v>
      </c>
      <c r="D46" s="382">
        <v>4</v>
      </c>
      <c r="E46" s="382">
        <v>4</v>
      </c>
      <c r="F46" s="382">
        <v>0</v>
      </c>
      <c r="G46" s="382">
        <v>17</v>
      </c>
      <c r="H46" s="382">
        <v>51</v>
      </c>
      <c r="I46" s="382">
        <v>109</v>
      </c>
      <c r="J46" s="383">
        <v>15.9</v>
      </c>
      <c r="L46" s="104"/>
      <c r="M46" s="104"/>
    </row>
    <row r="47" spans="1:13" ht="12.75" customHeight="1" x14ac:dyDescent="0.2">
      <c r="A47" s="103"/>
      <c r="B47" s="381" t="s">
        <v>306</v>
      </c>
      <c r="C47" s="382">
        <v>-20</v>
      </c>
      <c r="D47" s="382">
        <v>3</v>
      </c>
      <c r="E47" s="382">
        <v>-17</v>
      </c>
      <c r="F47" s="382">
        <v>-14</v>
      </c>
      <c r="G47" s="382">
        <v>8</v>
      </c>
      <c r="H47" s="382">
        <v>53</v>
      </c>
      <c r="I47" s="382">
        <v>107</v>
      </c>
      <c r="J47" s="383">
        <v>15.7</v>
      </c>
      <c r="L47" s="104"/>
      <c r="M47" s="104"/>
    </row>
    <row r="48" spans="1:13" ht="12.75" customHeight="1" x14ac:dyDescent="0.2">
      <c r="A48" s="103"/>
      <c r="B48" s="381" t="s">
        <v>389</v>
      </c>
      <c r="C48" s="382">
        <v>-10</v>
      </c>
      <c r="D48" s="382">
        <v>2</v>
      </c>
      <c r="E48" s="382">
        <v>-6</v>
      </c>
      <c r="F48" s="382">
        <v>-6</v>
      </c>
      <c r="G48" s="382">
        <v>12</v>
      </c>
      <c r="H48" s="382">
        <v>48</v>
      </c>
      <c r="I48" s="382">
        <v>105</v>
      </c>
      <c r="J48" s="383">
        <v>15.4</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1548</v>
      </c>
      <c r="C5" s="45"/>
      <c r="D5" s="45"/>
      <c r="E5" s="45"/>
      <c r="F5" s="45"/>
      <c r="G5" s="45"/>
      <c r="H5" s="45"/>
      <c r="I5" s="39"/>
      <c r="L5" s="40"/>
      <c r="M5" s="41"/>
      <c r="O5" s="39"/>
      <c r="Q5" s="44"/>
      <c r="R5" s="46"/>
      <c r="T5" s="318"/>
    </row>
    <row r="6" spans="1:21" ht="14.25" x14ac:dyDescent="0.2">
      <c r="A6" s="301" t="str">
        <f>'Fondval &amp; marknadsvärde'!A7</f>
        <v>Nästa uppdatering: 2020-07-08</v>
      </c>
      <c r="B6" s="38"/>
      <c r="I6" s="39"/>
      <c r="L6" s="40"/>
      <c r="M6" s="41"/>
      <c r="O6" s="39"/>
      <c r="Q6" s="44"/>
      <c r="R6" s="46"/>
      <c r="T6" s="318"/>
    </row>
    <row r="7" spans="1:21" x14ac:dyDescent="0.2">
      <c r="A7" s="300"/>
      <c r="B7" s="44"/>
      <c r="C7" s="39"/>
      <c r="D7" s="39"/>
      <c r="E7" s="39"/>
      <c r="F7" s="39"/>
      <c r="G7" s="39"/>
      <c r="I7" s="39"/>
      <c r="L7" s="40"/>
      <c r="M7" s="41"/>
      <c r="O7" s="39"/>
      <c r="Q7" s="44"/>
      <c r="R7" s="46"/>
      <c r="T7" s="318"/>
    </row>
    <row r="8" spans="1:21" s="4" customForma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3" t="s">
        <v>56</v>
      </c>
      <c r="D20" s="414"/>
      <c r="E20" s="414"/>
      <c r="F20" s="414"/>
      <c r="G20" s="414"/>
      <c r="H20" s="414"/>
      <c r="I20" s="414"/>
      <c r="J20" s="415"/>
      <c r="K20" s="413" t="s">
        <v>71</v>
      </c>
      <c r="L20" s="414"/>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588</v>
      </c>
      <c r="C22">
        <v>-6</v>
      </c>
      <c r="D22">
        <v>2</v>
      </c>
      <c r="E22">
        <v>0</v>
      </c>
      <c r="F22">
        <v>-4</v>
      </c>
      <c r="G22">
        <v>9</v>
      </c>
      <c r="H22">
        <v>23</v>
      </c>
      <c r="I22">
        <v>38</v>
      </c>
      <c r="J22">
        <v>6.6</v>
      </c>
      <c r="K22">
        <v>0</v>
      </c>
      <c r="L22">
        <v>0</v>
      </c>
      <c r="M22">
        <v>14.7</v>
      </c>
      <c r="N22">
        <v>0.6</v>
      </c>
      <c r="O22" t="s">
        <v>641</v>
      </c>
      <c r="P22" s="368" t="s">
        <v>695</v>
      </c>
      <c r="Q22" t="s">
        <v>154</v>
      </c>
      <c r="R22" t="s">
        <v>756</v>
      </c>
      <c r="S22" t="s">
        <v>187</v>
      </c>
      <c r="T22" t="s">
        <v>246</v>
      </c>
      <c r="U22" s="373"/>
    </row>
    <row r="23" spans="1:21" x14ac:dyDescent="0.2">
      <c r="A23">
        <v>278853</v>
      </c>
      <c r="B23" t="s">
        <v>589</v>
      </c>
      <c r="C23">
        <v>-6</v>
      </c>
      <c r="D23">
        <v>2</v>
      </c>
      <c r="E23">
        <v>0</v>
      </c>
      <c r="F23">
        <v>-4</v>
      </c>
      <c r="G23">
        <v>9</v>
      </c>
      <c r="H23">
        <v>23</v>
      </c>
      <c r="I23">
        <v>37</v>
      </c>
      <c r="J23">
        <v>6.5</v>
      </c>
      <c r="K23">
        <v>0</v>
      </c>
      <c r="L23">
        <v>0</v>
      </c>
      <c r="M23">
        <v>14.8</v>
      </c>
      <c r="N23">
        <v>0.6</v>
      </c>
      <c r="O23" t="s">
        <v>641</v>
      </c>
      <c r="P23" s="368" t="s">
        <v>695</v>
      </c>
      <c r="Q23" t="s">
        <v>154</v>
      </c>
      <c r="R23" t="s">
        <v>787</v>
      </c>
      <c r="S23" t="s">
        <v>187</v>
      </c>
      <c r="T23" t="s">
        <v>246</v>
      </c>
      <c r="U23" s="373"/>
    </row>
    <row r="24" spans="1:21" x14ac:dyDescent="0.2">
      <c r="A24">
        <v>350512</v>
      </c>
      <c r="B24" t="s">
        <v>593</v>
      </c>
      <c r="C24">
        <v>-4</v>
      </c>
      <c r="D24">
        <v>2</v>
      </c>
      <c r="E24">
        <v>0</v>
      </c>
      <c r="F24">
        <v>-3</v>
      </c>
      <c r="G24">
        <v>8</v>
      </c>
      <c r="H24">
        <v>21</v>
      </c>
      <c r="I24">
        <v>33</v>
      </c>
      <c r="J24">
        <v>5.9</v>
      </c>
      <c r="K24">
        <v>0</v>
      </c>
      <c r="L24">
        <v>0</v>
      </c>
      <c r="M24">
        <v>12.6</v>
      </c>
      <c r="N24">
        <v>0.6</v>
      </c>
      <c r="O24" t="s">
        <v>641</v>
      </c>
      <c r="P24" s="368" t="s">
        <v>695</v>
      </c>
      <c r="Q24" t="s">
        <v>154</v>
      </c>
      <c r="R24" t="s">
        <v>861</v>
      </c>
      <c r="S24" t="s">
        <v>187</v>
      </c>
      <c r="T24" t="s">
        <v>246</v>
      </c>
      <c r="U24" s="373"/>
    </row>
    <row r="25" spans="1:21" x14ac:dyDescent="0.2">
      <c r="A25">
        <v>314682</v>
      </c>
      <c r="B25" t="s">
        <v>591</v>
      </c>
      <c r="C25">
        <v>-1</v>
      </c>
      <c r="D25">
        <v>1</v>
      </c>
      <c r="E25">
        <v>1</v>
      </c>
      <c r="F25">
        <v>0</v>
      </c>
      <c r="G25">
        <v>6</v>
      </c>
      <c r="H25">
        <v>14</v>
      </c>
      <c r="I25">
        <v>22</v>
      </c>
      <c r="J25">
        <v>4.0999999999999996</v>
      </c>
      <c r="K25">
        <v>0</v>
      </c>
      <c r="L25">
        <v>0</v>
      </c>
      <c r="M25">
        <v>7.1</v>
      </c>
      <c r="N25">
        <v>0.7</v>
      </c>
      <c r="O25" t="s">
        <v>641</v>
      </c>
      <c r="P25" s="368" t="s">
        <v>695</v>
      </c>
      <c r="Q25" t="s">
        <v>154</v>
      </c>
      <c r="R25" t="s">
        <v>827</v>
      </c>
      <c r="S25" t="s">
        <v>187</v>
      </c>
      <c r="T25" t="s">
        <v>216</v>
      </c>
      <c r="U25" s="373"/>
    </row>
    <row r="26" spans="1:21" x14ac:dyDescent="0.2">
      <c r="A26">
        <v>734491</v>
      </c>
      <c r="B26" t="s">
        <v>491</v>
      </c>
      <c r="C26">
        <v>-7</v>
      </c>
      <c r="D26">
        <v>3</v>
      </c>
      <c r="E26">
        <v>-2</v>
      </c>
      <c r="F26">
        <v>-5</v>
      </c>
      <c r="G26">
        <v>9</v>
      </c>
      <c r="H26">
        <v>11</v>
      </c>
      <c r="I26">
        <v>19</v>
      </c>
      <c r="J26">
        <v>3.5</v>
      </c>
      <c r="K26">
        <v>0</v>
      </c>
      <c r="L26">
        <v>0</v>
      </c>
      <c r="M26">
        <v>16.5</v>
      </c>
      <c r="N26">
        <v>0.3</v>
      </c>
      <c r="O26" t="s">
        <v>641</v>
      </c>
      <c r="P26" s="368" t="s">
        <v>1159</v>
      </c>
      <c r="Q26" t="s">
        <v>154</v>
      </c>
      <c r="R26" t="s">
        <v>1160</v>
      </c>
      <c r="S26" t="s">
        <v>492</v>
      </c>
      <c r="T26" t="s">
        <v>209</v>
      </c>
      <c r="U26" s="373"/>
    </row>
    <row r="27" spans="1:21" x14ac:dyDescent="0.2">
      <c r="A27">
        <v>167114</v>
      </c>
      <c r="B27" t="s">
        <v>587</v>
      </c>
      <c r="C27">
        <v>-1</v>
      </c>
      <c r="D27">
        <v>1</v>
      </c>
      <c r="E27">
        <v>0</v>
      </c>
      <c r="F27">
        <v>0</v>
      </c>
      <c r="G27">
        <v>3</v>
      </c>
      <c r="H27">
        <v>9</v>
      </c>
      <c r="I27">
        <v>13</v>
      </c>
      <c r="J27">
        <v>2.5</v>
      </c>
      <c r="K27">
        <v>0</v>
      </c>
      <c r="L27">
        <v>0</v>
      </c>
      <c r="M27">
        <v>3.9</v>
      </c>
      <c r="N27">
        <v>0.8</v>
      </c>
      <c r="O27" t="s">
        <v>641</v>
      </c>
      <c r="P27" s="368" t="s">
        <v>695</v>
      </c>
      <c r="Q27" t="s">
        <v>154</v>
      </c>
      <c r="R27" t="s">
        <v>696</v>
      </c>
      <c r="S27" t="s">
        <v>187</v>
      </c>
      <c r="T27" t="s">
        <v>216</v>
      </c>
      <c r="U27" s="373"/>
    </row>
    <row r="28" spans="1:21" x14ac:dyDescent="0.2">
      <c r="A28">
        <v>545541</v>
      </c>
      <c r="B28" t="s">
        <v>413</v>
      </c>
      <c r="C28">
        <v>1</v>
      </c>
      <c r="D28">
        <v>0</v>
      </c>
      <c r="E28">
        <v>0</v>
      </c>
      <c r="F28">
        <v>0</v>
      </c>
      <c r="G28">
        <v>0</v>
      </c>
      <c r="H28">
        <v>0</v>
      </c>
      <c r="I28">
        <v>1</v>
      </c>
      <c r="J28">
        <v>0.2</v>
      </c>
      <c r="K28">
        <v>0.04</v>
      </c>
      <c r="L28">
        <v>0.04</v>
      </c>
      <c r="M28">
        <v>0.7</v>
      </c>
      <c r="N28">
        <v>0.3</v>
      </c>
      <c r="O28" t="s">
        <v>641</v>
      </c>
      <c r="P28" s="368" t="s">
        <v>1023</v>
      </c>
      <c r="Q28" t="s">
        <v>154</v>
      </c>
      <c r="R28" t="s">
        <v>1024</v>
      </c>
      <c r="S28" t="s">
        <v>414</v>
      </c>
      <c r="T28" t="s">
        <v>159</v>
      </c>
      <c r="U28" s="373"/>
    </row>
    <row r="29" spans="1:21" x14ac:dyDescent="0.2">
      <c r="A29">
        <v>581371</v>
      </c>
      <c r="B29" t="s">
        <v>118</v>
      </c>
      <c r="C29">
        <v>-10</v>
      </c>
      <c r="D29">
        <v>1</v>
      </c>
      <c r="E29">
        <v>-3</v>
      </c>
      <c r="F29">
        <v>-8</v>
      </c>
      <c r="G29">
        <v>5</v>
      </c>
      <c r="H29">
        <v>30</v>
      </c>
      <c r="I29">
        <v>49</v>
      </c>
      <c r="J29">
        <v>8.3000000000000007</v>
      </c>
      <c r="K29">
        <v>0.08</v>
      </c>
      <c r="L29">
        <v>0.08</v>
      </c>
      <c r="M29">
        <v>17.5</v>
      </c>
      <c r="N29">
        <v>0.6</v>
      </c>
      <c r="O29" t="s">
        <v>641</v>
      </c>
      <c r="P29" s="368" t="s">
        <v>1023</v>
      </c>
      <c r="Q29" t="s">
        <v>154</v>
      </c>
      <c r="R29" t="s">
        <v>1055</v>
      </c>
      <c r="S29" t="s">
        <v>414</v>
      </c>
      <c r="T29" t="s">
        <v>162</v>
      </c>
      <c r="U29" s="373"/>
    </row>
    <row r="30" spans="1:21" x14ac:dyDescent="0.2">
      <c r="A30">
        <v>680124</v>
      </c>
      <c r="B30" t="s">
        <v>1353</v>
      </c>
      <c r="C30"/>
      <c r="D30">
        <v>1</v>
      </c>
      <c r="E30">
        <v>-2</v>
      </c>
      <c r="F30"/>
      <c r="G30"/>
      <c r="H30"/>
      <c r="I30"/>
      <c r="J30"/>
      <c r="K30">
        <v>0.08</v>
      </c>
      <c r="L30">
        <v>0.08</v>
      </c>
      <c r="M30"/>
      <c r="N30"/>
      <c r="O30" t="s">
        <v>641</v>
      </c>
      <c r="P30" s="368" t="s">
        <v>1365</v>
      </c>
      <c r="Q30" t="s">
        <v>154</v>
      </c>
      <c r="R30" t="s">
        <v>1366</v>
      </c>
      <c r="S30" t="s">
        <v>492</v>
      </c>
      <c r="T30" t="s">
        <v>162</v>
      </c>
      <c r="U30"/>
    </row>
    <row r="31" spans="1:21" x14ac:dyDescent="0.2">
      <c r="A31">
        <v>574293</v>
      </c>
      <c r="B31" t="s">
        <v>429</v>
      </c>
      <c r="C31">
        <v>0</v>
      </c>
      <c r="D31">
        <v>0</v>
      </c>
      <c r="E31">
        <v>-2</v>
      </c>
      <c r="F31">
        <v>-1</v>
      </c>
      <c r="G31">
        <v>0</v>
      </c>
      <c r="H31">
        <v>3</v>
      </c>
      <c r="I31">
        <v>6</v>
      </c>
      <c r="J31">
        <v>1.1000000000000001</v>
      </c>
      <c r="K31">
        <v>0.1</v>
      </c>
      <c r="L31">
        <v>0.1</v>
      </c>
      <c r="M31">
        <v>1.9</v>
      </c>
      <c r="N31">
        <v>0.6</v>
      </c>
      <c r="O31" t="s">
        <v>641</v>
      </c>
      <c r="P31" s="368" t="s">
        <v>1047</v>
      </c>
      <c r="Q31" t="s">
        <v>154</v>
      </c>
      <c r="R31" t="s">
        <v>1048</v>
      </c>
      <c r="S31" t="s">
        <v>278</v>
      </c>
      <c r="T31" t="s">
        <v>159</v>
      </c>
      <c r="U31"/>
    </row>
    <row r="32" spans="1:21" x14ac:dyDescent="0.2">
      <c r="A32">
        <v>265512</v>
      </c>
      <c r="B32" t="s">
        <v>277</v>
      </c>
      <c r="C32">
        <v>2</v>
      </c>
      <c r="D32">
        <v>0</v>
      </c>
      <c r="E32">
        <v>0</v>
      </c>
      <c r="F32">
        <v>2</v>
      </c>
      <c r="G32">
        <v>2</v>
      </c>
      <c r="H32">
        <v>2</v>
      </c>
      <c r="I32">
        <v>5</v>
      </c>
      <c r="J32">
        <v>1</v>
      </c>
      <c r="K32">
        <v>0.1</v>
      </c>
      <c r="L32">
        <v>0.1</v>
      </c>
      <c r="M32">
        <v>1.8</v>
      </c>
      <c r="N32">
        <v>0.6</v>
      </c>
      <c r="O32" t="s">
        <v>641</v>
      </c>
      <c r="P32" s="368" t="s">
        <v>777</v>
      </c>
      <c r="Q32" t="s">
        <v>154</v>
      </c>
      <c r="R32" t="s">
        <v>778</v>
      </c>
      <c r="S32" t="s">
        <v>278</v>
      </c>
      <c r="T32" t="s">
        <v>159</v>
      </c>
      <c r="U32"/>
    </row>
    <row r="33" spans="1:21" x14ac:dyDescent="0.2">
      <c r="A33">
        <v>972497</v>
      </c>
      <c r="B33" t="s">
        <v>565</v>
      </c>
      <c r="C33">
        <v>-1</v>
      </c>
      <c r="D33">
        <v>1</v>
      </c>
      <c r="E33">
        <v>-2</v>
      </c>
      <c r="F33">
        <v>-1</v>
      </c>
      <c r="G33">
        <v>0</v>
      </c>
      <c r="H33">
        <v>2</v>
      </c>
      <c r="I33">
        <v>5</v>
      </c>
      <c r="J33">
        <v>0.9</v>
      </c>
      <c r="K33">
        <v>0.1</v>
      </c>
      <c r="L33">
        <v>0.1</v>
      </c>
      <c r="M33">
        <v>2.4</v>
      </c>
      <c r="N33">
        <v>0.3</v>
      </c>
      <c r="O33" t="s">
        <v>641</v>
      </c>
      <c r="P33" s="368" t="s">
        <v>1299</v>
      </c>
      <c r="Q33" t="s">
        <v>154</v>
      </c>
      <c r="R33" t="s">
        <v>1300</v>
      </c>
      <c r="S33" t="s">
        <v>208</v>
      </c>
      <c r="T33" t="s">
        <v>194</v>
      </c>
      <c r="U33"/>
    </row>
    <row r="34" spans="1:21" x14ac:dyDescent="0.2">
      <c r="A34">
        <v>717611</v>
      </c>
      <c r="B34" t="s">
        <v>482</v>
      </c>
      <c r="C34">
        <v>0</v>
      </c>
      <c r="D34">
        <v>0</v>
      </c>
      <c r="E34">
        <v>0</v>
      </c>
      <c r="F34">
        <v>0</v>
      </c>
      <c r="G34">
        <v>0</v>
      </c>
      <c r="H34">
        <v>-1</v>
      </c>
      <c r="I34">
        <v>-1</v>
      </c>
      <c r="J34">
        <v>-0.2</v>
      </c>
      <c r="K34">
        <v>0.1</v>
      </c>
      <c r="L34">
        <v>0.1</v>
      </c>
      <c r="M34">
        <v>0.2</v>
      </c>
      <c r="N34">
        <v>0.2</v>
      </c>
      <c r="O34" t="s">
        <v>641</v>
      </c>
      <c r="P34" s="368" t="s">
        <v>1143</v>
      </c>
      <c r="Q34" t="s">
        <v>154</v>
      </c>
      <c r="R34" t="s">
        <v>1144</v>
      </c>
      <c r="S34" t="s">
        <v>170</v>
      </c>
      <c r="T34" t="s">
        <v>194</v>
      </c>
      <c r="U34"/>
    </row>
    <row r="35" spans="1:21" x14ac:dyDescent="0.2">
      <c r="A35">
        <v>305185</v>
      </c>
      <c r="B35" t="s">
        <v>302</v>
      </c>
      <c r="C35">
        <v>0</v>
      </c>
      <c r="D35">
        <v>0</v>
      </c>
      <c r="E35">
        <v>0</v>
      </c>
      <c r="F35">
        <v>0</v>
      </c>
      <c r="G35">
        <v>0</v>
      </c>
      <c r="H35">
        <v>-1</v>
      </c>
      <c r="I35">
        <v>-2</v>
      </c>
      <c r="J35">
        <v>-0.3</v>
      </c>
      <c r="K35">
        <v>0.1</v>
      </c>
      <c r="L35">
        <v>0.1</v>
      </c>
      <c r="M35">
        <v>0.2</v>
      </c>
      <c r="N35">
        <v>-0.5</v>
      </c>
      <c r="O35" t="s">
        <v>641</v>
      </c>
      <c r="P35" s="368" t="s">
        <v>779</v>
      </c>
      <c r="Q35" t="s">
        <v>154</v>
      </c>
      <c r="R35" t="s">
        <v>820</v>
      </c>
      <c r="S35" t="s">
        <v>278</v>
      </c>
      <c r="T35" t="s">
        <v>194</v>
      </c>
      <c r="U35"/>
    </row>
    <row r="36" spans="1:21" x14ac:dyDescent="0.2">
      <c r="A36">
        <v>294918</v>
      </c>
      <c r="B36" t="s">
        <v>293</v>
      </c>
      <c r="C36">
        <v>0</v>
      </c>
      <c r="D36">
        <v>0</v>
      </c>
      <c r="E36">
        <v>0</v>
      </c>
      <c r="F36">
        <v>0</v>
      </c>
      <c r="G36">
        <v>0</v>
      </c>
      <c r="H36"/>
      <c r="I36"/>
      <c r="J36"/>
      <c r="K36">
        <v>0.1</v>
      </c>
      <c r="L36">
        <v>0.11</v>
      </c>
      <c r="M36"/>
      <c r="N36"/>
      <c r="O36" t="s">
        <v>641</v>
      </c>
      <c r="P36" s="368" t="s">
        <v>806</v>
      </c>
      <c r="Q36" t="s">
        <v>154</v>
      </c>
      <c r="R36" t="s">
        <v>807</v>
      </c>
      <c r="S36" t="s">
        <v>158</v>
      </c>
      <c r="T36" t="s">
        <v>194</v>
      </c>
      <c r="U36"/>
    </row>
    <row r="37" spans="1:21" x14ac:dyDescent="0.2">
      <c r="A37">
        <v>534800</v>
      </c>
      <c r="B37" t="s">
        <v>407</v>
      </c>
      <c r="C37">
        <v>1</v>
      </c>
      <c r="D37">
        <v>0</v>
      </c>
      <c r="E37">
        <v>-1</v>
      </c>
      <c r="F37">
        <v>0</v>
      </c>
      <c r="G37">
        <v>0</v>
      </c>
      <c r="H37">
        <v>3</v>
      </c>
      <c r="I37">
        <v>6</v>
      </c>
      <c r="J37">
        <v>1.2</v>
      </c>
      <c r="K37">
        <v>0.11</v>
      </c>
      <c r="L37">
        <v>0.21</v>
      </c>
      <c r="M37">
        <v>1.7</v>
      </c>
      <c r="N37">
        <v>0.8</v>
      </c>
      <c r="O37" t="s">
        <v>641</v>
      </c>
      <c r="P37" s="368" t="s">
        <v>959</v>
      </c>
      <c r="Q37" t="s">
        <v>154</v>
      </c>
      <c r="R37" t="s">
        <v>1013</v>
      </c>
      <c r="S37" t="s">
        <v>198</v>
      </c>
      <c r="T37" t="s">
        <v>159</v>
      </c>
      <c r="U37"/>
    </row>
    <row r="38" spans="1:21" x14ac:dyDescent="0.2">
      <c r="A38">
        <v>330746</v>
      </c>
      <c r="B38" t="s">
        <v>316</v>
      </c>
      <c r="C38">
        <v>1</v>
      </c>
      <c r="D38">
        <v>0</v>
      </c>
      <c r="E38">
        <v>-1</v>
      </c>
      <c r="F38">
        <v>0</v>
      </c>
      <c r="G38">
        <v>0</v>
      </c>
      <c r="H38">
        <v>2</v>
      </c>
      <c r="I38">
        <v>4</v>
      </c>
      <c r="J38">
        <v>0.8</v>
      </c>
      <c r="K38">
        <v>0.11</v>
      </c>
      <c r="L38">
        <v>0.13</v>
      </c>
      <c r="M38">
        <v>1.4</v>
      </c>
      <c r="N38">
        <v>0.7</v>
      </c>
      <c r="O38" t="s">
        <v>641</v>
      </c>
      <c r="P38" s="368" t="s">
        <v>806</v>
      </c>
      <c r="Q38" t="s">
        <v>154</v>
      </c>
      <c r="R38" t="s">
        <v>843</v>
      </c>
      <c r="S38" t="s">
        <v>158</v>
      </c>
      <c r="T38" t="s">
        <v>159</v>
      </c>
      <c r="U38"/>
    </row>
    <row r="39" spans="1:21" x14ac:dyDescent="0.2">
      <c r="A39">
        <v>718205</v>
      </c>
      <c r="B39" t="s">
        <v>484</v>
      </c>
      <c r="C39">
        <v>0</v>
      </c>
      <c r="D39">
        <v>0</v>
      </c>
      <c r="E39">
        <v>0</v>
      </c>
      <c r="F39">
        <v>0</v>
      </c>
      <c r="G39">
        <v>0</v>
      </c>
      <c r="H39">
        <v>0</v>
      </c>
      <c r="I39">
        <v>0</v>
      </c>
      <c r="J39">
        <v>-0.1</v>
      </c>
      <c r="K39">
        <v>0.11</v>
      </c>
      <c r="L39">
        <v>0.15</v>
      </c>
      <c r="M39">
        <v>0.4</v>
      </c>
      <c r="N39">
        <v>0.4</v>
      </c>
      <c r="O39" t="s">
        <v>641</v>
      </c>
      <c r="P39" s="368" t="s">
        <v>666</v>
      </c>
      <c r="Q39" t="s">
        <v>154</v>
      </c>
      <c r="R39" t="s">
        <v>1146</v>
      </c>
      <c r="S39" t="s">
        <v>187</v>
      </c>
      <c r="T39" t="s">
        <v>194</v>
      </c>
      <c r="U39"/>
    </row>
    <row r="40" spans="1:21" x14ac:dyDescent="0.2">
      <c r="A40">
        <v>442897</v>
      </c>
      <c r="B40" t="s">
        <v>368</v>
      </c>
      <c r="C40">
        <v>0</v>
      </c>
      <c r="D40">
        <v>0</v>
      </c>
      <c r="E40">
        <v>0</v>
      </c>
      <c r="F40">
        <v>0</v>
      </c>
      <c r="G40">
        <v>0</v>
      </c>
      <c r="H40">
        <v>-1</v>
      </c>
      <c r="I40">
        <v>-1</v>
      </c>
      <c r="J40">
        <v>-0.2</v>
      </c>
      <c r="K40">
        <v>0.11</v>
      </c>
      <c r="L40">
        <v>0.21</v>
      </c>
      <c r="M40">
        <v>0.3</v>
      </c>
      <c r="N40">
        <v>0</v>
      </c>
      <c r="O40" t="s">
        <v>641</v>
      </c>
      <c r="P40" s="368" t="s">
        <v>907</v>
      </c>
      <c r="Q40" t="s">
        <v>154</v>
      </c>
      <c r="R40" t="s">
        <v>937</v>
      </c>
      <c r="S40" t="s">
        <v>198</v>
      </c>
      <c r="T40" t="s">
        <v>194</v>
      </c>
      <c r="U40"/>
    </row>
    <row r="41" spans="1:21" x14ac:dyDescent="0.2">
      <c r="A41">
        <v>420646</v>
      </c>
      <c r="B41" t="s">
        <v>359</v>
      </c>
      <c r="C41">
        <v>0</v>
      </c>
      <c r="D41">
        <v>0</v>
      </c>
      <c r="E41">
        <v>-1</v>
      </c>
      <c r="F41">
        <v>0</v>
      </c>
      <c r="G41">
        <v>0</v>
      </c>
      <c r="H41">
        <v>-1</v>
      </c>
      <c r="I41">
        <v>-1</v>
      </c>
      <c r="J41">
        <v>-0.3</v>
      </c>
      <c r="K41">
        <v>0.11</v>
      </c>
      <c r="L41">
        <v>0.2</v>
      </c>
      <c r="M41">
        <v>0.7</v>
      </c>
      <c r="N41">
        <v>-0.2</v>
      </c>
      <c r="O41" t="s">
        <v>641</v>
      </c>
      <c r="P41" s="368" t="s">
        <v>925</v>
      </c>
      <c r="Q41" t="s">
        <v>154</v>
      </c>
      <c r="R41" t="s">
        <v>926</v>
      </c>
      <c r="S41" t="s">
        <v>241</v>
      </c>
      <c r="T41" t="s">
        <v>194</v>
      </c>
      <c r="U41"/>
    </row>
    <row r="42" spans="1:21" x14ac:dyDescent="0.2">
      <c r="A42">
        <v>418699</v>
      </c>
      <c r="B42" t="s">
        <v>595</v>
      </c>
      <c r="C42">
        <v>-1</v>
      </c>
      <c r="D42">
        <v>0</v>
      </c>
      <c r="E42">
        <v>-1</v>
      </c>
      <c r="F42">
        <v>-1</v>
      </c>
      <c r="G42">
        <v>0</v>
      </c>
      <c r="H42">
        <v>0</v>
      </c>
      <c r="I42">
        <v>2</v>
      </c>
      <c r="J42">
        <v>0.3</v>
      </c>
      <c r="K42">
        <v>0.12</v>
      </c>
      <c r="L42">
        <v>0.16</v>
      </c>
      <c r="M42">
        <v>1.1000000000000001</v>
      </c>
      <c r="N42">
        <v>0.3</v>
      </c>
      <c r="O42" t="s">
        <v>641</v>
      </c>
      <c r="P42" s="368" t="s">
        <v>919</v>
      </c>
      <c r="Q42" t="s">
        <v>154</v>
      </c>
      <c r="R42" t="s">
        <v>920</v>
      </c>
      <c r="S42" t="s">
        <v>290</v>
      </c>
      <c r="T42" t="s">
        <v>194</v>
      </c>
      <c r="U42"/>
    </row>
    <row r="43" spans="1:21" x14ac:dyDescent="0.2">
      <c r="A43">
        <v>478313</v>
      </c>
      <c r="B43" t="s">
        <v>382</v>
      </c>
      <c r="C43">
        <v>-2</v>
      </c>
      <c r="D43">
        <v>0</v>
      </c>
      <c r="E43">
        <v>-2</v>
      </c>
      <c r="F43">
        <v>-2</v>
      </c>
      <c r="G43">
        <v>-1</v>
      </c>
      <c r="H43">
        <v>0</v>
      </c>
      <c r="I43">
        <v>0</v>
      </c>
      <c r="J43">
        <v>0</v>
      </c>
      <c r="K43">
        <v>0.12</v>
      </c>
      <c r="L43">
        <v>0.2</v>
      </c>
      <c r="M43">
        <v>1.5</v>
      </c>
      <c r="N43">
        <v>0</v>
      </c>
      <c r="O43" t="s">
        <v>641</v>
      </c>
      <c r="P43" s="368" t="s">
        <v>935</v>
      </c>
      <c r="Q43" t="s">
        <v>154</v>
      </c>
      <c r="R43" t="s">
        <v>960</v>
      </c>
      <c r="S43" t="s">
        <v>383</v>
      </c>
      <c r="T43" t="s">
        <v>194</v>
      </c>
      <c r="U43"/>
    </row>
    <row r="44" spans="1:21" x14ac:dyDescent="0.2">
      <c r="A44">
        <v>613133</v>
      </c>
      <c r="B44" t="s">
        <v>442</v>
      </c>
      <c r="C44">
        <v>0</v>
      </c>
      <c r="D44">
        <v>0</v>
      </c>
      <c r="E44">
        <v>0</v>
      </c>
      <c r="F44">
        <v>0</v>
      </c>
      <c r="G44">
        <v>0</v>
      </c>
      <c r="H44">
        <v>0</v>
      </c>
      <c r="I44">
        <v>0</v>
      </c>
      <c r="J44">
        <v>0</v>
      </c>
      <c r="K44">
        <v>0.12</v>
      </c>
      <c r="L44">
        <v>0.3</v>
      </c>
      <c r="M44">
        <v>0.8</v>
      </c>
      <c r="N44">
        <v>0.1</v>
      </c>
      <c r="O44" t="s">
        <v>641</v>
      </c>
      <c r="P44" s="368" t="s">
        <v>1069</v>
      </c>
      <c r="Q44" t="s">
        <v>154</v>
      </c>
      <c r="R44" t="s">
        <v>1070</v>
      </c>
      <c r="S44" t="s">
        <v>191</v>
      </c>
      <c r="T44" t="s">
        <v>194</v>
      </c>
      <c r="U44"/>
    </row>
    <row r="45" spans="1:21" x14ac:dyDescent="0.2">
      <c r="A45">
        <v>677534</v>
      </c>
      <c r="B45" t="s">
        <v>469</v>
      </c>
      <c r="C45">
        <v>1</v>
      </c>
      <c r="D45">
        <v>0</v>
      </c>
      <c r="E45">
        <v>0</v>
      </c>
      <c r="F45">
        <v>0</v>
      </c>
      <c r="G45">
        <v>0</v>
      </c>
      <c r="H45">
        <v>2</v>
      </c>
      <c r="I45">
        <v>4</v>
      </c>
      <c r="J45">
        <v>0.9</v>
      </c>
      <c r="K45">
        <v>0.13</v>
      </c>
      <c r="L45">
        <v>0.4</v>
      </c>
      <c r="M45">
        <v>1.4</v>
      </c>
      <c r="N45">
        <v>0.7</v>
      </c>
      <c r="O45" t="s">
        <v>641</v>
      </c>
      <c r="P45" s="368" t="s">
        <v>1120</v>
      </c>
      <c r="Q45" t="s">
        <v>154</v>
      </c>
      <c r="R45" t="s">
        <v>1121</v>
      </c>
      <c r="S45" t="s">
        <v>170</v>
      </c>
      <c r="T45" t="s">
        <v>159</v>
      </c>
      <c r="U45"/>
    </row>
    <row r="46" spans="1:21" x14ac:dyDescent="0.2">
      <c r="A46">
        <v>721506</v>
      </c>
      <c r="B46" t="s">
        <v>486</v>
      </c>
      <c r="C46">
        <v>-1</v>
      </c>
      <c r="D46">
        <v>0</v>
      </c>
      <c r="E46">
        <v>-2</v>
      </c>
      <c r="F46">
        <v>-1</v>
      </c>
      <c r="G46">
        <v>0</v>
      </c>
      <c r="H46">
        <v>1</v>
      </c>
      <c r="I46">
        <v>2</v>
      </c>
      <c r="J46">
        <v>0.5</v>
      </c>
      <c r="K46">
        <v>0.13</v>
      </c>
      <c r="L46">
        <v>0.31</v>
      </c>
      <c r="M46">
        <v>1.8</v>
      </c>
      <c r="N46">
        <v>0.3</v>
      </c>
      <c r="O46" t="s">
        <v>641</v>
      </c>
      <c r="P46" s="368" t="s">
        <v>1151</v>
      </c>
      <c r="Q46" t="s">
        <v>154</v>
      </c>
      <c r="R46" t="s">
        <v>1152</v>
      </c>
      <c r="S46" t="s">
        <v>198</v>
      </c>
      <c r="T46" t="s">
        <v>159</v>
      </c>
      <c r="U46"/>
    </row>
    <row r="47" spans="1:21" x14ac:dyDescent="0.2">
      <c r="A47">
        <v>214163</v>
      </c>
      <c r="B47" t="s">
        <v>243</v>
      </c>
      <c r="C47">
        <v>-1</v>
      </c>
      <c r="D47">
        <v>0</v>
      </c>
      <c r="E47">
        <v>-1</v>
      </c>
      <c r="F47">
        <v>-1</v>
      </c>
      <c r="G47">
        <v>-1</v>
      </c>
      <c r="H47">
        <v>-1</v>
      </c>
      <c r="I47">
        <v>-1</v>
      </c>
      <c r="J47">
        <v>-0.1</v>
      </c>
      <c r="K47">
        <v>0.13</v>
      </c>
      <c r="L47">
        <v>0.3</v>
      </c>
      <c r="M47">
        <v>1</v>
      </c>
      <c r="N47">
        <v>-0.1</v>
      </c>
      <c r="O47" t="s">
        <v>641</v>
      </c>
      <c r="P47" s="368" t="s">
        <v>785</v>
      </c>
      <c r="Q47" t="s">
        <v>154</v>
      </c>
      <c r="R47" t="s">
        <v>733</v>
      </c>
      <c r="S47" t="s">
        <v>244</v>
      </c>
      <c r="T47" t="s">
        <v>194</v>
      </c>
      <c r="U47"/>
    </row>
    <row r="48" spans="1:21" x14ac:dyDescent="0.2">
      <c r="A48">
        <v>865774</v>
      </c>
      <c r="B48" t="s">
        <v>536</v>
      </c>
      <c r="C48">
        <v>-1</v>
      </c>
      <c r="D48">
        <v>0</v>
      </c>
      <c r="E48">
        <v>-1</v>
      </c>
      <c r="F48">
        <v>-1</v>
      </c>
      <c r="G48">
        <v>-1</v>
      </c>
      <c r="H48">
        <v>-1</v>
      </c>
      <c r="I48">
        <v>0</v>
      </c>
      <c r="J48">
        <v>-0.1</v>
      </c>
      <c r="K48">
        <v>0.13</v>
      </c>
      <c r="L48">
        <v>0.2</v>
      </c>
      <c r="M48">
        <v>1.3</v>
      </c>
      <c r="N48">
        <v>0</v>
      </c>
      <c r="O48" t="s">
        <v>641</v>
      </c>
      <c r="P48" s="368" t="s">
        <v>785</v>
      </c>
      <c r="Q48" t="s">
        <v>46</v>
      </c>
      <c r="R48" t="s">
        <v>1244</v>
      </c>
      <c r="S48" t="s">
        <v>1352</v>
      </c>
      <c r="T48" t="s">
        <v>194</v>
      </c>
      <c r="U48"/>
    </row>
    <row r="49" spans="1:21" x14ac:dyDescent="0.2">
      <c r="A49">
        <v>331983</v>
      </c>
      <c r="B49" t="s">
        <v>318</v>
      </c>
      <c r="C49">
        <v>0</v>
      </c>
      <c r="D49">
        <v>0</v>
      </c>
      <c r="E49">
        <v>0</v>
      </c>
      <c r="F49">
        <v>0</v>
      </c>
      <c r="G49">
        <v>0</v>
      </c>
      <c r="H49">
        <v>-1</v>
      </c>
      <c r="I49">
        <v>-1</v>
      </c>
      <c r="J49">
        <v>-0.3</v>
      </c>
      <c r="K49">
        <v>0.13</v>
      </c>
      <c r="L49">
        <v>0.25</v>
      </c>
      <c r="M49">
        <v>0.5</v>
      </c>
      <c r="N49">
        <v>-0.2</v>
      </c>
      <c r="O49" t="s">
        <v>641</v>
      </c>
      <c r="P49" s="368" t="s">
        <v>675</v>
      </c>
      <c r="Q49" t="s">
        <v>154</v>
      </c>
      <c r="R49" t="s">
        <v>846</v>
      </c>
      <c r="S49" t="s">
        <v>155</v>
      </c>
      <c r="T49" t="s">
        <v>159</v>
      </c>
      <c r="U49"/>
    </row>
    <row r="50" spans="1:21" x14ac:dyDescent="0.2">
      <c r="A50">
        <v>331686</v>
      </c>
      <c r="B50" t="s">
        <v>317</v>
      </c>
      <c r="C50">
        <v>-3</v>
      </c>
      <c r="D50">
        <v>1</v>
      </c>
      <c r="E50">
        <v>-4</v>
      </c>
      <c r="F50">
        <v>-3</v>
      </c>
      <c r="G50">
        <v>-1</v>
      </c>
      <c r="H50">
        <v>0</v>
      </c>
      <c r="I50">
        <v>1</v>
      </c>
      <c r="J50">
        <v>0.2</v>
      </c>
      <c r="K50">
        <v>0.14000000000000001</v>
      </c>
      <c r="L50">
        <v>0.41</v>
      </c>
      <c r="M50">
        <v>2.8</v>
      </c>
      <c r="N50">
        <v>0</v>
      </c>
      <c r="O50" t="s">
        <v>641</v>
      </c>
      <c r="P50" s="368" t="s">
        <v>844</v>
      </c>
      <c r="Q50" t="s">
        <v>154</v>
      </c>
      <c r="R50" t="s">
        <v>845</v>
      </c>
      <c r="S50" t="s">
        <v>198</v>
      </c>
      <c r="T50" t="s">
        <v>166</v>
      </c>
      <c r="U50"/>
    </row>
    <row r="51" spans="1:21" x14ac:dyDescent="0.2">
      <c r="A51">
        <v>443721</v>
      </c>
      <c r="B51" t="s">
        <v>369</v>
      </c>
      <c r="C51">
        <v>2</v>
      </c>
      <c r="D51">
        <v>-1</v>
      </c>
      <c r="E51">
        <v>-3</v>
      </c>
      <c r="F51">
        <v>0</v>
      </c>
      <c r="G51">
        <v>2</v>
      </c>
      <c r="H51">
        <v>17</v>
      </c>
      <c r="I51">
        <v>26</v>
      </c>
      <c r="J51">
        <v>4.7</v>
      </c>
      <c r="K51">
        <v>0.15</v>
      </c>
      <c r="L51">
        <v>0.28000000000000003</v>
      </c>
      <c r="M51">
        <v>7.5</v>
      </c>
      <c r="N51">
        <v>0.8</v>
      </c>
      <c r="O51" t="s">
        <v>655</v>
      </c>
      <c r="P51" s="368" t="s">
        <v>675</v>
      </c>
      <c r="Q51" t="s">
        <v>46</v>
      </c>
      <c r="R51" t="s">
        <v>938</v>
      </c>
      <c r="S51" t="s">
        <v>356</v>
      </c>
      <c r="T51" t="s">
        <v>199</v>
      </c>
      <c r="U51"/>
    </row>
    <row r="52" spans="1:21" x14ac:dyDescent="0.2">
      <c r="A52">
        <v>242081</v>
      </c>
      <c r="B52" t="s">
        <v>259</v>
      </c>
      <c r="C52">
        <v>2</v>
      </c>
      <c r="D52">
        <v>0</v>
      </c>
      <c r="E52">
        <v>-1</v>
      </c>
      <c r="F52">
        <v>1</v>
      </c>
      <c r="G52">
        <v>0</v>
      </c>
      <c r="H52">
        <v>3</v>
      </c>
      <c r="I52">
        <v>5</v>
      </c>
      <c r="J52">
        <v>0.9</v>
      </c>
      <c r="K52">
        <v>0.15</v>
      </c>
      <c r="L52">
        <v>0.52</v>
      </c>
      <c r="M52">
        <v>1.9</v>
      </c>
      <c r="N52">
        <v>0.6</v>
      </c>
      <c r="O52" t="s">
        <v>641</v>
      </c>
      <c r="P52" s="368" t="s">
        <v>675</v>
      </c>
      <c r="Q52" t="s">
        <v>154</v>
      </c>
      <c r="R52" t="s">
        <v>753</v>
      </c>
      <c r="S52" t="s">
        <v>241</v>
      </c>
      <c r="T52" t="s">
        <v>159</v>
      </c>
      <c r="U52"/>
    </row>
    <row r="53" spans="1:21" x14ac:dyDescent="0.2">
      <c r="A53">
        <v>405704</v>
      </c>
      <c r="B53" t="s">
        <v>352</v>
      </c>
      <c r="C53">
        <v>1</v>
      </c>
      <c r="D53">
        <v>0</v>
      </c>
      <c r="E53">
        <v>0</v>
      </c>
      <c r="F53">
        <v>1</v>
      </c>
      <c r="G53">
        <v>1</v>
      </c>
      <c r="H53">
        <v>1</v>
      </c>
      <c r="I53">
        <v>3</v>
      </c>
      <c r="J53">
        <v>0.6</v>
      </c>
      <c r="K53">
        <v>0.15</v>
      </c>
      <c r="L53">
        <v>0.47</v>
      </c>
      <c r="M53">
        <v>1.2</v>
      </c>
      <c r="N53">
        <v>0.4</v>
      </c>
      <c r="O53" t="s">
        <v>641</v>
      </c>
      <c r="P53" s="368" t="s">
        <v>905</v>
      </c>
      <c r="Q53" t="s">
        <v>46</v>
      </c>
      <c r="R53" t="s">
        <v>906</v>
      </c>
      <c r="S53" t="s">
        <v>184</v>
      </c>
      <c r="T53" t="s">
        <v>270</v>
      </c>
      <c r="U53"/>
    </row>
    <row r="54" spans="1:21" x14ac:dyDescent="0.2">
      <c r="A54">
        <v>131409</v>
      </c>
      <c r="B54" t="s">
        <v>190</v>
      </c>
      <c r="C54">
        <v>-4</v>
      </c>
      <c r="D54">
        <v>-1</v>
      </c>
      <c r="E54">
        <v>-5</v>
      </c>
      <c r="F54">
        <v>-5</v>
      </c>
      <c r="G54">
        <v>-7</v>
      </c>
      <c r="H54">
        <v>-3</v>
      </c>
      <c r="I54">
        <v>2</v>
      </c>
      <c r="J54">
        <v>0.5</v>
      </c>
      <c r="K54">
        <v>0.15</v>
      </c>
      <c r="L54">
        <v>0.5</v>
      </c>
      <c r="M54">
        <v>3.6</v>
      </c>
      <c r="N54">
        <v>-0.2</v>
      </c>
      <c r="O54" t="s">
        <v>641</v>
      </c>
      <c r="P54" s="368" t="s">
        <v>670</v>
      </c>
      <c r="Q54" t="s">
        <v>46</v>
      </c>
      <c r="R54" t="s">
        <v>671</v>
      </c>
      <c r="S54" t="s">
        <v>191</v>
      </c>
      <c r="T54" t="s">
        <v>159</v>
      </c>
      <c r="U54"/>
    </row>
    <row r="55" spans="1:21" x14ac:dyDescent="0.2">
      <c r="A55">
        <v>929224</v>
      </c>
      <c r="B55" t="s">
        <v>555</v>
      </c>
      <c r="C55">
        <v>-1</v>
      </c>
      <c r="D55">
        <v>1</v>
      </c>
      <c r="E55">
        <v>5</v>
      </c>
      <c r="F55">
        <v>-1</v>
      </c>
      <c r="G55">
        <v>15</v>
      </c>
      <c r="H55">
        <v>53</v>
      </c>
      <c r="I55">
        <v>81</v>
      </c>
      <c r="J55">
        <v>12.6</v>
      </c>
      <c r="K55">
        <v>0.16</v>
      </c>
      <c r="L55">
        <v>0.2</v>
      </c>
      <c r="M55">
        <v>16.7</v>
      </c>
      <c r="N55">
        <v>0.9</v>
      </c>
      <c r="O55" t="s">
        <v>641</v>
      </c>
      <c r="P55" s="368" t="s">
        <v>1165</v>
      </c>
      <c r="Q55" t="s">
        <v>154</v>
      </c>
      <c r="R55" t="s">
        <v>1283</v>
      </c>
      <c r="S55" t="s">
        <v>187</v>
      </c>
      <c r="T55" t="s">
        <v>204</v>
      </c>
      <c r="U55"/>
    </row>
    <row r="56" spans="1:21" x14ac:dyDescent="0.2">
      <c r="A56">
        <v>248161</v>
      </c>
      <c r="B56" t="s">
        <v>1375</v>
      </c>
      <c r="C56">
        <v>-3</v>
      </c>
      <c r="D56">
        <v>1</v>
      </c>
      <c r="E56">
        <v>3</v>
      </c>
      <c r="F56">
        <v>-2</v>
      </c>
      <c r="G56">
        <v>12</v>
      </c>
      <c r="H56">
        <v>48</v>
      </c>
      <c r="I56">
        <v>76</v>
      </c>
      <c r="J56">
        <v>12</v>
      </c>
      <c r="K56">
        <v>0.16</v>
      </c>
      <c r="L56">
        <v>0.21</v>
      </c>
      <c r="M56">
        <v>16.600000000000001</v>
      </c>
      <c r="N56">
        <v>0.9</v>
      </c>
      <c r="O56" t="s">
        <v>641</v>
      </c>
      <c r="P56" s="368" t="s">
        <v>785</v>
      </c>
      <c r="Q56" t="s">
        <v>154</v>
      </c>
      <c r="R56" t="s">
        <v>761</v>
      </c>
      <c r="S56" t="s">
        <v>198</v>
      </c>
      <c r="T56" t="s">
        <v>204</v>
      </c>
      <c r="U56"/>
    </row>
    <row r="57" spans="1:21" x14ac:dyDescent="0.2">
      <c r="A57">
        <v>551507</v>
      </c>
      <c r="B57" t="s">
        <v>416</v>
      </c>
      <c r="C57">
        <v>-4</v>
      </c>
      <c r="D57">
        <v>0</v>
      </c>
      <c r="E57">
        <v>3</v>
      </c>
      <c r="F57">
        <v>-4</v>
      </c>
      <c r="G57">
        <v>11</v>
      </c>
      <c r="H57">
        <v>45</v>
      </c>
      <c r="I57">
        <v>73</v>
      </c>
      <c r="J57">
        <v>11.6</v>
      </c>
      <c r="K57">
        <v>0.16</v>
      </c>
      <c r="L57">
        <v>0.2</v>
      </c>
      <c r="M57">
        <v>16.600000000000001</v>
      </c>
      <c r="N57">
        <v>0.8</v>
      </c>
      <c r="O57" t="s">
        <v>641</v>
      </c>
      <c r="P57" s="368" t="s">
        <v>964</v>
      </c>
      <c r="Q57" t="s">
        <v>154</v>
      </c>
      <c r="R57" t="s">
        <v>1026</v>
      </c>
      <c r="S57" t="s">
        <v>241</v>
      </c>
      <c r="T57" t="s">
        <v>204</v>
      </c>
      <c r="U57"/>
    </row>
    <row r="58" spans="1:21" x14ac:dyDescent="0.2">
      <c r="A58">
        <v>658997</v>
      </c>
      <c r="B58" t="s">
        <v>459</v>
      </c>
      <c r="C58">
        <v>-7</v>
      </c>
      <c r="D58">
        <v>1</v>
      </c>
      <c r="E58">
        <v>0</v>
      </c>
      <c r="F58">
        <v>-7</v>
      </c>
      <c r="G58">
        <v>6</v>
      </c>
      <c r="H58">
        <v>31</v>
      </c>
      <c r="I58">
        <v>48</v>
      </c>
      <c r="J58">
        <v>8.1</v>
      </c>
      <c r="K58">
        <v>0.16</v>
      </c>
      <c r="L58">
        <v>0.2</v>
      </c>
      <c r="M58">
        <v>15.5</v>
      </c>
      <c r="N58">
        <v>0.7</v>
      </c>
      <c r="O58" t="s">
        <v>641</v>
      </c>
      <c r="P58" s="368" t="s">
        <v>964</v>
      </c>
      <c r="Q58" t="s">
        <v>154</v>
      </c>
      <c r="R58" t="s">
        <v>1102</v>
      </c>
      <c r="S58" t="s">
        <v>241</v>
      </c>
      <c r="T58" t="s">
        <v>162</v>
      </c>
      <c r="U58"/>
    </row>
    <row r="59" spans="1:21" x14ac:dyDescent="0.2">
      <c r="A59">
        <v>470104</v>
      </c>
      <c r="B59" t="s">
        <v>378</v>
      </c>
      <c r="C59">
        <v>-6</v>
      </c>
      <c r="D59">
        <v>2</v>
      </c>
      <c r="E59">
        <v>1</v>
      </c>
      <c r="F59">
        <v>-6</v>
      </c>
      <c r="G59">
        <v>7</v>
      </c>
      <c r="H59">
        <v>22</v>
      </c>
      <c r="I59">
        <v>36</v>
      </c>
      <c r="J59">
        <v>6.3</v>
      </c>
      <c r="K59">
        <v>0.16</v>
      </c>
      <c r="L59">
        <v>0.2</v>
      </c>
      <c r="M59">
        <v>13.2</v>
      </c>
      <c r="N59">
        <v>0.6</v>
      </c>
      <c r="O59" t="s">
        <v>641</v>
      </c>
      <c r="P59" s="368" t="s">
        <v>931</v>
      </c>
      <c r="Q59" t="s">
        <v>154</v>
      </c>
      <c r="R59" t="s">
        <v>954</v>
      </c>
      <c r="S59" t="s">
        <v>241</v>
      </c>
      <c r="T59" t="s">
        <v>214</v>
      </c>
      <c r="U59"/>
    </row>
    <row r="60" spans="1:21" x14ac:dyDescent="0.2">
      <c r="A60">
        <v>176503</v>
      </c>
      <c r="B60" t="s">
        <v>1372</v>
      </c>
      <c r="C60">
        <v>-6</v>
      </c>
      <c r="D60">
        <v>2</v>
      </c>
      <c r="E60">
        <v>1</v>
      </c>
      <c r="F60">
        <v>-6</v>
      </c>
      <c r="G60">
        <v>6</v>
      </c>
      <c r="H60">
        <v>22</v>
      </c>
      <c r="I60">
        <v>32</v>
      </c>
      <c r="J60">
        <v>5.6</v>
      </c>
      <c r="K60">
        <v>0.16</v>
      </c>
      <c r="L60">
        <v>0.21</v>
      </c>
      <c r="M60">
        <v>13.2</v>
      </c>
      <c r="N60">
        <v>0.6</v>
      </c>
      <c r="O60" t="s">
        <v>641</v>
      </c>
      <c r="P60" s="368" t="s">
        <v>785</v>
      </c>
      <c r="Q60" t="s">
        <v>154</v>
      </c>
      <c r="R60" t="s">
        <v>708</v>
      </c>
      <c r="S60" t="s">
        <v>198</v>
      </c>
      <c r="T60" t="s">
        <v>214</v>
      </c>
      <c r="U60"/>
    </row>
    <row r="61" spans="1:21" x14ac:dyDescent="0.2">
      <c r="A61">
        <v>212332</v>
      </c>
      <c r="B61" t="s">
        <v>242</v>
      </c>
      <c r="C61">
        <v>-8</v>
      </c>
      <c r="D61">
        <v>4</v>
      </c>
      <c r="E61">
        <v>0</v>
      </c>
      <c r="F61">
        <v>-5</v>
      </c>
      <c r="G61">
        <v>9</v>
      </c>
      <c r="H61">
        <v>13</v>
      </c>
      <c r="I61">
        <v>26</v>
      </c>
      <c r="J61">
        <v>4.7</v>
      </c>
      <c r="K61">
        <v>0.16</v>
      </c>
      <c r="L61">
        <v>0.21</v>
      </c>
      <c r="M61">
        <v>16.100000000000001</v>
      </c>
      <c r="N61">
        <v>0.3</v>
      </c>
      <c r="O61" t="s">
        <v>641</v>
      </c>
      <c r="P61" s="368" t="s">
        <v>675</v>
      </c>
      <c r="Q61" t="s">
        <v>154</v>
      </c>
      <c r="R61" t="s">
        <v>732</v>
      </c>
      <c r="S61" t="s">
        <v>198</v>
      </c>
      <c r="T61" t="s">
        <v>209</v>
      </c>
      <c r="U61"/>
    </row>
    <row r="62" spans="1:21" x14ac:dyDescent="0.2">
      <c r="A62">
        <v>465914</v>
      </c>
      <c r="B62" t="s">
        <v>617</v>
      </c>
      <c r="C62">
        <v>-7</v>
      </c>
      <c r="D62">
        <v>5</v>
      </c>
      <c r="E62">
        <v>0</v>
      </c>
      <c r="F62">
        <v>-4</v>
      </c>
      <c r="G62">
        <v>10</v>
      </c>
      <c r="H62">
        <v>13</v>
      </c>
      <c r="I62">
        <v>26</v>
      </c>
      <c r="J62">
        <v>4.7</v>
      </c>
      <c r="K62">
        <v>0.16</v>
      </c>
      <c r="L62">
        <v>0.2</v>
      </c>
      <c r="M62">
        <v>16.5</v>
      </c>
      <c r="N62">
        <v>0.3</v>
      </c>
      <c r="O62" t="s">
        <v>641</v>
      </c>
      <c r="P62" s="368" t="s">
        <v>950</v>
      </c>
      <c r="Q62" t="s">
        <v>154</v>
      </c>
      <c r="R62" t="s">
        <v>951</v>
      </c>
      <c r="S62" t="s">
        <v>187</v>
      </c>
      <c r="T62" t="s">
        <v>209</v>
      </c>
      <c r="U62"/>
    </row>
    <row r="63" spans="1:21" x14ac:dyDescent="0.2">
      <c r="A63">
        <v>587337</v>
      </c>
      <c r="B63" t="s">
        <v>435</v>
      </c>
      <c r="C63">
        <v>-7</v>
      </c>
      <c r="D63">
        <v>4</v>
      </c>
      <c r="E63">
        <v>0</v>
      </c>
      <c r="F63">
        <v>-5</v>
      </c>
      <c r="G63">
        <v>10</v>
      </c>
      <c r="H63">
        <v>13</v>
      </c>
      <c r="I63">
        <v>25</v>
      </c>
      <c r="J63">
        <v>4.5999999999999996</v>
      </c>
      <c r="K63">
        <v>0.16</v>
      </c>
      <c r="L63">
        <v>0.2</v>
      </c>
      <c r="M63">
        <v>16.399999999999999</v>
      </c>
      <c r="N63">
        <v>0.3</v>
      </c>
      <c r="O63" t="s">
        <v>641</v>
      </c>
      <c r="P63" s="368" t="s">
        <v>964</v>
      </c>
      <c r="Q63" t="s">
        <v>154</v>
      </c>
      <c r="R63" t="s">
        <v>1059</v>
      </c>
      <c r="S63" t="s">
        <v>241</v>
      </c>
      <c r="T63" t="s">
        <v>209</v>
      </c>
      <c r="U63"/>
    </row>
    <row r="64" spans="1:21" x14ac:dyDescent="0.2">
      <c r="A64">
        <v>629543</v>
      </c>
      <c r="B64" t="s">
        <v>449</v>
      </c>
      <c r="C64">
        <v>-13</v>
      </c>
      <c r="D64">
        <v>0</v>
      </c>
      <c r="E64">
        <v>-5</v>
      </c>
      <c r="F64">
        <v>-11</v>
      </c>
      <c r="G64">
        <v>-1</v>
      </c>
      <c r="H64">
        <v>7</v>
      </c>
      <c r="I64">
        <v>13</v>
      </c>
      <c r="J64">
        <v>2.5</v>
      </c>
      <c r="K64">
        <v>0.16</v>
      </c>
      <c r="L64">
        <v>0.2</v>
      </c>
      <c r="M64">
        <v>14.6</v>
      </c>
      <c r="N64">
        <v>0.2</v>
      </c>
      <c r="O64" t="s">
        <v>641</v>
      </c>
      <c r="P64" s="368" t="s">
        <v>785</v>
      </c>
      <c r="Q64" t="s">
        <v>154</v>
      </c>
      <c r="R64" t="s">
        <v>1084</v>
      </c>
      <c r="S64" t="s">
        <v>187</v>
      </c>
      <c r="T64" t="s">
        <v>185</v>
      </c>
      <c r="U64"/>
    </row>
    <row r="65" spans="1:21" x14ac:dyDescent="0.2">
      <c r="A65">
        <v>140673</v>
      </c>
      <c r="B65" t="s">
        <v>1371</v>
      </c>
      <c r="C65">
        <v>-13</v>
      </c>
      <c r="D65">
        <v>2</v>
      </c>
      <c r="E65">
        <v>-5</v>
      </c>
      <c r="F65">
        <v>-12</v>
      </c>
      <c r="G65">
        <v>-3</v>
      </c>
      <c r="H65">
        <v>6</v>
      </c>
      <c r="I65">
        <v>12</v>
      </c>
      <c r="J65">
        <v>2.4</v>
      </c>
      <c r="K65">
        <v>0.16</v>
      </c>
      <c r="L65">
        <v>0.21</v>
      </c>
      <c r="M65">
        <v>14.2</v>
      </c>
      <c r="N65">
        <v>0.2</v>
      </c>
      <c r="O65" t="s">
        <v>641</v>
      </c>
      <c r="P65" s="368" t="s">
        <v>785</v>
      </c>
      <c r="Q65" t="s">
        <v>154</v>
      </c>
      <c r="R65" t="s">
        <v>676</v>
      </c>
      <c r="S65" t="s">
        <v>198</v>
      </c>
      <c r="T65" t="s">
        <v>185</v>
      </c>
      <c r="U65"/>
    </row>
    <row r="66" spans="1:21" x14ac:dyDescent="0.2">
      <c r="A66">
        <v>479840</v>
      </c>
      <c r="B66" t="s">
        <v>385</v>
      </c>
      <c r="C66">
        <v>-15</v>
      </c>
      <c r="D66">
        <v>1</v>
      </c>
      <c r="E66">
        <v>-7</v>
      </c>
      <c r="F66">
        <v>-13</v>
      </c>
      <c r="G66">
        <v>-5</v>
      </c>
      <c r="H66">
        <v>4</v>
      </c>
      <c r="I66">
        <v>12</v>
      </c>
      <c r="J66">
        <v>2.2000000000000002</v>
      </c>
      <c r="K66">
        <v>0.16</v>
      </c>
      <c r="L66">
        <v>0.21</v>
      </c>
      <c r="M66">
        <v>14.4</v>
      </c>
      <c r="N66">
        <v>0.2</v>
      </c>
      <c r="O66" t="s">
        <v>641</v>
      </c>
      <c r="P66" s="368" t="s">
        <v>964</v>
      </c>
      <c r="Q66" t="s">
        <v>154</v>
      </c>
      <c r="R66" t="s">
        <v>965</v>
      </c>
      <c r="S66" t="s">
        <v>241</v>
      </c>
      <c r="T66" t="s">
        <v>185</v>
      </c>
      <c r="U66"/>
    </row>
    <row r="67" spans="1:21" x14ac:dyDescent="0.2">
      <c r="A67">
        <v>554691</v>
      </c>
      <c r="B67" t="s">
        <v>634</v>
      </c>
      <c r="C67">
        <v>1</v>
      </c>
      <c r="D67">
        <v>0</v>
      </c>
      <c r="E67">
        <v>-1</v>
      </c>
      <c r="F67">
        <v>0</v>
      </c>
      <c r="G67">
        <v>0</v>
      </c>
      <c r="H67">
        <v>4</v>
      </c>
      <c r="I67">
        <v>7</v>
      </c>
      <c r="J67">
        <v>1.4</v>
      </c>
      <c r="K67">
        <v>0.16</v>
      </c>
      <c r="L67">
        <v>0.5</v>
      </c>
      <c r="M67">
        <v>2.2999999999999998</v>
      </c>
      <c r="N67">
        <v>0.7</v>
      </c>
      <c r="O67" t="s">
        <v>641</v>
      </c>
      <c r="P67" s="368" t="s">
        <v>1029</v>
      </c>
      <c r="Q67" t="s">
        <v>154</v>
      </c>
      <c r="R67" t="s">
        <v>1030</v>
      </c>
      <c r="S67" t="s">
        <v>244</v>
      </c>
      <c r="T67" t="s">
        <v>159</v>
      </c>
      <c r="U67"/>
    </row>
    <row r="68" spans="1:21" x14ac:dyDescent="0.2">
      <c r="A68">
        <v>648964</v>
      </c>
      <c r="B68" t="s">
        <v>454</v>
      </c>
      <c r="C68">
        <v>0</v>
      </c>
      <c r="D68">
        <v>0</v>
      </c>
      <c r="E68">
        <v>-2</v>
      </c>
      <c r="F68">
        <v>0</v>
      </c>
      <c r="G68">
        <v>0</v>
      </c>
      <c r="H68">
        <v>4</v>
      </c>
      <c r="I68">
        <v>6</v>
      </c>
      <c r="J68">
        <v>1.3</v>
      </c>
      <c r="K68">
        <v>0.16</v>
      </c>
      <c r="L68">
        <v>0.65</v>
      </c>
      <c r="M68">
        <v>2.8</v>
      </c>
      <c r="N68">
        <v>0.6</v>
      </c>
      <c r="O68" t="s">
        <v>641</v>
      </c>
      <c r="P68" s="368" t="s">
        <v>1069</v>
      </c>
      <c r="Q68" t="s">
        <v>154</v>
      </c>
      <c r="R68" t="s">
        <v>1096</v>
      </c>
      <c r="S68" t="s">
        <v>728</v>
      </c>
      <c r="T68" t="s">
        <v>159</v>
      </c>
      <c r="U68"/>
    </row>
    <row r="69" spans="1:21" x14ac:dyDescent="0.2">
      <c r="A69">
        <v>726117</v>
      </c>
      <c r="B69" t="s">
        <v>488</v>
      </c>
      <c r="C69">
        <v>1</v>
      </c>
      <c r="D69">
        <v>0</v>
      </c>
      <c r="E69">
        <v>0</v>
      </c>
      <c r="F69">
        <v>0</v>
      </c>
      <c r="G69">
        <v>0</v>
      </c>
      <c r="H69">
        <v>2</v>
      </c>
      <c r="I69">
        <v>4</v>
      </c>
      <c r="J69">
        <v>0.8</v>
      </c>
      <c r="K69">
        <v>0.16</v>
      </c>
      <c r="L69">
        <v>0.41</v>
      </c>
      <c r="M69">
        <v>1.5</v>
      </c>
      <c r="N69">
        <v>0.6</v>
      </c>
      <c r="O69" t="s">
        <v>641</v>
      </c>
      <c r="P69" s="368" t="s">
        <v>675</v>
      </c>
      <c r="Q69" t="s">
        <v>154</v>
      </c>
      <c r="R69" t="s">
        <v>1155</v>
      </c>
      <c r="S69" t="s">
        <v>155</v>
      </c>
      <c r="T69" t="s">
        <v>159</v>
      </c>
      <c r="U69"/>
    </row>
    <row r="70" spans="1:21" x14ac:dyDescent="0.2">
      <c r="A70">
        <v>574582</v>
      </c>
      <c r="B70" t="s">
        <v>430</v>
      </c>
      <c r="C70">
        <v>-1</v>
      </c>
      <c r="D70">
        <v>0</v>
      </c>
      <c r="E70">
        <v>-2</v>
      </c>
      <c r="F70">
        <v>-1</v>
      </c>
      <c r="G70">
        <v>-1</v>
      </c>
      <c r="H70">
        <v>0</v>
      </c>
      <c r="I70">
        <v>0</v>
      </c>
      <c r="J70">
        <v>0.1</v>
      </c>
      <c r="K70">
        <v>0.16</v>
      </c>
      <c r="L70">
        <v>0.3</v>
      </c>
      <c r="M70">
        <v>1.5</v>
      </c>
      <c r="N70">
        <v>0.1</v>
      </c>
      <c r="O70" t="s">
        <v>641</v>
      </c>
      <c r="P70" s="368" t="s">
        <v>1049</v>
      </c>
      <c r="Q70" t="s">
        <v>46</v>
      </c>
      <c r="R70" t="s">
        <v>1050</v>
      </c>
      <c r="S70" t="s">
        <v>250</v>
      </c>
      <c r="T70" t="s">
        <v>166</v>
      </c>
      <c r="U70"/>
    </row>
    <row r="71" spans="1:21" x14ac:dyDescent="0.2">
      <c r="A71">
        <v>114819</v>
      </c>
      <c r="B71" t="s">
        <v>148</v>
      </c>
      <c r="C71">
        <v>-7</v>
      </c>
      <c r="D71">
        <v>0</v>
      </c>
      <c r="E71">
        <v>0</v>
      </c>
      <c r="F71">
        <v>-6</v>
      </c>
      <c r="G71">
        <v>6</v>
      </c>
      <c r="H71">
        <v>32</v>
      </c>
      <c r="I71"/>
      <c r="J71"/>
      <c r="K71">
        <v>0.16</v>
      </c>
      <c r="L71">
        <v>0.2</v>
      </c>
      <c r="M71">
        <v>15.3</v>
      </c>
      <c r="N71">
        <v>0.7</v>
      </c>
      <c r="O71" t="s">
        <v>641</v>
      </c>
      <c r="P71" s="368" t="s">
        <v>651</v>
      </c>
      <c r="Q71" t="s">
        <v>154</v>
      </c>
      <c r="R71" t="s">
        <v>652</v>
      </c>
      <c r="S71" t="s">
        <v>170</v>
      </c>
      <c r="T71" t="s">
        <v>162</v>
      </c>
      <c r="U71"/>
    </row>
    <row r="72" spans="1:21" x14ac:dyDescent="0.2">
      <c r="A72">
        <v>150649</v>
      </c>
      <c r="B72" t="s">
        <v>203</v>
      </c>
      <c r="C72">
        <v>-4</v>
      </c>
      <c r="D72">
        <v>0</v>
      </c>
      <c r="E72">
        <v>3</v>
      </c>
      <c r="F72">
        <v>-4</v>
      </c>
      <c r="G72">
        <v>11</v>
      </c>
      <c r="H72">
        <v>47</v>
      </c>
      <c r="I72"/>
      <c r="J72"/>
      <c r="K72">
        <v>0.16</v>
      </c>
      <c r="L72">
        <v>0.2</v>
      </c>
      <c r="M72">
        <v>16.7</v>
      </c>
      <c r="N72">
        <v>0.9</v>
      </c>
      <c r="O72" t="s">
        <v>641</v>
      </c>
      <c r="P72" s="368" t="s">
        <v>681</v>
      </c>
      <c r="Q72" t="s">
        <v>154</v>
      </c>
      <c r="R72" t="s">
        <v>682</v>
      </c>
      <c r="S72" t="s">
        <v>170</v>
      </c>
      <c r="T72" t="s">
        <v>204</v>
      </c>
      <c r="U72"/>
    </row>
    <row r="73" spans="1:21" x14ac:dyDescent="0.2">
      <c r="A73">
        <v>719674</v>
      </c>
      <c r="B73" t="s">
        <v>151</v>
      </c>
      <c r="C73">
        <v>-7</v>
      </c>
      <c r="D73">
        <v>5</v>
      </c>
      <c r="E73">
        <v>0</v>
      </c>
      <c r="F73">
        <v>-4</v>
      </c>
      <c r="G73">
        <v>10</v>
      </c>
      <c r="H73">
        <v>13</v>
      </c>
      <c r="I73"/>
      <c r="J73"/>
      <c r="K73">
        <v>0.16</v>
      </c>
      <c r="L73">
        <v>0.2</v>
      </c>
      <c r="M73">
        <v>16.399999999999999</v>
      </c>
      <c r="N73">
        <v>0.3</v>
      </c>
      <c r="O73" t="s">
        <v>641</v>
      </c>
      <c r="P73" s="368" t="s">
        <v>1147</v>
      </c>
      <c r="Q73" t="s">
        <v>154</v>
      </c>
      <c r="R73" t="s">
        <v>1148</v>
      </c>
      <c r="S73" t="s">
        <v>170</v>
      </c>
      <c r="T73" t="s">
        <v>209</v>
      </c>
      <c r="U73"/>
    </row>
    <row r="74" spans="1:21" x14ac:dyDescent="0.2">
      <c r="A74">
        <v>755504</v>
      </c>
      <c r="B74" t="s">
        <v>500</v>
      </c>
      <c r="C74">
        <v>-14</v>
      </c>
      <c r="D74">
        <v>2</v>
      </c>
      <c r="E74">
        <v>-6</v>
      </c>
      <c r="F74">
        <v>-12</v>
      </c>
      <c r="G74">
        <v>-3</v>
      </c>
      <c r="H74">
        <v>6</v>
      </c>
      <c r="I74"/>
      <c r="J74"/>
      <c r="K74">
        <v>0.16</v>
      </c>
      <c r="L74">
        <v>0.2</v>
      </c>
      <c r="M74">
        <v>14.1</v>
      </c>
      <c r="N74">
        <v>0.2</v>
      </c>
      <c r="O74" t="s">
        <v>641</v>
      </c>
      <c r="P74" s="368" t="s">
        <v>1147</v>
      </c>
      <c r="Q74" t="s">
        <v>154</v>
      </c>
      <c r="R74" t="s">
        <v>1174</v>
      </c>
      <c r="S74" t="s">
        <v>170</v>
      </c>
      <c r="T74" t="s">
        <v>185</v>
      </c>
      <c r="U74"/>
    </row>
    <row r="75" spans="1:21" x14ac:dyDescent="0.2">
      <c r="A75">
        <v>978981</v>
      </c>
      <c r="B75" t="s">
        <v>567</v>
      </c>
      <c r="C75">
        <v>-12</v>
      </c>
      <c r="D75">
        <v>-6</v>
      </c>
      <c r="E75">
        <v>-8</v>
      </c>
      <c r="F75">
        <v>-8</v>
      </c>
      <c r="G75">
        <v>-2</v>
      </c>
      <c r="H75">
        <v>13</v>
      </c>
      <c r="I75"/>
      <c r="J75"/>
      <c r="K75">
        <v>0.16</v>
      </c>
      <c r="L75">
        <v>0.2</v>
      </c>
      <c r="M75">
        <v>14.5</v>
      </c>
      <c r="N75">
        <v>0.4</v>
      </c>
      <c r="O75" t="s">
        <v>641</v>
      </c>
      <c r="P75" s="368" t="s">
        <v>681</v>
      </c>
      <c r="Q75" t="s">
        <v>154</v>
      </c>
      <c r="R75" t="s">
        <v>1305</v>
      </c>
      <c r="S75" t="s">
        <v>170</v>
      </c>
      <c r="T75" t="s">
        <v>263</v>
      </c>
      <c r="U75"/>
    </row>
    <row r="76" spans="1:21" x14ac:dyDescent="0.2">
      <c r="A76">
        <v>256362</v>
      </c>
      <c r="B76" t="s">
        <v>272</v>
      </c>
      <c r="C76">
        <v>-4</v>
      </c>
      <c r="D76">
        <v>0</v>
      </c>
      <c r="E76">
        <v>2</v>
      </c>
      <c r="F76">
        <v>-4</v>
      </c>
      <c r="G76">
        <v>11</v>
      </c>
      <c r="H76">
        <v>45</v>
      </c>
      <c r="I76">
        <v>69</v>
      </c>
      <c r="J76">
        <v>11.1</v>
      </c>
      <c r="K76">
        <v>0.17</v>
      </c>
      <c r="L76">
        <v>0.25</v>
      </c>
      <c r="M76">
        <v>17.100000000000001</v>
      </c>
      <c r="N76">
        <v>0.8</v>
      </c>
      <c r="O76" t="s">
        <v>641</v>
      </c>
      <c r="P76" s="368" t="s">
        <v>766</v>
      </c>
      <c r="Q76" t="s">
        <v>154</v>
      </c>
      <c r="R76" t="s">
        <v>767</v>
      </c>
      <c r="S76" t="s">
        <v>155</v>
      </c>
      <c r="T76" t="s">
        <v>204</v>
      </c>
      <c r="U76"/>
    </row>
    <row r="77" spans="1:21" x14ac:dyDescent="0.2">
      <c r="A77">
        <v>723270</v>
      </c>
      <c r="B77" t="s">
        <v>487</v>
      </c>
      <c r="C77">
        <v>-6</v>
      </c>
      <c r="D77">
        <v>1</v>
      </c>
      <c r="E77">
        <v>-2</v>
      </c>
      <c r="F77">
        <v>-6</v>
      </c>
      <c r="G77">
        <v>6</v>
      </c>
      <c r="H77">
        <v>31</v>
      </c>
      <c r="I77">
        <v>48</v>
      </c>
      <c r="J77">
        <v>8.1999999999999993</v>
      </c>
      <c r="K77">
        <v>0.17</v>
      </c>
      <c r="L77">
        <v>0.21</v>
      </c>
      <c r="M77">
        <v>15.5</v>
      </c>
      <c r="N77">
        <v>0.7</v>
      </c>
      <c r="O77" t="s">
        <v>646</v>
      </c>
      <c r="P77" s="368" t="s">
        <v>1126</v>
      </c>
      <c r="Q77" t="s">
        <v>46</v>
      </c>
      <c r="R77" t="s">
        <v>1154</v>
      </c>
      <c r="S77" t="s">
        <v>179</v>
      </c>
      <c r="T77" t="s">
        <v>162</v>
      </c>
      <c r="U77"/>
    </row>
    <row r="78" spans="1:21" x14ac:dyDescent="0.2">
      <c r="A78">
        <v>545426</v>
      </c>
      <c r="B78" t="s">
        <v>412</v>
      </c>
      <c r="C78">
        <v>-7</v>
      </c>
      <c r="D78">
        <v>0</v>
      </c>
      <c r="E78">
        <v>0</v>
      </c>
      <c r="F78">
        <v>-7</v>
      </c>
      <c r="G78">
        <v>6</v>
      </c>
      <c r="H78">
        <v>31</v>
      </c>
      <c r="I78">
        <v>48</v>
      </c>
      <c r="J78">
        <v>8.1</v>
      </c>
      <c r="K78">
        <v>0.17</v>
      </c>
      <c r="L78">
        <v>0.26</v>
      </c>
      <c r="M78">
        <v>15.6</v>
      </c>
      <c r="N78">
        <v>0.7</v>
      </c>
      <c r="O78" t="s">
        <v>641</v>
      </c>
      <c r="P78" s="368" t="s">
        <v>1021</v>
      </c>
      <c r="Q78" t="s">
        <v>154</v>
      </c>
      <c r="R78" t="s">
        <v>1022</v>
      </c>
      <c r="S78" t="s">
        <v>155</v>
      </c>
      <c r="T78" t="s">
        <v>162</v>
      </c>
      <c r="U78"/>
    </row>
    <row r="79" spans="1:21" x14ac:dyDescent="0.2">
      <c r="A79">
        <v>407064</v>
      </c>
      <c r="B79" t="s">
        <v>1378</v>
      </c>
      <c r="C79">
        <v>-7</v>
      </c>
      <c r="D79">
        <v>0</v>
      </c>
      <c r="E79">
        <v>-1</v>
      </c>
      <c r="F79">
        <v>-6</v>
      </c>
      <c r="G79">
        <v>5</v>
      </c>
      <c r="H79">
        <v>29</v>
      </c>
      <c r="I79">
        <v>45</v>
      </c>
      <c r="J79">
        <v>7.7</v>
      </c>
      <c r="K79">
        <v>0.17</v>
      </c>
      <c r="L79">
        <v>0.32</v>
      </c>
      <c r="M79">
        <v>14.9</v>
      </c>
      <c r="N79">
        <v>0.7</v>
      </c>
      <c r="O79" t="s">
        <v>641</v>
      </c>
      <c r="P79" s="368" t="s">
        <v>907</v>
      </c>
      <c r="Q79" t="s">
        <v>154</v>
      </c>
      <c r="R79" t="s">
        <v>908</v>
      </c>
      <c r="S79" t="s">
        <v>198</v>
      </c>
      <c r="T79" t="s">
        <v>162</v>
      </c>
      <c r="U79"/>
    </row>
    <row r="80" spans="1:21" x14ac:dyDescent="0.2">
      <c r="A80">
        <v>582791</v>
      </c>
      <c r="B80" t="s">
        <v>433</v>
      </c>
      <c r="C80">
        <v>-6</v>
      </c>
      <c r="D80">
        <v>2</v>
      </c>
      <c r="E80">
        <v>1</v>
      </c>
      <c r="F80">
        <v>-6</v>
      </c>
      <c r="G80">
        <v>7</v>
      </c>
      <c r="H80">
        <v>23</v>
      </c>
      <c r="I80">
        <v>31</v>
      </c>
      <c r="J80">
        <v>5.6</v>
      </c>
      <c r="K80">
        <v>0.17</v>
      </c>
      <c r="L80">
        <v>0.25</v>
      </c>
      <c r="M80">
        <v>13.3</v>
      </c>
      <c r="N80">
        <v>0.6</v>
      </c>
      <c r="O80" t="s">
        <v>641</v>
      </c>
      <c r="P80" s="368" t="s">
        <v>993</v>
      </c>
      <c r="Q80" t="s">
        <v>154</v>
      </c>
      <c r="R80" t="s">
        <v>1056</v>
      </c>
      <c r="S80" t="s">
        <v>155</v>
      </c>
      <c r="T80" t="s">
        <v>214</v>
      </c>
      <c r="U80"/>
    </row>
    <row r="81" spans="1:21" x14ac:dyDescent="0.2">
      <c r="A81">
        <v>292193</v>
      </c>
      <c r="B81" t="s">
        <v>291</v>
      </c>
      <c r="C81">
        <v>-7</v>
      </c>
      <c r="D81">
        <v>6</v>
      </c>
      <c r="E81">
        <v>0</v>
      </c>
      <c r="F81">
        <v>-3</v>
      </c>
      <c r="G81">
        <v>12</v>
      </c>
      <c r="H81">
        <v>16</v>
      </c>
      <c r="I81">
        <v>28</v>
      </c>
      <c r="J81">
        <v>5</v>
      </c>
      <c r="K81">
        <v>0.17</v>
      </c>
      <c r="L81">
        <v>0.25</v>
      </c>
      <c r="M81">
        <v>17</v>
      </c>
      <c r="N81">
        <v>0.4</v>
      </c>
      <c r="O81" t="s">
        <v>641</v>
      </c>
      <c r="P81" s="368" t="s">
        <v>766</v>
      </c>
      <c r="Q81" t="s">
        <v>154</v>
      </c>
      <c r="R81" t="s">
        <v>804</v>
      </c>
      <c r="S81" t="s">
        <v>155</v>
      </c>
      <c r="T81" t="s">
        <v>209</v>
      </c>
      <c r="U81"/>
    </row>
    <row r="82" spans="1:21" x14ac:dyDescent="0.2">
      <c r="A82">
        <v>654459</v>
      </c>
      <c r="B82" t="s">
        <v>458</v>
      </c>
      <c r="C82">
        <v>-15</v>
      </c>
      <c r="D82">
        <v>1</v>
      </c>
      <c r="E82">
        <v>-6</v>
      </c>
      <c r="F82">
        <v>-13</v>
      </c>
      <c r="G82">
        <v>-4</v>
      </c>
      <c r="H82">
        <v>6</v>
      </c>
      <c r="I82">
        <v>12</v>
      </c>
      <c r="J82">
        <v>2.2000000000000002</v>
      </c>
      <c r="K82">
        <v>0.17</v>
      </c>
      <c r="L82">
        <v>0.26</v>
      </c>
      <c r="M82">
        <v>14.4</v>
      </c>
      <c r="N82">
        <v>0.2</v>
      </c>
      <c r="O82" t="s">
        <v>641</v>
      </c>
      <c r="P82" s="368" t="s">
        <v>675</v>
      </c>
      <c r="Q82" t="s">
        <v>154</v>
      </c>
      <c r="R82" t="s">
        <v>1101</v>
      </c>
      <c r="S82" t="s">
        <v>155</v>
      </c>
      <c r="T82" t="s">
        <v>185</v>
      </c>
      <c r="U82"/>
    </row>
    <row r="83" spans="1:21" x14ac:dyDescent="0.2">
      <c r="A83">
        <v>840090</v>
      </c>
      <c r="B83" t="s">
        <v>526</v>
      </c>
      <c r="C83">
        <v>0</v>
      </c>
      <c r="D83">
        <v>1</v>
      </c>
      <c r="E83">
        <v>-1</v>
      </c>
      <c r="F83">
        <v>0</v>
      </c>
      <c r="G83">
        <v>1</v>
      </c>
      <c r="H83">
        <v>3</v>
      </c>
      <c r="I83">
        <v>7</v>
      </c>
      <c r="J83">
        <v>1.3</v>
      </c>
      <c r="K83">
        <v>0.17</v>
      </c>
      <c r="L83">
        <v>0.71</v>
      </c>
      <c r="M83">
        <v>2.7</v>
      </c>
      <c r="N83">
        <v>0.5</v>
      </c>
      <c r="O83" t="s">
        <v>641</v>
      </c>
      <c r="P83" s="368" t="s">
        <v>1219</v>
      </c>
      <c r="Q83" t="s">
        <v>46</v>
      </c>
      <c r="R83" t="s">
        <v>1220</v>
      </c>
      <c r="S83" t="s">
        <v>191</v>
      </c>
      <c r="T83" t="s">
        <v>169</v>
      </c>
      <c r="U83"/>
    </row>
    <row r="84" spans="1:21" x14ac:dyDescent="0.2">
      <c r="A84">
        <v>496497</v>
      </c>
      <c r="B84" t="s">
        <v>618</v>
      </c>
      <c r="C84">
        <v>-6</v>
      </c>
      <c r="D84">
        <v>-2</v>
      </c>
      <c r="E84">
        <v>-6</v>
      </c>
      <c r="F84">
        <v>-6</v>
      </c>
      <c r="G84">
        <v>-6</v>
      </c>
      <c r="H84">
        <v>-3</v>
      </c>
      <c r="I84">
        <v>1</v>
      </c>
      <c r="J84">
        <v>0.3</v>
      </c>
      <c r="K84">
        <v>0.17</v>
      </c>
      <c r="L84">
        <v>0.56000000000000005</v>
      </c>
      <c r="M84">
        <v>3.3</v>
      </c>
      <c r="N84">
        <v>-0.2</v>
      </c>
      <c r="O84" t="s">
        <v>641</v>
      </c>
      <c r="P84" s="368" t="s">
        <v>982</v>
      </c>
      <c r="Q84" t="s">
        <v>46</v>
      </c>
      <c r="R84" t="s">
        <v>983</v>
      </c>
      <c r="S84" t="s">
        <v>184</v>
      </c>
      <c r="T84" t="s">
        <v>159</v>
      </c>
      <c r="U84"/>
    </row>
    <row r="85" spans="1:21" x14ac:dyDescent="0.2">
      <c r="A85">
        <v>134593</v>
      </c>
      <c r="B85" t="s">
        <v>192</v>
      </c>
      <c r="C85">
        <v>-3</v>
      </c>
      <c r="D85">
        <v>1</v>
      </c>
      <c r="E85">
        <v>-3</v>
      </c>
      <c r="F85">
        <v>-3</v>
      </c>
      <c r="G85">
        <v>-2</v>
      </c>
      <c r="H85">
        <v>0</v>
      </c>
      <c r="I85">
        <v>0</v>
      </c>
      <c r="J85">
        <v>0</v>
      </c>
      <c r="K85">
        <v>0.17</v>
      </c>
      <c r="L85">
        <v>0.28999999999999998</v>
      </c>
      <c r="M85">
        <v>3.4</v>
      </c>
      <c r="N85">
        <v>0</v>
      </c>
      <c r="O85" t="s">
        <v>641</v>
      </c>
      <c r="P85" s="368" t="s">
        <v>699</v>
      </c>
      <c r="Q85" t="s">
        <v>154</v>
      </c>
      <c r="R85" t="s">
        <v>672</v>
      </c>
      <c r="S85" t="s">
        <v>193</v>
      </c>
      <c r="T85" t="s">
        <v>159</v>
      </c>
      <c r="U85"/>
    </row>
    <row r="86" spans="1:21" x14ac:dyDescent="0.2">
      <c r="A86">
        <v>357658</v>
      </c>
      <c r="B86" t="s">
        <v>1358</v>
      </c>
      <c r="C86"/>
      <c r="D86">
        <v>5</v>
      </c>
      <c r="E86">
        <v>0</v>
      </c>
      <c r="F86"/>
      <c r="G86"/>
      <c r="H86">
        <v>17</v>
      </c>
      <c r="I86"/>
      <c r="J86"/>
      <c r="K86">
        <v>0.17</v>
      </c>
      <c r="L86">
        <v>0.31</v>
      </c>
      <c r="M86">
        <v>16.8</v>
      </c>
      <c r="N86">
        <v>0.4</v>
      </c>
      <c r="O86" t="s">
        <v>641</v>
      </c>
      <c r="P86" s="368" t="s">
        <v>1359</v>
      </c>
      <c r="Q86" t="s">
        <v>154</v>
      </c>
      <c r="R86" t="s">
        <v>1360</v>
      </c>
      <c r="S86" t="s">
        <v>198</v>
      </c>
      <c r="T86" t="s">
        <v>209</v>
      </c>
      <c r="U86"/>
    </row>
    <row r="87" spans="1:21" x14ac:dyDescent="0.2">
      <c r="A87">
        <v>269357</v>
      </c>
      <c r="B87" t="s">
        <v>279</v>
      </c>
      <c r="C87">
        <v>-1</v>
      </c>
      <c r="D87">
        <v>10</v>
      </c>
      <c r="E87">
        <v>6</v>
      </c>
      <c r="F87">
        <v>5</v>
      </c>
      <c r="G87">
        <v>19</v>
      </c>
      <c r="H87">
        <v>30</v>
      </c>
      <c r="I87">
        <v>86</v>
      </c>
      <c r="J87">
        <v>13.2</v>
      </c>
      <c r="K87">
        <v>0.18</v>
      </c>
      <c r="L87">
        <v>0.4</v>
      </c>
      <c r="M87">
        <v>18.399999999999999</v>
      </c>
      <c r="N87">
        <v>0.6</v>
      </c>
      <c r="O87" t="s">
        <v>641</v>
      </c>
      <c r="P87" s="368" t="s">
        <v>779</v>
      </c>
      <c r="Q87" t="s">
        <v>154</v>
      </c>
      <c r="R87" t="s">
        <v>780</v>
      </c>
      <c r="S87" t="s">
        <v>278</v>
      </c>
      <c r="T87" t="s">
        <v>156</v>
      </c>
      <c r="U87"/>
    </row>
    <row r="88" spans="1:21" x14ac:dyDescent="0.2">
      <c r="A88">
        <v>520692</v>
      </c>
      <c r="B88" t="s">
        <v>402</v>
      </c>
      <c r="C88">
        <v>-2</v>
      </c>
      <c r="D88">
        <v>1</v>
      </c>
      <c r="E88">
        <v>3</v>
      </c>
      <c r="F88">
        <v>-2</v>
      </c>
      <c r="G88">
        <v>14</v>
      </c>
      <c r="H88">
        <v>51</v>
      </c>
      <c r="I88">
        <v>79</v>
      </c>
      <c r="J88">
        <v>12.4</v>
      </c>
      <c r="K88">
        <v>0.18</v>
      </c>
      <c r="L88">
        <v>0.4</v>
      </c>
      <c r="M88">
        <v>15.7</v>
      </c>
      <c r="N88">
        <v>1</v>
      </c>
      <c r="O88" t="s">
        <v>641</v>
      </c>
      <c r="P88" s="368" t="s">
        <v>1001</v>
      </c>
      <c r="Q88" t="s">
        <v>154</v>
      </c>
      <c r="R88" t="s">
        <v>1002</v>
      </c>
      <c r="S88" t="s">
        <v>278</v>
      </c>
      <c r="T88" t="s">
        <v>204</v>
      </c>
      <c r="U88"/>
    </row>
    <row r="89" spans="1:21" x14ac:dyDescent="0.2">
      <c r="A89">
        <v>908277</v>
      </c>
      <c r="B89" t="s">
        <v>550</v>
      </c>
      <c r="C89">
        <v>-6</v>
      </c>
      <c r="D89">
        <v>0</v>
      </c>
      <c r="E89">
        <v>-1</v>
      </c>
      <c r="F89">
        <v>-5</v>
      </c>
      <c r="G89">
        <v>8</v>
      </c>
      <c r="H89">
        <v>33</v>
      </c>
      <c r="I89">
        <v>51</v>
      </c>
      <c r="J89">
        <v>8.6</v>
      </c>
      <c r="K89">
        <v>0.18</v>
      </c>
      <c r="L89">
        <v>0.4</v>
      </c>
      <c r="M89">
        <v>13.7</v>
      </c>
      <c r="N89">
        <v>0.8</v>
      </c>
      <c r="O89" t="s">
        <v>641</v>
      </c>
      <c r="P89" s="368" t="s">
        <v>876</v>
      </c>
      <c r="Q89" t="s">
        <v>154</v>
      </c>
      <c r="R89" t="s">
        <v>1269</v>
      </c>
      <c r="S89" t="s">
        <v>278</v>
      </c>
      <c r="T89" t="s">
        <v>162</v>
      </c>
      <c r="U89"/>
    </row>
    <row r="90" spans="1:21" x14ac:dyDescent="0.2">
      <c r="A90">
        <v>785907</v>
      </c>
      <c r="B90" t="s">
        <v>508</v>
      </c>
      <c r="C90">
        <v>-6</v>
      </c>
      <c r="D90">
        <v>0</v>
      </c>
      <c r="E90">
        <v>0</v>
      </c>
      <c r="F90">
        <v>-5</v>
      </c>
      <c r="G90">
        <v>8</v>
      </c>
      <c r="H90">
        <v>33</v>
      </c>
      <c r="I90">
        <v>48</v>
      </c>
      <c r="J90">
        <v>8.1999999999999993</v>
      </c>
      <c r="K90">
        <v>0.18</v>
      </c>
      <c r="L90">
        <v>0.4</v>
      </c>
      <c r="M90">
        <v>15</v>
      </c>
      <c r="N90">
        <v>0.7</v>
      </c>
      <c r="O90" t="s">
        <v>641</v>
      </c>
      <c r="P90" s="368" t="s">
        <v>1165</v>
      </c>
      <c r="Q90" t="s">
        <v>154</v>
      </c>
      <c r="R90" t="s">
        <v>1193</v>
      </c>
      <c r="S90" t="s">
        <v>187</v>
      </c>
      <c r="T90" t="s">
        <v>162</v>
      </c>
      <c r="U90"/>
    </row>
    <row r="91" spans="1:21" x14ac:dyDescent="0.2">
      <c r="A91">
        <v>941096</v>
      </c>
      <c r="B91" t="s">
        <v>558</v>
      </c>
      <c r="C91">
        <v>-5</v>
      </c>
      <c r="D91">
        <v>0</v>
      </c>
      <c r="E91">
        <v>1</v>
      </c>
      <c r="F91">
        <v>-5</v>
      </c>
      <c r="G91">
        <v>6</v>
      </c>
      <c r="H91">
        <v>35</v>
      </c>
      <c r="I91">
        <v>48</v>
      </c>
      <c r="J91">
        <v>8.1</v>
      </c>
      <c r="K91">
        <v>0.18</v>
      </c>
      <c r="L91">
        <v>0.4</v>
      </c>
      <c r="M91">
        <v>15.4</v>
      </c>
      <c r="N91">
        <v>0.7</v>
      </c>
      <c r="O91" t="s">
        <v>641</v>
      </c>
      <c r="P91" s="368" t="s">
        <v>675</v>
      </c>
      <c r="Q91" t="s">
        <v>154</v>
      </c>
      <c r="R91" t="s">
        <v>1288</v>
      </c>
      <c r="S91" t="s">
        <v>170</v>
      </c>
      <c r="T91" t="s">
        <v>162</v>
      </c>
      <c r="U91"/>
    </row>
    <row r="92" spans="1:21" x14ac:dyDescent="0.2">
      <c r="A92">
        <v>823096</v>
      </c>
      <c r="B92" t="s">
        <v>517</v>
      </c>
      <c r="C92">
        <v>-8</v>
      </c>
      <c r="D92">
        <v>-2</v>
      </c>
      <c r="E92">
        <v>-4</v>
      </c>
      <c r="F92">
        <v>-5</v>
      </c>
      <c r="G92">
        <v>6</v>
      </c>
      <c r="H92">
        <v>25</v>
      </c>
      <c r="I92">
        <v>34</v>
      </c>
      <c r="J92">
        <v>6</v>
      </c>
      <c r="K92">
        <v>0.18</v>
      </c>
      <c r="L92">
        <v>0.4</v>
      </c>
      <c r="M92">
        <v>12.9</v>
      </c>
      <c r="N92">
        <v>0.7</v>
      </c>
      <c r="O92" t="s">
        <v>641</v>
      </c>
      <c r="P92" s="368" t="s">
        <v>1206</v>
      </c>
      <c r="Q92" t="s">
        <v>154</v>
      </c>
      <c r="R92" t="s">
        <v>1207</v>
      </c>
      <c r="S92" t="s">
        <v>278</v>
      </c>
      <c r="T92" t="s">
        <v>263</v>
      </c>
      <c r="U92"/>
    </row>
    <row r="93" spans="1:21" x14ac:dyDescent="0.2">
      <c r="A93">
        <v>844522</v>
      </c>
      <c r="B93" t="s">
        <v>530</v>
      </c>
      <c r="C93">
        <v>-7</v>
      </c>
      <c r="D93">
        <v>1</v>
      </c>
      <c r="E93">
        <v>-1</v>
      </c>
      <c r="F93">
        <v>-6</v>
      </c>
      <c r="G93">
        <v>5</v>
      </c>
      <c r="H93">
        <v>20</v>
      </c>
      <c r="I93">
        <v>33</v>
      </c>
      <c r="J93">
        <v>5.9</v>
      </c>
      <c r="K93">
        <v>0.18</v>
      </c>
      <c r="L93">
        <v>0.41</v>
      </c>
      <c r="M93">
        <v>14.1</v>
      </c>
      <c r="N93">
        <v>0.5</v>
      </c>
      <c r="O93" t="s">
        <v>641</v>
      </c>
      <c r="P93" s="368" t="s">
        <v>666</v>
      </c>
      <c r="Q93" t="s">
        <v>154</v>
      </c>
      <c r="R93" t="s">
        <v>1227</v>
      </c>
      <c r="S93" t="s">
        <v>198</v>
      </c>
      <c r="T93" t="s">
        <v>246</v>
      </c>
      <c r="U93"/>
    </row>
    <row r="94" spans="1:21" x14ac:dyDescent="0.2">
      <c r="A94">
        <v>498972</v>
      </c>
      <c r="B94" t="s">
        <v>393</v>
      </c>
      <c r="C94">
        <v>-7</v>
      </c>
      <c r="D94">
        <v>1</v>
      </c>
      <c r="E94">
        <v>-1</v>
      </c>
      <c r="F94">
        <v>-6</v>
      </c>
      <c r="G94">
        <v>5</v>
      </c>
      <c r="H94">
        <v>20</v>
      </c>
      <c r="I94">
        <v>33</v>
      </c>
      <c r="J94">
        <v>5.8</v>
      </c>
      <c r="K94">
        <v>0.18</v>
      </c>
      <c r="L94">
        <v>0.41</v>
      </c>
      <c r="M94">
        <v>14</v>
      </c>
      <c r="N94">
        <v>0.5</v>
      </c>
      <c r="O94" t="s">
        <v>641</v>
      </c>
      <c r="P94" s="368" t="s">
        <v>675</v>
      </c>
      <c r="Q94" t="s">
        <v>154</v>
      </c>
      <c r="R94" t="s">
        <v>984</v>
      </c>
      <c r="S94" t="s">
        <v>198</v>
      </c>
      <c r="T94" t="s">
        <v>246</v>
      </c>
      <c r="U94"/>
    </row>
    <row r="95" spans="1:21" x14ac:dyDescent="0.2">
      <c r="A95">
        <v>785022</v>
      </c>
      <c r="B95" t="s">
        <v>39</v>
      </c>
      <c r="C95">
        <v>-8</v>
      </c>
      <c r="D95">
        <v>1</v>
      </c>
      <c r="E95">
        <v>-1</v>
      </c>
      <c r="F95">
        <v>-6</v>
      </c>
      <c r="G95">
        <v>7</v>
      </c>
      <c r="H95">
        <v>24</v>
      </c>
      <c r="I95">
        <v>32</v>
      </c>
      <c r="J95">
        <v>5.8</v>
      </c>
      <c r="K95">
        <v>0.18</v>
      </c>
      <c r="L95">
        <v>0.42</v>
      </c>
      <c r="M95">
        <v>14.9</v>
      </c>
      <c r="N95">
        <v>0.6</v>
      </c>
      <c r="O95" t="s">
        <v>641</v>
      </c>
      <c r="P95" s="368" t="s">
        <v>1189</v>
      </c>
      <c r="Q95" t="s">
        <v>154</v>
      </c>
      <c r="R95" t="s">
        <v>1190</v>
      </c>
      <c r="S95" t="s">
        <v>170</v>
      </c>
      <c r="T95" t="s">
        <v>182</v>
      </c>
      <c r="U95"/>
    </row>
    <row r="96" spans="1:21" x14ac:dyDescent="0.2">
      <c r="A96">
        <v>463141</v>
      </c>
      <c r="B96" t="s">
        <v>375</v>
      </c>
      <c r="C96">
        <v>-6</v>
      </c>
      <c r="D96">
        <v>1</v>
      </c>
      <c r="E96">
        <v>-1</v>
      </c>
      <c r="F96">
        <v>-5</v>
      </c>
      <c r="G96">
        <v>5</v>
      </c>
      <c r="H96">
        <v>19</v>
      </c>
      <c r="I96">
        <v>30</v>
      </c>
      <c r="J96">
        <v>5.4</v>
      </c>
      <c r="K96">
        <v>0.18</v>
      </c>
      <c r="L96">
        <v>0.41</v>
      </c>
      <c r="M96">
        <v>12.7</v>
      </c>
      <c r="N96">
        <v>0.5</v>
      </c>
      <c r="O96" t="s">
        <v>641</v>
      </c>
      <c r="P96" s="368" t="s">
        <v>675</v>
      </c>
      <c r="Q96" t="s">
        <v>154</v>
      </c>
      <c r="R96" t="s">
        <v>949</v>
      </c>
      <c r="S96" t="s">
        <v>198</v>
      </c>
      <c r="T96" t="s">
        <v>246</v>
      </c>
      <c r="U96"/>
    </row>
    <row r="97" spans="1:21" x14ac:dyDescent="0.2">
      <c r="A97">
        <v>976928</v>
      </c>
      <c r="B97" t="s">
        <v>566</v>
      </c>
      <c r="C97">
        <v>-6</v>
      </c>
      <c r="D97">
        <v>5</v>
      </c>
      <c r="E97">
        <v>1</v>
      </c>
      <c r="F97">
        <v>-3</v>
      </c>
      <c r="G97">
        <v>11</v>
      </c>
      <c r="H97">
        <v>13</v>
      </c>
      <c r="I97">
        <v>30</v>
      </c>
      <c r="J97">
        <v>5.4</v>
      </c>
      <c r="K97">
        <v>0.18</v>
      </c>
      <c r="L97">
        <v>0.4</v>
      </c>
      <c r="M97">
        <v>17.899999999999999</v>
      </c>
      <c r="N97">
        <v>0.3</v>
      </c>
      <c r="O97" t="s">
        <v>641</v>
      </c>
      <c r="P97" s="368" t="s">
        <v>675</v>
      </c>
      <c r="Q97" t="s">
        <v>154</v>
      </c>
      <c r="R97" t="s">
        <v>1304</v>
      </c>
      <c r="S97" t="s">
        <v>170</v>
      </c>
      <c r="T97" t="s">
        <v>209</v>
      </c>
      <c r="U97"/>
    </row>
    <row r="98" spans="1:21" x14ac:dyDescent="0.2">
      <c r="A98">
        <v>645952</v>
      </c>
      <c r="B98" t="s">
        <v>82</v>
      </c>
      <c r="C98">
        <v>-8</v>
      </c>
      <c r="D98">
        <v>3</v>
      </c>
      <c r="E98">
        <v>-1</v>
      </c>
      <c r="F98">
        <v>-6</v>
      </c>
      <c r="G98">
        <v>6</v>
      </c>
      <c r="H98">
        <v>14</v>
      </c>
      <c r="I98">
        <v>30</v>
      </c>
      <c r="J98">
        <v>5.3</v>
      </c>
      <c r="K98">
        <v>0.18</v>
      </c>
      <c r="L98">
        <v>0.4</v>
      </c>
      <c r="M98">
        <v>15.3</v>
      </c>
      <c r="N98">
        <v>0.4</v>
      </c>
      <c r="O98" t="s">
        <v>641</v>
      </c>
      <c r="P98" s="368" t="s">
        <v>966</v>
      </c>
      <c r="Q98" t="s">
        <v>154</v>
      </c>
      <c r="R98" t="s">
        <v>1093</v>
      </c>
      <c r="S98" t="s">
        <v>278</v>
      </c>
      <c r="T98" t="s">
        <v>182</v>
      </c>
      <c r="U98"/>
    </row>
    <row r="99" spans="1:21" x14ac:dyDescent="0.2">
      <c r="A99">
        <v>224493</v>
      </c>
      <c r="B99" t="s">
        <v>248</v>
      </c>
      <c r="C99">
        <v>-5</v>
      </c>
      <c r="D99">
        <v>1</v>
      </c>
      <c r="E99">
        <v>-1</v>
      </c>
      <c r="F99">
        <v>-4</v>
      </c>
      <c r="G99">
        <v>5</v>
      </c>
      <c r="H99">
        <v>14</v>
      </c>
      <c r="I99">
        <v>23</v>
      </c>
      <c r="J99">
        <v>4.3</v>
      </c>
      <c r="K99">
        <v>0.18</v>
      </c>
      <c r="L99">
        <v>0.4</v>
      </c>
      <c r="M99">
        <v>10.199999999999999</v>
      </c>
      <c r="N99">
        <v>0.5</v>
      </c>
      <c r="O99" t="s">
        <v>641</v>
      </c>
      <c r="P99" s="368" t="s">
        <v>675</v>
      </c>
      <c r="Q99" t="s">
        <v>154</v>
      </c>
      <c r="R99" t="s">
        <v>737</v>
      </c>
      <c r="S99" t="s">
        <v>170</v>
      </c>
      <c r="T99" t="s">
        <v>177</v>
      </c>
      <c r="U99"/>
    </row>
    <row r="100" spans="1:21" x14ac:dyDescent="0.2">
      <c r="A100">
        <v>749192</v>
      </c>
      <c r="B100" t="s">
        <v>495</v>
      </c>
      <c r="C100">
        <v>-3</v>
      </c>
      <c r="D100">
        <v>0</v>
      </c>
      <c r="E100">
        <v>-1</v>
      </c>
      <c r="F100">
        <v>-3</v>
      </c>
      <c r="G100">
        <v>3</v>
      </c>
      <c r="H100">
        <v>11</v>
      </c>
      <c r="I100">
        <v>19</v>
      </c>
      <c r="J100">
        <v>3.6</v>
      </c>
      <c r="K100">
        <v>0.18</v>
      </c>
      <c r="L100">
        <v>0.42</v>
      </c>
      <c r="M100">
        <v>7.5</v>
      </c>
      <c r="N100">
        <v>0.5</v>
      </c>
      <c r="O100" t="s">
        <v>641</v>
      </c>
      <c r="P100" s="368" t="s">
        <v>675</v>
      </c>
      <c r="Q100" t="s">
        <v>154</v>
      </c>
      <c r="R100" t="s">
        <v>1164</v>
      </c>
      <c r="S100" t="s">
        <v>170</v>
      </c>
      <c r="T100" t="s">
        <v>177</v>
      </c>
      <c r="U100"/>
    </row>
    <row r="101" spans="1:21" x14ac:dyDescent="0.2">
      <c r="A101">
        <v>610121</v>
      </c>
      <c r="B101" t="s">
        <v>440</v>
      </c>
      <c r="C101">
        <v>-5</v>
      </c>
      <c r="D101">
        <v>2</v>
      </c>
      <c r="E101">
        <v>-1</v>
      </c>
      <c r="F101">
        <v>-4</v>
      </c>
      <c r="G101">
        <v>3</v>
      </c>
      <c r="H101">
        <v>8</v>
      </c>
      <c r="I101">
        <v>19</v>
      </c>
      <c r="J101">
        <v>3.5</v>
      </c>
      <c r="K101">
        <v>0.18</v>
      </c>
      <c r="L101">
        <v>0.4</v>
      </c>
      <c r="M101">
        <v>9.8000000000000007</v>
      </c>
      <c r="N101">
        <v>0.3</v>
      </c>
      <c r="O101" t="s">
        <v>641</v>
      </c>
      <c r="P101" s="368" t="s">
        <v>1065</v>
      </c>
      <c r="Q101" t="s">
        <v>154</v>
      </c>
      <c r="R101" t="s">
        <v>1066</v>
      </c>
      <c r="S101" t="s">
        <v>278</v>
      </c>
      <c r="T101" t="s">
        <v>177</v>
      </c>
      <c r="U101"/>
    </row>
    <row r="102" spans="1:21" x14ac:dyDescent="0.2">
      <c r="A102">
        <v>681783</v>
      </c>
      <c r="B102" t="s">
        <v>83</v>
      </c>
      <c r="C102">
        <v>-8</v>
      </c>
      <c r="D102">
        <v>6</v>
      </c>
      <c r="E102">
        <v>-1</v>
      </c>
      <c r="F102">
        <v>-5</v>
      </c>
      <c r="G102">
        <v>5</v>
      </c>
      <c r="H102">
        <v>6</v>
      </c>
      <c r="I102">
        <v>19</v>
      </c>
      <c r="J102">
        <v>3.5</v>
      </c>
      <c r="K102">
        <v>0.18</v>
      </c>
      <c r="L102">
        <v>0.4</v>
      </c>
      <c r="M102">
        <v>16.899999999999999</v>
      </c>
      <c r="N102">
        <v>0.2</v>
      </c>
      <c r="O102" t="s">
        <v>641</v>
      </c>
      <c r="P102" s="368" t="s">
        <v>966</v>
      </c>
      <c r="Q102" t="s">
        <v>154</v>
      </c>
      <c r="R102" t="s">
        <v>1124</v>
      </c>
      <c r="S102" t="s">
        <v>278</v>
      </c>
      <c r="T102" t="s">
        <v>209</v>
      </c>
      <c r="U102"/>
    </row>
    <row r="103" spans="1:21" x14ac:dyDescent="0.2">
      <c r="A103">
        <v>427310</v>
      </c>
      <c r="B103" t="s">
        <v>361</v>
      </c>
      <c r="C103">
        <v>-2</v>
      </c>
      <c r="D103">
        <v>0</v>
      </c>
      <c r="E103">
        <v>0</v>
      </c>
      <c r="F103">
        <v>-2</v>
      </c>
      <c r="G103">
        <v>2</v>
      </c>
      <c r="H103">
        <v>9</v>
      </c>
      <c r="I103">
        <v>15</v>
      </c>
      <c r="J103">
        <v>2.8</v>
      </c>
      <c r="K103">
        <v>0.18</v>
      </c>
      <c r="L103">
        <v>0.41</v>
      </c>
      <c r="M103">
        <v>6</v>
      </c>
      <c r="N103">
        <v>0.5</v>
      </c>
      <c r="O103" t="s">
        <v>641</v>
      </c>
      <c r="P103" s="368" t="s">
        <v>675</v>
      </c>
      <c r="Q103" t="s">
        <v>154</v>
      </c>
      <c r="R103" t="s">
        <v>928</v>
      </c>
      <c r="S103" t="s">
        <v>198</v>
      </c>
      <c r="T103" t="s">
        <v>216</v>
      </c>
      <c r="U103"/>
    </row>
    <row r="104" spans="1:21" x14ac:dyDescent="0.2">
      <c r="A104">
        <v>434274</v>
      </c>
      <c r="B104" t="s">
        <v>364</v>
      </c>
      <c r="C104">
        <v>-16</v>
      </c>
      <c r="D104">
        <v>-4</v>
      </c>
      <c r="E104">
        <v>-10</v>
      </c>
      <c r="F104">
        <v>-11</v>
      </c>
      <c r="G104">
        <v>-6</v>
      </c>
      <c r="H104">
        <v>7</v>
      </c>
      <c r="I104">
        <v>14</v>
      </c>
      <c r="J104">
        <v>2.7</v>
      </c>
      <c r="K104">
        <v>0.18</v>
      </c>
      <c r="L104">
        <v>0.41</v>
      </c>
      <c r="M104">
        <v>15.2</v>
      </c>
      <c r="N104">
        <v>0.2</v>
      </c>
      <c r="O104" t="s">
        <v>641</v>
      </c>
      <c r="P104" s="368" t="s">
        <v>931</v>
      </c>
      <c r="Q104" t="s">
        <v>154</v>
      </c>
      <c r="R104" t="s">
        <v>932</v>
      </c>
      <c r="S104" t="s">
        <v>241</v>
      </c>
      <c r="T104" t="s">
        <v>172</v>
      </c>
      <c r="U104"/>
    </row>
    <row r="105" spans="1:21" x14ac:dyDescent="0.2">
      <c r="A105">
        <v>538462</v>
      </c>
      <c r="B105" t="s">
        <v>409</v>
      </c>
      <c r="C105">
        <v>-11</v>
      </c>
      <c r="D105">
        <v>2</v>
      </c>
      <c r="E105">
        <v>-5</v>
      </c>
      <c r="F105">
        <v>-10</v>
      </c>
      <c r="G105">
        <v>-2</v>
      </c>
      <c r="H105">
        <v>3</v>
      </c>
      <c r="I105">
        <v>13</v>
      </c>
      <c r="J105">
        <v>2.4</v>
      </c>
      <c r="K105">
        <v>0.18</v>
      </c>
      <c r="L105">
        <v>0.4</v>
      </c>
      <c r="M105">
        <v>14.1</v>
      </c>
      <c r="N105">
        <v>0.2</v>
      </c>
      <c r="O105" t="s">
        <v>641</v>
      </c>
      <c r="P105" s="368" t="s">
        <v>966</v>
      </c>
      <c r="Q105" t="s">
        <v>154</v>
      </c>
      <c r="R105" t="s">
        <v>1017</v>
      </c>
      <c r="S105" t="s">
        <v>278</v>
      </c>
      <c r="T105" t="s">
        <v>185</v>
      </c>
      <c r="U105"/>
    </row>
    <row r="106" spans="1:21" x14ac:dyDescent="0.2">
      <c r="A106">
        <v>981340</v>
      </c>
      <c r="B106" t="s">
        <v>569</v>
      </c>
      <c r="C106">
        <v>-14</v>
      </c>
      <c r="D106">
        <v>1</v>
      </c>
      <c r="E106">
        <v>-7</v>
      </c>
      <c r="F106">
        <v>-13</v>
      </c>
      <c r="G106"/>
      <c r="H106">
        <v>8</v>
      </c>
      <c r="I106">
        <v>10</v>
      </c>
      <c r="J106">
        <v>2</v>
      </c>
      <c r="K106">
        <v>0.18</v>
      </c>
      <c r="L106">
        <v>0.25</v>
      </c>
      <c r="M106">
        <v>14</v>
      </c>
      <c r="N106">
        <v>0.3</v>
      </c>
      <c r="O106" t="s">
        <v>646</v>
      </c>
      <c r="P106" s="368" t="s">
        <v>660</v>
      </c>
      <c r="Q106" t="s">
        <v>46</v>
      </c>
      <c r="R106" t="s">
        <v>1308</v>
      </c>
      <c r="S106" t="s">
        <v>179</v>
      </c>
      <c r="T106" t="s">
        <v>185</v>
      </c>
      <c r="U106"/>
    </row>
    <row r="107" spans="1:21" x14ac:dyDescent="0.2">
      <c r="A107">
        <v>391482</v>
      </c>
      <c r="B107" t="s">
        <v>345</v>
      </c>
      <c r="C107">
        <v>-2</v>
      </c>
      <c r="D107">
        <v>0</v>
      </c>
      <c r="E107">
        <v>0</v>
      </c>
      <c r="F107">
        <v>-1</v>
      </c>
      <c r="G107">
        <v>1</v>
      </c>
      <c r="H107">
        <v>5</v>
      </c>
      <c r="I107">
        <v>10</v>
      </c>
      <c r="J107">
        <v>1.8</v>
      </c>
      <c r="K107">
        <v>0.18</v>
      </c>
      <c r="L107">
        <v>0.41</v>
      </c>
      <c r="M107">
        <v>3.8</v>
      </c>
      <c r="N107">
        <v>0.5</v>
      </c>
      <c r="O107" t="s">
        <v>641</v>
      </c>
      <c r="P107" s="368" t="s">
        <v>675</v>
      </c>
      <c r="Q107" t="s">
        <v>154</v>
      </c>
      <c r="R107" t="s">
        <v>895</v>
      </c>
      <c r="S107" t="s">
        <v>198</v>
      </c>
      <c r="T107" t="s">
        <v>216</v>
      </c>
      <c r="U107"/>
    </row>
    <row r="108" spans="1:21" x14ac:dyDescent="0.2">
      <c r="A108">
        <v>524702</v>
      </c>
      <c r="B108" t="s">
        <v>404</v>
      </c>
      <c r="C108">
        <v>0</v>
      </c>
      <c r="D108">
        <v>0</v>
      </c>
      <c r="E108">
        <v>-1</v>
      </c>
      <c r="F108">
        <v>0</v>
      </c>
      <c r="G108">
        <v>0</v>
      </c>
      <c r="H108">
        <v>2</v>
      </c>
      <c r="I108">
        <v>4</v>
      </c>
      <c r="J108">
        <v>0.8</v>
      </c>
      <c r="K108">
        <v>0.18</v>
      </c>
      <c r="L108">
        <v>0.75</v>
      </c>
      <c r="M108">
        <v>1.9</v>
      </c>
      <c r="N108">
        <v>0.5</v>
      </c>
      <c r="O108" t="s">
        <v>641</v>
      </c>
      <c r="P108" s="368" t="s">
        <v>1008</v>
      </c>
      <c r="Q108" t="s">
        <v>154</v>
      </c>
      <c r="R108" t="s">
        <v>1009</v>
      </c>
      <c r="S108" t="s">
        <v>187</v>
      </c>
      <c r="T108" t="s">
        <v>159</v>
      </c>
      <c r="U108"/>
    </row>
    <row r="109" spans="1:21" x14ac:dyDescent="0.2">
      <c r="A109">
        <v>469817</v>
      </c>
      <c r="B109" t="s">
        <v>377</v>
      </c>
      <c r="C109">
        <v>-4</v>
      </c>
      <c r="D109">
        <v>-1</v>
      </c>
      <c r="E109">
        <v>-4</v>
      </c>
      <c r="F109">
        <v>-5</v>
      </c>
      <c r="G109">
        <v>-6</v>
      </c>
      <c r="H109">
        <v>-2</v>
      </c>
      <c r="I109">
        <v>3</v>
      </c>
      <c r="J109">
        <v>0.5</v>
      </c>
      <c r="K109">
        <v>0.18</v>
      </c>
      <c r="L109">
        <v>0.51</v>
      </c>
      <c r="M109">
        <v>3.3</v>
      </c>
      <c r="N109">
        <v>-0.1</v>
      </c>
      <c r="O109" t="s">
        <v>641</v>
      </c>
      <c r="P109" s="368" t="s">
        <v>675</v>
      </c>
      <c r="Q109" t="s">
        <v>154</v>
      </c>
      <c r="R109" t="s">
        <v>953</v>
      </c>
      <c r="S109" t="s">
        <v>155</v>
      </c>
      <c r="T109" t="s">
        <v>159</v>
      </c>
      <c r="U109"/>
    </row>
    <row r="110" spans="1:21" x14ac:dyDescent="0.2">
      <c r="A110">
        <v>844100</v>
      </c>
      <c r="B110" t="s">
        <v>529</v>
      </c>
      <c r="C110">
        <v>-4</v>
      </c>
      <c r="D110">
        <v>-1</v>
      </c>
      <c r="E110">
        <v>-5</v>
      </c>
      <c r="F110">
        <v>-5</v>
      </c>
      <c r="G110">
        <v>-6</v>
      </c>
      <c r="H110">
        <v>-3</v>
      </c>
      <c r="I110">
        <v>2</v>
      </c>
      <c r="J110">
        <v>0.3</v>
      </c>
      <c r="K110">
        <v>0.18</v>
      </c>
      <c r="L110">
        <v>0.51</v>
      </c>
      <c r="M110">
        <v>3.5</v>
      </c>
      <c r="N110">
        <v>-0.2</v>
      </c>
      <c r="O110" t="s">
        <v>641</v>
      </c>
      <c r="P110" s="368" t="s">
        <v>1225</v>
      </c>
      <c r="Q110" t="s">
        <v>154</v>
      </c>
      <c r="R110" t="s">
        <v>1226</v>
      </c>
      <c r="S110" t="s">
        <v>158</v>
      </c>
      <c r="T110" t="s">
        <v>159</v>
      </c>
      <c r="U110"/>
    </row>
    <row r="111" spans="1:21" x14ac:dyDescent="0.2">
      <c r="A111">
        <v>874560</v>
      </c>
      <c r="B111" t="s">
        <v>602</v>
      </c>
      <c r="C111">
        <v>-3</v>
      </c>
      <c r="D111">
        <v>1</v>
      </c>
      <c r="E111">
        <v>-4</v>
      </c>
      <c r="F111">
        <v>-3</v>
      </c>
      <c r="G111">
        <v>-2</v>
      </c>
      <c r="H111">
        <v>0</v>
      </c>
      <c r="I111">
        <v>1</v>
      </c>
      <c r="J111">
        <v>0.2</v>
      </c>
      <c r="K111">
        <v>0.18</v>
      </c>
      <c r="L111">
        <v>0.67</v>
      </c>
      <c r="M111">
        <v>3.6</v>
      </c>
      <c r="N111">
        <v>0</v>
      </c>
      <c r="O111" t="s">
        <v>641</v>
      </c>
      <c r="P111" s="368" t="s">
        <v>1250</v>
      </c>
      <c r="Q111" t="s">
        <v>154</v>
      </c>
      <c r="R111" t="s">
        <v>1251</v>
      </c>
      <c r="S111" t="s">
        <v>241</v>
      </c>
      <c r="T111" t="s">
        <v>166</v>
      </c>
      <c r="U111"/>
    </row>
    <row r="112" spans="1:21" x14ac:dyDescent="0.2">
      <c r="A112">
        <v>393488</v>
      </c>
      <c r="B112" t="s">
        <v>1361</v>
      </c>
      <c r="C112"/>
      <c r="D112">
        <v>1</v>
      </c>
      <c r="E112">
        <v>-1</v>
      </c>
      <c r="F112"/>
      <c r="G112"/>
      <c r="H112">
        <v>34</v>
      </c>
      <c r="I112"/>
      <c r="J112"/>
      <c r="K112">
        <v>0.18</v>
      </c>
      <c r="L112">
        <v>0.41</v>
      </c>
      <c r="M112">
        <v>15.4</v>
      </c>
      <c r="N112">
        <v>0.7</v>
      </c>
      <c r="O112" t="s">
        <v>641</v>
      </c>
      <c r="P112" s="368" t="s">
        <v>1359</v>
      </c>
      <c r="Q112" t="s">
        <v>154</v>
      </c>
      <c r="R112" t="s">
        <v>1362</v>
      </c>
      <c r="S112" t="s">
        <v>198</v>
      </c>
      <c r="T112" t="s">
        <v>162</v>
      </c>
      <c r="U112"/>
    </row>
    <row r="113" spans="1:21" x14ac:dyDescent="0.2">
      <c r="A113">
        <v>715955</v>
      </c>
      <c r="B113" t="s">
        <v>1354</v>
      </c>
      <c r="C113"/>
      <c r="D113">
        <v>-3</v>
      </c>
      <c r="E113">
        <v>-10</v>
      </c>
      <c r="F113"/>
      <c r="G113"/>
      <c r="H113"/>
      <c r="I113"/>
      <c r="J113"/>
      <c r="K113">
        <v>0.18</v>
      </c>
      <c r="L113">
        <v>0.27</v>
      </c>
      <c r="M113"/>
      <c r="N113"/>
      <c r="O113" t="s">
        <v>641</v>
      </c>
      <c r="P113" s="368" t="s">
        <v>1365</v>
      </c>
      <c r="Q113" t="s">
        <v>154</v>
      </c>
      <c r="R113" t="s">
        <v>1367</v>
      </c>
      <c r="S113" t="s">
        <v>492</v>
      </c>
      <c r="T113" t="s">
        <v>172</v>
      </c>
      <c r="U113"/>
    </row>
    <row r="114" spans="1:21" x14ac:dyDescent="0.2">
      <c r="A114">
        <v>287656</v>
      </c>
      <c r="B114" t="s">
        <v>287</v>
      </c>
      <c r="C114">
        <v>-8</v>
      </c>
      <c r="D114">
        <v>0</v>
      </c>
      <c r="E114">
        <v>-1</v>
      </c>
      <c r="F114">
        <v>-6</v>
      </c>
      <c r="G114">
        <v>6</v>
      </c>
      <c r="H114">
        <v>23</v>
      </c>
      <c r="I114">
        <v>35</v>
      </c>
      <c r="J114">
        <v>6.2</v>
      </c>
      <c r="K114">
        <v>0.19</v>
      </c>
      <c r="L114">
        <v>0.5</v>
      </c>
      <c r="M114">
        <v>14.2</v>
      </c>
      <c r="N114">
        <v>0.6</v>
      </c>
      <c r="O114" t="s">
        <v>641</v>
      </c>
      <c r="P114" s="368" t="s">
        <v>734</v>
      </c>
      <c r="Q114" t="s">
        <v>154</v>
      </c>
      <c r="R114" t="s">
        <v>800</v>
      </c>
      <c r="S114" t="s">
        <v>191</v>
      </c>
      <c r="T114" t="s">
        <v>246</v>
      </c>
      <c r="U114"/>
    </row>
    <row r="115" spans="1:21" x14ac:dyDescent="0.2">
      <c r="A115">
        <v>359315</v>
      </c>
      <c r="B115" t="s">
        <v>102</v>
      </c>
      <c r="C115">
        <v>-7</v>
      </c>
      <c r="D115">
        <v>1</v>
      </c>
      <c r="E115">
        <v>-1</v>
      </c>
      <c r="F115">
        <v>-6</v>
      </c>
      <c r="G115">
        <v>7</v>
      </c>
      <c r="H115">
        <v>23</v>
      </c>
      <c r="I115">
        <v>35</v>
      </c>
      <c r="J115">
        <v>6.2</v>
      </c>
      <c r="K115">
        <v>0.19</v>
      </c>
      <c r="L115">
        <v>0.5</v>
      </c>
      <c r="M115">
        <v>13.9</v>
      </c>
      <c r="N115">
        <v>0.6</v>
      </c>
      <c r="O115" t="s">
        <v>641</v>
      </c>
      <c r="P115" s="368" t="s">
        <v>785</v>
      </c>
      <c r="Q115" t="s">
        <v>154</v>
      </c>
      <c r="R115" t="s">
        <v>868</v>
      </c>
      <c r="S115" t="s">
        <v>191</v>
      </c>
      <c r="T115" t="s">
        <v>246</v>
      </c>
      <c r="U115"/>
    </row>
    <row r="116" spans="1:21" x14ac:dyDescent="0.2">
      <c r="A116">
        <v>215996</v>
      </c>
      <c r="B116" t="s">
        <v>245</v>
      </c>
      <c r="C116">
        <v>-8</v>
      </c>
      <c r="D116">
        <v>0</v>
      </c>
      <c r="E116">
        <v>-1</v>
      </c>
      <c r="F116">
        <v>-6</v>
      </c>
      <c r="G116">
        <v>6</v>
      </c>
      <c r="H116">
        <v>23</v>
      </c>
      <c r="I116">
        <v>35</v>
      </c>
      <c r="J116">
        <v>6.1</v>
      </c>
      <c r="K116">
        <v>0.19</v>
      </c>
      <c r="L116">
        <v>0.5</v>
      </c>
      <c r="M116">
        <v>14.1</v>
      </c>
      <c r="N116">
        <v>0.6</v>
      </c>
      <c r="O116" t="s">
        <v>641</v>
      </c>
      <c r="P116" s="368" t="s">
        <v>734</v>
      </c>
      <c r="Q116" t="s">
        <v>154</v>
      </c>
      <c r="R116" t="s">
        <v>735</v>
      </c>
      <c r="S116" t="s">
        <v>191</v>
      </c>
      <c r="T116" t="s">
        <v>246</v>
      </c>
      <c r="U116"/>
    </row>
    <row r="117" spans="1:21" x14ac:dyDescent="0.2">
      <c r="A117">
        <v>596429</v>
      </c>
      <c r="B117" t="s">
        <v>436</v>
      </c>
      <c r="C117">
        <v>-8</v>
      </c>
      <c r="D117">
        <v>0</v>
      </c>
      <c r="E117">
        <v>-1</v>
      </c>
      <c r="F117">
        <v>-6</v>
      </c>
      <c r="G117">
        <v>6</v>
      </c>
      <c r="H117">
        <v>23</v>
      </c>
      <c r="I117">
        <v>34</v>
      </c>
      <c r="J117">
        <v>6</v>
      </c>
      <c r="K117">
        <v>0.19</v>
      </c>
      <c r="L117">
        <v>0.5</v>
      </c>
      <c r="M117">
        <v>14.3</v>
      </c>
      <c r="N117">
        <v>0.6</v>
      </c>
      <c r="O117" t="s">
        <v>641</v>
      </c>
      <c r="P117" s="368" t="s">
        <v>1035</v>
      </c>
      <c r="Q117" t="s">
        <v>154</v>
      </c>
      <c r="R117" t="s">
        <v>1060</v>
      </c>
      <c r="S117" t="s">
        <v>191</v>
      </c>
      <c r="T117" t="s">
        <v>246</v>
      </c>
      <c r="U117"/>
    </row>
    <row r="118" spans="1:21" x14ac:dyDescent="0.2">
      <c r="A118">
        <v>320762</v>
      </c>
      <c r="B118" t="s">
        <v>310</v>
      </c>
      <c r="C118">
        <v>-9</v>
      </c>
      <c r="D118">
        <v>1</v>
      </c>
      <c r="E118">
        <v>-2</v>
      </c>
      <c r="F118">
        <v>-8</v>
      </c>
      <c r="G118">
        <v>4</v>
      </c>
      <c r="H118">
        <v>17</v>
      </c>
      <c r="I118">
        <v>27</v>
      </c>
      <c r="J118">
        <v>4.9000000000000004</v>
      </c>
      <c r="K118">
        <v>0.19</v>
      </c>
      <c r="L118">
        <v>0.5</v>
      </c>
      <c r="M118">
        <v>14.5</v>
      </c>
      <c r="N118">
        <v>0.5</v>
      </c>
      <c r="O118" t="s">
        <v>641</v>
      </c>
      <c r="P118" s="368" t="s">
        <v>835</v>
      </c>
      <c r="Q118" t="s">
        <v>154</v>
      </c>
      <c r="R118" t="s">
        <v>836</v>
      </c>
      <c r="S118" t="s">
        <v>170</v>
      </c>
      <c r="T118" t="s">
        <v>246</v>
      </c>
      <c r="U118"/>
    </row>
    <row r="119" spans="1:21" x14ac:dyDescent="0.2">
      <c r="A119">
        <v>747899</v>
      </c>
      <c r="B119" t="s">
        <v>37</v>
      </c>
      <c r="C119">
        <v>-8</v>
      </c>
      <c r="D119">
        <v>1</v>
      </c>
      <c r="E119">
        <v>-2</v>
      </c>
      <c r="F119">
        <v>-8</v>
      </c>
      <c r="G119">
        <v>4</v>
      </c>
      <c r="H119">
        <v>17</v>
      </c>
      <c r="I119">
        <v>26</v>
      </c>
      <c r="J119">
        <v>4.7</v>
      </c>
      <c r="K119">
        <v>0.19</v>
      </c>
      <c r="L119">
        <v>0.5</v>
      </c>
      <c r="M119">
        <v>13.7</v>
      </c>
      <c r="N119">
        <v>0.5</v>
      </c>
      <c r="O119" t="s">
        <v>641</v>
      </c>
      <c r="P119" s="368" t="s">
        <v>1162</v>
      </c>
      <c r="Q119" t="s">
        <v>154</v>
      </c>
      <c r="R119" t="s">
        <v>1163</v>
      </c>
      <c r="S119" t="s">
        <v>170</v>
      </c>
      <c r="T119" t="s">
        <v>246</v>
      </c>
      <c r="U119"/>
    </row>
    <row r="120" spans="1:21" x14ac:dyDescent="0.2">
      <c r="A120">
        <v>783720</v>
      </c>
      <c r="B120" t="s">
        <v>38</v>
      </c>
      <c r="C120">
        <v>-8</v>
      </c>
      <c r="D120">
        <v>1</v>
      </c>
      <c r="E120">
        <v>-2</v>
      </c>
      <c r="F120">
        <v>-7</v>
      </c>
      <c r="G120">
        <v>4</v>
      </c>
      <c r="H120">
        <v>17</v>
      </c>
      <c r="I120">
        <v>24</v>
      </c>
      <c r="J120">
        <v>4.4000000000000004</v>
      </c>
      <c r="K120">
        <v>0.19</v>
      </c>
      <c r="L120">
        <v>0.5</v>
      </c>
      <c r="M120">
        <v>13.7</v>
      </c>
      <c r="N120">
        <v>0.5</v>
      </c>
      <c r="O120" t="s">
        <v>641</v>
      </c>
      <c r="P120" s="368" t="s">
        <v>1162</v>
      </c>
      <c r="Q120" t="s">
        <v>154</v>
      </c>
      <c r="R120" t="s">
        <v>1188</v>
      </c>
      <c r="S120" t="s">
        <v>170</v>
      </c>
      <c r="T120" t="s">
        <v>246</v>
      </c>
      <c r="U120"/>
    </row>
    <row r="121" spans="1:21" x14ac:dyDescent="0.2">
      <c r="A121">
        <v>290072</v>
      </c>
      <c r="B121" t="s">
        <v>288</v>
      </c>
      <c r="C121">
        <v>-7</v>
      </c>
      <c r="D121">
        <v>3</v>
      </c>
      <c r="E121">
        <v>-2</v>
      </c>
      <c r="F121">
        <v>-5</v>
      </c>
      <c r="G121">
        <v>9</v>
      </c>
      <c r="H121">
        <v>10</v>
      </c>
      <c r="I121">
        <v>17</v>
      </c>
      <c r="J121">
        <v>3.2</v>
      </c>
      <c r="K121">
        <v>0.19</v>
      </c>
      <c r="L121">
        <v>0.31</v>
      </c>
      <c r="M121">
        <v>16.600000000000001</v>
      </c>
      <c r="N121">
        <v>0.3</v>
      </c>
      <c r="O121" t="s">
        <v>641</v>
      </c>
      <c r="P121" s="368" t="s">
        <v>785</v>
      </c>
      <c r="Q121" t="s">
        <v>154</v>
      </c>
      <c r="R121" t="s">
        <v>801</v>
      </c>
      <c r="S121" t="s">
        <v>289</v>
      </c>
      <c r="T121" t="s">
        <v>209</v>
      </c>
      <c r="U121"/>
    </row>
    <row r="122" spans="1:21" x14ac:dyDescent="0.2">
      <c r="A122">
        <v>430975</v>
      </c>
      <c r="B122" t="s">
        <v>362</v>
      </c>
      <c r="C122">
        <v>-4</v>
      </c>
      <c r="D122">
        <v>1</v>
      </c>
      <c r="E122">
        <v>0</v>
      </c>
      <c r="F122">
        <v>-3</v>
      </c>
      <c r="G122">
        <v>4</v>
      </c>
      <c r="H122">
        <v>10</v>
      </c>
      <c r="I122">
        <v>16</v>
      </c>
      <c r="J122">
        <v>3.1</v>
      </c>
      <c r="K122">
        <v>0.19</v>
      </c>
      <c r="L122">
        <v>0.5</v>
      </c>
      <c r="M122">
        <v>7.5</v>
      </c>
      <c r="N122">
        <v>0.5</v>
      </c>
      <c r="O122" t="s">
        <v>641</v>
      </c>
      <c r="P122" s="368" t="s">
        <v>785</v>
      </c>
      <c r="Q122" t="s">
        <v>154</v>
      </c>
      <c r="R122" t="s">
        <v>929</v>
      </c>
      <c r="S122" t="s">
        <v>191</v>
      </c>
      <c r="T122" t="s">
        <v>216</v>
      </c>
      <c r="U122"/>
    </row>
    <row r="123" spans="1:21" x14ac:dyDescent="0.2">
      <c r="A123">
        <v>819557</v>
      </c>
      <c r="B123" t="s">
        <v>514</v>
      </c>
      <c r="C123">
        <v>-4</v>
      </c>
      <c r="D123">
        <v>1</v>
      </c>
      <c r="E123">
        <v>0</v>
      </c>
      <c r="F123">
        <v>-4</v>
      </c>
      <c r="G123">
        <v>3</v>
      </c>
      <c r="H123">
        <v>12</v>
      </c>
      <c r="I123">
        <v>16</v>
      </c>
      <c r="J123">
        <v>3.1</v>
      </c>
      <c r="K123">
        <v>0.19</v>
      </c>
      <c r="L123">
        <v>0.5</v>
      </c>
      <c r="M123">
        <v>9.1</v>
      </c>
      <c r="N123">
        <v>0.5</v>
      </c>
      <c r="O123" t="s">
        <v>641</v>
      </c>
      <c r="P123" s="368" t="s">
        <v>1162</v>
      </c>
      <c r="Q123" t="s">
        <v>154</v>
      </c>
      <c r="R123" t="s">
        <v>1203</v>
      </c>
      <c r="S123" t="s">
        <v>170</v>
      </c>
      <c r="T123" t="s">
        <v>246</v>
      </c>
      <c r="U123"/>
    </row>
    <row r="124" spans="1:21" x14ac:dyDescent="0.2">
      <c r="A124">
        <v>459891</v>
      </c>
      <c r="B124" t="s">
        <v>1380</v>
      </c>
      <c r="C124">
        <v>-15</v>
      </c>
      <c r="D124">
        <v>-3</v>
      </c>
      <c r="E124">
        <v>-9</v>
      </c>
      <c r="F124">
        <v>-10</v>
      </c>
      <c r="G124">
        <v>-5</v>
      </c>
      <c r="H124">
        <v>9</v>
      </c>
      <c r="I124">
        <v>14</v>
      </c>
      <c r="J124">
        <v>2.7</v>
      </c>
      <c r="K124">
        <v>0.19</v>
      </c>
      <c r="L124">
        <v>0.47</v>
      </c>
      <c r="M124">
        <v>14.8</v>
      </c>
      <c r="N124">
        <v>0.3</v>
      </c>
      <c r="O124" t="s">
        <v>641</v>
      </c>
      <c r="P124" s="368" t="s">
        <v>947</v>
      </c>
      <c r="Q124" t="s">
        <v>154</v>
      </c>
      <c r="R124" t="s">
        <v>948</v>
      </c>
      <c r="S124" t="s">
        <v>198</v>
      </c>
      <c r="T124" t="s">
        <v>172</v>
      </c>
      <c r="U124"/>
    </row>
    <row r="125" spans="1:21" x14ac:dyDescent="0.2">
      <c r="A125">
        <v>855387</v>
      </c>
      <c r="B125" t="s">
        <v>532</v>
      </c>
      <c r="C125">
        <v>-1</v>
      </c>
      <c r="D125">
        <v>0</v>
      </c>
      <c r="E125">
        <v>0</v>
      </c>
      <c r="F125">
        <v>-1</v>
      </c>
      <c r="G125">
        <v>2</v>
      </c>
      <c r="H125">
        <v>6</v>
      </c>
      <c r="I125">
        <v>9</v>
      </c>
      <c r="J125">
        <v>1.7</v>
      </c>
      <c r="K125">
        <v>0.19</v>
      </c>
      <c r="L125">
        <v>0.5</v>
      </c>
      <c r="M125">
        <v>3.5</v>
      </c>
      <c r="N125">
        <v>0.6</v>
      </c>
      <c r="O125" t="s">
        <v>641</v>
      </c>
      <c r="P125" s="368" t="s">
        <v>1162</v>
      </c>
      <c r="Q125" t="s">
        <v>154</v>
      </c>
      <c r="R125" t="s">
        <v>1234</v>
      </c>
      <c r="S125" t="s">
        <v>170</v>
      </c>
      <c r="T125" t="s">
        <v>216</v>
      </c>
      <c r="U125"/>
    </row>
    <row r="126" spans="1:21" x14ac:dyDescent="0.2">
      <c r="A126">
        <v>502633</v>
      </c>
      <c r="B126" t="s">
        <v>395</v>
      </c>
      <c r="C126">
        <v>-1</v>
      </c>
      <c r="D126">
        <v>1</v>
      </c>
      <c r="E126">
        <v>0</v>
      </c>
      <c r="F126">
        <v>-1</v>
      </c>
      <c r="G126">
        <v>1</v>
      </c>
      <c r="H126">
        <v>3</v>
      </c>
      <c r="I126">
        <v>6</v>
      </c>
      <c r="J126">
        <v>1.2</v>
      </c>
      <c r="K126">
        <v>0.19</v>
      </c>
      <c r="L126">
        <v>0.5</v>
      </c>
      <c r="M126">
        <v>3.3</v>
      </c>
      <c r="N126">
        <v>0.4</v>
      </c>
      <c r="O126" t="s">
        <v>641</v>
      </c>
      <c r="P126" s="368" t="s">
        <v>734</v>
      </c>
      <c r="Q126" t="s">
        <v>154</v>
      </c>
      <c r="R126" t="s">
        <v>987</v>
      </c>
      <c r="S126" t="s">
        <v>191</v>
      </c>
      <c r="T126" t="s">
        <v>216</v>
      </c>
      <c r="U126"/>
    </row>
    <row r="127" spans="1:21" x14ac:dyDescent="0.2">
      <c r="A127">
        <v>832360</v>
      </c>
      <c r="B127" t="s">
        <v>521</v>
      </c>
      <c r="C127">
        <v>-9</v>
      </c>
      <c r="D127">
        <v>1</v>
      </c>
      <c r="E127">
        <v>-4</v>
      </c>
      <c r="F127">
        <v>-8</v>
      </c>
      <c r="G127">
        <v>4</v>
      </c>
      <c r="H127">
        <v>17</v>
      </c>
      <c r="I127">
        <v>30</v>
      </c>
      <c r="J127">
        <v>5.4</v>
      </c>
      <c r="K127">
        <v>0.2</v>
      </c>
      <c r="L127">
        <v>0.51</v>
      </c>
      <c r="M127">
        <v>14.6</v>
      </c>
      <c r="N127">
        <v>0.4</v>
      </c>
      <c r="O127" t="s">
        <v>641</v>
      </c>
      <c r="P127" s="368" t="s">
        <v>675</v>
      </c>
      <c r="Q127" t="s">
        <v>154</v>
      </c>
      <c r="R127" t="s">
        <v>1210</v>
      </c>
      <c r="S127" t="s">
        <v>241</v>
      </c>
      <c r="T127" t="s">
        <v>246</v>
      </c>
      <c r="U127"/>
    </row>
    <row r="128" spans="1:21" x14ac:dyDescent="0.2">
      <c r="A128">
        <v>635623</v>
      </c>
      <c r="B128" t="s">
        <v>450</v>
      </c>
      <c r="C128">
        <v>-9</v>
      </c>
      <c r="D128">
        <v>2</v>
      </c>
      <c r="E128">
        <v>-4</v>
      </c>
      <c r="F128">
        <v>-8</v>
      </c>
      <c r="G128">
        <v>3</v>
      </c>
      <c r="H128">
        <v>16</v>
      </c>
      <c r="I128">
        <v>29</v>
      </c>
      <c r="J128">
        <v>5.2</v>
      </c>
      <c r="K128">
        <v>0.2</v>
      </c>
      <c r="L128">
        <v>0.51</v>
      </c>
      <c r="M128">
        <v>14.1</v>
      </c>
      <c r="N128">
        <v>0.4</v>
      </c>
      <c r="O128" t="s">
        <v>641</v>
      </c>
      <c r="P128" s="368" t="s">
        <v>675</v>
      </c>
      <c r="Q128" t="s">
        <v>154</v>
      </c>
      <c r="R128" t="s">
        <v>1085</v>
      </c>
      <c r="S128" t="s">
        <v>241</v>
      </c>
      <c r="T128" t="s">
        <v>246</v>
      </c>
      <c r="U128"/>
    </row>
    <row r="129" spans="1:21" x14ac:dyDescent="0.2">
      <c r="A129">
        <v>671453</v>
      </c>
      <c r="B129" t="s">
        <v>468</v>
      </c>
      <c r="C129">
        <v>-9</v>
      </c>
      <c r="D129">
        <v>1</v>
      </c>
      <c r="E129">
        <v>-4</v>
      </c>
      <c r="F129">
        <v>-7</v>
      </c>
      <c r="G129">
        <v>3</v>
      </c>
      <c r="H129">
        <v>15</v>
      </c>
      <c r="I129">
        <v>28</v>
      </c>
      <c r="J129">
        <v>5</v>
      </c>
      <c r="K129">
        <v>0.2</v>
      </c>
      <c r="L129">
        <v>0.51</v>
      </c>
      <c r="M129">
        <v>13.5</v>
      </c>
      <c r="N129">
        <v>0.4</v>
      </c>
      <c r="O129" t="s">
        <v>641</v>
      </c>
      <c r="P129" s="368" t="s">
        <v>675</v>
      </c>
      <c r="Q129" t="s">
        <v>154</v>
      </c>
      <c r="R129" t="s">
        <v>1117</v>
      </c>
      <c r="S129" t="s">
        <v>241</v>
      </c>
      <c r="T129" t="s">
        <v>246</v>
      </c>
      <c r="U129"/>
    </row>
    <row r="130" spans="1:21" x14ac:dyDescent="0.2">
      <c r="A130">
        <v>707281</v>
      </c>
      <c r="B130" t="s">
        <v>480</v>
      </c>
      <c r="C130">
        <v>-8</v>
      </c>
      <c r="D130">
        <v>1</v>
      </c>
      <c r="E130">
        <v>-4</v>
      </c>
      <c r="F130">
        <v>-7</v>
      </c>
      <c r="G130">
        <v>3</v>
      </c>
      <c r="H130">
        <v>15</v>
      </c>
      <c r="I130">
        <v>26</v>
      </c>
      <c r="J130">
        <v>4.8</v>
      </c>
      <c r="K130">
        <v>0.2</v>
      </c>
      <c r="L130">
        <v>0.51</v>
      </c>
      <c r="M130">
        <v>12.6</v>
      </c>
      <c r="N130">
        <v>0.4</v>
      </c>
      <c r="O130" t="s">
        <v>641</v>
      </c>
      <c r="P130" s="368" t="s">
        <v>675</v>
      </c>
      <c r="Q130" t="s">
        <v>154</v>
      </c>
      <c r="R130" t="s">
        <v>1140</v>
      </c>
      <c r="S130" t="s">
        <v>241</v>
      </c>
      <c r="T130" t="s">
        <v>246</v>
      </c>
      <c r="U130"/>
    </row>
    <row r="131" spans="1:21" x14ac:dyDescent="0.2">
      <c r="A131">
        <v>743112</v>
      </c>
      <c r="B131" t="s">
        <v>493</v>
      </c>
      <c r="C131">
        <v>-7</v>
      </c>
      <c r="D131">
        <v>1</v>
      </c>
      <c r="E131">
        <v>-4</v>
      </c>
      <c r="F131">
        <v>-6</v>
      </c>
      <c r="G131">
        <v>2</v>
      </c>
      <c r="H131">
        <v>13</v>
      </c>
      <c r="I131">
        <v>22</v>
      </c>
      <c r="J131">
        <v>4.0999999999999996</v>
      </c>
      <c r="K131">
        <v>0.2</v>
      </c>
      <c r="L131">
        <v>0.51</v>
      </c>
      <c r="M131">
        <v>11</v>
      </c>
      <c r="N131">
        <v>0.4</v>
      </c>
      <c r="O131" t="s">
        <v>641</v>
      </c>
      <c r="P131" s="368" t="s">
        <v>675</v>
      </c>
      <c r="Q131" t="s">
        <v>154</v>
      </c>
      <c r="R131" t="s">
        <v>1161</v>
      </c>
      <c r="S131" t="s">
        <v>241</v>
      </c>
      <c r="T131" t="s">
        <v>246</v>
      </c>
      <c r="U131"/>
    </row>
    <row r="132" spans="1:21" x14ac:dyDescent="0.2">
      <c r="A132">
        <v>778944</v>
      </c>
      <c r="B132" t="s">
        <v>505</v>
      </c>
      <c r="C132">
        <v>-4</v>
      </c>
      <c r="D132">
        <v>1</v>
      </c>
      <c r="E132">
        <v>-2</v>
      </c>
      <c r="F132">
        <v>-3</v>
      </c>
      <c r="G132">
        <v>3</v>
      </c>
      <c r="H132">
        <v>11</v>
      </c>
      <c r="I132">
        <v>20</v>
      </c>
      <c r="J132">
        <v>3.7</v>
      </c>
      <c r="K132">
        <v>0.2</v>
      </c>
      <c r="L132">
        <v>0.52</v>
      </c>
      <c r="M132">
        <v>8.1</v>
      </c>
      <c r="N132">
        <v>0.5</v>
      </c>
      <c r="O132" t="s">
        <v>641</v>
      </c>
      <c r="P132" s="368" t="s">
        <v>785</v>
      </c>
      <c r="Q132" t="s">
        <v>154</v>
      </c>
      <c r="R132" t="s">
        <v>1185</v>
      </c>
      <c r="S132" t="s">
        <v>241</v>
      </c>
      <c r="T132" t="s">
        <v>216</v>
      </c>
      <c r="U132"/>
    </row>
    <row r="133" spans="1:21" x14ac:dyDescent="0.2">
      <c r="A133">
        <v>814772</v>
      </c>
      <c r="B133" t="s">
        <v>513</v>
      </c>
      <c r="C133">
        <v>-4</v>
      </c>
      <c r="D133">
        <v>1</v>
      </c>
      <c r="E133">
        <v>-2</v>
      </c>
      <c r="F133">
        <v>-3</v>
      </c>
      <c r="G133">
        <v>3</v>
      </c>
      <c r="H133">
        <v>10</v>
      </c>
      <c r="I133">
        <v>17</v>
      </c>
      <c r="J133">
        <v>3.3</v>
      </c>
      <c r="K133">
        <v>0.2</v>
      </c>
      <c r="L133">
        <v>0.52</v>
      </c>
      <c r="M133">
        <v>7.6</v>
      </c>
      <c r="N133">
        <v>0.5</v>
      </c>
      <c r="O133" t="s">
        <v>641</v>
      </c>
      <c r="P133" s="368" t="s">
        <v>675</v>
      </c>
      <c r="Q133" t="s">
        <v>154</v>
      </c>
      <c r="R133" t="s">
        <v>1202</v>
      </c>
      <c r="S133" t="s">
        <v>241</v>
      </c>
      <c r="T133" t="s">
        <v>216</v>
      </c>
      <c r="U133"/>
    </row>
    <row r="134" spans="1:21" x14ac:dyDescent="0.2">
      <c r="A134">
        <v>296327</v>
      </c>
      <c r="B134" t="s">
        <v>295</v>
      </c>
      <c r="C134">
        <v>-19</v>
      </c>
      <c r="D134">
        <v>-1</v>
      </c>
      <c r="E134">
        <v>-10</v>
      </c>
      <c r="F134">
        <v>-16</v>
      </c>
      <c r="G134"/>
      <c r="H134">
        <v>1</v>
      </c>
      <c r="I134">
        <v>14</v>
      </c>
      <c r="J134">
        <v>2.6</v>
      </c>
      <c r="K134">
        <v>0.2</v>
      </c>
      <c r="L134">
        <v>0.6</v>
      </c>
      <c r="M134">
        <v>16.7</v>
      </c>
      <c r="N134">
        <v>0.1</v>
      </c>
      <c r="O134" t="s">
        <v>646</v>
      </c>
      <c r="P134" s="368" t="s">
        <v>772</v>
      </c>
      <c r="Q134" t="s">
        <v>46</v>
      </c>
      <c r="R134" t="s">
        <v>810</v>
      </c>
      <c r="S134" t="s">
        <v>181</v>
      </c>
      <c r="T134" t="s">
        <v>201</v>
      </c>
      <c r="U134"/>
    </row>
    <row r="135" spans="1:21" x14ac:dyDescent="0.2">
      <c r="A135">
        <v>384750</v>
      </c>
      <c r="B135" t="s">
        <v>616</v>
      </c>
      <c r="C135">
        <v>-3</v>
      </c>
      <c r="D135">
        <v>1</v>
      </c>
      <c r="E135">
        <v>-3</v>
      </c>
      <c r="F135">
        <v>-3</v>
      </c>
      <c r="G135">
        <v>-1</v>
      </c>
      <c r="H135">
        <v>0</v>
      </c>
      <c r="I135">
        <v>2</v>
      </c>
      <c r="J135">
        <v>0.5</v>
      </c>
      <c r="K135">
        <v>0.2</v>
      </c>
      <c r="L135">
        <v>0.52</v>
      </c>
      <c r="M135">
        <v>3.1</v>
      </c>
      <c r="N135">
        <v>0.1</v>
      </c>
      <c r="O135" t="s">
        <v>641</v>
      </c>
      <c r="P135" s="368" t="s">
        <v>888</v>
      </c>
      <c r="Q135" t="s">
        <v>154</v>
      </c>
      <c r="R135" t="s">
        <v>889</v>
      </c>
      <c r="S135" t="s">
        <v>289</v>
      </c>
      <c r="T135" t="s">
        <v>159</v>
      </c>
      <c r="U135"/>
    </row>
    <row r="136" spans="1:21" x14ac:dyDescent="0.2">
      <c r="A136">
        <v>660829</v>
      </c>
      <c r="B136" t="s">
        <v>462</v>
      </c>
      <c r="C136">
        <v>-3</v>
      </c>
      <c r="D136">
        <v>1</v>
      </c>
      <c r="E136">
        <v>-3</v>
      </c>
      <c r="F136">
        <v>-3</v>
      </c>
      <c r="G136">
        <v>-2</v>
      </c>
      <c r="H136">
        <v>0</v>
      </c>
      <c r="I136">
        <v>1</v>
      </c>
      <c r="J136">
        <v>0.3</v>
      </c>
      <c r="K136">
        <v>0.2</v>
      </c>
      <c r="L136">
        <v>0.61</v>
      </c>
      <c r="M136">
        <v>3.1</v>
      </c>
      <c r="N136">
        <v>0.1</v>
      </c>
      <c r="O136" t="s">
        <v>641</v>
      </c>
      <c r="P136" s="368" t="s">
        <v>998</v>
      </c>
      <c r="Q136" t="s">
        <v>154</v>
      </c>
      <c r="R136" t="s">
        <v>1105</v>
      </c>
      <c r="S136" t="s">
        <v>158</v>
      </c>
      <c r="T136" t="s">
        <v>194</v>
      </c>
      <c r="U136"/>
    </row>
    <row r="137" spans="1:21" x14ac:dyDescent="0.2">
      <c r="A137">
        <v>651679</v>
      </c>
      <c r="B137" t="s">
        <v>455</v>
      </c>
      <c r="C137">
        <v>-1</v>
      </c>
      <c r="D137">
        <v>0</v>
      </c>
      <c r="E137">
        <v>-1</v>
      </c>
      <c r="F137">
        <v>-1</v>
      </c>
      <c r="G137">
        <v>-1</v>
      </c>
      <c r="H137">
        <v>-1</v>
      </c>
      <c r="I137">
        <v>1</v>
      </c>
      <c r="J137">
        <v>0.1</v>
      </c>
      <c r="K137">
        <v>0.2</v>
      </c>
      <c r="L137">
        <v>0.81</v>
      </c>
      <c r="M137">
        <v>1.8</v>
      </c>
      <c r="N137">
        <v>0</v>
      </c>
      <c r="O137" t="s">
        <v>641</v>
      </c>
      <c r="P137" s="368" t="s">
        <v>1097</v>
      </c>
      <c r="Q137" t="s">
        <v>46</v>
      </c>
      <c r="R137" t="s">
        <v>1098</v>
      </c>
      <c r="S137" t="s">
        <v>184</v>
      </c>
      <c r="T137" t="s">
        <v>159</v>
      </c>
      <c r="U137"/>
    </row>
    <row r="138" spans="1:21" x14ac:dyDescent="0.2">
      <c r="A138">
        <v>429316</v>
      </c>
      <c r="B138" t="s">
        <v>1363</v>
      </c>
      <c r="C138"/>
      <c r="D138">
        <v>-3</v>
      </c>
      <c r="E138">
        <v>-9</v>
      </c>
      <c r="F138"/>
      <c r="G138"/>
      <c r="H138">
        <v>7</v>
      </c>
      <c r="I138"/>
      <c r="J138"/>
      <c r="K138">
        <v>0.2</v>
      </c>
      <c r="L138">
        <v>0.56000000000000005</v>
      </c>
      <c r="M138">
        <v>14.8</v>
      </c>
      <c r="N138">
        <v>0.2</v>
      </c>
      <c r="O138" t="s">
        <v>641</v>
      </c>
      <c r="P138" s="368" t="s">
        <v>1359</v>
      </c>
      <c r="Q138" t="s">
        <v>154</v>
      </c>
      <c r="R138" t="s">
        <v>1364</v>
      </c>
      <c r="S138" t="s">
        <v>198</v>
      </c>
      <c r="T138" t="s">
        <v>172</v>
      </c>
      <c r="U138"/>
    </row>
    <row r="139" spans="1:21" x14ac:dyDescent="0.2">
      <c r="A139">
        <v>577833</v>
      </c>
      <c r="B139" t="s">
        <v>431</v>
      </c>
      <c r="C139">
        <v>-8</v>
      </c>
      <c r="D139">
        <v>5</v>
      </c>
      <c r="E139">
        <v>-2</v>
      </c>
      <c r="F139">
        <v>-6</v>
      </c>
      <c r="G139">
        <v>7</v>
      </c>
      <c r="H139">
        <v>11</v>
      </c>
      <c r="I139">
        <v>23</v>
      </c>
      <c r="J139">
        <v>4.2</v>
      </c>
      <c r="K139">
        <v>0.21</v>
      </c>
      <c r="L139">
        <v>0.49</v>
      </c>
      <c r="M139">
        <v>15.8</v>
      </c>
      <c r="N139">
        <v>0.3</v>
      </c>
      <c r="O139" t="s">
        <v>641</v>
      </c>
      <c r="P139" s="368" t="s">
        <v>1051</v>
      </c>
      <c r="Q139" t="s">
        <v>154</v>
      </c>
      <c r="R139" t="s">
        <v>1052</v>
      </c>
      <c r="S139" t="s">
        <v>158</v>
      </c>
      <c r="T139" t="s">
        <v>209</v>
      </c>
      <c r="U139"/>
    </row>
    <row r="140" spans="1:21" x14ac:dyDescent="0.2">
      <c r="A140">
        <v>750075</v>
      </c>
      <c r="B140" t="s">
        <v>496</v>
      </c>
      <c r="C140">
        <v>-14</v>
      </c>
      <c r="D140">
        <v>-4</v>
      </c>
      <c r="E140">
        <v>-9</v>
      </c>
      <c r="F140">
        <v>-10</v>
      </c>
      <c r="G140">
        <v>-4</v>
      </c>
      <c r="H140">
        <v>6</v>
      </c>
      <c r="I140">
        <v>12</v>
      </c>
      <c r="J140">
        <v>2.2999999999999998</v>
      </c>
      <c r="K140">
        <v>0.21</v>
      </c>
      <c r="L140">
        <v>0.6</v>
      </c>
      <c r="M140">
        <v>14.9</v>
      </c>
      <c r="N140">
        <v>0.2</v>
      </c>
      <c r="O140" t="s">
        <v>641</v>
      </c>
      <c r="P140" s="368" t="s">
        <v>1165</v>
      </c>
      <c r="Q140" t="s">
        <v>154</v>
      </c>
      <c r="R140" t="s">
        <v>1166</v>
      </c>
      <c r="S140" t="s">
        <v>187</v>
      </c>
      <c r="T140" t="s">
        <v>172</v>
      </c>
      <c r="U140"/>
    </row>
    <row r="141" spans="1:21" x14ac:dyDescent="0.2">
      <c r="A141">
        <v>144501</v>
      </c>
      <c r="B141" t="s">
        <v>625</v>
      </c>
      <c r="C141">
        <v>-5</v>
      </c>
      <c r="D141">
        <v>1</v>
      </c>
      <c r="E141">
        <v>-5</v>
      </c>
      <c r="F141">
        <v>-5</v>
      </c>
      <c r="G141">
        <v>-3</v>
      </c>
      <c r="H141">
        <v>-2</v>
      </c>
      <c r="I141">
        <v>2</v>
      </c>
      <c r="J141">
        <v>0.4</v>
      </c>
      <c r="K141">
        <v>0.21</v>
      </c>
      <c r="L141">
        <v>0.69</v>
      </c>
      <c r="M141">
        <v>3.9</v>
      </c>
      <c r="N141">
        <v>-0.1</v>
      </c>
      <c r="O141" t="s">
        <v>641</v>
      </c>
      <c r="P141" s="368" t="s">
        <v>677</v>
      </c>
      <c r="Q141" t="s">
        <v>46</v>
      </c>
      <c r="R141" t="s">
        <v>678</v>
      </c>
      <c r="S141" t="s">
        <v>188</v>
      </c>
      <c r="T141" t="s">
        <v>199</v>
      </c>
      <c r="U141"/>
    </row>
    <row r="142" spans="1:21" x14ac:dyDescent="0.2">
      <c r="A142">
        <v>184119</v>
      </c>
      <c r="B142" t="s">
        <v>227</v>
      </c>
      <c r="C142">
        <v>-6</v>
      </c>
      <c r="D142">
        <v>2</v>
      </c>
      <c r="E142">
        <v>-4</v>
      </c>
      <c r="F142">
        <v>-5</v>
      </c>
      <c r="G142">
        <v>6</v>
      </c>
      <c r="H142">
        <v>28</v>
      </c>
      <c r="I142">
        <v>56</v>
      </c>
      <c r="J142">
        <v>9.1999999999999993</v>
      </c>
      <c r="K142">
        <v>0.22</v>
      </c>
      <c r="L142">
        <v>0.77</v>
      </c>
      <c r="M142">
        <v>15.5</v>
      </c>
      <c r="N142">
        <v>0.6</v>
      </c>
      <c r="O142" t="s">
        <v>641</v>
      </c>
      <c r="P142" s="368" t="s">
        <v>711</v>
      </c>
      <c r="Q142" t="s">
        <v>154</v>
      </c>
      <c r="R142" t="s">
        <v>712</v>
      </c>
      <c r="S142" t="s">
        <v>198</v>
      </c>
      <c r="T142" t="s">
        <v>162</v>
      </c>
      <c r="U142"/>
    </row>
    <row r="143" spans="1:21" x14ac:dyDescent="0.2">
      <c r="A143">
        <v>912220</v>
      </c>
      <c r="B143" t="s">
        <v>551</v>
      </c>
      <c r="C143">
        <v>-13</v>
      </c>
      <c r="D143">
        <v>-2</v>
      </c>
      <c r="E143">
        <v>-7</v>
      </c>
      <c r="F143">
        <v>-14</v>
      </c>
      <c r="G143">
        <v>-5</v>
      </c>
      <c r="H143">
        <v>16</v>
      </c>
      <c r="I143">
        <v>30</v>
      </c>
      <c r="J143">
        <v>5.4</v>
      </c>
      <c r="K143">
        <v>0.22</v>
      </c>
      <c r="L143">
        <v>0.71</v>
      </c>
      <c r="M143">
        <v>13.4</v>
      </c>
      <c r="N143">
        <v>0.5</v>
      </c>
      <c r="O143" t="s">
        <v>641</v>
      </c>
      <c r="P143" s="368" t="s">
        <v>1272</v>
      </c>
      <c r="Q143" t="s">
        <v>154</v>
      </c>
      <c r="R143" t="s">
        <v>1273</v>
      </c>
      <c r="S143" t="s">
        <v>198</v>
      </c>
      <c r="T143" t="s">
        <v>162</v>
      </c>
      <c r="U143"/>
    </row>
    <row r="144" spans="1:21" x14ac:dyDescent="0.2">
      <c r="A144">
        <v>901603</v>
      </c>
      <c r="B144" t="s">
        <v>548</v>
      </c>
      <c r="C144">
        <v>0</v>
      </c>
      <c r="D144">
        <v>0</v>
      </c>
      <c r="E144">
        <v>-1</v>
      </c>
      <c r="F144">
        <v>0</v>
      </c>
      <c r="G144">
        <v>0</v>
      </c>
      <c r="H144">
        <v>1</v>
      </c>
      <c r="I144">
        <v>2</v>
      </c>
      <c r="J144">
        <v>0.4</v>
      </c>
      <c r="K144">
        <v>0.22</v>
      </c>
      <c r="L144">
        <v>0.5</v>
      </c>
      <c r="M144">
        <v>1.5</v>
      </c>
      <c r="N144">
        <v>0.3</v>
      </c>
      <c r="O144" t="s">
        <v>641</v>
      </c>
      <c r="P144" s="368" t="s">
        <v>785</v>
      </c>
      <c r="Q144" t="s">
        <v>46</v>
      </c>
      <c r="R144" t="s">
        <v>1266</v>
      </c>
      <c r="S144" t="s">
        <v>1352</v>
      </c>
      <c r="T144" t="s">
        <v>159</v>
      </c>
      <c r="U144"/>
    </row>
    <row r="145" spans="1:21" x14ac:dyDescent="0.2">
      <c r="A145">
        <v>152835</v>
      </c>
      <c r="B145" t="s">
        <v>210</v>
      </c>
      <c r="C145">
        <v>-7</v>
      </c>
      <c r="D145">
        <v>3</v>
      </c>
      <c r="E145">
        <v>-2</v>
      </c>
      <c r="F145">
        <v>-5</v>
      </c>
      <c r="G145">
        <v>7</v>
      </c>
      <c r="H145">
        <v>22</v>
      </c>
      <c r="I145">
        <v>35</v>
      </c>
      <c r="J145">
        <v>6.2</v>
      </c>
      <c r="K145">
        <v>0.23</v>
      </c>
      <c r="L145">
        <v>0.6</v>
      </c>
      <c r="M145">
        <v>15.7</v>
      </c>
      <c r="N145">
        <v>0.5</v>
      </c>
      <c r="O145" t="s">
        <v>641</v>
      </c>
      <c r="P145" s="368" t="s">
        <v>658</v>
      </c>
      <c r="Q145" t="s">
        <v>154</v>
      </c>
      <c r="R145" t="s">
        <v>687</v>
      </c>
      <c r="S145" t="s">
        <v>158</v>
      </c>
      <c r="T145" t="s">
        <v>182</v>
      </c>
      <c r="U145"/>
    </row>
    <row r="146" spans="1:21" x14ac:dyDescent="0.2">
      <c r="A146">
        <v>117002</v>
      </c>
      <c r="B146" t="s">
        <v>176</v>
      </c>
      <c r="C146">
        <v>-4</v>
      </c>
      <c r="D146">
        <v>2</v>
      </c>
      <c r="E146">
        <v>-1</v>
      </c>
      <c r="F146">
        <v>-3</v>
      </c>
      <c r="G146">
        <v>5</v>
      </c>
      <c r="H146">
        <v>16</v>
      </c>
      <c r="I146">
        <v>26</v>
      </c>
      <c r="J146">
        <v>4.7</v>
      </c>
      <c r="K146">
        <v>0.23</v>
      </c>
      <c r="L146">
        <v>0.59</v>
      </c>
      <c r="M146">
        <v>11.1</v>
      </c>
      <c r="N146">
        <v>0.5</v>
      </c>
      <c r="O146" t="s">
        <v>641</v>
      </c>
      <c r="P146" s="368" t="s">
        <v>658</v>
      </c>
      <c r="Q146" t="s">
        <v>154</v>
      </c>
      <c r="R146" t="s">
        <v>659</v>
      </c>
      <c r="S146" t="s">
        <v>158</v>
      </c>
      <c r="T146" t="s">
        <v>177</v>
      </c>
      <c r="U146"/>
    </row>
    <row r="147" spans="1:21" x14ac:dyDescent="0.2">
      <c r="A147">
        <v>621631</v>
      </c>
      <c r="B147" t="s">
        <v>447</v>
      </c>
      <c r="C147">
        <v>-4</v>
      </c>
      <c r="D147">
        <v>-1</v>
      </c>
      <c r="E147">
        <v>-6</v>
      </c>
      <c r="F147">
        <v>-5</v>
      </c>
      <c r="G147">
        <v>-5</v>
      </c>
      <c r="H147">
        <v>5</v>
      </c>
      <c r="I147">
        <v>15</v>
      </c>
      <c r="J147">
        <v>2.8</v>
      </c>
      <c r="K147">
        <v>0.23</v>
      </c>
      <c r="L147">
        <v>0.55000000000000004</v>
      </c>
      <c r="M147">
        <v>6.1</v>
      </c>
      <c r="N147">
        <v>0.3</v>
      </c>
      <c r="O147" t="s">
        <v>655</v>
      </c>
      <c r="P147" s="368" t="s">
        <v>1079</v>
      </c>
      <c r="Q147" t="s">
        <v>46</v>
      </c>
      <c r="R147" t="s">
        <v>1080</v>
      </c>
      <c r="S147" t="s">
        <v>250</v>
      </c>
      <c r="T147" t="s">
        <v>199</v>
      </c>
      <c r="U147"/>
    </row>
    <row r="148" spans="1:21" x14ac:dyDescent="0.2">
      <c r="A148">
        <v>981175</v>
      </c>
      <c r="B148" t="s">
        <v>568</v>
      </c>
      <c r="C148">
        <v>-2</v>
      </c>
      <c r="D148">
        <v>1</v>
      </c>
      <c r="E148">
        <v>0</v>
      </c>
      <c r="F148">
        <v>-1</v>
      </c>
      <c r="G148">
        <v>1</v>
      </c>
      <c r="H148">
        <v>5</v>
      </c>
      <c r="I148">
        <v>8</v>
      </c>
      <c r="J148">
        <v>1.5</v>
      </c>
      <c r="K148">
        <v>0.23</v>
      </c>
      <c r="L148">
        <v>0.6</v>
      </c>
      <c r="M148">
        <v>4.8</v>
      </c>
      <c r="N148">
        <v>0.4</v>
      </c>
      <c r="O148" t="s">
        <v>641</v>
      </c>
      <c r="P148" s="368" t="s">
        <v>658</v>
      </c>
      <c r="Q148" t="s">
        <v>154</v>
      </c>
      <c r="R148" t="s">
        <v>1307</v>
      </c>
      <c r="S148" t="s">
        <v>158</v>
      </c>
      <c r="T148" t="s">
        <v>177</v>
      </c>
      <c r="U148"/>
    </row>
    <row r="149" spans="1:21" x14ac:dyDescent="0.2">
      <c r="A149">
        <v>882358</v>
      </c>
      <c r="B149" t="s">
        <v>637</v>
      </c>
      <c r="C149">
        <v>-7</v>
      </c>
      <c r="D149">
        <v>3</v>
      </c>
      <c r="E149">
        <v>-6</v>
      </c>
      <c r="F149">
        <v>-6</v>
      </c>
      <c r="G149"/>
      <c r="H149">
        <v>-4</v>
      </c>
      <c r="I149">
        <v>2</v>
      </c>
      <c r="J149">
        <v>0.5</v>
      </c>
      <c r="K149">
        <v>0.23</v>
      </c>
      <c r="L149">
        <v>1.06</v>
      </c>
      <c r="M149">
        <v>8</v>
      </c>
      <c r="N149">
        <v>-0.1</v>
      </c>
      <c r="O149" t="s">
        <v>641</v>
      </c>
      <c r="P149" s="368" t="s">
        <v>1228</v>
      </c>
      <c r="Q149" t="s">
        <v>46</v>
      </c>
      <c r="R149" t="s">
        <v>1255</v>
      </c>
      <c r="S149" t="s">
        <v>184</v>
      </c>
      <c r="T149" t="s">
        <v>270</v>
      </c>
      <c r="U149"/>
    </row>
    <row r="150" spans="1:21" x14ac:dyDescent="0.2">
      <c r="A150">
        <v>201111</v>
      </c>
      <c r="B150" t="s">
        <v>234</v>
      </c>
      <c r="C150">
        <v>-9</v>
      </c>
      <c r="D150">
        <v>2</v>
      </c>
      <c r="E150">
        <v>-2</v>
      </c>
      <c r="F150">
        <v>-6</v>
      </c>
      <c r="G150">
        <v>6</v>
      </c>
      <c r="H150">
        <v>18</v>
      </c>
      <c r="I150">
        <v>28</v>
      </c>
      <c r="J150">
        <v>5.0999999999999996</v>
      </c>
      <c r="K150">
        <v>0.24</v>
      </c>
      <c r="L150">
        <v>0.87</v>
      </c>
      <c r="M150">
        <v>14.8</v>
      </c>
      <c r="N150">
        <v>0.5</v>
      </c>
      <c r="O150" t="s">
        <v>641</v>
      </c>
      <c r="P150" s="368" t="s">
        <v>723</v>
      </c>
      <c r="Q150" t="s">
        <v>154</v>
      </c>
      <c r="R150" t="s">
        <v>724</v>
      </c>
      <c r="S150" t="s">
        <v>198</v>
      </c>
      <c r="T150" t="s">
        <v>182</v>
      </c>
      <c r="U150"/>
    </row>
    <row r="151" spans="1:21" x14ac:dyDescent="0.2">
      <c r="A151">
        <v>537639</v>
      </c>
      <c r="B151" t="s">
        <v>633</v>
      </c>
      <c r="C151">
        <v>-9</v>
      </c>
      <c r="D151">
        <v>1</v>
      </c>
      <c r="E151">
        <v>-9</v>
      </c>
      <c r="F151">
        <v>-8</v>
      </c>
      <c r="G151">
        <v>-7</v>
      </c>
      <c r="H151">
        <v>-5</v>
      </c>
      <c r="I151">
        <v>0</v>
      </c>
      <c r="J151">
        <v>0</v>
      </c>
      <c r="K151">
        <v>0.24</v>
      </c>
      <c r="L151">
        <v>1.1100000000000001</v>
      </c>
      <c r="M151">
        <v>7.7</v>
      </c>
      <c r="N151">
        <v>-0.1</v>
      </c>
      <c r="O151" t="s">
        <v>641</v>
      </c>
      <c r="P151" s="368" t="s">
        <v>754</v>
      </c>
      <c r="Q151" t="s">
        <v>46</v>
      </c>
      <c r="R151" t="s">
        <v>1016</v>
      </c>
      <c r="S151" t="s">
        <v>439</v>
      </c>
      <c r="T151" t="s">
        <v>166</v>
      </c>
      <c r="U151"/>
    </row>
    <row r="152" spans="1:21" x14ac:dyDescent="0.2">
      <c r="A152">
        <v>111518</v>
      </c>
      <c r="B152" t="s">
        <v>164</v>
      </c>
      <c r="C152">
        <v>-5</v>
      </c>
      <c r="D152">
        <v>3</v>
      </c>
      <c r="E152">
        <v>-4</v>
      </c>
      <c r="F152">
        <v>-4</v>
      </c>
      <c r="G152">
        <v>-7</v>
      </c>
      <c r="H152">
        <v>1</v>
      </c>
      <c r="I152">
        <v>0</v>
      </c>
      <c r="J152">
        <v>-0.1</v>
      </c>
      <c r="K152">
        <v>0.24</v>
      </c>
      <c r="L152">
        <v>0.5</v>
      </c>
      <c r="M152">
        <v>7.7</v>
      </c>
      <c r="N152">
        <v>0.1</v>
      </c>
      <c r="O152" t="s">
        <v>646</v>
      </c>
      <c r="P152" s="368" t="s">
        <v>647</v>
      </c>
      <c r="Q152" t="s">
        <v>46</v>
      </c>
      <c r="R152" t="s">
        <v>648</v>
      </c>
      <c r="S152" t="s">
        <v>165</v>
      </c>
      <c r="T152" t="s">
        <v>166</v>
      </c>
      <c r="U152"/>
    </row>
    <row r="153" spans="1:21" x14ac:dyDescent="0.2">
      <c r="A153">
        <v>678128</v>
      </c>
      <c r="B153" t="s">
        <v>470</v>
      </c>
      <c r="C153">
        <v>-3</v>
      </c>
      <c r="D153">
        <v>2</v>
      </c>
      <c r="E153">
        <v>1</v>
      </c>
      <c r="F153">
        <v>-4</v>
      </c>
      <c r="G153">
        <v>13</v>
      </c>
      <c r="H153">
        <v>49</v>
      </c>
      <c r="I153">
        <v>74</v>
      </c>
      <c r="J153">
        <v>11.8</v>
      </c>
      <c r="K153">
        <v>0.25</v>
      </c>
      <c r="L153">
        <v>0.66</v>
      </c>
      <c r="M153">
        <v>16.5</v>
      </c>
      <c r="N153">
        <v>0.9</v>
      </c>
      <c r="O153" t="s">
        <v>641</v>
      </c>
      <c r="P153" s="368" t="s">
        <v>806</v>
      </c>
      <c r="Q153" t="s">
        <v>154</v>
      </c>
      <c r="R153" t="s">
        <v>1122</v>
      </c>
      <c r="S153" t="s">
        <v>158</v>
      </c>
      <c r="T153" t="s">
        <v>204</v>
      </c>
      <c r="U153"/>
    </row>
    <row r="154" spans="1:21" x14ac:dyDescent="0.2">
      <c r="A154">
        <v>984187</v>
      </c>
      <c r="B154" t="s">
        <v>571</v>
      </c>
      <c r="C154">
        <v>-4</v>
      </c>
      <c r="D154">
        <v>1</v>
      </c>
      <c r="E154">
        <v>0</v>
      </c>
      <c r="F154">
        <v>-4</v>
      </c>
      <c r="G154">
        <v>7</v>
      </c>
      <c r="H154">
        <v>33</v>
      </c>
      <c r="I154">
        <v>46</v>
      </c>
      <c r="J154">
        <v>7.9</v>
      </c>
      <c r="K154">
        <v>0.25</v>
      </c>
      <c r="L154">
        <v>1</v>
      </c>
      <c r="M154">
        <v>15.3</v>
      </c>
      <c r="N154">
        <v>0.7</v>
      </c>
      <c r="O154" t="s">
        <v>646</v>
      </c>
      <c r="P154" s="368" t="s">
        <v>774</v>
      </c>
      <c r="Q154" t="s">
        <v>46</v>
      </c>
      <c r="R154" t="s">
        <v>1311</v>
      </c>
      <c r="S154" t="s">
        <v>181</v>
      </c>
      <c r="T154" t="s">
        <v>162</v>
      </c>
      <c r="U154"/>
    </row>
    <row r="155" spans="1:21" x14ac:dyDescent="0.2">
      <c r="A155">
        <v>252411</v>
      </c>
      <c r="B155" t="s">
        <v>271</v>
      </c>
      <c r="C155">
        <v>-7</v>
      </c>
      <c r="D155">
        <v>1</v>
      </c>
      <c r="E155">
        <v>-2</v>
      </c>
      <c r="F155">
        <v>-7</v>
      </c>
      <c r="G155">
        <v>5</v>
      </c>
      <c r="H155">
        <v>29</v>
      </c>
      <c r="I155">
        <v>45</v>
      </c>
      <c r="J155">
        <v>7.8</v>
      </c>
      <c r="K155">
        <v>0.25</v>
      </c>
      <c r="L155">
        <v>0.47</v>
      </c>
      <c r="M155">
        <v>15.9</v>
      </c>
      <c r="N155">
        <v>0.6</v>
      </c>
      <c r="O155" t="s">
        <v>641</v>
      </c>
      <c r="P155" s="368" t="s">
        <v>785</v>
      </c>
      <c r="Q155" t="s">
        <v>46</v>
      </c>
      <c r="R155" t="s">
        <v>765</v>
      </c>
      <c r="S155" t="s">
        <v>1352</v>
      </c>
      <c r="T155" t="s">
        <v>162</v>
      </c>
      <c r="U155"/>
    </row>
    <row r="156" spans="1:21" x14ac:dyDescent="0.2">
      <c r="A156">
        <v>282517</v>
      </c>
      <c r="B156" t="s">
        <v>285</v>
      </c>
      <c r="C156">
        <v>-9</v>
      </c>
      <c r="D156">
        <v>0</v>
      </c>
      <c r="E156">
        <v>-1</v>
      </c>
      <c r="F156">
        <v>-8</v>
      </c>
      <c r="G156">
        <v>5</v>
      </c>
      <c r="H156">
        <v>28</v>
      </c>
      <c r="I156">
        <v>41</v>
      </c>
      <c r="J156">
        <v>7</v>
      </c>
      <c r="K156">
        <v>0.25</v>
      </c>
      <c r="L156">
        <v>1</v>
      </c>
      <c r="M156">
        <v>15.8</v>
      </c>
      <c r="N156">
        <v>0.6</v>
      </c>
      <c r="O156" t="s">
        <v>641</v>
      </c>
      <c r="P156" s="368" t="s">
        <v>792</v>
      </c>
      <c r="Q156" t="s">
        <v>46</v>
      </c>
      <c r="R156" t="s">
        <v>793</v>
      </c>
      <c r="S156" t="s">
        <v>191</v>
      </c>
      <c r="T156" t="s">
        <v>162</v>
      </c>
      <c r="U156"/>
    </row>
    <row r="157" spans="1:21" x14ac:dyDescent="0.2">
      <c r="A157">
        <v>570630</v>
      </c>
      <c r="B157" t="s">
        <v>427</v>
      </c>
      <c r="C157">
        <v>-12</v>
      </c>
      <c r="D157">
        <v>1</v>
      </c>
      <c r="E157">
        <v>-6</v>
      </c>
      <c r="F157">
        <v>-11</v>
      </c>
      <c r="G157">
        <v>0</v>
      </c>
      <c r="H157">
        <v>11</v>
      </c>
      <c r="I157">
        <v>16</v>
      </c>
      <c r="J157">
        <v>3.1</v>
      </c>
      <c r="K157">
        <v>0.25</v>
      </c>
      <c r="L157">
        <v>0.68</v>
      </c>
      <c r="M157">
        <v>14.6</v>
      </c>
      <c r="N157">
        <v>0.3</v>
      </c>
      <c r="O157" t="s">
        <v>641</v>
      </c>
      <c r="P157" s="368" t="s">
        <v>806</v>
      </c>
      <c r="Q157" t="s">
        <v>154</v>
      </c>
      <c r="R157" t="s">
        <v>1045</v>
      </c>
      <c r="S157" t="s">
        <v>158</v>
      </c>
      <c r="T157" t="s">
        <v>185</v>
      </c>
      <c r="U157"/>
    </row>
    <row r="158" spans="1:21" x14ac:dyDescent="0.2">
      <c r="A158">
        <v>642298</v>
      </c>
      <c r="B158" t="s">
        <v>451</v>
      </c>
      <c r="C158">
        <v>-17</v>
      </c>
      <c r="D158">
        <v>-4</v>
      </c>
      <c r="E158">
        <v>-12</v>
      </c>
      <c r="F158">
        <v>-17</v>
      </c>
      <c r="G158">
        <v>-12</v>
      </c>
      <c r="H158">
        <v>11</v>
      </c>
      <c r="I158">
        <v>15</v>
      </c>
      <c r="J158">
        <v>2.8</v>
      </c>
      <c r="K158">
        <v>0.25</v>
      </c>
      <c r="L158">
        <v>0.68</v>
      </c>
      <c r="M158">
        <v>16.399999999999999</v>
      </c>
      <c r="N158">
        <v>0.3</v>
      </c>
      <c r="O158" t="s">
        <v>641</v>
      </c>
      <c r="P158" s="368" t="s">
        <v>806</v>
      </c>
      <c r="Q158" t="s">
        <v>154</v>
      </c>
      <c r="R158" t="s">
        <v>1088</v>
      </c>
      <c r="S158" t="s">
        <v>158</v>
      </c>
      <c r="T158" t="s">
        <v>263</v>
      </c>
      <c r="U158"/>
    </row>
    <row r="159" spans="1:21" x14ac:dyDescent="0.2">
      <c r="A159">
        <v>610410</v>
      </c>
      <c r="B159" t="s">
        <v>441</v>
      </c>
      <c r="C159">
        <v>-7</v>
      </c>
      <c r="D159">
        <v>3</v>
      </c>
      <c r="E159">
        <v>-2</v>
      </c>
      <c r="F159">
        <v>-5</v>
      </c>
      <c r="G159">
        <v>9</v>
      </c>
      <c r="H159">
        <v>7</v>
      </c>
      <c r="I159">
        <v>13</v>
      </c>
      <c r="J159">
        <v>2.5</v>
      </c>
      <c r="K159">
        <v>0.25</v>
      </c>
      <c r="L159">
        <v>0.5</v>
      </c>
      <c r="M159">
        <v>16.399999999999999</v>
      </c>
      <c r="N159">
        <v>0.2</v>
      </c>
      <c r="O159" t="s">
        <v>641</v>
      </c>
      <c r="P159" s="368" t="s">
        <v>1067</v>
      </c>
      <c r="Q159" t="s">
        <v>46</v>
      </c>
      <c r="R159" t="s">
        <v>1068</v>
      </c>
      <c r="S159" t="s">
        <v>250</v>
      </c>
      <c r="T159" t="s">
        <v>209</v>
      </c>
      <c r="U159"/>
    </row>
    <row r="160" spans="1:21" x14ac:dyDescent="0.2">
      <c r="A160">
        <v>465147</v>
      </c>
      <c r="B160" t="s">
        <v>1381</v>
      </c>
      <c r="C160"/>
      <c r="D160">
        <v>-1</v>
      </c>
      <c r="E160">
        <v>-13</v>
      </c>
      <c r="F160"/>
      <c r="G160"/>
      <c r="H160">
        <v>9</v>
      </c>
      <c r="I160"/>
      <c r="J160"/>
      <c r="K160">
        <v>0.25</v>
      </c>
      <c r="L160">
        <v>0.5</v>
      </c>
      <c r="M160">
        <v>16.7</v>
      </c>
      <c r="N160">
        <v>0.3</v>
      </c>
      <c r="O160" t="s">
        <v>641</v>
      </c>
      <c r="P160" s="368" t="s">
        <v>1394</v>
      </c>
      <c r="Q160" t="s">
        <v>154</v>
      </c>
      <c r="R160" t="s">
        <v>1402</v>
      </c>
      <c r="S160" t="s">
        <v>208</v>
      </c>
      <c r="T160" t="s">
        <v>162</v>
      </c>
      <c r="U160"/>
    </row>
    <row r="161" spans="1:21" x14ac:dyDescent="0.2">
      <c r="A161">
        <v>613729</v>
      </c>
      <c r="B161" t="s">
        <v>443</v>
      </c>
      <c r="C161">
        <v>-6</v>
      </c>
      <c r="D161">
        <v>1</v>
      </c>
      <c r="E161">
        <v>-1</v>
      </c>
      <c r="F161">
        <v>-6</v>
      </c>
      <c r="G161">
        <v>7</v>
      </c>
      <c r="H161">
        <v>29</v>
      </c>
      <c r="I161">
        <v>46</v>
      </c>
      <c r="J161">
        <v>7.9</v>
      </c>
      <c r="K161">
        <v>0.26</v>
      </c>
      <c r="L161">
        <v>0.53</v>
      </c>
      <c r="M161">
        <v>15.5</v>
      </c>
      <c r="N161">
        <v>0.6</v>
      </c>
      <c r="O161" t="s">
        <v>641</v>
      </c>
      <c r="P161" s="368" t="s">
        <v>1071</v>
      </c>
      <c r="Q161" t="s">
        <v>46</v>
      </c>
      <c r="R161" t="s">
        <v>1072</v>
      </c>
      <c r="S161" t="s">
        <v>1352</v>
      </c>
      <c r="T161" t="s">
        <v>162</v>
      </c>
      <c r="U161"/>
    </row>
    <row r="162" spans="1:21" x14ac:dyDescent="0.2">
      <c r="A162">
        <v>916189</v>
      </c>
      <c r="B162" t="s">
        <v>553</v>
      </c>
      <c r="C162">
        <v>5</v>
      </c>
      <c r="D162">
        <v>7</v>
      </c>
      <c r="E162">
        <v>10</v>
      </c>
      <c r="F162">
        <v>10</v>
      </c>
      <c r="G162">
        <v>25</v>
      </c>
      <c r="H162">
        <v>31</v>
      </c>
      <c r="I162">
        <v>45</v>
      </c>
      <c r="J162">
        <v>7.8</v>
      </c>
      <c r="K162">
        <v>0.26</v>
      </c>
      <c r="L162">
        <v>1</v>
      </c>
      <c r="M162">
        <v>18</v>
      </c>
      <c r="N162">
        <v>0.6</v>
      </c>
      <c r="O162" t="s">
        <v>641</v>
      </c>
      <c r="P162" s="368" t="s">
        <v>666</v>
      </c>
      <c r="Q162" t="s">
        <v>154</v>
      </c>
      <c r="R162" t="s">
        <v>1276</v>
      </c>
      <c r="S162" t="s">
        <v>187</v>
      </c>
      <c r="T162" t="s">
        <v>209</v>
      </c>
      <c r="U162"/>
    </row>
    <row r="163" spans="1:21" x14ac:dyDescent="0.2">
      <c r="A163">
        <v>283408</v>
      </c>
      <c r="B163" t="s">
        <v>611</v>
      </c>
      <c r="C163">
        <v>12</v>
      </c>
      <c r="D163">
        <v>4</v>
      </c>
      <c r="E163">
        <v>14</v>
      </c>
      <c r="F163">
        <v>14</v>
      </c>
      <c r="G163">
        <v>34</v>
      </c>
      <c r="H163">
        <v>90</v>
      </c>
      <c r="I163">
        <v>152</v>
      </c>
      <c r="J163">
        <v>20.3</v>
      </c>
      <c r="K163">
        <v>0.27</v>
      </c>
      <c r="L163">
        <v>1.26</v>
      </c>
      <c r="M163">
        <v>19.899999999999999</v>
      </c>
      <c r="N163">
        <v>1.2</v>
      </c>
      <c r="O163" t="s">
        <v>641</v>
      </c>
      <c r="P163" s="368" t="s">
        <v>796</v>
      </c>
      <c r="Q163" t="s">
        <v>154</v>
      </c>
      <c r="R163" t="s">
        <v>797</v>
      </c>
      <c r="S163" t="s">
        <v>170</v>
      </c>
      <c r="T163" t="s">
        <v>232</v>
      </c>
      <c r="U163"/>
    </row>
    <row r="164" spans="1:21" x14ac:dyDescent="0.2">
      <c r="A164">
        <v>856682</v>
      </c>
      <c r="B164" t="s">
        <v>1388</v>
      </c>
      <c r="C164">
        <v>4</v>
      </c>
      <c r="D164">
        <v>10</v>
      </c>
      <c r="E164">
        <v>8</v>
      </c>
      <c r="F164">
        <v>11</v>
      </c>
      <c r="G164">
        <v>25</v>
      </c>
      <c r="H164">
        <v>41</v>
      </c>
      <c r="I164">
        <v>93</v>
      </c>
      <c r="J164">
        <v>14</v>
      </c>
      <c r="K164">
        <v>0.27</v>
      </c>
      <c r="L164">
        <v>1.25</v>
      </c>
      <c r="M164">
        <v>19.100000000000001</v>
      </c>
      <c r="N164">
        <v>0.7</v>
      </c>
      <c r="O164" t="s">
        <v>641</v>
      </c>
      <c r="P164" s="368" t="s">
        <v>785</v>
      </c>
      <c r="Q164" t="s">
        <v>154</v>
      </c>
      <c r="R164" t="s">
        <v>1235</v>
      </c>
      <c r="S164" t="s">
        <v>170</v>
      </c>
      <c r="T164" t="s">
        <v>156</v>
      </c>
      <c r="U164"/>
    </row>
    <row r="165" spans="1:21" x14ac:dyDescent="0.2">
      <c r="A165">
        <v>968420</v>
      </c>
      <c r="B165" t="s">
        <v>603</v>
      </c>
      <c r="C165">
        <v>-13</v>
      </c>
      <c r="D165">
        <v>1</v>
      </c>
      <c r="E165">
        <v>-10</v>
      </c>
      <c r="F165">
        <v>-12</v>
      </c>
      <c r="G165">
        <v>1</v>
      </c>
      <c r="H165">
        <v>38</v>
      </c>
      <c r="I165">
        <v>59</v>
      </c>
      <c r="J165">
        <v>9.8000000000000007</v>
      </c>
      <c r="K165">
        <v>0.27</v>
      </c>
      <c r="L165">
        <v>1.25</v>
      </c>
      <c r="M165">
        <v>15.4</v>
      </c>
      <c r="N165">
        <v>0.8</v>
      </c>
      <c r="O165" t="s">
        <v>641</v>
      </c>
      <c r="P165" s="368" t="s">
        <v>675</v>
      </c>
      <c r="Q165" t="s">
        <v>154</v>
      </c>
      <c r="R165" t="s">
        <v>1297</v>
      </c>
      <c r="S165" t="s">
        <v>170</v>
      </c>
      <c r="T165" t="s">
        <v>275</v>
      </c>
      <c r="U165"/>
    </row>
    <row r="166" spans="1:21" x14ac:dyDescent="0.2">
      <c r="A166">
        <v>928341</v>
      </c>
      <c r="B166" t="s">
        <v>1391</v>
      </c>
      <c r="C166">
        <v>5</v>
      </c>
      <c r="D166">
        <v>2</v>
      </c>
      <c r="E166">
        <v>12</v>
      </c>
      <c r="F166">
        <v>5</v>
      </c>
      <c r="G166">
        <v>24</v>
      </c>
      <c r="H166">
        <v>43</v>
      </c>
      <c r="I166">
        <v>35</v>
      </c>
      <c r="J166">
        <v>6.2</v>
      </c>
      <c r="K166">
        <v>0.27</v>
      </c>
      <c r="L166">
        <v>1.25</v>
      </c>
      <c r="M166">
        <v>14.5</v>
      </c>
      <c r="N166">
        <v>0.9</v>
      </c>
      <c r="O166" t="s">
        <v>641</v>
      </c>
      <c r="P166" s="368" t="s">
        <v>785</v>
      </c>
      <c r="Q166" t="s">
        <v>154</v>
      </c>
      <c r="R166" t="s">
        <v>1282</v>
      </c>
      <c r="S166" t="s">
        <v>170</v>
      </c>
      <c r="T166" t="s">
        <v>252</v>
      </c>
      <c r="U166"/>
    </row>
    <row r="167" spans="1:21" x14ac:dyDescent="0.2">
      <c r="A167">
        <v>896761</v>
      </c>
      <c r="B167" t="s">
        <v>546</v>
      </c>
      <c r="C167">
        <v>-5</v>
      </c>
      <c r="D167">
        <v>4</v>
      </c>
      <c r="E167">
        <v>1</v>
      </c>
      <c r="F167">
        <v>-2</v>
      </c>
      <c r="G167">
        <v>9</v>
      </c>
      <c r="H167">
        <v>19</v>
      </c>
      <c r="I167">
        <v>27</v>
      </c>
      <c r="J167">
        <v>4.9000000000000004</v>
      </c>
      <c r="K167">
        <v>0.27</v>
      </c>
      <c r="L167">
        <v>1.25</v>
      </c>
      <c r="M167">
        <v>18.899999999999999</v>
      </c>
      <c r="N167">
        <v>0.4</v>
      </c>
      <c r="O167" t="s">
        <v>641</v>
      </c>
      <c r="P167" s="368" t="s">
        <v>675</v>
      </c>
      <c r="Q167" t="s">
        <v>154</v>
      </c>
      <c r="R167" t="s">
        <v>1261</v>
      </c>
      <c r="S167" t="s">
        <v>170</v>
      </c>
      <c r="T167" t="s">
        <v>175</v>
      </c>
      <c r="U167"/>
    </row>
    <row r="168" spans="1:21" x14ac:dyDescent="0.2">
      <c r="A168">
        <v>955435</v>
      </c>
      <c r="B168" t="s">
        <v>638</v>
      </c>
      <c r="C168">
        <v>-12</v>
      </c>
      <c r="D168">
        <v>0</v>
      </c>
      <c r="E168">
        <v>-14</v>
      </c>
      <c r="F168">
        <v>-13</v>
      </c>
      <c r="G168">
        <v>-11</v>
      </c>
      <c r="H168">
        <v>0</v>
      </c>
      <c r="I168">
        <v>17</v>
      </c>
      <c r="J168">
        <v>3.1</v>
      </c>
      <c r="K168">
        <v>0.27</v>
      </c>
      <c r="L168">
        <v>1</v>
      </c>
      <c r="M168">
        <v>9.3000000000000007</v>
      </c>
      <c r="N168">
        <v>0.1</v>
      </c>
      <c r="O168" t="s">
        <v>655</v>
      </c>
      <c r="P168" s="368" t="s">
        <v>751</v>
      </c>
      <c r="Q168" t="s">
        <v>46</v>
      </c>
      <c r="R168" t="s">
        <v>1293</v>
      </c>
      <c r="S168" t="s">
        <v>188</v>
      </c>
      <c r="T168" t="s">
        <v>199</v>
      </c>
      <c r="U168"/>
    </row>
    <row r="169" spans="1:21" x14ac:dyDescent="0.2">
      <c r="A169">
        <v>820852</v>
      </c>
      <c r="B169" t="s">
        <v>515</v>
      </c>
      <c r="C169">
        <v>-8</v>
      </c>
      <c r="D169">
        <v>5</v>
      </c>
      <c r="E169">
        <v>-1</v>
      </c>
      <c r="F169">
        <v>-5</v>
      </c>
      <c r="G169">
        <v>4</v>
      </c>
      <c r="H169">
        <v>12</v>
      </c>
      <c r="I169">
        <v>16</v>
      </c>
      <c r="J169">
        <v>3</v>
      </c>
      <c r="K169">
        <v>0.27</v>
      </c>
      <c r="L169">
        <v>1.25</v>
      </c>
      <c r="M169">
        <v>16.3</v>
      </c>
      <c r="N169">
        <v>0.3</v>
      </c>
      <c r="O169" t="s">
        <v>641</v>
      </c>
      <c r="P169" s="368" t="s">
        <v>675</v>
      </c>
      <c r="Q169" t="s">
        <v>154</v>
      </c>
      <c r="R169" t="s">
        <v>1204</v>
      </c>
      <c r="S169" t="s">
        <v>170</v>
      </c>
      <c r="T169" t="s">
        <v>197</v>
      </c>
      <c r="U169"/>
    </row>
    <row r="170" spans="1:21" x14ac:dyDescent="0.2">
      <c r="A170">
        <v>104786</v>
      </c>
      <c r="B170" t="s">
        <v>157</v>
      </c>
      <c r="C170">
        <v>-3</v>
      </c>
      <c r="D170">
        <v>0</v>
      </c>
      <c r="E170">
        <v>-3</v>
      </c>
      <c r="F170">
        <v>-3</v>
      </c>
      <c r="G170">
        <v>-2</v>
      </c>
      <c r="H170">
        <v>0</v>
      </c>
      <c r="I170">
        <v>3</v>
      </c>
      <c r="J170">
        <v>0.6</v>
      </c>
      <c r="K170">
        <v>0.27</v>
      </c>
      <c r="L170">
        <v>1.01</v>
      </c>
      <c r="M170">
        <v>3.3</v>
      </c>
      <c r="N170">
        <v>0.1</v>
      </c>
      <c r="O170" t="s">
        <v>641</v>
      </c>
      <c r="P170" s="368" t="s">
        <v>644</v>
      </c>
      <c r="Q170" t="s">
        <v>154</v>
      </c>
      <c r="R170" t="s">
        <v>645</v>
      </c>
      <c r="S170" t="s">
        <v>158</v>
      </c>
      <c r="T170" t="s">
        <v>159</v>
      </c>
      <c r="U170"/>
    </row>
    <row r="171" spans="1:21" x14ac:dyDescent="0.2">
      <c r="A171">
        <v>479550</v>
      </c>
      <c r="B171" t="s">
        <v>384</v>
      </c>
      <c r="C171">
        <v>-8</v>
      </c>
      <c r="D171">
        <v>-1</v>
      </c>
      <c r="E171">
        <v>-2</v>
      </c>
      <c r="F171">
        <v>-7</v>
      </c>
      <c r="G171">
        <v>7</v>
      </c>
      <c r="H171">
        <v>35</v>
      </c>
      <c r="I171">
        <v>68</v>
      </c>
      <c r="J171">
        <v>10.9</v>
      </c>
      <c r="K171">
        <v>0.28000000000000003</v>
      </c>
      <c r="L171">
        <v>0.6</v>
      </c>
      <c r="M171">
        <v>15</v>
      </c>
      <c r="N171">
        <v>0.8</v>
      </c>
      <c r="O171" t="s">
        <v>655</v>
      </c>
      <c r="P171" s="368" t="s">
        <v>961</v>
      </c>
      <c r="Q171" t="s">
        <v>46</v>
      </c>
      <c r="R171" t="s">
        <v>962</v>
      </c>
      <c r="S171" t="s">
        <v>356</v>
      </c>
      <c r="T171" t="s">
        <v>162</v>
      </c>
      <c r="U171"/>
    </row>
    <row r="172" spans="1:21" x14ac:dyDescent="0.2">
      <c r="A172">
        <v>416982</v>
      </c>
      <c r="B172" t="s">
        <v>355</v>
      </c>
      <c r="C172">
        <v>8</v>
      </c>
      <c r="D172">
        <v>-1</v>
      </c>
      <c r="E172">
        <v>7</v>
      </c>
      <c r="F172">
        <v>9</v>
      </c>
      <c r="G172">
        <v>27</v>
      </c>
      <c r="H172">
        <v>40</v>
      </c>
      <c r="I172">
        <v>37</v>
      </c>
      <c r="J172">
        <v>6.6</v>
      </c>
      <c r="K172">
        <v>0.28000000000000003</v>
      </c>
      <c r="L172">
        <v>0.61</v>
      </c>
      <c r="M172">
        <v>12.5</v>
      </c>
      <c r="N172">
        <v>1</v>
      </c>
      <c r="O172" t="s">
        <v>655</v>
      </c>
      <c r="P172" s="368" t="s">
        <v>675</v>
      </c>
      <c r="Q172" t="s">
        <v>46</v>
      </c>
      <c r="R172" t="s">
        <v>918</v>
      </c>
      <c r="S172" t="s">
        <v>356</v>
      </c>
      <c r="T172" t="s">
        <v>252</v>
      </c>
      <c r="U172"/>
    </row>
    <row r="173" spans="1:21" x14ac:dyDescent="0.2">
      <c r="A173">
        <v>560599</v>
      </c>
      <c r="B173" t="s">
        <v>422</v>
      </c>
      <c r="C173">
        <v>-8</v>
      </c>
      <c r="D173">
        <v>3</v>
      </c>
      <c r="E173">
        <v>-8</v>
      </c>
      <c r="F173">
        <v>-7</v>
      </c>
      <c r="G173">
        <v>-6</v>
      </c>
      <c r="H173">
        <v>0</v>
      </c>
      <c r="I173">
        <v>10</v>
      </c>
      <c r="J173">
        <v>1.9</v>
      </c>
      <c r="K173">
        <v>0.28000000000000003</v>
      </c>
      <c r="L173">
        <v>0.75</v>
      </c>
      <c r="M173">
        <v>8.1999999999999993</v>
      </c>
      <c r="N173">
        <v>0.1</v>
      </c>
      <c r="O173" t="s">
        <v>641</v>
      </c>
      <c r="P173" s="368" t="s">
        <v>1035</v>
      </c>
      <c r="Q173" t="s">
        <v>154</v>
      </c>
      <c r="R173" t="s">
        <v>1036</v>
      </c>
      <c r="S173" t="s">
        <v>208</v>
      </c>
      <c r="T173" t="s">
        <v>166</v>
      </c>
      <c r="U173"/>
    </row>
    <row r="174" spans="1:21" x14ac:dyDescent="0.2">
      <c r="A174">
        <v>112755</v>
      </c>
      <c r="B174" t="s">
        <v>167</v>
      </c>
      <c r="C174">
        <v>-2</v>
      </c>
      <c r="D174">
        <v>0</v>
      </c>
      <c r="E174">
        <v>-2</v>
      </c>
      <c r="F174">
        <v>-2</v>
      </c>
      <c r="G174">
        <v>-1</v>
      </c>
      <c r="H174">
        <v>-1</v>
      </c>
      <c r="I174">
        <v>0</v>
      </c>
      <c r="J174">
        <v>-0.1</v>
      </c>
      <c r="K174">
        <v>0.28000000000000003</v>
      </c>
      <c r="L174">
        <v>0.72</v>
      </c>
      <c r="M174">
        <v>1.8</v>
      </c>
      <c r="N174">
        <v>0</v>
      </c>
      <c r="O174" t="s">
        <v>641</v>
      </c>
      <c r="P174" s="368" t="s">
        <v>649</v>
      </c>
      <c r="Q174" t="s">
        <v>154</v>
      </c>
      <c r="R174" t="s">
        <v>650</v>
      </c>
      <c r="S174" t="s">
        <v>168</v>
      </c>
      <c r="T174" t="s">
        <v>159</v>
      </c>
      <c r="U174"/>
    </row>
    <row r="175" spans="1:21" x14ac:dyDescent="0.2">
      <c r="A175">
        <v>308908</v>
      </c>
      <c r="B175" t="s">
        <v>612</v>
      </c>
      <c r="C175">
        <v>-2</v>
      </c>
      <c r="D175">
        <v>1</v>
      </c>
      <c r="E175">
        <v>-2</v>
      </c>
      <c r="F175">
        <v>-1</v>
      </c>
      <c r="G175">
        <v>-1</v>
      </c>
      <c r="H175">
        <v>-1</v>
      </c>
      <c r="I175">
        <v>-1</v>
      </c>
      <c r="J175">
        <v>-0.2</v>
      </c>
      <c r="K175">
        <v>0.28000000000000003</v>
      </c>
      <c r="L175">
        <v>0.6</v>
      </c>
      <c r="M175">
        <v>1.9</v>
      </c>
      <c r="N175">
        <v>0</v>
      </c>
      <c r="O175" t="s">
        <v>641</v>
      </c>
      <c r="P175" s="368" t="s">
        <v>785</v>
      </c>
      <c r="Q175" t="s">
        <v>154</v>
      </c>
      <c r="R175" t="s">
        <v>824</v>
      </c>
      <c r="S175" t="s">
        <v>304</v>
      </c>
      <c r="T175" t="s">
        <v>159</v>
      </c>
      <c r="U175"/>
    </row>
    <row r="176" spans="1:21" x14ac:dyDescent="0.2">
      <c r="A176">
        <v>838441</v>
      </c>
      <c r="B176" t="s">
        <v>524</v>
      </c>
      <c r="C176">
        <v>-7</v>
      </c>
      <c r="D176">
        <v>5</v>
      </c>
      <c r="E176">
        <v>-2</v>
      </c>
      <c r="F176">
        <v>-4</v>
      </c>
      <c r="G176">
        <v>10</v>
      </c>
      <c r="H176">
        <v>16</v>
      </c>
      <c r="I176">
        <v>33</v>
      </c>
      <c r="J176">
        <v>5.9</v>
      </c>
      <c r="K176">
        <v>0.28999999999999998</v>
      </c>
      <c r="L176">
        <v>0.62</v>
      </c>
      <c r="M176">
        <v>16.2</v>
      </c>
      <c r="N176">
        <v>0.4</v>
      </c>
      <c r="O176" t="s">
        <v>641</v>
      </c>
      <c r="P176" s="368" t="s">
        <v>675</v>
      </c>
      <c r="Q176" t="s">
        <v>154</v>
      </c>
      <c r="R176" t="s">
        <v>1216</v>
      </c>
      <c r="S176" t="s">
        <v>168</v>
      </c>
      <c r="T176" t="s">
        <v>209</v>
      </c>
      <c r="U176"/>
    </row>
    <row r="177" spans="1:21" x14ac:dyDescent="0.2">
      <c r="A177">
        <v>861757</v>
      </c>
      <c r="B177" t="s">
        <v>535</v>
      </c>
      <c r="C177">
        <v>-5</v>
      </c>
      <c r="D177">
        <v>5</v>
      </c>
      <c r="E177">
        <v>-1</v>
      </c>
      <c r="F177">
        <v>-2</v>
      </c>
      <c r="G177">
        <v>4</v>
      </c>
      <c r="H177">
        <v>17</v>
      </c>
      <c r="I177">
        <v>27</v>
      </c>
      <c r="J177">
        <v>4.9000000000000004</v>
      </c>
      <c r="K177">
        <v>0.28999999999999998</v>
      </c>
      <c r="L177">
        <v>1.4</v>
      </c>
      <c r="M177">
        <v>15.3</v>
      </c>
      <c r="N177">
        <v>0.4</v>
      </c>
      <c r="O177" t="s">
        <v>641</v>
      </c>
      <c r="P177" s="368" t="s">
        <v>1241</v>
      </c>
      <c r="Q177" t="s">
        <v>46</v>
      </c>
      <c r="R177" t="s">
        <v>1242</v>
      </c>
      <c r="S177" t="s">
        <v>191</v>
      </c>
      <c r="T177" t="s">
        <v>197</v>
      </c>
      <c r="U177"/>
    </row>
    <row r="178" spans="1:21" x14ac:dyDescent="0.2">
      <c r="A178">
        <v>825109</v>
      </c>
      <c r="B178" t="s">
        <v>518</v>
      </c>
      <c r="C178">
        <v>-24</v>
      </c>
      <c r="D178">
        <v>4</v>
      </c>
      <c r="E178">
        <v>-14</v>
      </c>
      <c r="F178">
        <v>-21</v>
      </c>
      <c r="G178">
        <v>-11</v>
      </c>
      <c r="H178">
        <v>12</v>
      </c>
      <c r="I178">
        <v>27</v>
      </c>
      <c r="J178">
        <v>4.8</v>
      </c>
      <c r="K178">
        <v>0.28999999999999998</v>
      </c>
      <c r="L178">
        <v>1.46</v>
      </c>
      <c r="M178">
        <v>20.8</v>
      </c>
      <c r="N178">
        <v>0.3</v>
      </c>
      <c r="O178" t="s">
        <v>641</v>
      </c>
      <c r="P178" s="368" t="s">
        <v>675</v>
      </c>
      <c r="Q178" t="s">
        <v>154</v>
      </c>
      <c r="R178" t="s">
        <v>1208</v>
      </c>
      <c r="S178" t="s">
        <v>170</v>
      </c>
      <c r="T178" t="s">
        <v>335</v>
      </c>
      <c r="U178"/>
    </row>
    <row r="179" spans="1:21" x14ac:dyDescent="0.2">
      <c r="A179">
        <v>203067</v>
      </c>
      <c r="B179" t="s">
        <v>237</v>
      </c>
      <c r="C179">
        <v>-12</v>
      </c>
      <c r="D179">
        <v>5</v>
      </c>
      <c r="E179">
        <v>-4</v>
      </c>
      <c r="F179">
        <v>-10</v>
      </c>
      <c r="G179">
        <v>0</v>
      </c>
      <c r="H179">
        <v>1</v>
      </c>
      <c r="I179">
        <v>16</v>
      </c>
      <c r="J179">
        <v>2.9</v>
      </c>
      <c r="K179">
        <v>0.28999999999999998</v>
      </c>
      <c r="L179">
        <v>1.4</v>
      </c>
      <c r="M179">
        <v>19</v>
      </c>
      <c r="N179">
        <v>0.1</v>
      </c>
      <c r="O179" t="s">
        <v>641</v>
      </c>
      <c r="P179" s="368" t="s">
        <v>670</v>
      </c>
      <c r="Q179" t="s">
        <v>154</v>
      </c>
      <c r="R179" t="s">
        <v>727</v>
      </c>
      <c r="S179" t="s">
        <v>728</v>
      </c>
      <c r="T179" t="s">
        <v>209</v>
      </c>
      <c r="U179"/>
    </row>
    <row r="180" spans="1:21" x14ac:dyDescent="0.2">
      <c r="A180">
        <v>639633</v>
      </c>
      <c r="B180" t="s">
        <v>620</v>
      </c>
      <c r="C180">
        <v>-6</v>
      </c>
      <c r="D180">
        <v>-1</v>
      </c>
      <c r="E180">
        <v>-3</v>
      </c>
      <c r="F180">
        <v>-7</v>
      </c>
      <c r="G180">
        <v>-6</v>
      </c>
      <c r="H180">
        <v>-12</v>
      </c>
      <c r="I180">
        <v>-14</v>
      </c>
      <c r="J180">
        <v>-3</v>
      </c>
      <c r="K180">
        <v>0.28999999999999998</v>
      </c>
      <c r="L180">
        <v>1.1499999999999999</v>
      </c>
      <c r="M180">
        <v>8.1</v>
      </c>
      <c r="N180">
        <v>-0.4</v>
      </c>
      <c r="O180" t="s">
        <v>641</v>
      </c>
      <c r="P180" s="368" t="s">
        <v>1086</v>
      </c>
      <c r="Q180" t="s">
        <v>46</v>
      </c>
      <c r="R180" t="s">
        <v>1087</v>
      </c>
      <c r="S180" t="s">
        <v>184</v>
      </c>
      <c r="T180" t="s">
        <v>177</v>
      </c>
      <c r="U180"/>
    </row>
    <row r="181" spans="1:21" x14ac:dyDescent="0.2">
      <c r="A181">
        <v>295857</v>
      </c>
      <c r="B181" t="s">
        <v>294</v>
      </c>
      <c r="C181">
        <v>-12</v>
      </c>
      <c r="D181">
        <v>-3</v>
      </c>
      <c r="E181">
        <v>-8</v>
      </c>
      <c r="F181">
        <v>-7</v>
      </c>
      <c r="G181">
        <v>2</v>
      </c>
      <c r="H181">
        <v>20</v>
      </c>
      <c r="I181">
        <v>33</v>
      </c>
      <c r="J181">
        <v>5.9</v>
      </c>
      <c r="K181">
        <v>0.3</v>
      </c>
      <c r="L181">
        <v>0.93</v>
      </c>
      <c r="M181">
        <v>15.7</v>
      </c>
      <c r="N181">
        <v>0.5</v>
      </c>
      <c r="O181" t="s">
        <v>641</v>
      </c>
      <c r="P181" s="368" t="s">
        <v>808</v>
      </c>
      <c r="Q181" t="s">
        <v>154</v>
      </c>
      <c r="R181" t="s">
        <v>809</v>
      </c>
      <c r="S181" t="s">
        <v>158</v>
      </c>
      <c r="T181" t="s">
        <v>172</v>
      </c>
      <c r="U181"/>
    </row>
    <row r="182" spans="1:21" x14ac:dyDescent="0.2">
      <c r="A182">
        <v>564849</v>
      </c>
      <c r="B182" t="s">
        <v>1467</v>
      </c>
      <c r="C182">
        <v>-7</v>
      </c>
      <c r="D182">
        <v>5</v>
      </c>
      <c r="E182">
        <v>1</v>
      </c>
      <c r="F182">
        <v>-6</v>
      </c>
      <c r="G182">
        <v>7</v>
      </c>
      <c r="H182">
        <v>11</v>
      </c>
      <c r="I182">
        <v>16</v>
      </c>
      <c r="J182">
        <v>3</v>
      </c>
      <c r="K182">
        <v>0.3</v>
      </c>
      <c r="L182">
        <v>1.5</v>
      </c>
      <c r="M182">
        <v>15.7</v>
      </c>
      <c r="N182">
        <v>0.3</v>
      </c>
      <c r="O182" t="s">
        <v>641</v>
      </c>
      <c r="P182" s="368" t="s">
        <v>1041</v>
      </c>
      <c r="Q182" t="s">
        <v>46</v>
      </c>
      <c r="R182" t="s">
        <v>1042</v>
      </c>
      <c r="S182" t="s">
        <v>191</v>
      </c>
      <c r="T182" t="s">
        <v>185</v>
      </c>
      <c r="U182"/>
    </row>
    <row r="183" spans="1:21" x14ac:dyDescent="0.2">
      <c r="A183">
        <v>515973</v>
      </c>
      <c r="B183" t="s">
        <v>1337</v>
      </c>
      <c r="C183">
        <v>-1</v>
      </c>
      <c r="D183">
        <v>-2</v>
      </c>
      <c r="E183">
        <v>-5</v>
      </c>
      <c r="F183">
        <v>-2</v>
      </c>
      <c r="G183">
        <v>-4</v>
      </c>
      <c r="H183">
        <v>4</v>
      </c>
      <c r="I183">
        <v>10</v>
      </c>
      <c r="J183">
        <v>2</v>
      </c>
      <c r="K183">
        <v>0.3</v>
      </c>
      <c r="L183">
        <v>0.79</v>
      </c>
      <c r="M183">
        <v>6</v>
      </c>
      <c r="N183">
        <v>0.3</v>
      </c>
      <c r="O183" t="s">
        <v>655</v>
      </c>
      <c r="P183" s="368" t="s">
        <v>785</v>
      </c>
      <c r="Q183" t="s">
        <v>46</v>
      </c>
      <c r="R183" t="s">
        <v>997</v>
      </c>
      <c r="S183" t="s">
        <v>1321</v>
      </c>
      <c r="T183" t="s">
        <v>270</v>
      </c>
      <c r="U183"/>
    </row>
    <row r="184" spans="1:21" x14ac:dyDescent="0.2">
      <c r="A184">
        <v>403642</v>
      </c>
      <c r="B184" t="s">
        <v>349</v>
      </c>
      <c r="C184">
        <v>-2</v>
      </c>
      <c r="D184">
        <v>1</v>
      </c>
      <c r="E184">
        <v>-1</v>
      </c>
      <c r="F184">
        <v>-2</v>
      </c>
      <c r="G184">
        <v>0</v>
      </c>
      <c r="H184">
        <v>2</v>
      </c>
      <c r="I184">
        <v>5</v>
      </c>
      <c r="J184">
        <v>0.9</v>
      </c>
      <c r="K184">
        <v>0.3</v>
      </c>
      <c r="L184">
        <v>0.9</v>
      </c>
      <c r="M184">
        <v>3.4</v>
      </c>
      <c r="N184">
        <v>0.3</v>
      </c>
      <c r="O184" t="s">
        <v>641</v>
      </c>
      <c r="P184" s="368" t="s">
        <v>876</v>
      </c>
      <c r="Q184" t="s">
        <v>154</v>
      </c>
      <c r="R184" t="s">
        <v>903</v>
      </c>
      <c r="S184" t="s">
        <v>155</v>
      </c>
      <c r="T184" t="s">
        <v>350</v>
      </c>
      <c r="U184"/>
    </row>
    <row r="185" spans="1:21" x14ac:dyDescent="0.2">
      <c r="A185">
        <v>752204</v>
      </c>
      <c r="B185" t="s">
        <v>622</v>
      </c>
      <c r="C185">
        <v>-20</v>
      </c>
      <c r="D185">
        <v>3</v>
      </c>
      <c r="E185">
        <v>-10</v>
      </c>
      <c r="F185">
        <v>-16</v>
      </c>
      <c r="G185">
        <v>-1</v>
      </c>
      <c r="H185">
        <v>33</v>
      </c>
      <c r="I185">
        <v>60</v>
      </c>
      <c r="J185">
        <v>9.9</v>
      </c>
      <c r="K185">
        <v>0.31</v>
      </c>
      <c r="L185">
        <v>1.71</v>
      </c>
      <c r="M185">
        <v>22.1</v>
      </c>
      <c r="N185">
        <v>0.6</v>
      </c>
      <c r="O185" t="s">
        <v>641</v>
      </c>
      <c r="P185" s="368" t="s">
        <v>675</v>
      </c>
      <c r="Q185" t="s">
        <v>154</v>
      </c>
      <c r="R185" t="s">
        <v>1168</v>
      </c>
      <c r="S185" t="s">
        <v>170</v>
      </c>
      <c r="T185" t="s">
        <v>267</v>
      </c>
      <c r="U185"/>
    </row>
    <row r="186" spans="1:21" x14ac:dyDescent="0.2">
      <c r="A186">
        <v>123679</v>
      </c>
      <c r="B186" t="s">
        <v>186</v>
      </c>
      <c r="C186">
        <v>-1</v>
      </c>
      <c r="D186">
        <v>2</v>
      </c>
      <c r="E186">
        <v>3</v>
      </c>
      <c r="F186">
        <v>1</v>
      </c>
      <c r="G186">
        <v>11</v>
      </c>
      <c r="H186">
        <v>35</v>
      </c>
      <c r="I186">
        <v>54</v>
      </c>
      <c r="J186">
        <v>9</v>
      </c>
      <c r="K186">
        <v>0.31</v>
      </c>
      <c r="L186">
        <v>1.4</v>
      </c>
      <c r="M186">
        <v>15.7</v>
      </c>
      <c r="N186">
        <v>0.7</v>
      </c>
      <c r="O186" t="s">
        <v>641</v>
      </c>
      <c r="P186" s="368" t="s">
        <v>666</v>
      </c>
      <c r="Q186" t="s">
        <v>154</v>
      </c>
      <c r="R186" t="s">
        <v>667</v>
      </c>
      <c r="S186" t="s">
        <v>187</v>
      </c>
      <c r="T186" t="s">
        <v>162</v>
      </c>
      <c r="U186"/>
    </row>
    <row r="187" spans="1:21" x14ac:dyDescent="0.2">
      <c r="A187">
        <v>792697</v>
      </c>
      <c r="B187" t="s">
        <v>509</v>
      </c>
      <c r="C187">
        <v>-6</v>
      </c>
      <c r="D187">
        <v>7</v>
      </c>
      <c r="E187">
        <v>4</v>
      </c>
      <c r="F187">
        <v>-2</v>
      </c>
      <c r="G187">
        <v>12</v>
      </c>
      <c r="H187">
        <v>15</v>
      </c>
      <c r="I187">
        <v>40</v>
      </c>
      <c r="J187">
        <v>6.9</v>
      </c>
      <c r="K187">
        <v>0.31</v>
      </c>
      <c r="L187">
        <v>1.2</v>
      </c>
      <c r="M187">
        <v>18.5</v>
      </c>
      <c r="N187">
        <v>0.4</v>
      </c>
      <c r="O187" t="s">
        <v>641</v>
      </c>
      <c r="P187" s="368" t="s">
        <v>1149</v>
      </c>
      <c r="Q187" t="s">
        <v>46</v>
      </c>
      <c r="R187" t="s">
        <v>1194</v>
      </c>
      <c r="S187" t="s">
        <v>161</v>
      </c>
      <c r="T187" t="s">
        <v>209</v>
      </c>
      <c r="U187"/>
    </row>
    <row r="188" spans="1:21" x14ac:dyDescent="0.2">
      <c r="A188">
        <v>528133</v>
      </c>
      <c r="B188" t="s">
        <v>405</v>
      </c>
      <c r="C188">
        <v>-6</v>
      </c>
      <c r="D188">
        <v>4</v>
      </c>
      <c r="E188">
        <v>1</v>
      </c>
      <c r="F188">
        <v>-3</v>
      </c>
      <c r="G188">
        <v>11</v>
      </c>
      <c r="H188">
        <v>14</v>
      </c>
      <c r="I188">
        <v>39</v>
      </c>
      <c r="J188">
        <v>6.8</v>
      </c>
      <c r="K188">
        <v>0.31</v>
      </c>
      <c r="L188">
        <v>1.33</v>
      </c>
      <c r="M188">
        <v>16.7</v>
      </c>
      <c r="N188">
        <v>0.4</v>
      </c>
      <c r="O188" t="s">
        <v>641</v>
      </c>
      <c r="P188" s="368" t="s">
        <v>675</v>
      </c>
      <c r="Q188" t="s">
        <v>154</v>
      </c>
      <c r="R188" t="s">
        <v>1010</v>
      </c>
      <c r="S188" t="s">
        <v>241</v>
      </c>
      <c r="T188" t="s">
        <v>209</v>
      </c>
      <c r="U188"/>
    </row>
    <row r="189" spans="1:21" x14ac:dyDescent="0.2">
      <c r="A189">
        <v>572637</v>
      </c>
      <c r="B189" t="s">
        <v>1468</v>
      </c>
      <c r="C189"/>
      <c r="D189">
        <v>1</v>
      </c>
      <c r="E189">
        <v>-6</v>
      </c>
      <c r="F189"/>
      <c r="G189"/>
      <c r="H189">
        <v>19</v>
      </c>
      <c r="I189">
        <v>32</v>
      </c>
      <c r="J189">
        <v>5.7</v>
      </c>
      <c r="K189">
        <v>0.31</v>
      </c>
      <c r="L189">
        <v>1.47</v>
      </c>
      <c r="M189">
        <v>10</v>
      </c>
      <c r="N189">
        <v>0.7</v>
      </c>
      <c r="O189" t="s">
        <v>692</v>
      </c>
      <c r="P189" s="368" t="s">
        <v>1485</v>
      </c>
      <c r="Q189" t="s">
        <v>46</v>
      </c>
      <c r="R189" t="s">
        <v>1493</v>
      </c>
      <c r="S189" t="s">
        <v>1322</v>
      </c>
      <c r="T189" t="s">
        <v>270</v>
      </c>
      <c r="U189"/>
    </row>
    <row r="190" spans="1:21" x14ac:dyDescent="0.2">
      <c r="A190">
        <v>260497</v>
      </c>
      <c r="B190" t="s">
        <v>274</v>
      </c>
      <c r="C190">
        <v>-19</v>
      </c>
      <c r="D190">
        <v>-1</v>
      </c>
      <c r="E190">
        <v>-16</v>
      </c>
      <c r="F190">
        <v>-18</v>
      </c>
      <c r="G190"/>
      <c r="H190">
        <v>18</v>
      </c>
      <c r="I190">
        <v>31</v>
      </c>
      <c r="J190">
        <v>5.6</v>
      </c>
      <c r="K190">
        <v>0.31</v>
      </c>
      <c r="L190">
        <v>1.5</v>
      </c>
      <c r="M190">
        <v>15.5</v>
      </c>
      <c r="N190">
        <v>0.5</v>
      </c>
      <c r="O190" t="s">
        <v>646</v>
      </c>
      <c r="P190" s="368" t="s">
        <v>772</v>
      </c>
      <c r="Q190" t="s">
        <v>46</v>
      </c>
      <c r="R190" t="s">
        <v>773</v>
      </c>
      <c r="S190" t="s">
        <v>181</v>
      </c>
      <c r="T190" t="s">
        <v>275</v>
      </c>
      <c r="U190"/>
    </row>
    <row r="191" spans="1:21" x14ac:dyDescent="0.2">
      <c r="A191">
        <v>490292</v>
      </c>
      <c r="B191" t="s">
        <v>391</v>
      </c>
      <c r="C191">
        <v>-8</v>
      </c>
      <c r="D191">
        <v>5</v>
      </c>
      <c r="E191">
        <v>-1</v>
      </c>
      <c r="F191">
        <v>-6</v>
      </c>
      <c r="G191">
        <v>7</v>
      </c>
      <c r="H191">
        <v>9</v>
      </c>
      <c r="I191">
        <v>30</v>
      </c>
      <c r="J191">
        <v>5.4</v>
      </c>
      <c r="K191">
        <v>0.31</v>
      </c>
      <c r="L191">
        <v>1</v>
      </c>
      <c r="M191">
        <v>19.600000000000001</v>
      </c>
      <c r="N191">
        <v>0.2</v>
      </c>
      <c r="O191" t="s">
        <v>641</v>
      </c>
      <c r="P191" s="368" t="s">
        <v>976</v>
      </c>
      <c r="Q191" t="s">
        <v>154</v>
      </c>
      <c r="R191" t="s">
        <v>977</v>
      </c>
      <c r="S191" t="s">
        <v>383</v>
      </c>
      <c r="T191" t="s">
        <v>209</v>
      </c>
      <c r="U191"/>
    </row>
    <row r="192" spans="1:21" x14ac:dyDescent="0.2">
      <c r="A192">
        <v>158261</v>
      </c>
      <c r="B192" t="s">
        <v>213</v>
      </c>
      <c r="C192">
        <v>-6</v>
      </c>
      <c r="D192">
        <v>6</v>
      </c>
      <c r="E192">
        <v>1</v>
      </c>
      <c r="F192">
        <v>-3</v>
      </c>
      <c r="G192">
        <v>12</v>
      </c>
      <c r="H192">
        <v>13</v>
      </c>
      <c r="I192">
        <v>25</v>
      </c>
      <c r="J192">
        <v>4.5999999999999996</v>
      </c>
      <c r="K192">
        <v>0.31</v>
      </c>
      <c r="L192">
        <v>1.25</v>
      </c>
      <c r="M192">
        <v>16.7</v>
      </c>
      <c r="N192">
        <v>0.3</v>
      </c>
      <c r="O192" t="s">
        <v>641</v>
      </c>
      <c r="P192" s="368" t="s">
        <v>664</v>
      </c>
      <c r="Q192" t="s">
        <v>154</v>
      </c>
      <c r="R192" t="s">
        <v>691</v>
      </c>
      <c r="S192" t="s">
        <v>184</v>
      </c>
      <c r="T192" t="s">
        <v>209</v>
      </c>
      <c r="U192"/>
    </row>
    <row r="193" spans="1:21" x14ac:dyDescent="0.2">
      <c r="A193">
        <v>520759</v>
      </c>
      <c r="B193" t="s">
        <v>403</v>
      </c>
      <c r="C193">
        <v>-11</v>
      </c>
      <c r="D193">
        <v>0</v>
      </c>
      <c r="E193">
        <v>-3</v>
      </c>
      <c r="F193">
        <v>-10</v>
      </c>
      <c r="G193">
        <v>0</v>
      </c>
      <c r="H193">
        <v>14</v>
      </c>
      <c r="I193">
        <v>24</v>
      </c>
      <c r="J193">
        <v>4.4000000000000004</v>
      </c>
      <c r="K193">
        <v>0.31</v>
      </c>
      <c r="L193">
        <v>1.25</v>
      </c>
      <c r="M193">
        <v>16.100000000000001</v>
      </c>
      <c r="N193">
        <v>0.4</v>
      </c>
      <c r="O193" t="s">
        <v>641</v>
      </c>
      <c r="P193" s="368" t="s">
        <v>882</v>
      </c>
      <c r="Q193" t="s">
        <v>154</v>
      </c>
      <c r="R193" t="s">
        <v>1003</v>
      </c>
      <c r="S193" t="s">
        <v>184</v>
      </c>
      <c r="T193" t="s">
        <v>162</v>
      </c>
      <c r="U193"/>
    </row>
    <row r="194" spans="1:21" x14ac:dyDescent="0.2">
      <c r="A194">
        <v>291906</v>
      </c>
      <c r="B194" t="s">
        <v>74</v>
      </c>
      <c r="C194">
        <v>-7</v>
      </c>
      <c r="D194">
        <v>8</v>
      </c>
      <c r="E194">
        <v>1</v>
      </c>
      <c r="F194">
        <v>-3</v>
      </c>
      <c r="G194">
        <v>8</v>
      </c>
      <c r="H194">
        <v>-2</v>
      </c>
      <c r="I194">
        <v>16</v>
      </c>
      <c r="J194">
        <v>2.9</v>
      </c>
      <c r="K194">
        <v>0.31</v>
      </c>
      <c r="L194">
        <v>1.22</v>
      </c>
      <c r="M194">
        <v>20.5</v>
      </c>
      <c r="N194">
        <v>0.1</v>
      </c>
      <c r="O194" t="s">
        <v>641</v>
      </c>
      <c r="P194" s="368" t="s">
        <v>802</v>
      </c>
      <c r="Q194" t="s">
        <v>154</v>
      </c>
      <c r="R194" t="s">
        <v>803</v>
      </c>
      <c r="S194" t="s">
        <v>196</v>
      </c>
      <c r="T194" t="s">
        <v>209</v>
      </c>
      <c r="U194"/>
    </row>
    <row r="195" spans="1:21" x14ac:dyDescent="0.2">
      <c r="A195">
        <v>879114</v>
      </c>
      <c r="B195" t="s">
        <v>541</v>
      </c>
      <c r="C195">
        <v>-7</v>
      </c>
      <c r="D195">
        <v>0</v>
      </c>
      <c r="E195">
        <v>-4</v>
      </c>
      <c r="F195">
        <v>-7</v>
      </c>
      <c r="G195">
        <v>0</v>
      </c>
      <c r="H195">
        <v>6</v>
      </c>
      <c r="I195">
        <v>12</v>
      </c>
      <c r="J195">
        <v>2.2999999999999998</v>
      </c>
      <c r="K195">
        <v>0.31</v>
      </c>
      <c r="L195">
        <v>1.25</v>
      </c>
      <c r="M195">
        <v>10.4</v>
      </c>
      <c r="N195">
        <v>0.2</v>
      </c>
      <c r="O195" t="s">
        <v>641</v>
      </c>
      <c r="P195" s="368" t="s">
        <v>664</v>
      </c>
      <c r="Q195" t="s">
        <v>154</v>
      </c>
      <c r="R195" t="s">
        <v>1253</v>
      </c>
      <c r="S195" t="s">
        <v>184</v>
      </c>
      <c r="T195" t="s">
        <v>212</v>
      </c>
      <c r="U195"/>
    </row>
    <row r="196" spans="1:21" x14ac:dyDescent="0.2">
      <c r="A196">
        <v>313742</v>
      </c>
      <c r="B196" t="s">
        <v>306</v>
      </c>
      <c r="C196">
        <v>-20</v>
      </c>
      <c r="D196">
        <v>3</v>
      </c>
      <c r="E196">
        <v>-17</v>
      </c>
      <c r="F196">
        <v>-14</v>
      </c>
      <c r="G196">
        <v>8</v>
      </c>
      <c r="H196">
        <v>53</v>
      </c>
      <c r="I196">
        <v>107</v>
      </c>
      <c r="J196">
        <v>15.7</v>
      </c>
      <c r="K196">
        <v>0.32</v>
      </c>
      <c r="L196">
        <v>1.43</v>
      </c>
      <c r="M196">
        <v>20</v>
      </c>
      <c r="N196">
        <v>0.8</v>
      </c>
      <c r="O196" t="s">
        <v>641</v>
      </c>
      <c r="P196" s="368" t="s">
        <v>675</v>
      </c>
      <c r="Q196" t="s">
        <v>154</v>
      </c>
      <c r="R196" t="s">
        <v>826</v>
      </c>
      <c r="S196" t="s">
        <v>241</v>
      </c>
      <c r="T196" t="s">
        <v>275</v>
      </c>
      <c r="U196"/>
    </row>
    <row r="197" spans="1:21" x14ac:dyDescent="0.2">
      <c r="A197">
        <v>286294</v>
      </c>
      <c r="B197" t="s">
        <v>286</v>
      </c>
      <c r="C197">
        <v>-2</v>
      </c>
      <c r="D197">
        <v>8</v>
      </c>
      <c r="E197">
        <v>7</v>
      </c>
      <c r="F197">
        <v>4</v>
      </c>
      <c r="G197">
        <v>17</v>
      </c>
      <c r="H197">
        <v>29</v>
      </c>
      <c r="I197">
        <v>85</v>
      </c>
      <c r="J197">
        <v>13</v>
      </c>
      <c r="K197">
        <v>0.32</v>
      </c>
      <c r="L197">
        <v>1.6</v>
      </c>
      <c r="M197">
        <v>16.3</v>
      </c>
      <c r="N197">
        <v>0.6</v>
      </c>
      <c r="O197" t="s">
        <v>641</v>
      </c>
      <c r="P197" s="368" t="s">
        <v>798</v>
      </c>
      <c r="Q197" t="s">
        <v>46</v>
      </c>
      <c r="R197" t="s">
        <v>799</v>
      </c>
      <c r="S197" t="s">
        <v>191</v>
      </c>
      <c r="T197" t="s">
        <v>197</v>
      </c>
      <c r="U197"/>
    </row>
    <row r="198" spans="1:21" x14ac:dyDescent="0.2">
      <c r="A198">
        <v>952010</v>
      </c>
      <c r="B198" t="s">
        <v>562</v>
      </c>
      <c r="C198">
        <v>-5</v>
      </c>
      <c r="D198">
        <v>8</v>
      </c>
      <c r="E198">
        <v>3</v>
      </c>
      <c r="F198">
        <v>1</v>
      </c>
      <c r="G198">
        <v>12</v>
      </c>
      <c r="H198">
        <v>24</v>
      </c>
      <c r="I198">
        <v>71</v>
      </c>
      <c r="J198">
        <v>11.3</v>
      </c>
      <c r="K198">
        <v>0.32</v>
      </c>
      <c r="L198">
        <v>1.5</v>
      </c>
      <c r="M198">
        <v>19.7</v>
      </c>
      <c r="N198">
        <v>0.5</v>
      </c>
      <c r="O198" t="s">
        <v>641</v>
      </c>
      <c r="P198" s="368" t="s">
        <v>666</v>
      </c>
      <c r="Q198" t="s">
        <v>154</v>
      </c>
      <c r="R198" t="s">
        <v>1292</v>
      </c>
      <c r="S198" t="s">
        <v>187</v>
      </c>
      <c r="T198" t="s">
        <v>156</v>
      </c>
      <c r="U198"/>
    </row>
    <row r="199" spans="1:21" x14ac:dyDescent="0.2">
      <c r="A199">
        <v>644005</v>
      </c>
      <c r="B199" t="s">
        <v>453</v>
      </c>
      <c r="C199">
        <v>9</v>
      </c>
      <c r="D199">
        <v>2</v>
      </c>
      <c r="E199">
        <v>14</v>
      </c>
      <c r="F199">
        <v>11</v>
      </c>
      <c r="G199">
        <v>26</v>
      </c>
      <c r="H199">
        <v>67</v>
      </c>
      <c r="I199">
        <v>68</v>
      </c>
      <c r="J199">
        <v>10.9</v>
      </c>
      <c r="K199">
        <v>0.32</v>
      </c>
      <c r="L199">
        <v>1.5</v>
      </c>
      <c r="M199">
        <v>13.7</v>
      </c>
      <c r="N199">
        <v>1.3</v>
      </c>
      <c r="O199" t="s">
        <v>641</v>
      </c>
      <c r="P199" s="368" t="s">
        <v>1091</v>
      </c>
      <c r="Q199" t="s">
        <v>154</v>
      </c>
      <c r="R199" t="s">
        <v>1092</v>
      </c>
      <c r="S199" t="s">
        <v>187</v>
      </c>
      <c r="T199" t="s">
        <v>252</v>
      </c>
      <c r="U199"/>
    </row>
    <row r="200" spans="1:21" x14ac:dyDescent="0.2">
      <c r="A200">
        <v>494427</v>
      </c>
      <c r="B200" t="s">
        <v>1464</v>
      </c>
      <c r="C200">
        <v>-4</v>
      </c>
      <c r="D200">
        <v>-2</v>
      </c>
      <c r="E200">
        <v>-3</v>
      </c>
      <c r="F200">
        <v>1</v>
      </c>
      <c r="G200">
        <v>14</v>
      </c>
      <c r="H200">
        <v>30</v>
      </c>
      <c r="I200">
        <v>42</v>
      </c>
      <c r="J200">
        <v>7.2</v>
      </c>
      <c r="K200">
        <v>0.32</v>
      </c>
      <c r="L200">
        <v>1.6</v>
      </c>
      <c r="M200">
        <v>15.1</v>
      </c>
      <c r="N200">
        <v>0.7</v>
      </c>
      <c r="O200" t="s">
        <v>641</v>
      </c>
      <c r="P200" s="368" t="s">
        <v>980</v>
      </c>
      <c r="Q200" t="s">
        <v>46</v>
      </c>
      <c r="R200" t="s">
        <v>981</v>
      </c>
      <c r="S200" t="s">
        <v>191</v>
      </c>
      <c r="T200" t="s">
        <v>263</v>
      </c>
      <c r="U200"/>
    </row>
    <row r="201" spans="1:21" x14ac:dyDescent="0.2">
      <c r="A201">
        <v>504100</v>
      </c>
      <c r="B201" t="s">
        <v>397</v>
      </c>
      <c r="C201">
        <v>-11</v>
      </c>
      <c r="D201">
        <v>-5</v>
      </c>
      <c r="E201">
        <v>-8</v>
      </c>
      <c r="F201">
        <v>-7</v>
      </c>
      <c r="G201">
        <v>2</v>
      </c>
      <c r="H201">
        <v>23</v>
      </c>
      <c r="I201">
        <v>41</v>
      </c>
      <c r="J201">
        <v>7.1</v>
      </c>
      <c r="K201">
        <v>0.32</v>
      </c>
      <c r="L201">
        <v>1.5</v>
      </c>
      <c r="M201">
        <v>15</v>
      </c>
      <c r="N201">
        <v>0.6</v>
      </c>
      <c r="O201" t="s">
        <v>641</v>
      </c>
      <c r="P201" s="368" t="s">
        <v>989</v>
      </c>
      <c r="Q201" t="s">
        <v>154</v>
      </c>
      <c r="R201" t="s">
        <v>990</v>
      </c>
      <c r="S201" t="s">
        <v>187</v>
      </c>
      <c r="T201" t="s">
        <v>263</v>
      </c>
      <c r="U201"/>
    </row>
    <row r="202" spans="1:21" x14ac:dyDescent="0.2">
      <c r="A202">
        <v>846527</v>
      </c>
      <c r="B202" t="s">
        <v>636</v>
      </c>
      <c r="C202">
        <v>-5</v>
      </c>
      <c r="D202">
        <v>5</v>
      </c>
      <c r="E202">
        <v>2</v>
      </c>
      <c r="F202">
        <v>-1</v>
      </c>
      <c r="G202"/>
      <c r="H202">
        <v>24</v>
      </c>
      <c r="I202">
        <v>39</v>
      </c>
      <c r="J202">
        <v>6.8</v>
      </c>
      <c r="K202">
        <v>0.32</v>
      </c>
      <c r="L202">
        <v>1.31</v>
      </c>
      <c r="M202">
        <v>17.100000000000001</v>
      </c>
      <c r="N202">
        <v>0.5</v>
      </c>
      <c r="O202" t="s">
        <v>641</v>
      </c>
      <c r="P202" s="368" t="s">
        <v>1228</v>
      </c>
      <c r="Q202" t="s">
        <v>46</v>
      </c>
      <c r="R202" t="s">
        <v>1229</v>
      </c>
      <c r="S202" t="s">
        <v>184</v>
      </c>
      <c r="T202" t="s">
        <v>209</v>
      </c>
      <c r="U202"/>
    </row>
    <row r="203" spans="1:21" x14ac:dyDescent="0.2">
      <c r="A203">
        <v>687509</v>
      </c>
      <c r="B203" t="s">
        <v>474</v>
      </c>
      <c r="C203">
        <v>2</v>
      </c>
      <c r="D203">
        <v>4</v>
      </c>
      <c r="E203">
        <v>-5</v>
      </c>
      <c r="F203">
        <v>8</v>
      </c>
      <c r="G203">
        <v>16</v>
      </c>
      <c r="H203">
        <v>34</v>
      </c>
      <c r="I203">
        <v>35</v>
      </c>
      <c r="J203">
        <v>6.2</v>
      </c>
      <c r="K203">
        <v>0.32</v>
      </c>
      <c r="L203">
        <v>1.5</v>
      </c>
      <c r="M203">
        <v>22</v>
      </c>
      <c r="N203">
        <v>0.6</v>
      </c>
      <c r="O203" t="s">
        <v>641</v>
      </c>
      <c r="P203" s="368" t="s">
        <v>1128</v>
      </c>
      <c r="Q203" t="s">
        <v>154</v>
      </c>
      <c r="R203" t="s">
        <v>1129</v>
      </c>
      <c r="S203" t="s">
        <v>187</v>
      </c>
      <c r="T203" t="s">
        <v>163</v>
      </c>
      <c r="U203"/>
    </row>
    <row r="204" spans="1:21" x14ac:dyDescent="0.2">
      <c r="A204">
        <v>259499</v>
      </c>
      <c r="B204" t="s">
        <v>273</v>
      </c>
      <c r="C204">
        <v>2</v>
      </c>
      <c r="D204">
        <v>0</v>
      </c>
      <c r="E204">
        <v>-2</v>
      </c>
      <c r="F204">
        <v>2</v>
      </c>
      <c r="G204">
        <v>4</v>
      </c>
      <c r="H204">
        <v>18</v>
      </c>
      <c r="I204">
        <v>28</v>
      </c>
      <c r="J204">
        <v>5.0999999999999996</v>
      </c>
      <c r="K204">
        <v>0.32</v>
      </c>
      <c r="L204">
        <v>1.26</v>
      </c>
      <c r="M204">
        <v>5.8</v>
      </c>
      <c r="N204">
        <v>1</v>
      </c>
      <c r="O204" t="s">
        <v>655</v>
      </c>
      <c r="P204" s="368" t="s">
        <v>768</v>
      </c>
      <c r="Q204" t="s">
        <v>46</v>
      </c>
      <c r="R204" t="s">
        <v>769</v>
      </c>
      <c r="S204" t="s">
        <v>174</v>
      </c>
      <c r="T204" t="s">
        <v>270</v>
      </c>
      <c r="U204"/>
    </row>
    <row r="205" spans="1:21" x14ac:dyDescent="0.2">
      <c r="A205">
        <v>811117</v>
      </c>
      <c r="B205" t="s">
        <v>512</v>
      </c>
      <c r="C205">
        <v>-6</v>
      </c>
      <c r="D205">
        <v>5</v>
      </c>
      <c r="E205">
        <v>1</v>
      </c>
      <c r="F205">
        <v>-3</v>
      </c>
      <c r="G205">
        <v>4</v>
      </c>
      <c r="H205">
        <v>9</v>
      </c>
      <c r="I205">
        <v>26</v>
      </c>
      <c r="J205">
        <v>4.7</v>
      </c>
      <c r="K205">
        <v>0.32</v>
      </c>
      <c r="L205">
        <v>1.5</v>
      </c>
      <c r="M205">
        <v>14.7</v>
      </c>
      <c r="N205">
        <v>0.3</v>
      </c>
      <c r="O205" t="s">
        <v>641</v>
      </c>
      <c r="P205" s="368" t="s">
        <v>1496</v>
      </c>
      <c r="Q205" t="s">
        <v>154</v>
      </c>
      <c r="R205" t="s">
        <v>1201</v>
      </c>
      <c r="S205" t="s">
        <v>187</v>
      </c>
      <c r="T205" t="s">
        <v>197</v>
      </c>
      <c r="U205"/>
    </row>
    <row r="206" spans="1:21" x14ac:dyDescent="0.2">
      <c r="A206">
        <v>484923</v>
      </c>
      <c r="B206" t="s">
        <v>387</v>
      </c>
      <c r="C206">
        <v>-10</v>
      </c>
      <c r="D206">
        <v>5</v>
      </c>
      <c r="E206">
        <v>-2</v>
      </c>
      <c r="F206">
        <v>-6</v>
      </c>
      <c r="G206">
        <v>4</v>
      </c>
      <c r="H206">
        <v>9</v>
      </c>
      <c r="I206">
        <v>24</v>
      </c>
      <c r="J206">
        <v>4.3</v>
      </c>
      <c r="K206">
        <v>0.32</v>
      </c>
      <c r="L206">
        <v>1.3</v>
      </c>
      <c r="M206">
        <v>18</v>
      </c>
      <c r="N206">
        <v>0.3</v>
      </c>
      <c r="O206" t="s">
        <v>641</v>
      </c>
      <c r="P206" s="368" t="s">
        <v>882</v>
      </c>
      <c r="Q206" t="s">
        <v>154</v>
      </c>
      <c r="R206" t="s">
        <v>969</v>
      </c>
      <c r="S206" t="s">
        <v>184</v>
      </c>
      <c r="T206" t="s">
        <v>197</v>
      </c>
      <c r="U206"/>
    </row>
    <row r="207" spans="1:21" x14ac:dyDescent="0.2">
      <c r="A207">
        <v>995571</v>
      </c>
      <c r="B207" t="s">
        <v>574</v>
      </c>
      <c r="C207">
        <v>-18</v>
      </c>
      <c r="D207">
        <v>-4</v>
      </c>
      <c r="E207">
        <v>-12</v>
      </c>
      <c r="F207">
        <v>-12</v>
      </c>
      <c r="G207">
        <v>-4</v>
      </c>
      <c r="H207">
        <v>9</v>
      </c>
      <c r="I207">
        <v>17</v>
      </c>
      <c r="J207">
        <v>3.2</v>
      </c>
      <c r="K207">
        <v>0.32</v>
      </c>
      <c r="L207">
        <v>1.6</v>
      </c>
      <c r="M207">
        <v>15.7</v>
      </c>
      <c r="N207">
        <v>0.3</v>
      </c>
      <c r="O207" t="s">
        <v>641</v>
      </c>
      <c r="P207" s="368" t="s">
        <v>670</v>
      </c>
      <c r="Q207" t="s">
        <v>46</v>
      </c>
      <c r="R207" t="s">
        <v>1318</v>
      </c>
      <c r="S207" t="s">
        <v>191</v>
      </c>
      <c r="T207" t="s">
        <v>172</v>
      </c>
      <c r="U207"/>
    </row>
    <row r="208" spans="1:21" x14ac:dyDescent="0.2">
      <c r="A208">
        <v>599795</v>
      </c>
      <c r="B208" t="s">
        <v>597</v>
      </c>
      <c r="C208">
        <v>-6</v>
      </c>
      <c r="D208">
        <v>1</v>
      </c>
      <c r="E208">
        <v>-2</v>
      </c>
      <c r="F208">
        <v>-4</v>
      </c>
      <c r="G208">
        <v>3</v>
      </c>
      <c r="H208">
        <v>9</v>
      </c>
      <c r="I208">
        <v>16</v>
      </c>
      <c r="J208">
        <v>3</v>
      </c>
      <c r="K208">
        <v>0.32</v>
      </c>
      <c r="L208">
        <v>1.6</v>
      </c>
      <c r="M208">
        <v>10.5</v>
      </c>
      <c r="N208">
        <v>0.3</v>
      </c>
      <c r="O208" t="s">
        <v>641</v>
      </c>
      <c r="P208" s="368" t="s">
        <v>675</v>
      </c>
      <c r="Q208" t="s">
        <v>154</v>
      </c>
      <c r="R208" t="s">
        <v>1062</v>
      </c>
      <c r="S208" t="s">
        <v>241</v>
      </c>
      <c r="T208" t="s">
        <v>189</v>
      </c>
      <c r="U208"/>
    </row>
    <row r="209" spans="1:21" x14ac:dyDescent="0.2">
      <c r="A209">
        <v>664482</v>
      </c>
      <c r="B209" t="s">
        <v>463</v>
      </c>
      <c r="C209">
        <v>-4</v>
      </c>
      <c r="D209">
        <v>1</v>
      </c>
      <c r="E209">
        <v>-4</v>
      </c>
      <c r="F209">
        <v>-3</v>
      </c>
      <c r="G209">
        <v>-1</v>
      </c>
      <c r="H209">
        <v>0</v>
      </c>
      <c r="I209">
        <v>7</v>
      </c>
      <c r="J209">
        <v>1.3</v>
      </c>
      <c r="K209">
        <v>0.32</v>
      </c>
      <c r="L209">
        <v>0.85</v>
      </c>
      <c r="M209">
        <v>6</v>
      </c>
      <c r="N209">
        <v>0.1</v>
      </c>
      <c r="O209" t="s">
        <v>641</v>
      </c>
      <c r="P209" s="368" t="s">
        <v>1107</v>
      </c>
      <c r="Q209" t="s">
        <v>46</v>
      </c>
      <c r="R209" t="s">
        <v>1108</v>
      </c>
      <c r="S209" t="s">
        <v>250</v>
      </c>
      <c r="T209" t="s">
        <v>199</v>
      </c>
      <c r="U209"/>
    </row>
    <row r="210" spans="1:21" x14ac:dyDescent="0.2">
      <c r="A210">
        <v>153007</v>
      </c>
      <c r="B210" t="s">
        <v>586</v>
      </c>
      <c r="C210">
        <v>-20</v>
      </c>
      <c r="D210">
        <v>1</v>
      </c>
      <c r="E210">
        <v>-6</v>
      </c>
      <c r="F210">
        <v>-17</v>
      </c>
      <c r="G210"/>
      <c r="H210"/>
      <c r="I210"/>
      <c r="J210"/>
      <c r="K210">
        <v>0.32</v>
      </c>
      <c r="L210">
        <v>1.6</v>
      </c>
      <c r="M210"/>
      <c r="N210"/>
      <c r="O210" t="s">
        <v>646</v>
      </c>
      <c r="P210" s="368" t="s">
        <v>688</v>
      </c>
      <c r="Q210" t="s">
        <v>46</v>
      </c>
      <c r="R210" t="s">
        <v>689</v>
      </c>
      <c r="S210" t="s">
        <v>181</v>
      </c>
      <c r="T210" t="s">
        <v>162</v>
      </c>
      <c r="U210"/>
    </row>
    <row r="211" spans="1:21" x14ac:dyDescent="0.2">
      <c r="A211">
        <v>456475</v>
      </c>
      <c r="B211" t="s">
        <v>374</v>
      </c>
      <c r="C211">
        <v>5</v>
      </c>
      <c r="D211">
        <v>2</v>
      </c>
      <c r="E211">
        <v>10</v>
      </c>
      <c r="F211">
        <v>5</v>
      </c>
      <c r="G211">
        <v>20</v>
      </c>
      <c r="H211">
        <v>47</v>
      </c>
      <c r="I211">
        <v>69</v>
      </c>
      <c r="J211">
        <v>11.1</v>
      </c>
      <c r="K211">
        <v>0.33</v>
      </c>
      <c r="L211">
        <v>1.55</v>
      </c>
      <c r="M211">
        <v>17.5</v>
      </c>
      <c r="N211">
        <v>0.8</v>
      </c>
      <c r="O211" t="s">
        <v>641</v>
      </c>
      <c r="P211" s="368" t="s">
        <v>675</v>
      </c>
      <c r="Q211" t="s">
        <v>154</v>
      </c>
      <c r="R211" t="s">
        <v>946</v>
      </c>
      <c r="S211" t="s">
        <v>241</v>
      </c>
      <c r="T211" t="s">
        <v>204</v>
      </c>
      <c r="U211"/>
    </row>
    <row r="212" spans="1:21" x14ac:dyDescent="0.2">
      <c r="A212">
        <v>563965</v>
      </c>
      <c r="B212" t="s">
        <v>425</v>
      </c>
      <c r="C212">
        <v>-7</v>
      </c>
      <c r="D212">
        <v>0</v>
      </c>
      <c r="E212">
        <v>0</v>
      </c>
      <c r="F212">
        <v>-6</v>
      </c>
      <c r="G212">
        <v>6</v>
      </c>
      <c r="H212">
        <v>27</v>
      </c>
      <c r="I212">
        <v>36</v>
      </c>
      <c r="J212">
        <v>6.4</v>
      </c>
      <c r="K212">
        <v>0.33</v>
      </c>
      <c r="L212">
        <v>1.5</v>
      </c>
      <c r="M212">
        <v>16</v>
      </c>
      <c r="N212">
        <v>0.6</v>
      </c>
      <c r="O212" t="s">
        <v>641</v>
      </c>
      <c r="P212" s="368" t="s">
        <v>675</v>
      </c>
      <c r="Q212" t="s">
        <v>154</v>
      </c>
      <c r="R212" t="s">
        <v>1040</v>
      </c>
      <c r="S212" t="s">
        <v>241</v>
      </c>
      <c r="T212" t="s">
        <v>162</v>
      </c>
      <c r="U212"/>
    </row>
    <row r="213" spans="1:21" x14ac:dyDescent="0.2">
      <c r="A213">
        <v>106849</v>
      </c>
      <c r="B213" t="s">
        <v>1368</v>
      </c>
      <c r="C213"/>
      <c r="D213">
        <v>4</v>
      </c>
      <c r="E213">
        <v>-3</v>
      </c>
      <c r="F213"/>
      <c r="G213"/>
      <c r="H213">
        <v>9</v>
      </c>
      <c r="I213">
        <v>27</v>
      </c>
      <c r="J213">
        <v>5</v>
      </c>
      <c r="K213">
        <v>0.33</v>
      </c>
      <c r="L213">
        <v>1.3</v>
      </c>
      <c r="M213">
        <v>16.600000000000001</v>
      </c>
      <c r="N213">
        <v>0.3</v>
      </c>
      <c r="O213" t="s">
        <v>641</v>
      </c>
      <c r="P213" s="368" t="s">
        <v>1392</v>
      </c>
      <c r="Q213" t="s">
        <v>154</v>
      </c>
      <c r="R213" t="s">
        <v>1393</v>
      </c>
      <c r="S213" t="s">
        <v>281</v>
      </c>
      <c r="T213" t="s">
        <v>209</v>
      </c>
      <c r="U213"/>
    </row>
    <row r="214" spans="1:21" x14ac:dyDescent="0.2">
      <c r="A214">
        <v>301580</v>
      </c>
      <c r="B214" t="s">
        <v>297</v>
      </c>
      <c r="C214">
        <v>-12</v>
      </c>
      <c r="D214">
        <v>1</v>
      </c>
      <c r="E214">
        <v>-4</v>
      </c>
      <c r="F214">
        <v>-10</v>
      </c>
      <c r="G214">
        <v>1</v>
      </c>
      <c r="H214">
        <v>7</v>
      </c>
      <c r="I214">
        <v>15</v>
      </c>
      <c r="J214">
        <v>2.9</v>
      </c>
      <c r="K214">
        <v>0.33</v>
      </c>
      <c r="L214">
        <v>1.4</v>
      </c>
      <c r="M214">
        <v>14.8</v>
      </c>
      <c r="N214">
        <v>0.2</v>
      </c>
      <c r="O214" t="s">
        <v>641</v>
      </c>
      <c r="P214" s="368" t="s">
        <v>664</v>
      </c>
      <c r="Q214" t="s">
        <v>154</v>
      </c>
      <c r="R214" t="s">
        <v>813</v>
      </c>
      <c r="S214" t="s">
        <v>184</v>
      </c>
      <c r="T214" t="s">
        <v>182</v>
      </c>
      <c r="U214"/>
    </row>
    <row r="215" spans="1:21" x14ac:dyDescent="0.2">
      <c r="A215">
        <v>997403</v>
      </c>
      <c r="B215" t="s">
        <v>575</v>
      </c>
      <c r="C215">
        <v>-4</v>
      </c>
      <c r="D215">
        <v>2</v>
      </c>
      <c r="E215">
        <v>-1</v>
      </c>
      <c r="F215">
        <v>-3</v>
      </c>
      <c r="G215">
        <v>3</v>
      </c>
      <c r="H215">
        <v>5</v>
      </c>
      <c r="I215">
        <v>9</v>
      </c>
      <c r="J215">
        <v>1.8</v>
      </c>
      <c r="K215">
        <v>0.33</v>
      </c>
      <c r="L215">
        <v>1.44</v>
      </c>
      <c r="M215">
        <v>9.5</v>
      </c>
      <c r="N215">
        <v>0.3</v>
      </c>
      <c r="O215" t="s">
        <v>641</v>
      </c>
      <c r="P215" s="368" t="s">
        <v>1319</v>
      </c>
      <c r="Q215" t="s">
        <v>46</v>
      </c>
      <c r="R215" t="s">
        <v>1320</v>
      </c>
      <c r="S215" t="s">
        <v>184</v>
      </c>
      <c r="T215" t="s">
        <v>189</v>
      </c>
      <c r="U215"/>
    </row>
    <row r="216" spans="1:21" x14ac:dyDescent="0.2">
      <c r="A216">
        <v>492306</v>
      </c>
      <c r="B216" t="s">
        <v>392</v>
      </c>
      <c r="C216">
        <v>-16</v>
      </c>
      <c r="D216">
        <v>1</v>
      </c>
      <c r="E216">
        <v>-9</v>
      </c>
      <c r="F216">
        <v>-14</v>
      </c>
      <c r="G216">
        <v>-7</v>
      </c>
      <c r="H216">
        <v>-2</v>
      </c>
      <c r="I216">
        <v>9</v>
      </c>
      <c r="J216">
        <v>1.7</v>
      </c>
      <c r="K216">
        <v>0.33</v>
      </c>
      <c r="L216">
        <v>1.55</v>
      </c>
      <c r="M216">
        <v>13.8</v>
      </c>
      <c r="N216">
        <v>0</v>
      </c>
      <c r="O216" t="s">
        <v>641</v>
      </c>
      <c r="P216" s="368" t="s">
        <v>978</v>
      </c>
      <c r="Q216" t="s">
        <v>154</v>
      </c>
      <c r="R216" t="s">
        <v>979</v>
      </c>
      <c r="S216" t="s">
        <v>241</v>
      </c>
      <c r="T216" t="s">
        <v>185</v>
      </c>
      <c r="U216"/>
    </row>
    <row r="217" spans="1:21" x14ac:dyDescent="0.2">
      <c r="A217">
        <v>122432</v>
      </c>
      <c r="B217" t="s">
        <v>183</v>
      </c>
      <c r="C217">
        <v>-19</v>
      </c>
      <c r="D217">
        <v>0</v>
      </c>
      <c r="E217">
        <v>-11</v>
      </c>
      <c r="F217">
        <v>-18</v>
      </c>
      <c r="G217">
        <v>-11</v>
      </c>
      <c r="H217">
        <v>-5</v>
      </c>
      <c r="I217">
        <v>6</v>
      </c>
      <c r="J217">
        <v>1.2</v>
      </c>
      <c r="K217">
        <v>0.33</v>
      </c>
      <c r="L217">
        <v>1.4</v>
      </c>
      <c r="M217">
        <v>16</v>
      </c>
      <c r="N217">
        <v>0</v>
      </c>
      <c r="O217" t="s">
        <v>641</v>
      </c>
      <c r="P217" s="368" t="s">
        <v>664</v>
      </c>
      <c r="Q217" t="s">
        <v>154</v>
      </c>
      <c r="R217" t="s">
        <v>665</v>
      </c>
      <c r="S217" t="s">
        <v>184</v>
      </c>
      <c r="T217" t="s">
        <v>185</v>
      </c>
      <c r="U217"/>
    </row>
    <row r="218" spans="1:21" x14ac:dyDescent="0.2">
      <c r="A218">
        <v>840033</v>
      </c>
      <c r="B218" t="s">
        <v>525</v>
      </c>
      <c r="C218">
        <v>3</v>
      </c>
      <c r="D218">
        <v>2</v>
      </c>
      <c r="E218">
        <v>8</v>
      </c>
      <c r="F218">
        <v>5</v>
      </c>
      <c r="G218">
        <v>16</v>
      </c>
      <c r="H218">
        <v>51</v>
      </c>
      <c r="I218">
        <v>79</v>
      </c>
      <c r="J218">
        <v>12.3</v>
      </c>
      <c r="K218">
        <v>0.34</v>
      </c>
      <c r="L218">
        <v>1.6</v>
      </c>
      <c r="M218">
        <v>17.3</v>
      </c>
      <c r="N218">
        <v>0.9</v>
      </c>
      <c r="O218" t="s">
        <v>641</v>
      </c>
      <c r="P218" s="368" t="s">
        <v>1217</v>
      </c>
      <c r="Q218" t="s">
        <v>154</v>
      </c>
      <c r="R218" t="s">
        <v>1218</v>
      </c>
      <c r="S218" t="s">
        <v>187</v>
      </c>
      <c r="T218" t="s">
        <v>204</v>
      </c>
      <c r="U218"/>
    </row>
    <row r="219" spans="1:21" x14ac:dyDescent="0.2">
      <c r="A219">
        <v>751495</v>
      </c>
      <c r="B219" t="s">
        <v>497</v>
      </c>
      <c r="C219">
        <v>-7</v>
      </c>
      <c r="D219">
        <v>10</v>
      </c>
      <c r="E219">
        <v>0</v>
      </c>
      <c r="F219">
        <v>-3</v>
      </c>
      <c r="G219">
        <v>7</v>
      </c>
      <c r="H219">
        <v>24</v>
      </c>
      <c r="I219">
        <v>68</v>
      </c>
      <c r="J219">
        <v>10.9</v>
      </c>
      <c r="K219">
        <v>0.34</v>
      </c>
      <c r="L219">
        <v>1.6</v>
      </c>
      <c r="M219">
        <v>19.100000000000001</v>
      </c>
      <c r="N219">
        <v>0.5</v>
      </c>
      <c r="O219" t="s">
        <v>641</v>
      </c>
      <c r="P219" s="368" t="s">
        <v>1091</v>
      </c>
      <c r="Q219" t="s">
        <v>154</v>
      </c>
      <c r="R219" t="s">
        <v>1167</v>
      </c>
      <c r="S219" t="s">
        <v>187</v>
      </c>
      <c r="T219" t="s">
        <v>197</v>
      </c>
      <c r="U219"/>
    </row>
    <row r="220" spans="1:21" x14ac:dyDescent="0.2">
      <c r="A220">
        <v>433862</v>
      </c>
      <c r="B220" t="s">
        <v>363</v>
      </c>
      <c r="C220">
        <v>-18</v>
      </c>
      <c r="D220">
        <v>4</v>
      </c>
      <c r="E220">
        <v>-7</v>
      </c>
      <c r="F220">
        <v>-13</v>
      </c>
      <c r="G220">
        <v>-4</v>
      </c>
      <c r="H220">
        <v>34</v>
      </c>
      <c r="I220">
        <v>61</v>
      </c>
      <c r="J220">
        <v>9.9</v>
      </c>
      <c r="K220">
        <v>0.34</v>
      </c>
      <c r="L220">
        <v>1.85</v>
      </c>
      <c r="M220">
        <v>21</v>
      </c>
      <c r="N220">
        <v>0.6</v>
      </c>
      <c r="O220" t="s">
        <v>641</v>
      </c>
      <c r="P220" s="368" t="s">
        <v>798</v>
      </c>
      <c r="Q220" t="s">
        <v>46</v>
      </c>
      <c r="R220" t="s">
        <v>930</v>
      </c>
      <c r="S220" t="s">
        <v>191</v>
      </c>
      <c r="T220" t="s">
        <v>267</v>
      </c>
      <c r="U220"/>
    </row>
    <row r="221" spans="1:21" x14ac:dyDescent="0.2">
      <c r="A221">
        <v>140491</v>
      </c>
      <c r="B221" t="s">
        <v>195</v>
      </c>
      <c r="C221">
        <v>-11</v>
      </c>
      <c r="D221">
        <v>7</v>
      </c>
      <c r="E221">
        <v>-2</v>
      </c>
      <c r="F221">
        <v>-6</v>
      </c>
      <c r="G221">
        <v>3</v>
      </c>
      <c r="H221">
        <v>4</v>
      </c>
      <c r="I221">
        <v>49</v>
      </c>
      <c r="J221">
        <v>8.3000000000000007</v>
      </c>
      <c r="K221">
        <v>0.34</v>
      </c>
      <c r="L221">
        <v>1.4</v>
      </c>
      <c r="M221">
        <v>19.5</v>
      </c>
      <c r="N221">
        <v>0.2</v>
      </c>
      <c r="O221" t="s">
        <v>641</v>
      </c>
      <c r="P221" s="368" t="s">
        <v>673</v>
      </c>
      <c r="Q221" t="s">
        <v>154</v>
      </c>
      <c r="R221" t="s">
        <v>674</v>
      </c>
      <c r="S221" t="s">
        <v>196</v>
      </c>
      <c r="T221" t="s">
        <v>197</v>
      </c>
      <c r="U221"/>
    </row>
    <row r="222" spans="1:21" x14ac:dyDescent="0.2">
      <c r="A222">
        <v>653097</v>
      </c>
      <c r="B222" t="s">
        <v>457</v>
      </c>
      <c r="C222">
        <v>-1</v>
      </c>
      <c r="D222">
        <v>-2</v>
      </c>
      <c r="E222">
        <v>1</v>
      </c>
      <c r="F222">
        <v>5</v>
      </c>
      <c r="G222">
        <v>18</v>
      </c>
      <c r="H222">
        <v>39</v>
      </c>
      <c r="I222">
        <v>37</v>
      </c>
      <c r="J222">
        <v>6.5</v>
      </c>
      <c r="K222">
        <v>0.34</v>
      </c>
      <c r="L222">
        <v>1.85</v>
      </c>
      <c r="M222">
        <v>15.9</v>
      </c>
      <c r="N222">
        <v>0.8</v>
      </c>
      <c r="O222" t="s">
        <v>641</v>
      </c>
      <c r="P222" s="368" t="s">
        <v>798</v>
      </c>
      <c r="Q222" t="s">
        <v>46</v>
      </c>
      <c r="R222" t="s">
        <v>1100</v>
      </c>
      <c r="S222" t="s">
        <v>191</v>
      </c>
      <c r="T222" t="s">
        <v>257</v>
      </c>
      <c r="U222"/>
    </row>
    <row r="223" spans="1:21" x14ac:dyDescent="0.2">
      <c r="A223">
        <v>393314</v>
      </c>
      <c r="B223" t="s">
        <v>346</v>
      </c>
      <c r="C223">
        <v>-10</v>
      </c>
      <c r="D223">
        <v>5</v>
      </c>
      <c r="E223">
        <v>-2</v>
      </c>
      <c r="F223">
        <v>-7</v>
      </c>
      <c r="G223">
        <v>9</v>
      </c>
      <c r="H223">
        <v>9</v>
      </c>
      <c r="I223">
        <v>28</v>
      </c>
      <c r="J223">
        <v>5.0999999999999996</v>
      </c>
      <c r="K223">
        <v>0.34</v>
      </c>
      <c r="L223">
        <v>1.42</v>
      </c>
      <c r="M223">
        <v>18.399999999999999</v>
      </c>
      <c r="N223">
        <v>0.3</v>
      </c>
      <c r="O223" t="s">
        <v>641</v>
      </c>
      <c r="P223" s="368" t="s">
        <v>785</v>
      </c>
      <c r="Q223" t="s">
        <v>154</v>
      </c>
      <c r="R223" t="s">
        <v>897</v>
      </c>
      <c r="S223" t="s">
        <v>244</v>
      </c>
      <c r="T223" t="s">
        <v>209</v>
      </c>
      <c r="U223"/>
    </row>
    <row r="224" spans="1:21" x14ac:dyDescent="0.2">
      <c r="A224">
        <v>987842</v>
      </c>
      <c r="B224" t="s">
        <v>573</v>
      </c>
      <c r="C224">
        <v>-16</v>
      </c>
      <c r="D224">
        <v>-4</v>
      </c>
      <c r="E224">
        <v>-11</v>
      </c>
      <c r="F224">
        <v>-12</v>
      </c>
      <c r="G224">
        <v>-5</v>
      </c>
      <c r="H224">
        <v>14</v>
      </c>
      <c r="I224">
        <v>24</v>
      </c>
      <c r="J224">
        <v>4.3</v>
      </c>
      <c r="K224">
        <v>0.34</v>
      </c>
      <c r="L224">
        <v>1.6</v>
      </c>
      <c r="M224">
        <v>15.1</v>
      </c>
      <c r="N224">
        <v>0.4</v>
      </c>
      <c r="O224" t="s">
        <v>641</v>
      </c>
      <c r="P224" s="368" t="s">
        <v>666</v>
      </c>
      <c r="Q224" t="s">
        <v>154</v>
      </c>
      <c r="R224" t="s">
        <v>1314</v>
      </c>
      <c r="S224" t="s">
        <v>187</v>
      </c>
      <c r="T224" t="s">
        <v>172</v>
      </c>
      <c r="U224"/>
    </row>
    <row r="225" spans="1:21" x14ac:dyDescent="0.2">
      <c r="A225">
        <v>385401</v>
      </c>
      <c r="B225" t="s">
        <v>341</v>
      </c>
      <c r="C225">
        <v>-14</v>
      </c>
      <c r="D225">
        <v>-5</v>
      </c>
      <c r="E225">
        <v>-12</v>
      </c>
      <c r="F225">
        <v>-11</v>
      </c>
      <c r="G225">
        <v>-3</v>
      </c>
      <c r="H225">
        <v>7</v>
      </c>
      <c r="I225">
        <v>18</v>
      </c>
      <c r="J225">
        <v>3.3</v>
      </c>
      <c r="K225">
        <v>0.34</v>
      </c>
      <c r="L225">
        <v>1.62</v>
      </c>
      <c r="M225">
        <v>15.9</v>
      </c>
      <c r="N225">
        <v>0.2</v>
      </c>
      <c r="O225" t="s">
        <v>641</v>
      </c>
      <c r="P225" s="368" t="s">
        <v>675</v>
      </c>
      <c r="Q225" t="s">
        <v>154</v>
      </c>
      <c r="R225" t="s">
        <v>890</v>
      </c>
      <c r="S225" t="s">
        <v>241</v>
      </c>
      <c r="T225" t="s">
        <v>263</v>
      </c>
      <c r="U225"/>
    </row>
    <row r="226" spans="1:21" x14ac:dyDescent="0.2">
      <c r="A226">
        <v>362020</v>
      </c>
      <c r="B226" t="s">
        <v>328</v>
      </c>
      <c r="C226">
        <v>-9</v>
      </c>
      <c r="D226">
        <v>3</v>
      </c>
      <c r="E226">
        <v>-3</v>
      </c>
      <c r="F226">
        <v>-7</v>
      </c>
      <c r="G226">
        <v>-1</v>
      </c>
      <c r="H226">
        <v>9</v>
      </c>
      <c r="I226">
        <v>15</v>
      </c>
      <c r="J226">
        <v>2.8</v>
      </c>
      <c r="K226">
        <v>0.34</v>
      </c>
      <c r="L226">
        <v>1.6</v>
      </c>
      <c r="M226">
        <v>15.4</v>
      </c>
      <c r="N226">
        <v>0.3</v>
      </c>
      <c r="O226" t="s">
        <v>641</v>
      </c>
      <c r="P226" s="368" t="s">
        <v>870</v>
      </c>
      <c r="Q226" t="s">
        <v>154</v>
      </c>
      <c r="R226" t="s">
        <v>871</v>
      </c>
      <c r="S226" t="s">
        <v>187</v>
      </c>
      <c r="T226" t="s">
        <v>185</v>
      </c>
      <c r="U226"/>
    </row>
    <row r="227" spans="1:21" x14ac:dyDescent="0.2">
      <c r="A227">
        <v>469692</v>
      </c>
      <c r="B227" t="s">
        <v>376</v>
      </c>
      <c r="C227">
        <v>-25</v>
      </c>
      <c r="D227">
        <v>-5</v>
      </c>
      <c r="E227">
        <v>-19</v>
      </c>
      <c r="F227">
        <v>-25</v>
      </c>
      <c r="G227">
        <v>-28</v>
      </c>
      <c r="H227">
        <v>-19</v>
      </c>
      <c r="I227">
        <v>0</v>
      </c>
      <c r="J227">
        <v>-0.1</v>
      </c>
      <c r="K227">
        <v>0.34</v>
      </c>
      <c r="L227">
        <v>1.85</v>
      </c>
      <c r="M227">
        <v>22.7</v>
      </c>
      <c r="N227">
        <v>-0.2</v>
      </c>
      <c r="O227" t="s">
        <v>641</v>
      </c>
      <c r="P227" s="368" t="s">
        <v>798</v>
      </c>
      <c r="Q227" t="s">
        <v>46</v>
      </c>
      <c r="R227" t="s">
        <v>952</v>
      </c>
      <c r="S227" t="s">
        <v>191</v>
      </c>
      <c r="T227" t="s">
        <v>221</v>
      </c>
      <c r="U227"/>
    </row>
    <row r="228" spans="1:21" x14ac:dyDescent="0.2">
      <c r="A228">
        <v>679837</v>
      </c>
      <c r="B228" t="s">
        <v>471</v>
      </c>
      <c r="C228">
        <v>-37</v>
      </c>
      <c r="D228">
        <v>2</v>
      </c>
      <c r="E228">
        <v>-28</v>
      </c>
      <c r="F228">
        <v>-32</v>
      </c>
      <c r="G228">
        <v>-29</v>
      </c>
      <c r="H228">
        <v>-16</v>
      </c>
      <c r="I228">
        <v>-8</v>
      </c>
      <c r="J228">
        <v>-1.6</v>
      </c>
      <c r="K228">
        <v>0.34</v>
      </c>
      <c r="L228">
        <v>1.6</v>
      </c>
      <c r="M228">
        <v>27.2</v>
      </c>
      <c r="N228">
        <v>-0.1</v>
      </c>
      <c r="O228" t="s">
        <v>641</v>
      </c>
      <c r="P228" s="368" t="s">
        <v>1091</v>
      </c>
      <c r="Q228" t="s">
        <v>154</v>
      </c>
      <c r="R228" t="s">
        <v>1123</v>
      </c>
      <c r="S228" t="s">
        <v>187</v>
      </c>
      <c r="T228" t="s">
        <v>239</v>
      </c>
      <c r="U228"/>
    </row>
    <row r="229" spans="1:21" x14ac:dyDescent="0.2">
      <c r="A229">
        <v>194092</v>
      </c>
      <c r="B229" t="s">
        <v>609</v>
      </c>
      <c r="C229">
        <v>1</v>
      </c>
      <c r="D229">
        <v>3</v>
      </c>
      <c r="E229">
        <v>2</v>
      </c>
      <c r="F229">
        <v>2</v>
      </c>
      <c r="G229">
        <v>23</v>
      </c>
      <c r="H229">
        <v>61</v>
      </c>
      <c r="I229">
        <v>102</v>
      </c>
      <c r="J229">
        <v>15.1</v>
      </c>
      <c r="K229">
        <v>0.35</v>
      </c>
      <c r="L229">
        <v>1.5</v>
      </c>
      <c r="M229">
        <v>19.2</v>
      </c>
      <c r="N229">
        <v>0.9</v>
      </c>
      <c r="O229" t="s">
        <v>641</v>
      </c>
      <c r="P229" s="368" t="s">
        <v>664</v>
      </c>
      <c r="Q229" t="s">
        <v>154</v>
      </c>
      <c r="R229" t="s">
        <v>722</v>
      </c>
      <c r="S229" t="s">
        <v>184</v>
      </c>
      <c r="T229" t="s">
        <v>232</v>
      </c>
      <c r="U229"/>
    </row>
    <row r="230" spans="1:21" x14ac:dyDescent="0.2">
      <c r="A230">
        <v>515676</v>
      </c>
      <c r="B230" t="s">
        <v>400</v>
      </c>
      <c r="C230">
        <v>-2</v>
      </c>
      <c r="D230">
        <v>8</v>
      </c>
      <c r="E230">
        <v>3</v>
      </c>
      <c r="F230">
        <v>4</v>
      </c>
      <c r="G230">
        <v>17</v>
      </c>
      <c r="H230">
        <v>51</v>
      </c>
      <c r="I230">
        <v>100</v>
      </c>
      <c r="J230">
        <v>14.8</v>
      </c>
      <c r="K230">
        <v>0.35</v>
      </c>
      <c r="L230">
        <v>1.67</v>
      </c>
      <c r="M230">
        <v>18.899999999999999</v>
      </c>
      <c r="N230">
        <v>0.8</v>
      </c>
      <c r="O230" t="s">
        <v>641</v>
      </c>
      <c r="P230" s="368" t="s">
        <v>964</v>
      </c>
      <c r="Q230" t="s">
        <v>154</v>
      </c>
      <c r="R230" t="s">
        <v>996</v>
      </c>
      <c r="S230" t="s">
        <v>241</v>
      </c>
      <c r="T230" t="s">
        <v>156</v>
      </c>
      <c r="U230"/>
    </row>
    <row r="231" spans="1:21" x14ac:dyDescent="0.2">
      <c r="A231">
        <v>229922</v>
      </c>
      <c r="B231" t="s">
        <v>251</v>
      </c>
      <c r="C231">
        <v>3</v>
      </c>
      <c r="D231">
        <v>0</v>
      </c>
      <c r="E231">
        <v>9</v>
      </c>
      <c r="F231">
        <v>4</v>
      </c>
      <c r="G231">
        <v>19</v>
      </c>
      <c r="H231">
        <v>38</v>
      </c>
      <c r="I231">
        <v>30</v>
      </c>
      <c r="J231">
        <v>5.4</v>
      </c>
      <c r="K231">
        <v>0.35</v>
      </c>
      <c r="L231">
        <v>1.5</v>
      </c>
      <c r="M231">
        <v>12.9</v>
      </c>
      <c r="N231">
        <v>0.9</v>
      </c>
      <c r="O231" t="s">
        <v>641</v>
      </c>
      <c r="P231" s="368" t="s">
        <v>664</v>
      </c>
      <c r="Q231" t="s">
        <v>154</v>
      </c>
      <c r="R231" t="s">
        <v>740</v>
      </c>
      <c r="S231" t="s">
        <v>184</v>
      </c>
      <c r="T231" t="s">
        <v>252</v>
      </c>
      <c r="U231"/>
    </row>
    <row r="232" spans="1:21" x14ac:dyDescent="0.2">
      <c r="A232">
        <v>986604</v>
      </c>
      <c r="B232" t="s">
        <v>572</v>
      </c>
      <c r="C232">
        <v>-10</v>
      </c>
      <c r="D232">
        <v>-1</v>
      </c>
      <c r="E232">
        <v>-2</v>
      </c>
      <c r="F232">
        <v>-11</v>
      </c>
      <c r="G232">
        <v>2</v>
      </c>
      <c r="H232">
        <v>20</v>
      </c>
      <c r="I232">
        <v>30</v>
      </c>
      <c r="J232">
        <v>5.4</v>
      </c>
      <c r="K232">
        <v>0.35</v>
      </c>
      <c r="L232">
        <v>1.5</v>
      </c>
      <c r="M232">
        <v>17</v>
      </c>
      <c r="N232">
        <v>0.5</v>
      </c>
      <c r="O232" t="s">
        <v>641</v>
      </c>
      <c r="P232" s="368" t="s">
        <v>664</v>
      </c>
      <c r="Q232" t="s">
        <v>154</v>
      </c>
      <c r="R232" t="s">
        <v>1312</v>
      </c>
      <c r="S232" t="s">
        <v>184</v>
      </c>
      <c r="T232" t="s">
        <v>204</v>
      </c>
      <c r="U232"/>
    </row>
    <row r="233" spans="1:21" x14ac:dyDescent="0.2">
      <c r="A233">
        <v>551804</v>
      </c>
      <c r="B233" t="s">
        <v>417</v>
      </c>
      <c r="C233">
        <v>8</v>
      </c>
      <c r="D233">
        <v>-4</v>
      </c>
      <c r="E233">
        <v>0</v>
      </c>
      <c r="F233">
        <v>5</v>
      </c>
      <c r="G233">
        <v>8</v>
      </c>
      <c r="H233">
        <v>23</v>
      </c>
      <c r="I233">
        <v>29</v>
      </c>
      <c r="J233">
        <v>5.2</v>
      </c>
      <c r="K233">
        <v>0.35</v>
      </c>
      <c r="L233">
        <v>0.94</v>
      </c>
      <c r="M233">
        <v>10.199999999999999</v>
      </c>
      <c r="N233">
        <v>0.8</v>
      </c>
      <c r="O233" t="s">
        <v>692</v>
      </c>
      <c r="P233" s="368" t="s">
        <v>785</v>
      </c>
      <c r="Q233" t="s">
        <v>46</v>
      </c>
      <c r="R233" t="s">
        <v>1027</v>
      </c>
      <c r="S233" t="s">
        <v>1321</v>
      </c>
      <c r="T233" t="s">
        <v>169</v>
      </c>
      <c r="U233"/>
    </row>
    <row r="234" spans="1:21" x14ac:dyDescent="0.2">
      <c r="A234">
        <v>698952</v>
      </c>
      <c r="B234" t="s">
        <v>621</v>
      </c>
      <c r="C234">
        <v>-11</v>
      </c>
      <c r="D234">
        <v>-1</v>
      </c>
      <c r="E234">
        <v>-5</v>
      </c>
      <c r="F234">
        <v>-11</v>
      </c>
      <c r="G234"/>
      <c r="H234">
        <v>14</v>
      </c>
      <c r="I234">
        <v>24</v>
      </c>
      <c r="J234">
        <v>4.5</v>
      </c>
      <c r="K234">
        <v>0.35</v>
      </c>
      <c r="L234">
        <v>1.5</v>
      </c>
      <c r="M234">
        <v>15.2</v>
      </c>
      <c r="N234">
        <v>0.4</v>
      </c>
      <c r="O234" t="s">
        <v>641</v>
      </c>
      <c r="P234" s="368" t="s">
        <v>1137</v>
      </c>
      <c r="Q234" t="s">
        <v>154</v>
      </c>
      <c r="R234" t="s">
        <v>1138</v>
      </c>
      <c r="S234" t="s">
        <v>184</v>
      </c>
      <c r="T234" t="s">
        <v>162</v>
      </c>
      <c r="U234"/>
    </row>
    <row r="235" spans="1:21" x14ac:dyDescent="0.2">
      <c r="A235">
        <v>377432</v>
      </c>
      <c r="B235" t="s">
        <v>336</v>
      </c>
      <c r="C235">
        <v>-11</v>
      </c>
      <c r="D235">
        <v>-1</v>
      </c>
      <c r="E235">
        <v>-3</v>
      </c>
      <c r="F235">
        <v>-11</v>
      </c>
      <c r="G235">
        <v>1</v>
      </c>
      <c r="H235">
        <v>8</v>
      </c>
      <c r="I235">
        <v>18</v>
      </c>
      <c r="J235">
        <v>3.4</v>
      </c>
      <c r="K235">
        <v>0.35</v>
      </c>
      <c r="L235">
        <v>1.5</v>
      </c>
      <c r="M235">
        <v>12.5</v>
      </c>
      <c r="N235">
        <v>0.3</v>
      </c>
      <c r="O235" t="s">
        <v>641</v>
      </c>
      <c r="P235" s="368" t="s">
        <v>882</v>
      </c>
      <c r="Q235" t="s">
        <v>154</v>
      </c>
      <c r="R235" t="s">
        <v>883</v>
      </c>
      <c r="S235" t="s">
        <v>184</v>
      </c>
      <c r="T235" t="s">
        <v>214</v>
      </c>
      <c r="U235"/>
    </row>
    <row r="236" spans="1:21" x14ac:dyDescent="0.2">
      <c r="A236">
        <v>700310</v>
      </c>
      <c r="B236" t="s">
        <v>478</v>
      </c>
      <c r="C236">
        <v>-10</v>
      </c>
      <c r="D236">
        <v>2</v>
      </c>
      <c r="E236">
        <v>-9</v>
      </c>
      <c r="F236">
        <v>-9</v>
      </c>
      <c r="G236">
        <v>-7</v>
      </c>
      <c r="H236">
        <v>-6</v>
      </c>
      <c r="I236">
        <v>5</v>
      </c>
      <c r="J236">
        <v>1.1000000000000001</v>
      </c>
      <c r="K236">
        <v>0.35</v>
      </c>
      <c r="L236">
        <v>0.95</v>
      </c>
      <c r="M236">
        <v>11.2</v>
      </c>
      <c r="N236">
        <v>-0.1</v>
      </c>
      <c r="O236" t="s">
        <v>641</v>
      </c>
      <c r="P236" s="368" t="s">
        <v>1107</v>
      </c>
      <c r="Q236" t="s">
        <v>46</v>
      </c>
      <c r="R236" t="s">
        <v>1139</v>
      </c>
      <c r="S236" t="s">
        <v>250</v>
      </c>
      <c r="T236" t="s">
        <v>199</v>
      </c>
      <c r="U236"/>
    </row>
    <row r="237" spans="1:21" x14ac:dyDescent="0.2">
      <c r="A237">
        <v>832717</v>
      </c>
      <c r="B237" t="s">
        <v>601</v>
      </c>
      <c r="C237">
        <v>-6</v>
      </c>
      <c r="D237">
        <v>1</v>
      </c>
      <c r="E237">
        <v>-6</v>
      </c>
      <c r="F237">
        <v>-6</v>
      </c>
      <c r="G237">
        <v>-4</v>
      </c>
      <c r="H237">
        <v>-2</v>
      </c>
      <c r="I237">
        <v>3</v>
      </c>
      <c r="J237">
        <v>0.7</v>
      </c>
      <c r="K237">
        <v>0.35</v>
      </c>
      <c r="L237">
        <v>0.82</v>
      </c>
      <c r="M237">
        <v>6.1</v>
      </c>
      <c r="N237">
        <v>0</v>
      </c>
      <c r="O237" t="s">
        <v>641</v>
      </c>
      <c r="P237" s="368" t="s">
        <v>1211</v>
      </c>
      <c r="Q237" t="s">
        <v>154</v>
      </c>
      <c r="R237" t="s">
        <v>1212</v>
      </c>
      <c r="S237" t="s">
        <v>290</v>
      </c>
      <c r="T237" t="s">
        <v>159</v>
      </c>
      <c r="U237"/>
    </row>
    <row r="238" spans="1:21" x14ac:dyDescent="0.2">
      <c r="A238">
        <v>980284</v>
      </c>
      <c r="B238" t="s">
        <v>605</v>
      </c>
      <c r="C238">
        <v>-21</v>
      </c>
      <c r="D238">
        <v>5</v>
      </c>
      <c r="E238">
        <v>-18</v>
      </c>
      <c r="F238">
        <v>-19</v>
      </c>
      <c r="G238">
        <v>-21</v>
      </c>
      <c r="H238">
        <v>-9</v>
      </c>
      <c r="I238">
        <v>-8</v>
      </c>
      <c r="J238">
        <v>-1.6</v>
      </c>
      <c r="K238">
        <v>0.35</v>
      </c>
      <c r="L238">
        <v>0.8</v>
      </c>
      <c r="M238">
        <v>18.100000000000001</v>
      </c>
      <c r="N238">
        <v>-0.1</v>
      </c>
      <c r="O238" t="s">
        <v>646</v>
      </c>
      <c r="P238" s="368" t="s">
        <v>653</v>
      </c>
      <c r="Q238" t="s">
        <v>46</v>
      </c>
      <c r="R238" t="s">
        <v>1306</v>
      </c>
      <c r="S238" t="s">
        <v>171</v>
      </c>
      <c r="T238" t="s">
        <v>169</v>
      </c>
      <c r="U238"/>
    </row>
    <row r="239" spans="1:21" x14ac:dyDescent="0.2">
      <c r="A239">
        <v>307306</v>
      </c>
      <c r="B239" t="s">
        <v>303</v>
      </c>
      <c r="C239">
        <v>-2</v>
      </c>
      <c r="D239">
        <v>0</v>
      </c>
      <c r="E239">
        <v>-1</v>
      </c>
      <c r="F239">
        <v>-2</v>
      </c>
      <c r="G239">
        <v>0</v>
      </c>
      <c r="H239">
        <v>3</v>
      </c>
      <c r="I239"/>
      <c r="J239"/>
      <c r="K239">
        <v>0.35</v>
      </c>
      <c r="L239">
        <v>1.54</v>
      </c>
      <c r="M239">
        <v>3.4</v>
      </c>
      <c r="N239">
        <v>0.4</v>
      </c>
      <c r="O239" t="s">
        <v>641</v>
      </c>
      <c r="P239" s="368" t="s">
        <v>781</v>
      </c>
      <c r="Q239" t="s">
        <v>154</v>
      </c>
      <c r="R239" t="s">
        <v>822</v>
      </c>
      <c r="S239" t="s">
        <v>281</v>
      </c>
      <c r="T239" t="s">
        <v>350</v>
      </c>
      <c r="U239"/>
    </row>
    <row r="240" spans="1:21" x14ac:dyDescent="0.2">
      <c r="A240">
        <v>721035</v>
      </c>
      <c r="B240" t="s">
        <v>485</v>
      </c>
      <c r="C240">
        <v>-2</v>
      </c>
      <c r="D240">
        <v>10</v>
      </c>
      <c r="E240">
        <v>6</v>
      </c>
      <c r="F240">
        <v>5</v>
      </c>
      <c r="G240">
        <v>18</v>
      </c>
      <c r="H240">
        <v>36</v>
      </c>
      <c r="I240">
        <v>95</v>
      </c>
      <c r="J240">
        <v>14.2</v>
      </c>
      <c r="K240">
        <v>0.36</v>
      </c>
      <c r="L240">
        <v>1.62</v>
      </c>
      <c r="M240">
        <v>18.399999999999999</v>
      </c>
      <c r="N240">
        <v>0.7</v>
      </c>
      <c r="O240" t="s">
        <v>641</v>
      </c>
      <c r="P240" s="368" t="s">
        <v>1149</v>
      </c>
      <c r="Q240" t="s">
        <v>46</v>
      </c>
      <c r="R240" t="s">
        <v>1150</v>
      </c>
      <c r="S240" t="s">
        <v>161</v>
      </c>
      <c r="T240" t="s">
        <v>156</v>
      </c>
      <c r="U240"/>
    </row>
    <row r="241" spans="1:21" x14ac:dyDescent="0.2">
      <c r="A241">
        <v>341362</v>
      </c>
      <c r="B241" t="s">
        <v>323</v>
      </c>
      <c r="C241">
        <v>-13</v>
      </c>
      <c r="D241">
        <v>1</v>
      </c>
      <c r="E241">
        <v>-8</v>
      </c>
      <c r="F241">
        <v>-11</v>
      </c>
      <c r="G241">
        <v>6</v>
      </c>
      <c r="H241">
        <v>28</v>
      </c>
      <c r="I241">
        <v>49</v>
      </c>
      <c r="J241">
        <v>8.3000000000000007</v>
      </c>
      <c r="K241">
        <v>0.36</v>
      </c>
      <c r="L241">
        <v>1.5</v>
      </c>
      <c r="M241">
        <v>19.3</v>
      </c>
      <c r="N241">
        <v>0.5</v>
      </c>
      <c r="O241" t="s">
        <v>641</v>
      </c>
      <c r="P241" s="368" t="s">
        <v>858</v>
      </c>
      <c r="Q241" t="s">
        <v>154</v>
      </c>
      <c r="R241" t="s">
        <v>859</v>
      </c>
      <c r="S241" t="s">
        <v>1333</v>
      </c>
      <c r="T241" t="s">
        <v>162</v>
      </c>
      <c r="U241"/>
    </row>
    <row r="242" spans="1:21" x14ac:dyDescent="0.2">
      <c r="A242">
        <v>515554</v>
      </c>
      <c r="B242" t="s">
        <v>340</v>
      </c>
      <c r="C242">
        <v>-2</v>
      </c>
      <c r="D242">
        <v>-1</v>
      </c>
      <c r="E242">
        <v>3</v>
      </c>
      <c r="F242">
        <v>-1</v>
      </c>
      <c r="G242"/>
      <c r="H242">
        <v>36</v>
      </c>
      <c r="I242">
        <v>49</v>
      </c>
      <c r="J242">
        <v>8.3000000000000007</v>
      </c>
      <c r="K242">
        <v>0.36</v>
      </c>
      <c r="L242">
        <v>1.63</v>
      </c>
      <c r="M242">
        <v>13.4</v>
      </c>
      <c r="N242">
        <v>0.9</v>
      </c>
      <c r="O242" t="s">
        <v>692</v>
      </c>
      <c r="P242" s="368" t="s">
        <v>910</v>
      </c>
      <c r="Q242" t="s">
        <v>46</v>
      </c>
      <c r="R242" t="s">
        <v>995</v>
      </c>
      <c r="S242" t="s">
        <v>161</v>
      </c>
      <c r="T242" t="s">
        <v>162</v>
      </c>
      <c r="U242"/>
    </row>
    <row r="243" spans="1:21" x14ac:dyDescent="0.2">
      <c r="A243">
        <v>357483</v>
      </c>
      <c r="B243" t="s">
        <v>327</v>
      </c>
      <c r="C243">
        <v>-10</v>
      </c>
      <c r="D243">
        <v>4</v>
      </c>
      <c r="E243">
        <v>-5</v>
      </c>
      <c r="F243">
        <v>-7</v>
      </c>
      <c r="G243">
        <v>3</v>
      </c>
      <c r="H243">
        <v>9</v>
      </c>
      <c r="I243">
        <v>27</v>
      </c>
      <c r="J243">
        <v>4.9000000000000004</v>
      </c>
      <c r="K243">
        <v>0.36</v>
      </c>
      <c r="L243">
        <v>1.51</v>
      </c>
      <c r="M243">
        <v>14</v>
      </c>
      <c r="N243">
        <v>0.3</v>
      </c>
      <c r="O243" t="s">
        <v>641</v>
      </c>
      <c r="P243" s="368" t="s">
        <v>785</v>
      </c>
      <c r="Q243" t="s">
        <v>154</v>
      </c>
      <c r="R243" t="s">
        <v>867</v>
      </c>
      <c r="S243" t="s">
        <v>244</v>
      </c>
      <c r="T243" t="s">
        <v>177</v>
      </c>
      <c r="U243"/>
    </row>
    <row r="244" spans="1:21" x14ac:dyDescent="0.2">
      <c r="A244">
        <v>443895</v>
      </c>
      <c r="B244" t="s">
        <v>596</v>
      </c>
      <c r="C244">
        <v>6</v>
      </c>
      <c r="D244">
        <v>4</v>
      </c>
      <c r="E244">
        <v>15</v>
      </c>
      <c r="F244">
        <v>4</v>
      </c>
      <c r="G244"/>
      <c r="H244">
        <v>42</v>
      </c>
      <c r="I244">
        <v>17</v>
      </c>
      <c r="J244">
        <v>3.2</v>
      </c>
      <c r="K244">
        <v>0.36</v>
      </c>
      <c r="L244">
        <v>1.62</v>
      </c>
      <c r="M244">
        <v>16.399999999999999</v>
      </c>
      <c r="N244">
        <v>0.8</v>
      </c>
      <c r="O244" t="s">
        <v>655</v>
      </c>
      <c r="P244" s="368" t="s">
        <v>910</v>
      </c>
      <c r="Q244" t="s">
        <v>46</v>
      </c>
      <c r="R244" t="s">
        <v>939</v>
      </c>
      <c r="S244" t="s">
        <v>161</v>
      </c>
      <c r="T244" t="s">
        <v>252</v>
      </c>
      <c r="U244"/>
    </row>
    <row r="245" spans="1:21" x14ac:dyDescent="0.2">
      <c r="A245">
        <v>386870</v>
      </c>
      <c r="B245" t="s">
        <v>342</v>
      </c>
      <c r="C245">
        <v>-9</v>
      </c>
      <c r="D245">
        <v>3</v>
      </c>
      <c r="E245">
        <v>-8</v>
      </c>
      <c r="F245">
        <v>-8</v>
      </c>
      <c r="G245">
        <v>-8</v>
      </c>
      <c r="H245">
        <v>-4</v>
      </c>
      <c r="I245">
        <v>3</v>
      </c>
      <c r="J245">
        <v>0.6</v>
      </c>
      <c r="K245">
        <v>0.36</v>
      </c>
      <c r="L245">
        <v>1.18</v>
      </c>
      <c r="M245">
        <v>8</v>
      </c>
      <c r="N245">
        <v>-0.1</v>
      </c>
      <c r="O245" t="s">
        <v>641</v>
      </c>
      <c r="P245" s="368" t="s">
        <v>891</v>
      </c>
      <c r="Q245" t="s">
        <v>46</v>
      </c>
      <c r="R245" t="s">
        <v>892</v>
      </c>
      <c r="S245" t="s">
        <v>343</v>
      </c>
      <c r="T245" t="s">
        <v>166</v>
      </c>
      <c r="U245"/>
    </row>
    <row r="246" spans="1:21" x14ac:dyDescent="0.2">
      <c r="A246">
        <v>964767</v>
      </c>
      <c r="B246" t="s">
        <v>563</v>
      </c>
      <c r="C246">
        <v>-5</v>
      </c>
      <c r="D246">
        <v>2</v>
      </c>
      <c r="E246">
        <v>-1</v>
      </c>
      <c r="F246">
        <v>-3</v>
      </c>
      <c r="G246">
        <v>11</v>
      </c>
      <c r="H246">
        <v>38</v>
      </c>
      <c r="I246">
        <v>62</v>
      </c>
      <c r="J246">
        <v>10.1</v>
      </c>
      <c r="K246">
        <v>0.37</v>
      </c>
      <c r="L246">
        <v>1.3</v>
      </c>
      <c r="M246">
        <v>15.8</v>
      </c>
      <c r="N246">
        <v>0.8</v>
      </c>
      <c r="O246" t="s">
        <v>641</v>
      </c>
      <c r="P246" s="368" t="s">
        <v>806</v>
      </c>
      <c r="Q246" t="s">
        <v>154</v>
      </c>
      <c r="R246" t="s">
        <v>1296</v>
      </c>
      <c r="S246" t="s">
        <v>158</v>
      </c>
      <c r="T246" t="s">
        <v>162</v>
      </c>
      <c r="U246"/>
    </row>
    <row r="247" spans="1:21" x14ac:dyDescent="0.2">
      <c r="A247">
        <v>479725</v>
      </c>
      <c r="B247" t="s">
        <v>160</v>
      </c>
      <c r="C247">
        <v>0</v>
      </c>
      <c r="D247">
        <v>-2</v>
      </c>
      <c r="E247">
        <v>3</v>
      </c>
      <c r="F247">
        <v>1</v>
      </c>
      <c r="G247"/>
      <c r="H247">
        <v>48</v>
      </c>
      <c r="I247">
        <v>55</v>
      </c>
      <c r="J247">
        <v>9.1999999999999993</v>
      </c>
      <c r="K247">
        <v>0.37</v>
      </c>
      <c r="L247">
        <v>1.65</v>
      </c>
      <c r="M247">
        <v>13.3</v>
      </c>
      <c r="N247">
        <v>1.1000000000000001</v>
      </c>
      <c r="O247" t="s">
        <v>655</v>
      </c>
      <c r="P247" s="368" t="s">
        <v>910</v>
      </c>
      <c r="Q247" t="s">
        <v>46</v>
      </c>
      <c r="R247" t="s">
        <v>963</v>
      </c>
      <c r="S247" t="s">
        <v>161</v>
      </c>
      <c r="T247" t="s">
        <v>162</v>
      </c>
      <c r="U247"/>
    </row>
    <row r="248" spans="1:21" x14ac:dyDescent="0.2">
      <c r="A248">
        <v>617670</v>
      </c>
      <c r="B248" t="s">
        <v>446</v>
      </c>
      <c r="C248">
        <v>-7</v>
      </c>
      <c r="D248">
        <v>-5</v>
      </c>
      <c r="E248">
        <v>-5</v>
      </c>
      <c r="F248">
        <v>-1</v>
      </c>
      <c r="G248">
        <v>10</v>
      </c>
      <c r="H248">
        <v>34</v>
      </c>
      <c r="I248">
        <v>49</v>
      </c>
      <c r="J248">
        <v>8.1999999999999993</v>
      </c>
      <c r="K248">
        <v>0.37</v>
      </c>
      <c r="L248">
        <v>1.85</v>
      </c>
      <c r="M248">
        <v>16.2</v>
      </c>
      <c r="N248">
        <v>0.7</v>
      </c>
      <c r="O248" t="s">
        <v>641</v>
      </c>
      <c r="P248" s="368" t="s">
        <v>1077</v>
      </c>
      <c r="Q248" t="s">
        <v>154</v>
      </c>
      <c r="R248" t="s">
        <v>1078</v>
      </c>
      <c r="S248" t="s">
        <v>187</v>
      </c>
      <c r="T248" t="s">
        <v>257</v>
      </c>
      <c r="U248"/>
    </row>
    <row r="249" spans="1:21" x14ac:dyDescent="0.2">
      <c r="A249">
        <v>541235</v>
      </c>
      <c r="B249" t="s">
        <v>411</v>
      </c>
      <c r="C249">
        <v>-9</v>
      </c>
      <c r="D249">
        <v>-1</v>
      </c>
      <c r="E249">
        <v>-5</v>
      </c>
      <c r="F249">
        <v>-9</v>
      </c>
      <c r="G249">
        <v>-1</v>
      </c>
      <c r="H249">
        <v>20</v>
      </c>
      <c r="I249">
        <v>36</v>
      </c>
      <c r="J249">
        <v>6.3</v>
      </c>
      <c r="K249">
        <v>0.37</v>
      </c>
      <c r="L249">
        <v>1.6</v>
      </c>
      <c r="M249">
        <v>14.8</v>
      </c>
      <c r="N249">
        <v>0.5</v>
      </c>
      <c r="O249" t="s">
        <v>641</v>
      </c>
      <c r="P249" s="368" t="s">
        <v>1019</v>
      </c>
      <c r="Q249" t="s">
        <v>154</v>
      </c>
      <c r="R249" t="s">
        <v>1020</v>
      </c>
      <c r="S249" t="s">
        <v>196</v>
      </c>
      <c r="T249" t="s">
        <v>162</v>
      </c>
      <c r="U249"/>
    </row>
    <row r="250" spans="1:21" x14ac:dyDescent="0.2">
      <c r="A250">
        <v>316752</v>
      </c>
      <c r="B250" t="s">
        <v>307</v>
      </c>
      <c r="C250">
        <v>5</v>
      </c>
      <c r="D250">
        <v>-3</v>
      </c>
      <c r="E250">
        <v>-2</v>
      </c>
      <c r="F250">
        <v>3</v>
      </c>
      <c r="G250">
        <v>6</v>
      </c>
      <c r="H250">
        <v>22</v>
      </c>
      <c r="I250">
        <v>33</v>
      </c>
      <c r="J250">
        <v>5.9</v>
      </c>
      <c r="K250">
        <v>0.37</v>
      </c>
      <c r="L250">
        <v>1.22</v>
      </c>
      <c r="M250">
        <v>8.6999999999999993</v>
      </c>
      <c r="N250">
        <v>0.8</v>
      </c>
      <c r="O250" t="s">
        <v>692</v>
      </c>
      <c r="P250" s="368" t="s">
        <v>703</v>
      </c>
      <c r="Q250" t="s">
        <v>46</v>
      </c>
      <c r="R250" t="s">
        <v>828</v>
      </c>
      <c r="S250" t="s">
        <v>223</v>
      </c>
      <c r="T250" t="s">
        <v>270</v>
      </c>
      <c r="U250"/>
    </row>
    <row r="251" spans="1:21" x14ac:dyDescent="0.2">
      <c r="A251">
        <v>173435</v>
      </c>
      <c r="B251" t="s">
        <v>222</v>
      </c>
      <c r="C251">
        <v>-3</v>
      </c>
      <c r="D251">
        <v>2</v>
      </c>
      <c r="E251">
        <v>-8</v>
      </c>
      <c r="F251">
        <v>-3</v>
      </c>
      <c r="G251">
        <v>1</v>
      </c>
      <c r="H251">
        <v>15</v>
      </c>
      <c r="I251">
        <v>29</v>
      </c>
      <c r="J251">
        <v>5.3</v>
      </c>
      <c r="K251">
        <v>0.37</v>
      </c>
      <c r="L251">
        <v>1.87</v>
      </c>
      <c r="M251">
        <v>10.4</v>
      </c>
      <c r="N251">
        <v>0.5</v>
      </c>
      <c r="O251" t="s">
        <v>692</v>
      </c>
      <c r="P251" s="368" t="s">
        <v>703</v>
      </c>
      <c r="Q251" t="s">
        <v>46</v>
      </c>
      <c r="R251" t="s">
        <v>704</v>
      </c>
      <c r="S251" t="s">
        <v>223</v>
      </c>
      <c r="T251" t="s">
        <v>224</v>
      </c>
      <c r="U251"/>
    </row>
    <row r="252" spans="1:21" x14ac:dyDescent="0.2">
      <c r="A252">
        <v>241661</v>
      </c>
      <c r="B252" t="s">
        <v>1536</v>
      </c>
      <c r="C252"/>
      <c r="D252">
        <v>1</v>
      </c>
      <c r="E252">
        <v>-10</v>
      </c>
      <c r="F252"/>
      <c r="G252"/>
      <c r="H252">
        <v>12</v>
      </c>
      <c r="I252">
        <v>26</v>
      </c>
      <c r="J252">
        <v>4.7</v>
      </c>
      <c r="K252">
        <v>0.37</v>
      </c>
      <c r="L252">
        <v>2.1800000000000002</v>
      </c>
      <c r="M252">
        <v>10.9</v>
      </c>
      <c r="N252">
        <v>0.4</v>
      </c>
      <c r="O252" t="s">
        <v>692</v>
      </c>
      <c r="P252" s="368" t="s">
        <v>1537</v>
      </c>
      <c r="Q252" t="s">
        <v>46</v>
      </c>
      <c r="R252" t="s">
        <v>1538</v>
      </c>
      <c r="S252" t="s">
        <v>223</v>
      </c>
      <c r="T252" t="s">
        <v>224</v>
      </c>
      <c r="U252"/>
    </row>
    <row r="253" spans="1:21" x14ac:dyDescent="0.2">
      <c r="A253">
        <v>280925</v>
      </c>
      <c r="B253" t="s">
        <v>284</v>
      </c>
      <c r="C253">
        <v>1</v>
      </c>
      <c r="D253">
        <v>-1</v>
      </c>
      <c r="E253">
        <v>-4</v>
      </c>
      <c r="F253">
        <v>-1</v>
      </c>
      <c r="G253">
        <v>2</v>
      </c>
      <c r="H253">
        <v>16</v>
      </c>
      <c r="I253">
        <v>25</v>
      </c>
      <c r="J253">
        <v>4.5</v>
      </c>
      <c r="K253">
        <v>0.37</v>
      </c>
      <c r="L253">
        <v>1.21</v>
      </c>
      <c r="M253">
        <v>7.2</v>
      </c>
      <c r="N253">
        <v>0.7</v>
      </c>
      <c r="O253" t="s">
        <v>655</v>
      </c>
      <c r="P253" s="368" t="s">
        <v>703</v>
      </c>
      <c r="Q253" t="s">
        <v>46</v>
      </c>
      <c r="R253" t="s">
        <v>791</v>
      </c>
      <c r="S253" t="s">
        <v>223</v>
      </c>
      <c r="T253" t="s">
        <v>199</v>
      </c>
      <c r="U253"/>
    </row>
    <row r="254" spans="1:21" x14ac:dyDescent="0.2">
      <c r="A254">
        <v>900894</v>
      </c>
      <c r="B254" t="s">
        <v>1390</v>
      </c>
      <c r="C254">
        <v>-6</v>
      </c>
      <c r="D254">
        <v>2</v>
      </c>
      <c r="E254">
        <v>-6</v>
      </c>
      <c r="F254">
        <v>-6</v>
      </c>
      <c r="G254">
        <v>-4</v>
      </c>
      <c r="H254">
        <v>6</v>
      </c>
      <c r="I254">
        <v>23</v>
      </c>
      <c r="J254">
        <v>4.3</v>
      </c>
      <c r="K254">
        <v>0.37</v>
      </c>
      <c r="L254">
        <v>1.44</v>
      </c>
      <c r="M254">
        <v>10</v>
      </c>
      <c r="N254">
        <v>0.3</v>
      </c>
      <c r="O254" t="s">
        <v>655</v>
      </c>
      <c r="P254" s="368" t="s">
        <v>850</v>
      </c>
      <c r="Q254" t="s">
        <v>46</v>
      </c>
      <c r="R254" t="s">
        <v>1263</v>
      </c>
      <c r="S254" t="s">
        <v>233</v>
      </c>
      <c r="T254" t="s">
        <v>199</v>
      </c>
      <c r="U254"/>
    </row>
    <row r="255" spans="1:21" x14ac:dyDescent="0.2">
      <c r="A255">
        <v>721746</v>
      </c>
      <c r="B255" t="s">
        <v>1385</v>
      </c>
      <c r="C255">
        <v>-8</v>
      </c>
      <c r="D255">
        <v>2</v>
      </c>
      <c r="E255">
        <v>-12</v>
      </c>
      <c r="F255">
        <v>-9</v>
      </c>
      <c r="G255">
        <v>-5</v>
      </c>
      <c r="H255">
        <v>6</v>
      </c>
      <c r="I255">
        <v>22</v>
      </c>
      <c r="J255">
        <v>4</v>
      </c>
      <c r="K255">
        <v>0.37</v>
      </c>
      <c r="L255">
        <v>1.71</v>
      </c>
      <c r="M255">
        <v>12.1</v>
      </c>
      <c r="N255">
        <v>0.2</v>
      </c>
      <c r="O255" t="s">
        <v>692</v>
      </c>
      <c r="P255" s="368" t="s">
        <v>850</v>
      </c>
      <c r="Q255" t="s">
        <v>46</v>
      </c>
      <c r="R255" t="s">
        <v>1153</v>
      </c>
      <c r="S255" t="s">
        <v>233</v>
      </c>
      <c r="T255" t="s">
        <v>224</v>
      </c>
      <c r="U255"/>
    </row>
    <row r="256" spans="1:21" x14ac:dyDescent="0.2">
      <c r="A256">
        <v>229625</v>
      </c>
      <c r="B256" t="s">
        <v>249</v>
      </c>
      <c r="C256">
        <v>-4</v>
      </c>
      <c r="D256">
        <v>3</v>
      </c>
      <c r="E256">
        <v>-7</v>
      </c>
      <c r="F256">
        <v>-4</v>
      </c>
      <c r="G256">
        <v>-2</v>
      </c>
      <c r="H256">
        <v>6</v>
      </c>
      <c r="I256">
        <v>16</v>
      </c>
      <c r="J256">
        <v>3.1</v>
      </c>
      <c r="K256">
        <v>0.37</v>
      </c>
      <c r="L256">
        <v>1</v>
      </c>
      <c r="M256">
        <v>8</v>
      </c>
      <c r="N256">
        <v>0.3</v>
      </c>
      <c r="O256" t="s">
        <v>655</v>
      </c>
      <c r="P256" s="368" t="s">
        <v>738</v>
      </c>
      <c r="Q256" t="s">
        <v>46</v>
      </c>
      <c r="R256" t="s">
        <v>739</v>
      </c>
      <c r="S256" t="s">
        <v>250</v>
      </c>
      <c r="T256" t="s">
        <v>224</v>
      </c>
      <c r="U256"/>
    </row>
    <row r="257" spans="1:21" x14ac:dyDescent="0.2">
      <c r="A257">
        <v>336115</v>
      </c>
      <c r="B257" t="s">
        <v>321</v>
      </c>
      <c r="C257">
        <v>0</v>
      </c>
      <c r="D257">
        <v>-2</v>
      </c>
      <c r="E257">
        <v>-3</v>
      </c>
      <c r="F257">
        <v>-2</v>
      </c>
      <c r="G257">
        <v>0</v>
      </c>
      <c r="H257">
        <v>11</v>
      </c>
      <c r="I257">
        <v>14</v>
      </c>
      <c r="J257">
        <v>2.6</v>
      </c>
      <c r="K257">
        <v>0.37</v>
      </c>
      <c r="L257">
        <v>1.2</v>
      </c>
      <c r="M257">
        <v>7.1</v>
      </c>
      <c r="N257">
        <v>0.6</v>
      </c>
      <c r="O257" t="s">
        <v>692</v>
      </c>
      <c r="P257" s="368" t="s">
        <v>850</v>
      </c>
      <c r="Q257" t="s">
        <v>46</v>
      </c>
      <c r="R257" t="s">
        <v>851</v>
      </c>
      <c r="S257" t="s">
        <v>233</v>
      </c>
      <c r="T257" t="s">
        <v>224</v>
      </c>
      <c r="U257"/>
    </row>
    <row r="258" spans="1:21" x14ac:dyDescent="0.2">
      <c r="A258">
        <v>206250</v>
      </c>
      <c r="B258" t="s">
        <v>240</v>
      </c>
      <c r="C258">
        <v>-18</v>
      </c>
      <c r="D258">
        <v>-3</v>
      </c>
      <c r="E258">
        <v>-12</v>
      </c>
      <c r="F258">
        <v>-14</v>
      </c>
      <c r="G258">
        <v>-8</v>
      </c>
      <c r="H258">
        <v>7</v>
      </c>
      <c r="I258">
        <v>11</v>
      </c>
      <c r="J258">
        <v>2.2000000000000002</v>
      </c>
      <c r="K258">
        <v>0.37</v>
      </c>
      <c r="L258">
        <v>1.83</v>
      </c>
      <c r="M258">
        <v>15.9</v>
      </c>
      <c r="N258">
        <v>0.2</v>
      </c>
      <c r="O258" t="s">
        <v>641</v>
      </c>
      <c r="P258" s="368" t="s">
        <v>675</v>
      </c>
      <c r="Q258" t="s">
        <v>154</v>
      </c>
      <c r="R258" t="s">
        <v>731</v>
      </c>
      <c r="S258" t="s">
        <v>241</v>
      </c>
      <c r="T258" t="s">
        <v>172</v>
      </c>
      <c r="U258"/>
    </row>
    <row r="259" spans="1:21" x14ac:dyDescent="0.2">
      <c r="A259">
        <v>408898</v>
      </c>
      <c r="B259" t="s">
        <v>631</v>
      </c>
      <c r="C259">
        <v>-3</v>
      </c>
      <c r="D259">
        <v>0</v>
      </c>
      <c r="E259">
        <v>-3</v>
      </c>
      <c r="F259">
        <v>-3</v>
      </c>
      <c r="G259">
        <v>-1</v>
      </c>
      <c r="H259">
        <v>3</v>
      </c>
      <c r="I259">
        <v>7</v>
      </c>
      <c r="J259">
        <v>1.4</v>
      </c>
      <c r="K259">
        <v>0.37</v>
      </c>
      <c r="L259">
        <v>1.07</v>
      </c>
      <c r="M259">
        <v>5.2</v>
      </c>
      <c r="N259">
        <v>0.2</v>
      </c>
      <c r="O259" t="s">
        <v>641</v>
      </c>
      <c r="P259" s="368" t="s">
        <v>913</v>
      </c>
      <c r="Q259" t="s">
        <v>46</v>
      </c>
      <c r="R259" t="s">
        <v>914</v>
      </c>
      <c r="S259" t="s">
        <v>1352</v>
      </c>
      <c r="T259" t="s">
        <v>270</v>
      </c>
      <c r="U259"/>
    </row>
    <row r="260" spans="1:21" x14ac:dyDescent="0.2">
      <c r="A260">
        <v>904904</v>
      </c>
      <c r="B260" t="s">
        <v>549</v>
      </c>
      <c r="C260">
        <v>-11</v>
      </c>
      <c r="D260">
        <v>4</v>
      </c>
      <c r="E260">
        <v>-4</v>
      </c>
      <c r="F260">
        <v>-9</v>
      </c>
      <c r="G260">
        <v>0</v>
      </c>
      <c r="H260">
        <v>0</v>
      </c>
      <c r="I260">
        <v>7</v>
      </c>
      <c r="J260">
        <v>1.4</v>
      </c>
      <c r="K260">
        <v>0.37</v>
      </c>
      <c r="L260">
        <v>1.3</v>
      </c>
      <c r="M260">
        <v>16.8</v>
      </c>
      <c r="N260">
        <v>0.1</v>
      </c>
      <c r="O260" t="s">
        <v>641</v>
      </c>
      <c r="P260" s="368" t="s">
        <v>1267</v>
      </c>
      <c r="Q260" t="s">
        <v>154</v>
      </c>
      <c r="R260" t="s">
        <v>1268</v>
      </c>
      <c r="S260" t="s">
        <v>158</v>
      </c>
      <c r="T260" t="s">
        <v>209</v>
      </c>
      <c r="U260"/>
    </row>
    <row r="261" spans="1:21" x14ac:dyDescent="0.2">
      <c r="A261">
        <v>501981</v>
      </c>
      <c r="B261" t="s">
        <v>394</v>
      </c>
      <c r="C261">
        <v>-19</v>
      </c>
      <c r="D261">
        <v>-4</v>
      </c>
      <c r="E261">
        <v>-11</v>
      </c>
      <c r="F261">
        <v>-16</v>
      </c>
      <c r="G261">
        <v>-17</v>
      </c>
      <c r="H261">
        <v>-12</v>
      </c>
      <c r="I261">
        <v>-5</v>
      </c>
      <c r="J261">
        <v>-1</v>
      </c>
      <c r="K261">
        <v>0.37</v>
      </c>
      <c r="L261">
        <v>2</v>
      </c>
      <c r="M261">
        <v>16.3</v>
      </c>
      <c r="N261">
        <v>-0.2</v>
      </c>
      <c r="O261" t="s">
        <v>646</v>
      </c>
      <c r="P261" s="368" t="s">
        <v>985</v>
      </c>
      <c r="Q261" t="s">
        <v>46</v>
      </c>
      <c r="R261" t="s">
        <v>986</v>
      </c>
      <c r="S261" t="s">
        <v>181</v>
      </c>
      <c r="T261" t="s">
        <v>172</v>
      </c>
      <c r="U261"/>
    </row>
    <row r="262" spans="1:21" x14ac:dyDescent="0.2">
      <c r="A262">
        <v>111096</v>
      </c>
      <c r="B262" t="s">
        <v>1369</v>
      </c>
      <c r="C262"/>
      <c r="D262">
        <v>0</v>
      </c>
      <c r="E262">
        <v>-9</v>
      </c>
      <c r="F262"/>
      <c r="G262"/>
      <c r="H262">
        <v>19</v>
      </c>
      <c r="I262"/>
      <c r="J262"/>
      <c r="K262">
        <v>0.37</v>
      </c>
      <c r="L262">
        <v>1.6</v>
      </c>
      <c r="M262">
        <v>17.2</v>
      </c>
      <c r="N262">
        <v>0.4</v>
      </c>
      <c r="O262" t="s">
        <v>641</v>
      </c>
      <c r="P262" s="368" t="s">
        <v>1394</v>
      </c>
      <c r="Q262" t="s">
        <v>154</v>
      </c>
      <c r="R262" t="s">
        <v>1395</v>
      </c>
      <c r="S262" t="s">
        <v>196</v>
      </c>
      <c r="T262" t="s">
        <v>204</v>
      </c>
      <c r="U262"/>
    </row>
    <row r="263" spans="1:21" x14ac:dyDescent="0.2">
      <c r="A263">
        <v>184580</v>
      </c>
      <c r="B263" t="s">
        <v>229</v>
      </c>
      <c r="C263">
        <v>-1</v>
      </c>
      <c r="D263">
        <v>3</v>
      </c>
      <c r="E263">
        <v>4</v>
      </c>
      <c r="F263">
        <v>1</v>
      </c>
      <c r="G263">
        <v>6</v>
      </c>
      <c r="H263"/>
      <c r="I263"/>
      <c r="J263"/>
      <c r="K263">
        <v>0.37</v>
      </c>
      <c r="L263">
        <v>2</v>
      </c>
      <c r="M263"/>
      <c r="N263"/>
      <c r="O263" t="s">
        <v>641</v>
      </c>
      <c r="P263" s="368" t="s">
        <v>714</v>
      </c>
      <c r="Q263" t="s">
        <v>46</v>
      </c>
      <c r="R263" t="s">
        <v>715</v>
      </c>
      <c r="S263" t="s">
        <v>230</v>
      </c>
      <c r="T263" t="s">
        <v>162</v>
      </c>
      <c r="U263"/>
    </row>
    <row r="264" spans="1:21" x14ac:dyDescent="0.2">
      <c r="A264">
        <v>556589</v>
      </c>
      <c r="B264" t="s">
        <v>421</v>
      </c>
      <c r="C264">
        <v>0</v>
      </c>
      <c r="D264">
        <v>7</v>
      </c>
      <c r="E264">
        <v>5</v>
      </c>
      <c r="F264">
        <v>2</v>
      </c>
      <c r="G264">
        <v>13</v>
      </c>
      <c r="H264">
        <v>17</v>
      </c>
      <c r="I264">
        <v>38</v>
      </c>
      <c r="J264">
        <v>6.6</v>
      </c>
      <c r="K264">
        <v>0.38</v>
      </c>
      <c r="L264">
        <v>1.76</v>
      </c>
      <c r="M264">
        <v>16.8</v>
      </c>
      <c r="N264">
        <v>0.4</v>
      </c>
      <c r="O264" t="s">
        <v>641</v>
      </c>
      <c r="P264" s="368" t="s">
        <v>882</v>
      </c>
      <c r="Q264" t="s">
        <v>154</v>
      </c>
      <c r="R264" t="s">
        <v>1034</v>
      </c>
      <c r="S264" t="s">
        <v>184</v>
      </c>
      <c r="T264" t="s">
        <v>175</v>
      </c>
      <c r="U264"/>
    </row>
    <row r="265" spans="1:21" x14ac:dyDescent="0.2">
      <c r="A265">
        <v>584912</v>
      </c>
      <c r="B265" t="s">
        <v>434</v>
      </c>
      <c r="C265">
        <v>-15</v>
      </c>
      <c r="D265">
        <v>6</v>
      </c>
      <c r="E265">
        <v>-8</v>
      </c>
      <c r="F265">
        <v>-10</v>
      </c>
      <c r="G265">
        <v>1</v>
      </c>
      <c r="H265">
        <v>-1</v>
      </c>
      <c r="I265">
        <v>33</v>
      </c>
      <c r="J265">
        <v>5.8</v>
      </c>
      <c r="K265">
        <v>0.38</v>
      </c>
      <c r="L265">
        <v>1.63</v>
      </c>
      <c r="M265">
        <v>18.5</v>
      </c>
      <c r="N265">
        <v>0.1</v>
      </c>
      <c r="O265" t="s">
        <v>641</v>
      </c>
      <c r="P265" s="368" t="s">
        <v>1057</v>
      </c>
      <c r="Q265" t="s">
        <v>154</v>
      </c>
      <c r="R265" t="s">
        <v>1058</v>
      </c>
      <c r="S265" t="s">
        <v>244</v>
      </c>
      <c r="T265" t="s">
        <v>156</v>
      </c>
      <c r="U265"/>
    </row>
    <row r="266" spans="1:21" x14ac:dyDescent="0.2">
      <c r="A266">
        <v>388298</v>
      </c>
      <c r="B266" t="s">
        <v>344</v>
      </c>
      <c r="C266">
        <v>-9</v>
      </c>
      <c r="D266">
        <v>7</v>
      </c>
      <c r="E266">
        <v>-1</v>
      </c>
      <c r="F266">
        <v>-8</v>
      </c>
      <c r="G266">
        <v>-2</v>
      </c>
      <c r="H266">
        <v>-5</v>
      </c>
      <c r="I266">
        <v>25</v>
      </c>
      <c r="J266">
        <v>4.5</v>
      </c>
      <c r="K266">
        <v>0.38</v>
      </c>
      <c r="L266">
        <v>2.0699999999999998</v>
      </c>
      <c r="M266">
        <v>16.600000000000001</v>
      </c>
      <c r="N266">
        <v>0</v>
      </c>
      <c r="O266" t="s">
        <v>646</v>
      </c>
      <c r="P266" s="368" t="s">
        <v>893</v>
      </c>
      <c r="Q266" t="s">
        <v>46</v>
      </c>
      <c r="R266" t="s">
        <v>894</v>
      </c>
      <c r="S266" t="s">
        <v>230</v>
      </c>
      <c r="T266" t="s">
        <v>197</v>
      </c>
      <c r="U266"/>
    </row>
    <row r="267" spans="1:21" x14ac:dyDescent="0.2">
      <c r="A267">
        <v>449090</v>
      </c>
      <c r="B267" t="s">
        <v>372</v>
      </c>
      <c r="C267">
        <v>-24</v>
      </c>
      <c r="D267">
        <v>2</v>
      </c>
      <c r="E267">
        <v>-14</v>
      </c>
      <c r="F267">
        <v>-20</v>
      </c>
      <c r="G267">
        <v>-11</v>
      </c>
      <c r="H267">
        <v>3</v>
      </c>
      <c r="I267">
        <v>19</v>
      </c>
      <c r="J267">
        <v>3.5</v>
      </c>
      <c r="K267">
        <v>0.38</v>
      </c>
      <c r="L267">
        <v>1.75</v>
      </c>
      <c r="M267">
        <v>19.7</v>
      </c>
      <c r="N267">
        <v>0.2</v>
      </c>
      <c r="O267" t="s">
        <v>641</v>
      </c>
      <c r="P267" s="368" t="s">
        <v>882</v>
      </c>
      <c r="Q267" t="s">
        <v>154</v>
      </c>
      <c r="R267" t="s">
        <v>944</v>
      </c>
      <c r="S267" t="s">
        <v>184</v>
      </c>
      <c r="T267" t="s">
        <v>335</v>
      </c>
      <c r="U267"/>
    </row>
    <row r="268" spans="1:21" x14ac:dyDescent="0.2">
      <c r="A268">
        <v>521104</v>
      </c>
      <c r="B268" t="s">
        <v>632</v>
      </c>
      <c r="C268">
        <v>-8</v>
      </c>
      <c r="D268">
        <v>4</v>
      </c>
      <c r="E268">
        <v>-2</v>
      </c>
      <c r="F268">
        <v>-5</v>
      </c>
      <c r="G268">
        <v>4</v>
      </c>
      <c r="H268">
        <v>-1</v>
      </c>
      <c r="I268">
        <v>11</v>
      </c>
      <c r="J268">
        <v>2</v>
      </c>
      <c r="K268">
        <v>0.38</v>
      </c>
      <c r="L268">
        <v>1.4</v>
      </c>
      <c r="M268">
        <v>15.2</v>
      </c>
      <c r="N268">
        <v>0.1</v>
      </c>
      <c r="O268" t="s">
        <v>641</v>
      </c>
      <c r="P268" s="368" t="s">
        <v>1004</v>
      </c>
      <c r="Q268" t="s">
        <v>46</v>
      </c>
      <c r="R268" t="s">
        <v>1005</v>
      </c>
      <c r="S268" t="s">
        <v>188</v>
      </c>
      <c r="T268" t="s">
        <v>197</v>
      </c>
      <c r="U268"/>
    </row>
    <row r="269" spans="1:21" x14ac:dyDescent="0.2">
      <c r="A269">
        <v>950774</v>
      </c>
      <c r="B269" t="s">
        <v>561</v>
      </c>
      <c r="C269">
        <v>-19</v>
      </c>
      <c r="D269">
        <v>-2</v>
      </c>
      <c r="E269">
        <v>-12</v>
      </c>
      <c r="F269">
        <v>-15</v>
      </c>
      <c r="G269">
        <v>-12</v>
      </c>
      <c r="H269">
        <v>1</v>
      </c>
      <c r="I269">
        <v>8</v>
      </c>
      <c r="J269">
        <v>1.6</v>
      </c>
      <c r="K269">
        <v>0.38</v>
      </c>
      <c r="L269">
        <v>1.75</v>
      </c>
      <c r="M269">
        <v>15</v>
      </c>
      <c r="N269">
        <v>0.1</v>
      </c>
      <c r="O269" t="s">
        <v>641</v>
      </c>
      <c r="P269" s="368" t="s">
        <v>664</v>
      </c>
      <c r="Q269" t="s">
        <v>154</v>
      </c>
      <c r="R269" t="s">
        <v>1291</v>
      </c>
      <c r="S269" t="s">
        <v>184</v>
      </c>
      <c r="T269" t="s">
        <v>172</v>
      </c>
      <c r="U269"/>
    </row>
    <row r="270" spans="1:21" x14ac:dyDescent="0.2">
      <c r="A270">
        <v>238832</v>
      </c>
      <c r="B270" t="s">
        <v>627</v>
      </c>
      <c r="C270">
        <v>-14</v>
      </c>
      <c r="D270">
        <v>2</v>
      </c>
      <c r="E270">
        <v>-6</v>
      </c>
      <c r="F270">
        <v>-13</v>
      </c>
      <c r="G270">
        <v>-5</v>
      </c>
      <c r="H270">
        <v>-3</v>
      </c>
      <c r="I270">
        <v>1</v>
      </c>
      <c r="J270">
        <v>0.3</v>
      </c>
      <c r="K270">
        <v>0.38</v>
      </c>
      <c r="L270">
        <v>1.4</v>
      </c>
      <c r="M270">
        <v>13.4</v>
      </c>
      <c r="N270">
        <v>0</v>
      </c>
      <c r="O270" t="s">
        <v>655</v>
      </c>
      <c r="P270" s="368" t="s">
        <v>751</v>
      </c>
      <c r="Q270" t="s">
        <v>46</v>
      </c>
      <c r="R270" t="s">
        <v>752</v>
      </c>
      <c r="S270" t="s">
        <v>188</v>
      </c>
      <c r="T270" t="s">
        <v>185</v>
      </c>
      <c r="U270"/>
    </row>
    <row r="271" spans="1:21" x14ac:dyDescent="0.2">
      <c r="A271">
        <v>934711</v>
      </c>
      <c r="B271" t="s">
        <v>556</v>
      </c>
      <c r="C271">
        <v>-7</v>
      </c>
      <c r="D271">
        <v>2</v>
      </c>
      <c r="E271">
        <v>-7</v>
      </c>
      <c r="F271">
        <v>-7</v>
      </c>
      <c r="G271">
        <v>-6</v>
      </c>
      <c r="H271">
        <v>-6</v>
      </c>
      <c r="I271">
        <v>1</v>
      </c>
      <c r="J271">
        <v>0.1</v>
      </c>
      <c r="K271">
        <v>0.38</v>
      </c>
      <c r="L271">
        <v>0.92</v>
      </c>
      <c r="M271">
        <v>7.5</v>
      </c>
      <c r="N271">
        <v>-0.2</v>
      </c>
      <c r="O271" t="s">
        <v>641</v>
      </c>
      <c r="P271" s="368" t="s">
        <v>1284</v>
      </c>
      <c r="Q271" t="s">
        <v>154</v>
      </c>
      <c r="R271" t="s">
        <v>1285</v>
      </c>
      <c r="S271" t="s">
        <v>290</v>
      </c>
      <c r="T271" t="s">
        <v>270</v>
      </c>
      <c r="U271"/>
    </row>
    <row r="272" spans="1:21" x14ac:dyDescent="0.2">
      <c r="A272">
        <v>914945</v>
      </c>
      <c r="B272" t="s">
        <v>552</v>
      </c>
      <c r="C272">
        <v>-16</v>
      </c>
      <c r="D272">
        <v>-7</v>
      </c>
      <c r="E272">
        <v>-11</v>
      </c>
      <c r="F272">
        <v>-12</v>
      </c>
      <c r="G272">
        <v>-13</v>
      </c>
      <c r="H272">
        <v>-2</v>
      </c>
      <c r="I272">
        <v>-2</v>
      </c>
      <c r="J272">
        <v>-0.3</v>
      </c>
      <c r="K272">
        <v>0.38</v>
      </c>
      <c r="L272">
        <v>1.76</v>
      </c>
      <c r="M272">
        <v>13.9</v>
      </c>
      <c r="N272">
        <v>0</v>
      </c>
      <c r="O272" t="s">
        <v>641</v>
      </c>
      <c r="P272" s="368" t="s">
        <v>664</v>
      </c>
      <c r="Q272" t="s">
        <v>154</v>
      </c>
      <c r="R272" t="s">
        <v>1274</v>
      </c>
      <c r="S272" t="s">
        <v>184</v>
      </c>
      <c r="T272" t="s">
        <v>263</v>
      </c>
      <c r="U272"/>
    </row>
    <row r="273" spans="1:21" x14ac:dyDescent="0.2">
      <c r="A273">
        <v>571695</v>
      </c>
      <c r="B273" t="s">
        <v>428</v>
      </c>
      <c r="C273">
        <v>-12</v>
      </c>
      <c r="D273">
        <v>2</v>
      </c>
      <c r="E273">
        <v>-8</v>
      </c>
      <c r="F273">
        <v>-14</v>
      </c>
      <c r="G273">
        <v>-10</v>
      </c>
      <c r="H273">
        <v>-12</v>
      </c>
      <c r="I273">
        <v>-7</v>
      </c>
      <c r="J273">
        <v>-1.5</v>
      </c>
      <c r="K273">
        <v>0.38</v>
      </c>
      <c r="L273">
        <v>2.0699999999999998</v>
      </c>
      <c r="M273">
        <v>14.3</v>
      </c>
      <c r="N273">
        <v>-0.2</v>
      </c>
      <c r="O273" t="s">
        <v>646</v>
      </c>
      <c r="P273" s="368" t="s">
        <v>893</v>
      </c>
      <c r="Q273" t="s">
        <v>46</v>
      </c>
      <c r="R273" t="s">
        <v>1046</v>
      </c>
      <c r="S273" t="s">
        <v>230</v>
      </c>
      <c r="T273" t="s">
        <v>185</v>
      </c>
      <c r="U273"/>
    </row>
    <row r="274" spans="1:21" x14ac:dyDescent="0.2">
      <c r="A274">
        <v>823039</v>
      </c>
      <c r="B274" t="s">
        <v>516</v>
      </c>
      <c r="C274">
        <v>-41</v>
      </c>
      <c r="D274">
        <v>4</v>
      </c>
      <c r="E274">
        <v>-30</v>
      </c>
      <c r="F274">
        <v>-35</v>
      </c>
      <c r="G274">
        <v>-38</v>
      </c>
      <c r="H274">
        <v>-21</v>
      </c>
      <c r="I274">
        <v>-13</v>
      </c>
      <c r="J274">
        <v>-2.8</v>
      </c>
      <c r="K274">
        <v>0.38</v>
      </c>
      <c r="L274">
        <v>1.76</v>
      </c>
      <c r="M274">
        <v>29</v>
      </c>
      <c r="N274">
        <v>-0.1</v>
      </c>
      <c r="O274" t="s">
        <v>641</v>
      </c>
      <c r="P274" s="368" t="s">
        <v>1086</v>
      </c>
      <c r="Q274" t="s">
        <v>154</v>
      </c>
      <c r="R274" t="s">
        <v>1205</v>
      </c>
      <c r="S274" t="s">
        <v>184</v>
      </c>
      <c r="T274" t="s">
        <v>239</v>
      </c>
      <c r="U274"/>
    </row>
    <row r="275" spans="1:21" x14ac:dyDescent="0.2">
      <c r="A275">
        <v>123901</v>
      </c>
      <c r="B275" t="s">
        <v>624</v>
      </c>
      <c r="C275">
        <v>-5</v>
      </c>
      <c r="D275">
        <v>2</v>
      </c>
      <c r="E275">
        <v>-2</v>
      </c>
      <c r="F275">
        <v>-4</v>
      </c>
      <c r="G275">
        <v>0</v>
      </c>
      <c r="H275">
        <v>0</v>
      </c>
      <c r="I275"/>
      <c r="J275"/>
      <c r="K275">
        <v>0.38</v>
      </c>
      <c r="L275">
        <v>1.5</v>
      </c>
      <c r="M275">
        <v>9.9</v>
      </c>
      <c r="N275">
        <v>0.1</v>
      </c>
      <c r="O275" t="s">
        <v>641</v>
      </c>
      <c r="P275" s="368" t="s">
        <v>668</v>
      </c>
      <c r="Q275" t="s">
        <v>46</v>
      </c>
      <c r="R275" t="s">
        <v>669</v>
      </c>
      <c r="S275" t="s">
        <v>188</v>
      </c>
      <c r="T275" t="s">
        <v>177</v>
      </c>
      <c r="U275"/>
    </row>
    <row r="276" spans="1:21" x14ac:dyDescent="0.2">
      <c r="A276">
        <v>320176</v>
      </c>
      <c r="B276" t="s">
        <v>630</v>
      </c>
      <c r="C276">
        <v>-22</v>
      </c>
      <c r="D276">
        <v>2</v>
      </c>
      <c r="E276">
        <v>-19</v>
      </c>
      <c r="F276">
        <v>-16</v>
      </c>
      <c r="G276">
        <v>3</v>
      </c>
      <c r="H276">
        <v>45</v>
      </c>
      <c r="I276">
        <v>93</v>
      </c>
      <c r="J276">
        <v>14.1</v>
      </c>
      <c r="K276">
        <v>0.39</v>
      </c>
      <c r="L276">
        <v>1.75</v>
      </c>
      <c r="M276">
        <v>19.600000000000001</v>
      </c>
      <c r="N276">
        <v>0.8</v>
      </c>
      <c r="O276" t="s">
        <v>641</v>
      </c>
      <c r="P276" s="368" t="s">
        <v>831</v>
      </c>
      <c r="Q276" t="s">
        <v>154</v>
      </c>
      <c r="R276" t="s">
        <v>832</v>
      </c>
      <c r="S276" t="s">
        <v>244</v>
      </c>
      <c r="T276" t="s">
        <v>275</v>
      </c>
      <c r="U276"/>
    </row>
    <row r="277" spans="1:21" x14ac:dyDescent="0.2">
      <c r="A277">
        <v>439471</v>
      </c>
      <c r="B277" t="s">
        <v>119</v>
      </c>
      <c r="C277">
        <v>0</v>
      </c>
      <c r="D277">
        <v>2</v>
      </c>
      <c r="E277">
        <v>3</v>
      </c>
      <c r="F277">
        <v>-1</v>
      </c>
      <c r="G277">
        <v>13</v>
      </c>
      <c r="H277">
        <v>61</v>
      </c>
      <c r="I277">
        <v>134</v>
      </c>
      <c r="J277">
        <v>18.5</v>
      </c>
      <c r="K277">
        <v>0.4</v>
      </c>
      <c r="L277">
        <v>1.4</v>
      </c>
      <c r="M277">
        <v>17.5</v>
      </c>
      <c r="N277">
        <v>1</v>
      </c>
      <c r="O277" t="s">
        <v>641</v>
      </c>
      <c r="P277" s="368" t="s">
        <v>675</v>
      </c>
      <c r="Q277" t="s">
        <v>154</v>
      </c>
      <c r="R277" t="s">
        <v>933</v>
      </c>
      <c r="S277" t="s">
        <v>155</v>
      </c>
      <c r="T277" t="s">
        <v>232</v>
      </c>
      <c r="U277"/>
    </row>
    <row r="278" spans="1:21" x14ac:dyDescent="0.2">
      <c r="A278">
        <v>103606</v>
      </c>
      <c r="B278" t="s">
        <v>153</v>
      </c>
      <c r="C278">
        <v>-4</v>
      </c>
      <c r="D278">
        <v>11</v>
      </c>
      <c r="E278">
        <v>5</v>
      </c>
      <c r="F278">
        <v>1</v>
      </c>
      <c r="G278">
        <v>13</v>
      </c>
      <c r="H278">
        <v>35</v>
      </c>
      <c r="I278">
        <v>72</v>
      </c>
      <c r="J278">
        <v>11.4</v>
      </c>
      <c r="K278">
        <v>0.4</v>
      </c>
      <c r="L278">
        <v>1.4</v>
      </c>
      <c r="M278">
        <v>19.100000000000001</v>
      </c>
      <c r="N278">
        <v>0.6</v>
      </c>
      <c r="O278" t="s">
        <v>641</v>
      </c>
      <c r="P278" s="368" t="s">
        <v>642</v>
      </c>
      <c r="Q278" t="s">
        <v>154</v>
      </c>
      <c r="R278" t="s">
        <v>643</v>
      </c>
      <c r="S278" t="s">
        <v>155</v>
      </c>
      <c r="T278" t="s">
        <v>156</v>
      </c>
      <c r="U278"/>
    </row>
    <row r="279" spans="1:21" x14ac:dyDescent="0.2">
      <c r="A279">
        <v>352872</v>
      </c>
      <c r="B279" t="s">
        <v>324</v>
      </c>
      <c r="C279">
        <v>-3</v>
      </c>
      <c r="D279">
        <v>1</v>
      </c>
      <c r="E279">
        <v>2</v>
      </c>
      <c r="F279">
        <v>-3</v>
      </c>
      <c r="G279">
        <v>11</v>
      </c>
      <c r="H279">
        <v>41</v>
      </c>
      <c r="I279">
        <v>66</v>
      </c>
      <c r="J279">
        <v>10.7</v>
      </c>
      <c r="K279">
        <v>0.4</v>
      </c>
      <c r="L279">
        <v>0.87</v>
      </c>
      <c r="M279">
        <v>16.600000000000001</v>
      </c>
      <c r="N279">
        <v>0.8</v>
      </c>
      <c r="O279" t="s">
        <v>692</v>
      </c>
      <c r="P279" s="368" t="s">
        <v>862</v>
      </c>
      <c r="Q279" t="s">
        <v>46</v>
      </c>
      <c r="R279" t="s">
        <v>863</v>
      </c>
      <c r="S279" t="s">
        <v>206</v>
      </c>
      <c r="T279" t="s">
        <v>204</v>
      </c>
      <c r="U279"/>
    </row>
    <row r="280" spans="1:21" x14ac:dyDescent="0.2">
      <c r="A280">
        <v>511139</v>
      </c>
      <c r="B280" t="s">
        <v>399</v>
      </c>
      <c r="C280">
        <v>-3</v>
      </c>
      <c r="D280">
        <v>0</v>
      </c>
      <c r="E280">
        <v>4</v>
      </c>
      <c r="F280">
        <v>-2</v>
      </c>
      <c r="G280">
        <v>11</v>
      </c>
      <c r="H280">
        <v>39</v>
      </c>
      <c r="I280">
        <v>63</v>
      </c>
      <c r="J280">
        <v>10.3</v>
      </c>
      <c r="K280">
        <v>0.4</v>
      </c>
      <c r="L280">
        <v>1.4</v>
      </c>
      <c r="M280">
        <v>17.2</v>
      </c>
      <c r="N280">
        <v>0.7</v>
      </c>
      <c r="O280" t="s">
        <v>641</v>
      </c>
      <c r="P280" s="368" t="s">
        <v>993</v>
      </c>
      <c r="Q280" t="s">
        <v>154</v>
      </c>
      <c r="R280" t="s">
        <v>994</v>
      </c>
      <c r="S280" t="s">
        <v>155</v>
      </c>
      <c r="T280" t="s">
        <v>204</v>
      </c>
      <c r="U280"/>
    </row>
    <row r="281" spans="1:21" x14ac:dyDescent="0.2">
      <c r="A281">
        <v>475301</v>
      </c>
      <c r="B281" t="s">
        <v>380</v>
      </c>
      <c r="C281">
        <v>-6</v>
      </c>
      <c r="D281">
        <v>0</v>
      </c>
      <c r="E281">
        <v>-2</v>
      </c>
      <c r="F281">
        <v>-6</v>
      </c>
      <c r="G281">
        <v>3</v>
      </c>
      <c r="H281">
        <v>32</v>
      </c>
      <c r="I281">
        <v>49</v>
      </c>
      <c r="J281">
        <v>8.3000000000000007</v>
      </c>
      <c r="K281">
        <v>0.4</v>
      </c>
      <c r="L281">
        <v>1.4</v>
      </c>
      <c r="M281">
        <v>14.7</v>
      </c>
      <c r="N281">
        <v>0.7</v>
      </c>
      <c r="O281" t="s">
        <v>641</v>
      </c>
      <c r="P281" s="368" t="s">
        <v>675</v>
      </c>
      <c r="Q281" t="s">
        <v>154</v>
      </c>
      <c r="R281" t="s">
        <v>956</v>
      </c>
      <c r="S281" t="s">
        <v>155</v>
      </c>
      <c r="T281" t="s">
        <v>162</v>
      </c>
      <c r="U281"/>
    </row>
    <row r="282" spans="1:21" x14ac:dyDescent="0.2">
      <c r="A282">
        <v>408062</v>
      </c>
      <c r="B282" t="s">
        <v>337</v>
      </c>
      <c r="C282">
        <v>-16</v>
      </c>
      <c r="D282">
        <v>-6</v>
      </c>
      <c r="E282">
        <v>-11</v>
      </c>
      <c r="F282">
        <v>-11</v>
      </c>
      <c r="G282"/>
      <c r="H282">
        <v>13</v>
      </c>
      <c r="I282">
        <v>28</v>
      </c>
      <c r="J282">
        <v>5.0999999999999996</v>
      </c>
      <c r="K282">
        <v>0.4</v>
      </c>
      <c r="L282">
        <v>1.87</v>
      </c>
      <c r="M282">
        <v>17.2</v>
      </c>
      <c r="N282">
        <v>0.3</v>
      </c>
      <c r="O282" t="s">
        <v>692</v>
      </c>
      <c r="P282" s="368" t="s">
        <v>910</v>
      </c>
      <c r="Q282" t="s">
        <v>46</v>
      </c>
      <c r="R282" t="s">
        <v>911</v>
      </c>
      <c r="S282" t="s">
        <v>161</v>
      </c>
      <c r="T282" t="s">
        <v>263</v>
      </c>
      <c r="U282"/>
    </row>
    <row r="283" spans="1:21" x14ac:dyDescent="0.2">
      <c r="A283">
        <v>367813</v>
      </c>
      <c r="B283" t="s">
        <v>332</v>
      </c>
      <c r="C283">
        <v>-10</v>
      </c>
      <c r="D283">
        <v>2</v>
      </c>
      <c r="E283">
        <v>-2</v>
      </c>
      <c r="F283">
        <v>-8</v>
      </c>
      <c r="G283">
        <v>3</v>
      </c>
      <c r="H283">
        <v>14</v>
      </c>
      <c r="I283">
        <v>24</v>
      </c>
      <c r="J283">
        <v>4.4000000000000004</v>
      </c>
      <c r="K283">
        <v>0.4</v>
      </c>
      <c r="L283">
        <v>1.4</v>
      </c>
      <c r="M283">
        <v>15.2</v>
      </c>
      <c r="N283">
        <v>0.4</v>
      </c>
      <c r="O283" t="s">
        <v>641</v>
      </c>
      <c r="P283" s="368" t="s">
        <v>876</v>
      </c>
      <c r="Q283" t="s">
        <v>154</v>
      </c>
      <c r="R283" t="s">
        <v>877</v>
      </c>
      <c r="S283" t="s">
        <v>155</v>
      </c>
      <c r="T283" t="s">
        <v>212</v>
      </c>
      <c r="U283"/>
    </row>
    <row r="284" spans="1:21" x14ac:dyDescent="0.2">
      <c r="A284">
        <v>546960</v>
      </c>
      <c r="B284" t="s">
        <v>415</v>
      </c>
      <c r="C284">
        <v>-6</v>
      </c>
      <c r="D284">
        <v>1</v>
      </c>
      <c r="E284">
        <v>-2</v>
      </c>
      <c r="F284">
        <v>-5</v>
      </c>
      <c r="G284">
        <v>1</v>
      </c>
      <c r="H284">
        <v>7</v>
      </c>
      <c r="I284">
        <v>14</v>
      </c>
      <c r="J284">
        <v>2.7</v>
      </c>
      <c r="K284">
        <v>0.4</v>
      </c>
      <c r="L284">
        <v>1.4</v>
      </c>
      <c r="M284">
        <v>9.4</v>
      </c>
      <c r="N284">
        <v>0.3</v>
      </c>
      <c r="O284" t="s">
        <v>641</v>
      </c>
      <c r="P284" s="368" t="s">
        <v>675</v>
      </c>
      <c r="Q284" t="s">
        <v>154</v>
      </c>
      <c r="R284" t="s">
        <v>1025</v>
      </c>
      <c r="S284" t="s">
        <v>155</v>
      </c>
      <c r="T284" t="s">
        <v>189</v>
      </c>
      <c r="U284"/>
    </row>
    <row r="285" spans="1:21" x14ac:dyDescent="0.2">
      <c r="A285">
        <v>416867</v>
      </c>
      <c r="B285" t="s">
        <v>354</v>
      </c>
      <c r="C285">
        <v>-9</v>
      </c>
      <c r="D285">
        <v>7</v>
      </c>
      <c r="E285">
        <v>1</v>
      </c>
      <c r="F285">
        <v>-4</v>
      </c>
      <c r="G285">
        <v>4</v>
      </c>
      <c r="H285">
        <v>21</v>
      </c>
      <c r="I285">
        <v>62</v>
      </c>
      <c r="J285">
        <v>10.199999999999999</v>
      </c>
      <c r="K285">
        <v>0.41</v>
      </c>
      <c r="L285">
        <v>1.54</v>
      </c>
      <c r="M285">
        <v>18.899999999999999</v>
      </c>
      <c r="N285">
        <v>0.5</v>
      </c>
      <c r="O285" t="s">
        <v>641</v>
      </c>
      <c r="P285" s="368" t="s">
        <v>916</v>
      </c>
      <c r="Q285" t="s">
        <v>154</v>
      </c>
      <c r="R285" t="s">
        <v>917</v>
      </c>
      <c r="S285" t="s">
        <v>158</v>
      </c>
      <c r="T285" t="s">
        <v>156</v>
      </c>
      <c r="U285"/>
    </row>
    <row r="286" spans="1:21" x14ac:dyDescent="0.2">
      <c r="A286">
        <v>694539</v>
      </c>
      <c r="B286" t="s">
        <v>477</v>
      </c>
      <c r="C286">
        <v>-6</v>
      </c>
      <c r="D286">
        <v>7</v>
      </c>
      <c r="E286">
        <v>2</v>
      </c>
      <c r="F286">
        <v>-2</v>
      </c>
      <c r="G286">
        <v>7</v>
      </c>
      <c r="H286">
        <v>23</v>
      </c>
      <c r="I286">
        <v>63</v>
      </c>
      <c r="J286">
        <v>10.199999999999999</v>
      </c>
      <c r="K286">
        <v>0.41</v>
      </c>
      <c r="L286">
        <v>1.55</v>
      </c>
      <c r="M286">
        <v>18</v>
      </c>
      <c r="N286">
        <v>0.5</v>
      </c>
      <c r="O286" t="s">
        <v>641</v>
      </c>
      <c r="P286" s="368" t="s">
        <v>1134</v>
      </c>
      <c r="Q286" t="s">
        <v>154</v>
      </c>
      <c r="R286" t="s">
        <v>1135</v>
      </c>
      <c r="S286" t="s">
        <v>158</v>
      </c>
      <c r="T286" t="s">
        <v>156</v>
      </c>
      <c r="U286"/>
    </row>
    <row r="287" spans="1:21" x14ac:dyDescent="0.2">
      <c r="A287">
        <v>271478</v>
      </c>
      <c r="B287" t="s">
        <v>280</v>
      </c>
      <c r="C287">
        <v>-6</v>
      </c>
      <c r="D287">
        <v>2</v>
      </c>
      <c r="E287">
        <v>-2</v>
      </c>
      <c r="F287">
        <v>-5</v>
      </c>
      <c r="G287">
        <v>7</v>
      </c>
      <c r="H287">
        <v>23</v>
      </c>
      <c r="I287"/>
      <c r="J287"/>
      <c r="K287">
        <v>0.41</v>
      </c>
      <c r="L287">
        <v>1.95</v>
      </c>
      <c r="M287">
        <v>14.4</v>
      </c>
      <c r="N287">
        <v>0.6</v>
      </c>
      <c r="O287" t="s">
        <v>641</v>
      </c>
      <c r="P287" s="368" t="s">
        <v>781</v>
      </c>
      <c r="Q287" t="s">
        <v>154</v>
      </c>
      <c r="R287" t="s">
        <v>782</v>
      </c>
      <c r="S287" t="s">
        <v>281</v>
      </c>
      <c r="T287" t="s">
        <v>182</v>
      </c>
      <c r="U287"/>
    </row>
    <row r="288" spans="1:21" x14ac:dyDescent="0.2">
      <c r="A288">
        <v>277491</v>
      </c>
      <c r="B288" t="s">
        <v>1454</v>
      </c>
      <c r="C288">
        <v>-5</v>
      </c>
      <c r="D288">
        <v>0</v>
      </c>
      <c r="E288">
        <v>-8</v>
      </c>
      <c r="F288"/>
      <c r="G288"/>
      <c r="H288">
        <v>14</v>
      </c>
      <c r="I288">
        <v>31</v>
      </c>
      <c r="J288">
        <v>5.6</v>
      </c>
      <c r="K288">
        <v>0.42</v>
      </c>
      <c r="L288">
        <v>1.43</v>
      </c>
      <c r="M288">
        <v>10.8</v>
      </c>
      <c r="N288">
        <v>0.5</v>
      </c>
      <c r="O288" t="s">
        <v>692</v>
      </c>
      <c r="P288" s="368" t="s">
        <v>1488</v>
      </c>
      <c r="Q288" t="s">
        <v>46</v>
      </c>
      <c r="R288" t="s">
        <v>1489</v>
      </c>
      <c r="S288" t="s">
        <v>202</v>
      </c>
      <c r="T288" t="s">
        <v>270</v>
      </c>
      <c r="U288"/>
    </row>
    <row r="289" spans="1:21" x14ac:dyDescent="0.2">
      <c r="A289">
        <v>717900</v>
      </c>
      <c r="B289" t="s">
        <v>483</v>
      </c>
      <c r="C289">
        <v>-4</v>
      </c>
      <c r="D289">
        <v>1</v>
      </c>
      <c r="E289">
        <v>-4</v>
      </c>
      <c r="F289">
        <v>-4</v>
      </c>
      <c r="G289">
        <v>-2</v>
      </c>
      <c r="H289">
        <v>10</v>
      </c>
      <c r="I289">
        <v>24</v>
      </c>
      <c r="J289">
        <v>4.4000000000000004</v>
      </c>
      <c r="K289">
        <v>0.42</v>
      </c>
      <c r="L289">
        <v>1.42</v>
      </c>
      <c r="M289">
        <v>8.5</v>
      </c>
      <c r="N289">
        <v>0.4</v>
      </c>
      <c r="O289" t="s">
        <v>655</v>
      </c>
      <c r="P289" s="368" t="s">
        <v>898</v>
      </c>
      <c r="Q289" t="s">
        <v>46</v>
      </c>
      <c r="R289" t="s">
        <v>1145</v>
      </c>
      <c r="S289" t="s">
        <v>269</v>
      </c>
      <c r="T289" t="s">
        <v>199</v>
      </c>
      <c r="U289"/>
    </row>
    <row r="290" spans="1:21" x14ac:dyDescent="0.2">
      <c r="A290">
        <v>606103</v>
      </c>
      <c r="B290" t="s">
        <v>438</v>
      </c>
      <c r="C290">
        <v>-6</v>
      </c>
      <c r="D290">
        <v>3</v>
      </c>
      <c r="E290">
        <v>-5</v>
      </c>
      <c r="F290">
        <v>-6</v>
      </c>
      <c r="G290">
        <v>-4</v>
      </c>
      <c r="H290">
        <v>-7</v>
      </c>
      <c r="I290">
        <v>-1</v>
      </c>
      <c r="J290">
        <v>-0.2</v>
      </c>
      <c r="K290">
        <v>0.42</v>
      </c>
      <c r="L290">
        <v>1.18</v>
      </c>
      <c r="M290">
        <v>8</v>
      </c>
      <c r="N290">
        <v>-0.2</v>
      </c>
      <c r="O290" t="s">
        <v>641</v>
      </c>
      <c r="P290" s="368" t="s">
        <v>1063</v>
      </c>
      <c r="Q290" t="s">
        <v>46</v>
      </c>
      <c r="R290" t="s">
        <v>1064</v>
      </c>
      <c r="S290" t="s">
        <v>439</v>
      </c>
      <c r="T290" t="s">
        <v>270</v>
      </c>
      <c r="U290"/>
    </row>
    <row r="291" spans="1:21" x14ac:dyDescent="0.2">
      <c r="A291">
        <v>129924</v>
      </c>
      <c r="B291" t="s">
        <v>1370</v>
      </c>
      <c r="C291">
        <v>-8</v>
      </c>
      <c r="D291">
        <v>4</v>
      </c>
      <c r="E291">
        <v>-8</v>
      </c>
      <c r="F291">
        <v>-8</v>
      </c>
      <c r="G291"/>
      <c r="H291">
        <v>-2</v>
      </c>
      <c r="I291">
        <v>-5</v>
      </c>
      <c r="J291">
        <v>-1.1000000000000001</v>
      </c>
      <c r="K291">
        <v>0.42</v>
      </c>
      <c r="L291">
        <v>1.1399999999999999</v>
      </c>
      <c r="M291">
        <v>10.7</v>
      </c>
      <c r="N291">
        <v>0</v>
      </c>
      <c r="O291" t="s">
        <v>641</v>
      </c>
      <c r="P291" s="368" t="s">
        <v>1394</v>
      </c>
      <c r="Q291" t="s">
        <v>46</v>
      </c>
      <c r="R291" t="s">
        <v>1396</v>
      </c>
      <c r="S291" t="s">
        <v>439</v>
      </c>
      <c r="T291" t="s">
        <v>166</v>
      </c>
      <c r="U291"/>
    </row>
    <row r="292" spans="1:21" x14ac:dyDescent="0.2">
      <c r="A292">
        <v>460899</v>
      </c>
      <c r="B292" t="s">
        <v>1539</v>
      </c>
      <c r="C292"/>
      <c r="D292">
        <v>0</v>
      </c>
      <c r="E292">
        <v>-4</v>
      </c>
      <c r="F292"/>
      <c r="G292"/>
      <c r="H292">
        <v>-9</v>
      </c>
      <c r="I292">
        <v>-11</v>
      </c>
      <c r="J292">
        <v>-2.4</v>
      </c>
      <c r="K292">
        <v>0.42</v>
      </c>
      <c r="L292">
        <v>1.41</v>
      </c>
      <c r="M292">
        <v>6.3</v>
      </c>
      <c r="N292">
        <v>-0.5</v>
      </c>
      <c r="O292" t="s">
        <v>641</v>
      </c>
      <c r="P292" s="368" t="s">
        <v>1537</v>
      </c>
      <c r="Q292" t="s">
        <v>46</v>
      </c>
      <c r="R292" t="s">
        <v>1540</v>
      </c>
      <c r="S292" t="s">
        <v>220</v>
      </c>
      <c r="T292" t="s">
        <v>270</v>
      </c>
      <c r="U292"/>
    </row>
    <row r="293" spans="1:21" x14ac:dyDescent="0.2">
      <c r="A293">
        <v>259903</v>
      </c>
      <c r="B293" t="s">
        <v>610</v>
      </c>
      <c r="C293">
        <v>-18</v>
      </c>
      <c r="D293">
        <v>2</v>
      </c>
      <c r="E293">
        <v>-9</v>
      </c>
      <c r="F293">
        <v>-13</v>
      </c>
      <c r="G293">
        <v>1</v>
      </c>
      <c r="H293">
        <v>42</v>
      </c>
      <c r="I293">
        <v>84</v>
      </c>
      <c r="J293">
        <v>12.9</v>
      </c>
      <c r="K293">
        <v>0.43</v>
      </c>
      <c r="L293">
        <v>2.0699999999999998</v>
      </c>
      <c r="M293">
        <v>20.100000000000001</v>
      </c>
      <c r="N293">
        <v>0.7</v>
      </c>
      <c r="O293" t="s">
        <v>655</v>
      </c>
      <c r="P293" s="368" t="s">
        <v>770</v>
      </c>
      <c r="Q293" t="s">
        <v>46</v>
      </c>
      <c r="R293" t="s">
        <v>771</v>
      </c>
      <c r="S293" t="s">
        <v>184</v>
      </c>
      <c r="T293" t="s">
        <v>267</v>
      </c>
      <c r="U293"/>
    </row>
    <row r="294" spans="1:21" x14ac:dyDescent="0.2">
      <c r="A294">
        <v>861104</v>
      </c>
      <c r="B294" t="s">
        <v>533</v>
      </c>
      <c r="C294">
        <v>-8</v>
      </c>
      <c r="D294">
        <v>6</v>
      </c>
      <c r="E294">
        <v>-1</v>
      </c>
      <c r="F294">
        <v>-5</v>
      </c>
      <c r="G294">
        <v>4</v>
      </c>
      <c r="H294">
        <v>11</v>
      </c>
      <c r="I294">
        <v>33</v>
      </c>
      <c r="J294">
        <v>5.8</v>
      </c>
      <c r="K294">
        <v>0.43</v>
      </c>
      <c r="L294">
        <v>1.65</v>
      </c>
      <c r="M294">
        <v>14.7</v>
      </c>
      <c r="N294">
        <v>0.3</v>
      </c>
      <c r="O294" t="s">
        <v>641</v>
      </c>
      <c r="P294" s="368" t="s">
        <v>677</v>
      </c>
      <c r="Q294" t="s">
        <v>154</v>
      </c>
      <c r="R294" t="s">
        <v>1238</v>
      </c>
      <c r="S294" t="s">
        <v>383</v>
      </c>
      <c r="T294" t="s">
        <v>177</v>
      </c>
      <c r="U294"/>
    </row>
    <row r="295" spans="1:21" x14ac:dyDescent="0.2">
      <c r="A295">
        <v>878520</v>
      </c>
      <c r="B295" t="s">
        <v>540</v>
      </c>
      <c r="C295">
        <v>-7</v>
      </c>
      <c r="D295">
        <v>4</v>
      </c>
      <c r="E295">
        <v>-2</v>
      </c>
      <c r="F295">
        <v>-5</v>
      </c>
      <c r="G295">
        <v>2</v>
      </c>
      <c r="H295">
        <v>7</v>
      </c>
      <c r="I295">
        <v>20</v>
      </c>
      <c r="J295">
        <v>3.8</v>
      </c>
      <c r="K295">
        <v>0.43</v>
      </c>
      <c r="L295">
        <v>1.63</v>
      </c>
      <c r="M295">
        <v>11</v>
      </c>
      <c r="N295">
        <v>0.3</v>
      </c>
      <c r="O295" t="s">
        <v>641</v>
      </c>
      <c r="P295" s="368" t="s">
        <v>1499</v>
      </c>
      <c r="Q295" t="s">
        <v>154</v>
      </c>
      <c r="R295" t="s">
        <v>1252</v>
      </c>
      <c r="S295" t="s">
        <v>383</v>
      </c>
      <c r="T295" t="s">
        <v>177</v>
      </c>
      <c r="U295"/>
    </row>
    <row r="296" spans="1:21" x14ac:dyDescent="0.2">
      <c r="A296">
        <v>838383</v>
      </c>
      <c r="B296" t="s">
        <v>523</v>
      </c>
      <c r="C296">
        <v>-13</v>
      </c>
      <c r="D296">
        <v>-4</v>
      </c>
      <c r="E296">
        <v>-11</v>
      </c>
      <c r="F296">
        <v>-10</v>
      </c>
      <c r="G296">
        <v>-5</v>
      </c>
      <c r="H296">
        <v>5</v>
      </c>
      <c r="I296">
        <v>15</v>
      </c>
      <c r="J296">
        <v>2.9</v>
      </c>
      <c r="K296">
        <v>0.43</v>
      </c>
      <c r="L296">
        <v>1.99</v>
      </c>
      <c r="M296">
        <v>13.7</v>
      </c>
      <c r="N296">
        <v>0.2</v>
      </c>
      <c r="O296" t="s">
        <v>641</v>
      </c>
      <c r="P296" s="368" t="s">
        <v>1214</v>
      </c>
      <c r="Q296" t="s">
        <v>154</v>
      </c>
      <c r="R296" t="s">
        <v>1215</v>
      </c>
      <c r="S296" t="s">
        <v>244</v>
      </c>
      <c r="T296" t="s">
        <v>263</v>
      </c>
      <c r="U296"/>
    </row>
    <row r="297" spans="1:21" x14ac:dyDescent="0.2">
      <c r="A297">
        <v>857037</v>
      </c>
      <c r="B297" t="s">
        <v>1343</v>
      </c>
      <c r="C297">
        <v>-4</v>
      </c>
      <c r="D297">
        <v>-1</v>
      </c>
      <c r="E297">
        <v>-2</v>
      </c>
      <c r="F297">
        <v>-4</v>
      </c>
      <c r="G297">
        <v>-3</v>
      </c>
      <c r="H297">
        <v>1</v>
      </c>
      <c r="I297">
        <v>6</v>
      </c>
      <c r="J297">
        <v>1.2</v>
      </c>
      <c r="K297">
        <v>0.44</v>
      </c>
      <c r="L297">
        <v>0.97</v>
      </c>
      <c r="M297">
        <v>6.2</v>
      </c>
      <c r="N297">
        <v>0.1</v>
      </c>
      <c r="O297" t="s">
        <v>655</v>
      </c>
      <c r="P297" s="368" t="s">
        <v>1236</v>
      </c>
      <c r="Q297" t="s">
        <v>46</v>
      </c>
      <c r="R297" t="s">
        <v>1237</v>
      </c>
      <c r="S297" t="s">
        <v>1331</v>
      </c>
      <c r="T297" t="s">
        <v>177</v>
      </c>
      <c r="U297"/>
    </row>
    <row r="298" spans="1:21" x14ac:dyDescent="0.2">
      <c r="A298">
        <v>771030</v>
      </c>
      <c r="B298" t="s">
        <v>635</v>
      </c>
      <c r="C298">
        <v>12</v>
      </c>
      <c r="D298">
        <v>2</v>
      </c>
      <c r="E298">
        <v>14</v>
      </c>
      <c r="F298">
        <v>14</v>
      </c>
      <c r="G298">
        <v>31</v>
      </c>
      <c r="H298">
        <v>74</v>
      </c>
      <c r="I298">
        <v>138</v>
      </c>
      <c r="J298">
        <v>18.899999999999999</v>
      </c>
      <c r="K298">
        <v>0.46</v>
      </c>
      <c r="L298">
        <v>1.62</v>
      </c>
      <c r="M298">
        <v>17.8</v>
      </c>
      <c r="N298">
        <v>1.1000000000000001</v>
      </c>
      <c r="O298" t="s">
        <v>641</v>
      </c>
      <c r="P298" s="368" t="s">
        <v>675</v>
      </c>
      <c r="Q298" t="s">
        <v>154</v>
      </c>
      <c r="R298" t="s">
        <v>1182</v>
      </c>
      <c r="S298" t="s">
        <v>383</v>
      </c>
      <c r="T298" t="s">
        <v>162</v>
      </c>
      <c r="U298"/>
    </row>
    <row r="299" spans="1:21" x14ac:dyDescent="0.2">
      <c r="A299">
        <v>450981</v>
      </c>
      <c r="B299" t="s">
        <v>373</v>
      </c>
      <c r="C299">
        <v>-4</v>
      </c>
      <c r="D299">
        <v>10</v>
      </c>
      <c r="E299">
        <v>5</v>
      </c>
      <c r="F299">
        <v>2</v>
      </c>
      <c r="G299">
        <v>16</v>
      </c>
      <c r="H299">
        <v>27</v>
      </c>
      <c r="I299">
        <v>83</v>
      </c>
      <c r="J299">
        <v>12.8</v>
      </c>
      <c r="K299">
        <v>0.46</v>
      </c>
      <c r="L299">
        <v>1.2</v>
      </c>
      <c r="M299">
        <v>20</v>
      </c>
      <c r="N299">
        <v>0.5</v>
      </c>
      <c r="O299" t="s">
        <v>646</v>
      </c>
      <c r="P299" s="368" t="s">
        <v>839</v>
      </c>
      <c r="Q299" t="s">
        <v>46</v>
      </c>
      <c r="R299" t="s">
        <v>945</v>
      </c>
      <c r="S299" t="s">
        <v>790</v>
      </c>
      <c r="T299" t="s">
        <v>209</v>
      </c>
      <c r="U299"/>
    </row>
    <row r="300" spans="1:21" x14ac:dyDescent="0.2">
      <c r="A300">
        <v>842690</v>
      </c>
      <c r="B300" t="s">
        <v>527</v>
      </c>
      <c r="C300">
        <v>-12</v>
      </c>
      <c r="D300">
        <v>9</v>
      </c>
      <c r="E300">
        <v>-1</v>
      </c>
      <c r="F300">
        <v>-7</v>
      </c>
      <c r="G300">
        <v>5</v>
      </c>
      <c r="H300">
        <v>22</v>
      </c>
      <c r="I300">
        <v>66</v>
      </c>
      <c r="J300">
        <v>10.7</v>
      </c>
      <c r="K300">
        <v>0.46</v>
      </c>
      <c r="L300">
        <v>1.63</v>
      </c>
      <c r="M300">
        <v>20.2</v>
      </c>
      <c r="N300">
        <v>0.4</v>
      </c>
      <c r="O300" t="s">
        <v>641</v>
      </c>
      <c r="P300" s="368" t="s">
        <v>1221</v>
      </c>
      <c r="Q300" t="s">
        <v>154</v>
      </c>
      <c r="R300" t="s">
        <v>1222</v>
      </c>
      <c r="S300" t="s">
        <v>383</v>
      </c>
      <c r="T300" t="s">
        <v>156</v>
      </c>
      <c r="U300"/>
    </row>
    <row r="301" spans="1:21" x14ac:dyDescent="0.2">
      <c r="A301">
        <v>302760</v>
      </c>
      <c r="B301" t="s">
        <v>1455</v>
      </c>
      <c r="C301">
        <v>0</v>
      </c>
      <c r="D301">
        <v>-1</v>
      </c>
      <c r="E301">
        <v>1</v>
      </c>
      <c r="F301">
        <v>-1</v>
      </c>
      <c r="G301">
        <v>7</v>
      </c>
      <c r="H301">
        <v>21</v>
      </c>
      <c r="I301">
        <v>29</v>
      </c>
      <c r="J301">
        <v>5.3</v>
      </c>
      <c r="K301">
        <v>0.46</v>
      </c>
      <c r="L301">
        <v>1.77</v>
      </c>
      <c r="M301">
        <v>10.1</v>
      </c>
      <c r="N301">
        <v>0.7</v>
      </c>
      <c r="O301" t="s">
        <v>692</v>
      </c>
      <c r="P301" s="368" t="s">
        <v>693</v>
      </c>
      <c r="Q301" t="s">
        <v>46</v>
      </c>
      <c r="R301" t="s">
        <v>814</v>
      </c>
      <c r="S301" t="s">
        <v>1322</v>
      </c>
      <c r="T301" t="s">
        <v>177</v>
      </c>
      <c r="U301"/>
    </row>
    <row r="302" spans="1:21" x14ac:dyDescent="0.2">
      <c r="A302">
        <v>806869</v>
      </c>
      <c r="B302" t="s">
        <v>511</v>
      </c>
      <c r="C302">
        <v>-8</v>
      </c>
      <c r="D302">
        <v>5</v>
      </c>
      <c r="E302">
        <v>0</v>
      </c>
      <c r="F302">
        <v>-5</v>
      </c>
      <c r="G302">
        <v>7</v>
      </c>
      <c r="H302">
        <v>7</v>
      </c>
      <c r="I302">
        <v>24</v>
      </c>
      <c r="J302">
        <v>4.5</v>
      </c>
      <c r="K302">
        <v>0.46</v>
      </c>
      <c r="L302">
        <v>1.64</v>
      </c>
      <c r="M302">
        <v>19</v>
      </c>
      <c r="N302">
        <v>0.2</v>
      </c>
      <c r="O302" t="s">
        <v>641</v>
      </c>
      <c r="P302" s="368" t="s">
        <v>959</v>
      </c>
      <c r="Q302" t="s">
        <v>154</v>
      </c>
      <c r="R302" t="s">
        <v>1198</v>
      </c>
      <c r="S302" t="s">
        <v>383</v>
      </c>
      <c r="T302" t="s">
        <v>209</v>
      </c>
      <c r="U302"/>
    </row>
    <row r="303" spans="1:21" x14ac:dyDescent="0.2">
      <c r="A303">
        <v>989491</v>
      </c>
      <c r="B303" t="s">
        <v>640</v>
      </c>
      <c r="C303">
        <v>-8</v>
      </c>
      <c r="D303">
        <v>0</v>
      </c>
      <c r="E303">
        <v>-2</v>
      </c>
      <c r="F303">
        <v>-7</v>
      </c>
      <c r="G303">
        <v>3</v>
      </c>
      <c r="H303">
        <v>19</v>
      </c>
      <c r="I303">
        <v>23</v>
      </c>
      <c r="J303">
        <v>4.2</v>
      </c>
      <c r="K303">
        <v>0.46</v>
      </c>
      <c r="L303">
        <v>1.81</v>
      </c>
      <c r="M303">
        <v>14.4</v>
      </c>
      <c r="N303">
        <v>0.5</v>
      </c>
      <c r="O303" t="s">
        <v>655</v>
      </c>
      <c r="P303" s="368" t="s">
        <v>1315</v>
      </c>
      <c r="Q303" t="s">
        <v>46</v>
      </c>
      <c r="R303" t="s">
        <v>1316</v>
      </c>
      <c r="S303" t="s">
        <v>188</v>
      </c>
      <c r="T303" t="s">
        <v>162</v>
      </c>
      <c r="U303"/>
    </row>
    <row r="304" spans="1:21" x14ac:dyDescent="0.2">
      <c r="A304">
        <v>959502</v>
      </c>
      <c r="B304" t="s">
        <v>639</v>
      </c>
      <c r="C304">
        <v>-6</v>
      </c>
      <c r="D304">
        <v>0</v>
      </c>
      <c r="E304">
        <v>-1</v>
      </c>
      <c r="F304">
        <v>-5</v>
      </c>
      <c r="G304">
        <v>2</v>
      </c>
      <c r="H304">
        <v>3</v>
      </c>
      <c r="I304">
        <v>-2</v>
      </c>
      <c r="J304">
        <v>-0.4</v>
      </c>
      <c r="K304">
        <v>0.46</v>
      </c>
      <c r="L304">
        <v>1.79</v>
      </c>
      <c r="M304">
        <v>10</v>
      </c>
      <c r="N304">
        <v>0.2</v>
      </c>
      <c r="O304" t="s">
        <v>641</v>
      </c>
      <c r="P304" s="368" t="s">
        <v>1294</v>
      </c>
      <c r="Q304" t="s">
        <v>154</v>
      </c>
      <c r="R304" t="s">
        <v>1295</v>
      </c>
      <c r="S304" t="s">
        <v>289</v>
      </c>
      <c r="T304" t="s">
        <v>177</v>
      </c>
      <c r="U304"/>
    </row>
    <row r="305" spans="1:21" x14ac:dyDescent="0.2">
      <c r="A305">
        <v>146928</v>
      </c>
      <c r="B305" t="s">
        <v>1451</v>
      </c>
      <c r="C305"/>
      <c r="D305">
        <v>8</v>
      </c>
      <c r="E305">
        <v>3</v>
      </c>
      <c r="F305"/>
      <c r="G305"/>
      <c r="H305"/>
      <c r="I305"/>
      <c r="J305"/>
      <c r="K305">
        <v>0.46</v>
      </c>
      <c r="L305">
        <v>1.64</v>
      </c>
      <c r="M305"/>
      <c r="N305"/>
      <c r="O305" t="s">
        <v>641</v>
      </c>
      <c r="P305" s="368" t="s">
        <v>1485</v>
      </c>
      <c r="Q305" t="s">
        <v>154</v>
      </c>
      <c r="R305" t="s">
        <v>1486</v>
      </c>
      <c r="S305" t="s">
        <v>383</v>
      </c>
      <c r="T305" t="s">
        <v>209</v>
      </c>
      <c r="U305"/>
    </row>
    <row r="306" spans="1:21" x14ac:dyDescent="0.2">
      <c r="A306">
        <v>249995</v>
      </c>
      <c r="B306" t="s">
        <v>266</v>
      </c>
      <c r="C306">
        <v>-17</v>
      </c>
      <c r="D306">
        <v>-1</v>
      </c>
      <c r="E306">
        <v>-5</v>
      </c>
      <c r="F306">
        <v>-13</v>
      </c>
      <c r="G306">
        <v>-3</v>
      </c>
      <c r="H306">
        <v>25</v>
      </c>
      <c r="I306">
        <v>46</v>
      </c>
      <c r="J306">
        <v>7.8</v>
      </c>
      <c r="K306">
        <v>0.47</v>
      </c>
      <c r="L306">
        <v>2.52</v>
      </c>
      <c r="M306">
        <v>19.7</v>
      </c>
      <c r="N306">
        <v>0.5</v>
      </c>
      <c r="O306" t="s">
        <v>641</v>
      </c>
      <c r="P306" s="368" t="s">
        <v>785</v>
      </c>
      <c r="Q306" t="s">
        <v>154</v>
      </c>
      <c r="R306" t="s">
        <v>762</v>
      </c>
      <c r="S306" t="s">
        <v>244</v>
      </c>
      <c r="T306" t="s">
        <v>267</v>
      </c>
      <c r="U306"/>
    </row>
    <row r="307" spans="1:21" x14ac:dyDescent="0.2">
      <c r="A307">
        <v>505586</v>
      </c>
      <c r="B307" t="s">
        <v>398</v>
      </c>
      <c r="C307">
        <v>-20</v>
      </c>
      <c r="D307">
        <v>-7</v>
      </c>
      <c r="E307">
        <v>-18</v>
      </c>
      <c r="F307">
        <v>-20</v>
      </c>
      <c r="G307">
        <v>-19</v>
      </c>
      <c r="H307">
        <v>-5</v>
      </c>
      <c r="I307">
        <v>9</v>
      </c>
      <c r="J307">
        <v>1.8</v>
      </c>
      <c r="K307">
        <v>0.47</v>
      </c>
      <c r="L307">
        <v>2.2799999999999998</v>
      </c>
      <c r="M307">
        <v>20.8</v>
      </c>
      <c r="N307">
        <v>0</v>
      </c>
      <c r="O307" t="s">
        <v>641</v>
      </c>
      <c r="P307" s="368" t="s">
        <v>991</v>
      </c>
      <c r="Q307" t="s">
        <v>154</v>
      </c>
      <c r="R307" t="s">
        <v>992</v>
      </c>
      <c r="S307" t="s">
        <v>244</v>
      </c>
      <c r="T307" t="s">
        <v>221</v>
      </c>
      <c r="U307"/>
    </row>
    <row r="308" spans="1:21" x14ac:dyDescent="0.2">
      <c r="A308">
        <v>829945</v>
      </c>
      <c r="B308" t="s">
        <v>520</v>
      </c>
      <c r="C308">
        <v>-6</v>
      </c>
      <c r="D308">
        <v>2</v>
      </c>
      <c r="E308">
        <v>-2</v>
      </c>
      <c r="F308">
        <v>-4</v>
      </c>
      <c r="G308">
        <v>2</v>
      </c>
      <c r="H308">
        <v>4</v>
      </c>
      <c r="I308">
        <v>11</v>
      </c>
      <c r="J308">
        <v>2.1</v>
      </c>
      <c r="K308">
        <v>0.48</v>
      </c>
      <c r="L308">
        <v>1.27</v>
      </c>
      <c r="M308">
        <v>9.3000000000000007</v>
      </c>
      <c r="N308">
        <v>0.2</v>
      </c>
      <c r="O308" t="s">
        <v>641</v>
      </c>
      <c r="P308" s="368" t="s">
        <v>785</v>
      </c>
      <c r="Q308" t="s">
        <v>46</v>
      </c>
      <c r="R308" t="s">
        <v>1209</v>
      </c>
      <c r="S308" t="s">
        <v>1352</v>
      </c>
      <c r="T308" t="s">
        <v>189</v>
      </c>
      <c r="U308"/>
    </row>
    <row r="309" spans="1:21" x14ac:dyDescent="0.2">
      <c r="A309">
        <v>946285</v>
      </c>
      <c r="B309" t="s">
        <v>559</v>
      </c>
      <c r="C309">
        <v>-12</v>
      </c>
      <c r="D309">
        <v>1</v>
      </c>
      <c r="E309">
        <v>-8</v>
      </c>
      <c r="F309">
        <v>-11</v>
      </c>
      <c r="G309">
        <v>0</v>
      </c>
      <c r="H309">
        <v>8</v>
      </c>
      <c r="I309">
        <v>10</v>
      </c>
      <c r="J309">
        <v>1.9</v>
      </c>
      <c r="K309">
        <v>0.48</v>
      </c>
      <c r="L309">
        <v>1.67</v>
      </c>
      <c r="M309">
        <v>13.8</v>
      </c>
      <c r="N309">
        <v>0.3</v>
      </c>
      <c r="O309" t="s">
        <v>641</v>
      </c>
      <c r="P309" s="368" t="s">
        <v>1289</v>
      </c>
      <c r="Q309" t="s">
        <v>46</v>
      </c>
      <c r="R309" t="s">
        <v>1290</v>
      </c>
      <c r="S309" t="s">
        <v>560</v>
      </c>
      <c r="T309" t="s">
        <v>177</v>
      </c>
      <c r="U309"/>
    </row>
    <row r="310" spans="1:21" x14ac:dyDescent="0.2">
      <c r="A310">
        <v>982116</v>
      </c>
      <c r="B310" t="s">
        <v>570</v>
      </c>
      <c r="C310">
        <v>-10</v>
      </c>
      <c r="D310">
        <v>0</v>
      </c>
      <c r="E310">
        <v>-6</v>
      </c>
      <c r="F310">
        <v>-9</v>
      </c>
      <c r="G310">
        <v>-1</v>
      </c>
      <c r="H310">
        <v>6</v>
      </c>
      <c r="I310">
        <v>7</v>
      </c>
      <c r="J310">
        <v>1.4</v>
      </c>
      <c r="K310">
        <v>0.48</v>
      </c>
      <c r="L310">
        <v>1.65</v>
      </c>
      <c r="M310">
        <v>11</v>
      </c>
      <c r="N310">
        <v>0.2</v>
      </c>
      <c r="O310" t="s">
        <v>641</v>
      </c>
      <c r="P310" s="368" t="s">
        <v>1289</v>
      </c>
      <c r="Q310" t="s">
        <v>46</v>
      </c>
      <c r="R310" t="s">
        <v>1309</v>
      </c>
      <c r="S310" t="s">
        <v>560</v>
      </c>
      <c r="T310" t="s">
        <v>177</v>
      </c>
      <c r="U310"/>
    </row>
    <row r="311" spans="1:21" x14ac:dyDescent="0.2">
      <c r="A311">
        <v>182759</v>
      </c>
      <c r="B311" t="s">
        <v>1453</v>
      </c>
      <c r="C311"/>
      <c r="D311">
        <v>1</v>
      </c>
      <c r="E311">
        <v>-11</v>
      </c>
      <c r="F311"/>
      <c r="G311"/>
      <c r="H311">
        <v>-9</v>
      </c>
      <c r="I311"/>
      <c r="J311"/>
      <c r="K311">
        <v>0.48</v>
      </c>
      <c r="L311">
        <v>1.71</v>
      </c>
      <c r="M311">
        <v>20.3</v>
      </c>
      <c r="N311">
        <v>0</v>
      </c>
      <c r="O311" t="s">
        <v>641</v>
      </c>
      <c r="P311" s="368" t="s">
        <v>1485</v>
      </c>
      <c r="Q311" t="s">
        <v>154</v>
      </c>
      <c r="R311" t="s">
        <v>1487</v>
      </c>
      <c r="S311" t="s">
        <v>383</v>
      </c>
      <c r="T311" t="s">
        <v>175</v>
      </c>
      <c r="U311"/>
    </row>
    <row r="312" spans="1:21" x14ac:dyDescent="0.2">
      <c r="A312">
        <v>447086</v>
      </c>
      <c r="B312" t="s">
        <v>370</v>
      </c>
      <c r="C312">
        <v>-2</v>
      </c>
      <c r="D312">
        <v>2</v>
      </c>
      <c r="E312">
        <v>-2</v>
      </c>
      <c r="F312">
        <v>-1</v>
      </c>
      <c r="G312">
        <v>3</v>
      </c>
      <c r="H312">
        <v>7</v>
      </c>
      <c r="I312">
        <v>11</v>
      </c>
      <c r="J312">
        <v>2.1</v>
      </c>
      <c r="K312">
        <v>0.49</v>
      </c>
      <c r="L312">
        <v>1.33</v>
      </c>
      <c r="M312">
        <v>7.5</v>
      </c>
      <c r="N312">
        <v>0.4</v>
      </c>
      <c r="O312" t="s">
        <v>641</v>
      </c>
      <c r="P312" s="368" t="s">
        <v>942</v>
      </c>
      <c r="Q312" t="s">
        <v>154</v>
      </c>
      <c r="R312" t="s">
        <v>943</v>
      </c>
      <c r="S312" t="s">
        <v>371</v>
      </c>
      <c r="T312" t="s">
        <v>350</v>
      </c>
      <c r="U312"/>
    </row>
    <row r="313" spans="1:21" x14ac:dyDescent="0.2">
      <c r="A313">
        <v>759100</v>
      </c>
      <c r="B313" t="s">
        <v>501</v>
      </c>
      <c r="C313">
        <v>3</v>
      </c>
      <c r="D313">
        <v>6</v>
      </c>
      <c r="E313">
        <v>5</v>
      </c>
      <c r="F313">
        <v>5</v>
      </c>
      <c r="G313">
        <v>22</v>
      </c>
      <c r="H313">
        <v>33</v>
      </c>
      <c r="I313">
        <v>50</v>
      </c>
      <c r="J313">
        <v>8.5</v>
      </c>
      <c r="K313">
        <v>0.5</v>
      </c>
      <c r="L313">
        <v>1.41</v>
      </c>
      <c r="M313">
        <v>13</v>
      </c>
      <c r="N313">
        <v>0.8</v>
      </c>
      <c r="O313" t="s">
        <v>646</v>
      </c>
      <c r="P313" s="368" t="s">
        <v>1126</v>
      </c>
      <c r="Q313" t="s">
        <v>46</v>
      </c>
      <c r="R313" t="s">
        <v>1176</v>
      </c>
      <c r="S313" t="s">
        <v>179</v>
      </c>
      <c r="T313" t="s">
        <v>197</v>
      </c>
      <c r="U313"/>
    </row>
    <row r="314" spans="1:21" x14ac:dyDescent="0.2">
      <c r="A314">
        <v>973263</v>
      </c>
      <c r="B314" t="s">
        <v>604</v>
      </c>
      <c r="C314">
        <v>-9</v>
      </c>
      <c r="D314">
        <v>4</v>
      </c>
      <c r="E314">
        <v>-2</v>
      </c>
      <c r="F314">
        <v>-5</v>
      </c>
      <c r="G314">
        <v>8</v>
      </c>
      <c r="H314">
        <v>9</v>
      </c>
      <c r="I314">
        <v>22</v>
      </c>
      <c r="J314">
        <v>4</v>
      </c>
      <c r="K314">
        <v>0.5</v>
      </c>
      <c r="L314">
        <v>1.32</v>
      </c>
      <c r="M314">
        <v>17.5</v>
      </c>
      <c r="N314">
        <v>0.3</v>
      </c>
      <c r="O314" t="s">
        <v>641</v>
      </c>
      <c r="P314" s="368" t="s">
        <v>785</v>
      </c>
      <c r="Q314" t="s">
        <v>46</v>
      </c>
      <c r="R314" t="s">
        <v>1301</v>
      </c>
      <c r="S314" t="s">
        <v>1352</v>
      </c>
      <c r="T314" t="s">
        <v>209</v>
      </c>
      <c r="U314"/>
    </row>
    <row r="315" spans="1:21" x14ac:dyDescent="0.2">
      <c r="A315">
        <v>555466</v>
      </c>
      <c r="B315" t="s">
        <v>420</v>
      </c>
      <c r="C315">
        <v>-4</v>
      </c>
      <c r="D315">
        <v>2</v>
      </c>
      <c r="E315">
        <v>1</v>
      </c>
      <c r="F315">
        <v>-5</v>
      </c>
      <c r="G315">
        <v>8</v>
      </c>
      <c r="H315">
        <v>20</v>
      </c>
      <c r="I315">
        <v>41</v>
      </c>
      <c r="J315">
        <v>7.2</v>
      </c>
      <c r="K315">
        <v>0.51</v>
      </c>
      <c r="L315">
        <v>1.17</v>
      </c>
      <c r="M315">
        <v>16.5</v>
      </c>
      <c r="N315">
        <v>0.5</v>
      </c>
      <c r="O315" t="s">
        <v>692</v>
      </c>
      <c r="P315" s="368" t="s">
        <v>785</v>
      </c>
      <c r="Q315" t="s">
        <v>46</v>
      </c>
      <c r="R315" t="s">
        <v>1033</v>
      </c>
      <c r="S315" t="s">
        <v>265</v>
      </c>
      <c r="T315" t="s">
        <v>162</v>
      </c>
      <c r="U315"/>
    </row>
    <row r="316" spans="1:21" x14ac:dyDescent="0.2">
      <c r="A316">
        <v>536276</v>
      </c>
      <c r="B316" t="s">
        <v>408</v>
      </c>
      <c r="C316">
        <v>-11</v>
      </c>
      <c r="D316">
        <v>0</v>
      </c>
      <c r="E316">
        <v>-9</v>
      </c>
      <c r="F316">
        <v>-9</v>
      </c>
      <c r="G316">
        <v>-5</v>
      </c>
      <c r="H316">
        <v>-5</v>
      </c>
      <c r="I316"/>
      <c r="J316"/>
      <c r="K316">
        <v>0.51</v>
      </c>
      <c r="L316">
        <v>1.56</v>
      </c>
      <c r="M316">
        <v>9.8000000000000007</v>
      </c>
      <c r="N316">
        <v>-0.1</v>
      </c>
      <c r="O316" t="s">
        <v>641</v>
      </c>
      <c r="P316" s="368" t="s">
        <v>1014</v>
      </c>
      <c r="Q316" t="s">
        <v>154</v>
      </c>
      <c r="R316" t="s">
        <v>1015</v>
      </c>
      <c r="S316" t="s">
        <v>367</v>
      </c>
      <c r="T316" t="s">
        <v>189</v>
      </c>
      <c r="U316"/>
    </row>
    <row r="317" spans="1:21" x14ac:dyDescent="0.2">
      <c r="A317">
        <v>339184</v>
      </c>
      <c r="B317" t="s">
        <v>592</v>
      </c>
      <c r="C317">
        <v>1</v>
      </c>
      <c r="D317">
        <v>9</v>
      </c>
      <c r="E317">
        <v>7</v>
      </c>
      <c r="F317">
        <v>4</v>
      </c>
      <c r="G317">
        <v>18</v>
      </c>
      <c r="H317">
        <v>38</v>
      </c>
      <c r="I317">
        <v>75</v>
      </c>
      <c r="J317">
        <v>11.8</v>
      </c>
      <c r="K317">
        <v>0.52</v>
      </c>
      <c r="L317">
        <v>1.5</v>
      </c>
      <c r="M317">
        <v>15.2</v>
      </c>
      <c r="N317">
        <v>0.8</v>
      </c>
      <c r="O317" t="s">
        <v>641</v>
      </c>
      <c r="P317" s="368" t="s">
        <v>854</v>
      </c>
      <c r="Q317" t="s">
        <v>154</v>
      </c>
      <c r="R317" t="s">
        <v>855</v>
      </c>
      <c r="S317" t="s">
        <v>208</v>
      </c>
      <c r="T317" t="s">
        <v>209</v>
      </c>
      <c r="U317"/>
    </row>
    <row r="318" spans="1:21" x14ac:dyDescent="0.2">
      <c r="A318">
        <v>152181</v>
      </c>
      <c r="B318" t="s">
        <v>207</v>
      </c>
      <c r="C318">
        <v>5</v>
      </c>
      <c r="D318">
        <v>11</v>
      </c>
      <c r="E318">
        <v>10</v>
      </c>
      <c r="F318">
        <v>11</v>
      </c>
      <c r="G318">
        <v>25</v>
      </c>
      <c r="H318">
        <v>32</v>
      </c>
      <c r="I318">
        <v>65</v>
      </c>
      <c r="J318">
        <v>10.5</v>
      </c>
      <c r="K318">
        <v>0.52</v>
      </c>
      <c r="L318">
        <v>1.5</v>
      </c>
      <c r="M318">
        <v>21.3</v>
      </c>
      <c r="N318">
        <v>0.5</v>
      </c>
      <c r="O318" t="s">
        <v>641</v>
      </c>
      <c r="P318" s="368" t="s">
        <v>685</v>
      </c>
      <c r="Q318" t="s">
        <v>154</v>
      </c>
      <c r="R318" t="s">
        <v>686</v>
      </c>
      <c r="S318" t="s">
        <v>208</v>
      </c>
      <c r="T318" t="s">
        <v>209</v>
      </c>
      <c r="U318"/>
    </row>
    <row r="319" spans="1:21" x14ac:dyDescent="0.2">
      <c r="A319">
        <v>304659</v>
      </c>
      <c r="B319" t="s">
        <v>1329</v>
      </c>
      <c r="C319">
        <v>-4</v>
      </c>
      <c r="D319">
        <v>1</v>
      </c>
      <c r="E319">
        <v>1</v>
      </c>
      <c r="F319">
        <v>-4</v>
      </c>
      <c r="G319">
        <v>9</v>
      </c>
      <c r="H319">
        <v>38</v>
      </c>
      <c r="I319">
        <v>61</v>
      </c>
      <c r="J319">
        <v>10</v>
      </c>
      <c r="K319">
        <v>0.52</v>
      </c>
      <c r="L319">
        <v>1.2</v>
      </c>
      <c r="M319">
        <v>16.2</v>
      </c>
      <c r="N319">
        <v>0.8</v>
      </c>
      <c r="O319" t="s">
        <v>692</v>
      </c>
      <c r="P319" s="368" t="s">
        <v>785</v>
      </c>
      <c r="Q319" t="s">
        <v>46</v>
      </c>
      <c r="R319" t="s">
        <v>818</v>
      </c>
      <c r="S319" t="s">
        <v>265</v>
      </c>
      <c r="T319" t="s">
        <v>204</v>
      </c>
      <c r="U319"/>
    </row>
    <row r="320" spans="1:21" x14ac:dyDescent="0.2">
      <c r="A320">
        <v>272898</v>
      </c>
      <c r="B320" t="s">
        <v>282</v>
      </c>
      <c r="C320">
        <v>-8</v>
      </c>
      <c r="D320">
        <v>7</v>
      </c>
      <c r="E320">
        <v>-1</v>
      </c>
      <c r="F320">
        <v>-6</v>
      </c>
      <c r="G320">
        <v>6</v>
      </c>
      <c r="H320">
        <v>10</v>
      </c>
      <c r="I320">
        <v>53</v>
      </c>
      <c r="J320">
        <v>8.9</v>
      </c>
      <c r="K320">
        <v>0.52</v>
      </c>
      <c r="L320">
        <v>1.5</v>
      </c>
      <c r="M320">
        <v>22.4</v>
      </c>
      <c r="N320">
        <v>0.3</v>
      </c>
      <c r="O320" t="s">
        <v>641</v>
      </c>
      <c r="P320" s="368" t="s">
        <v>783</v>
      </c>
      <c r="Q320" t="s">
        <v>154</v>
      </c>
      <c r="R320" t="s">
        <v>784</v>
      </c>
      <c r="S320" t="s">
        <v>208</v>
      </c>
      <c r="T320" t="s">
        <v>209</v>
      </c>
      <c r="U320"/>
    </row>
    <row r="321" spans="1:21" x14ac:dyDescent="0.2">
      <c r="A321">
        <v>242495</v>
      </c>
      <c r="B321" t="s">
        <v>260</v>
      </c>
      <c r="C321">
        <v>2</v>
      </c>
      <c r="D321">
        <v>7</v>
      </c>
      <c r="E321">
        <v>5</v>
      </c>
      <c r="F321">
        <v>4</v>
      </c>
      <c r="G321">
        <v>20</v>
      </c>
      <c r="H321">
        <v>25</v>
      </c>
      <c r="I321">
        <v>42</v>
      </c>
      <c r="J321">
        <v>7.2</v>
      </c>
      <c r="K321">
        <v>0.52</v>
      </c>
      <c r="L321">
        <v>1.48</v>
      </c>
      <c r="M321">
        <v>14.8</v>
      </c>
      <c r="N321">
        <v>0.6</v>
      </c>
      <c r="O321" t="s">
        <v>641</v>
      </c>
      <c r="P321" s="368" t="s">
        <v>754</v>
      </c>
      <c r="Q321" t="s">
        <v>46</v>
      </c>
      <c r="R321" t="s">
        <v>755</v>
      </c>
      <c r="S321" t="s">
        <v>261</v>
      </c>
      <c r="T321" t="s">
        <v>197</v>
      </c>
      <c r="U321"/>
    </row>
    <row r="322" spans="1:21" x14ac:dyDescent="0.2">
      <c r="A322">
        <v>328021</v>
      </c>
      <c r="B322" t="s">
        <v>314</v>
      </c>
      <c r="C322">
        <v>-11</v>
      </c>
      <c r="D322">
        <v>3</v>
      </c>
      <c r="E322">
        <v>-7</v>
      </c>
      <c r="F322">
        <v>-7</v>
      </c>
      <c r="G322">
        <v>5</v>
      </c>
      <c r="H322">
        <v>13</v>
      </c>
      <c r="I322">
        <v>40</v>
      </c>
      <c r="J322">
        <v>6.9</v>
      </c>
      <c r="K322">
        <v>0.52</v>
      </c>
      <c r="L322">
        <v>1.2</v>
      </c>
      <c r="M322">
        <v>15.3</v>
      </c>
      <c r="N322">
        <v>0.4</v>
      </c>
      <c r="O322" t="s">
        <v>641</v>
      </c>
      <c r="P322" s="368" t="s">
        <v>841</v>
      </c>
      <c r="Q322" t="s">
        <v>154</v>
      </c>
      <c r="R322" t="s">
        <v>842</v>
      </c>
      <c r="S322" t="s">
        <v>315</v>
      </c>
      <c r="T322" t="s">
        <v>209</v>
      </c>
      <c r="U322"/>
    </row>
    <row r="323" spans="1:21" x14ac:dyDescent="0.2">
      <c r="A323">
        <v>647669</v>
      </c>
      <c r="B323" t="s">
        <v>1340</v>
      </c>
      <c r="C323">
        <v>0</v>
      </c>
      <c r="D323">
        <v>-1</v>
      </c>
      <c r="E323">
        <v>4</v>
      </c>
      <c r="F323">
        <v>1</v>
      </c>
      <c r="G323">
        <v>10</v>
      </c>
      <c r="H323">
        <v>26</v>
      </c>
      <c r="I323">
        <v>37</v>
      </c>
      <c r="J323">
        <v>6.4</v>
      </c>
      <c r="K323">
        <v>0.52</v>
      </c>
      <c r="L323">
        <v>1.41</v>
      </c>
      <c r="M323">
        <v>9.1</v>
      </c>
      <c r="N323">
        <v>0.9</v>
      </c>
      <c r="O323" t="s">
        <v>655</v>
      </c>
      <c r="P323" s="368" t="s">
        <v>1094</v>
      </c>
      <c r="Q323" t="s">
        <v>46</v>
      </c>
      <c r="R323" t="s">
        <v>1095</v>
      </c>
      <c r="S323" t="s">
        <v>1321</v>
      </c>
      <c r="T323" t="s">
        <v>177</v>
      </c>
      <c r="U323"/>
    </row>
    <row r="324" spans="1:21" x14ac:dyDescent="0.2">
      <c r="A324">
        <v>336826</v>
      </c>
      <c r="B324" t="s">
        <v>322</v>
      </c>
      <c r="C324">
        <v>-6</v>
      </c>
      <c r="D324">
        <v>2</v>
      </c>
      <c r="E324">
        <v>0</v>
      </c>
      <c r="F324">
        <v>-6</v>
      </c>
      <c r="G324">
        <v>4</v>
      </c>
      <c r="H324">
        <v>21</v>
      </c>
      <c r="I324">
        <v>33</v>
      </c>
      <c r="J324">
        <v>5.8</v>
      </c>
      <c r="K324">
        <v>0.52</v>
      </c>
      <c r="L324">
        <v>1.41</v>
      </c>
      <c r="M324">
        <v>11.5</v>
      </c>
      <c r="N324">
        <v>0.6</v>
      </c>
      <c r="O324" t="s">
        <v>655</v>
      </c>
      <c r="P324" s="368" t="s">
        <v>785</v>
      </c>
      <c r="Q324" t="s">
        <v>46</v>
      </c>
      <c r="R324" t="s">
        <v>852</v>
      </c>
      <c r="S324" t="s">
        <v>1321</v>
      </c>
      <c r="T324" t="s">
        <v>185</v>
      </c>
      <c r="U324"/>
    </row>
    <row r="325" spans="1:21" x14ac:dyDescent="0.2">
      <c r="A325">
        <v>183178</v>
      </c>
      <c r="B325" t="s">
        <v>226</v>
      </c>
      <c r="C325">
        <v>-20</v>
      </c>
      <c r="D325">
        <v>6</v>
      </c>
      <c r="E325">
        <v>-9</v>
      </c>
      <c r="F325">
        <v>-16</v>
      </c>
      <c r="G325">
        <v>-17</v>
      </c>
      <c r="H325">
        <v>5</v>
      </c>
      <c r="I325">
        <v>16</v>
      </c>
      <c r="J325">
        <v>3</v>
      </c>
      <c r="K325">
        <v>0.52</v>
      </c>
      <c r="L325">
        <v>1.2</v>
      </c>
      <c r="M325">
        <v>20.9</v>
      </c>
      <c r="N325">
        <v>0.2</v>
      </c>
      <c r="O325" t="s">
        <v>646</v>
      </c>
      <c r="P325" s="368" t="s">
        <v>679</v>
      </c>
      <c r="Q325" t="s">
        <v>46</v>
      </c>
      <c r="R325" t="s">
        <v>710</v>
      </c>
      <c r="S325" t="s">
        <v>165</v>
      </c>
      <c r="T325" t="s">
        <v>201</v>
      </c>
      <c r="U325"/>
    </row>
    <row r="326" spans="1:21" x14ac:dyDescent="0.2">
      <c r="A326">
        <v>322479</v>
      </c>
      <c r="B326" t="s">
        <v>311</v>
      </c>
      <c r="C326">
        <v>-19</v>
      </c>
      <c r="D326">
        <v>1</v>
      </c>
      <c r="E326">
        <v>-12</v>
      </c>
      <c r="F326">
        <v>-20</v>
      </c>
      <c r="G326">
        <v>-15</v>
      </c>
      <c r="H326">
        <v>-8</v>
      </c>
      <c r="I326">
        <v>4</v>
      </c>
      <c r="J326">
        <v>0.8</v>
      </c>
      <c r="K326">
        <v>0.52</v>
      </c>
      <c r="L326">
        <v>1.67</v>
      </c>
      <c r="M326">
        <v>13.6</v>
      </c>
      <c r="N326">
        <v>-0.1</v>
      </c>
      <c r="O326" t="s">
        <v>655</v>
      </c>
      <c r="P326" s="368" t="s">
        <v>837</v>
      </c>
      <c r="Q326" t="s">
        <v>46</v>
      </c>
      <c r="R326" t="s">
        <v>838</v>
      </c>
      <c r="S326" t="s">
        <v>174</v>
      </c>
      <c r="T326" t="s">
        <v>185</v>
      </c>
      <c r="U326"/>
    </row>
    <row r="327" spans="1:21" x14ac:dyDescent="0.2">
      <c r="A327">
        <v>446088</v>
      </c>
      <c r="B327" t="s">
        <v>1462</v>
      </c>
      <c r="C327">
        <v>20</v>
      </c>
      <c r="D327">
        <v>6</v>
      </c>
      <c r="E327">
        <v>16</v>
      </c>
      <c r="F327">
        <v>21</v>
      </c>
      <c r="G327">
        <v>37</v>
      </c>
      <c r="H327">
        <v>118</v>
      </c>
      <c r="I327">
        <v>191</v>
      </c>
      <c r="J327">
        <v>23.8</v>
      </c>
      <c r="K327">
        <v>0.53</v>
      </c>
      <c r="L327">
        <v>1.81</v>
      </c>
      <c r="M327">
        <v>21.7</v>
      </c>
      <c r="N327">
        <v>1.3</v>
      </c>
      <c r="O327" t="s">
        <v>692</v>
      </c>
      <c r="P327" s="368" t="s">
        <v>693</v>
      </c>
      <c r="Q327" t="s">
        <v>46</v>
      </c>
      <c r="R327" t="s">
        <v>941</v>
      </c>
      <c r="S327" t="s">
        <v>1322</v>
      </c>
      <c r="T327" t="s">
        <v>232</v>
      </c>
      <c r="U327"/>
    </row>
    <row r="328" spans="1:21" x14ac:dyDescent="0.2">
      <c r="A328">
        <v>191676</v>
      </c>
      <c r="B328" t="s">
        <v>149</v>
      </c>
      <c r="C328">
        <v>0</v>
      </c>
      <c r="D328">
        <v>3</v>
      </c>
      <c r="E328">
        <v>1</v>
      </c>
      <c r="F328">
        <v>-1</v>
      </c>
      <c r="G328">
        <v>14</v>
      </c>
      <c r="H328">
        <v>62</v>
      </c>
      <c r="I328">
        <v>133</v>
      </c>
      <c r="J328">
        <v>18.399999999999999</v>
      </c>
      <c r="K328">
        <v>0.53</v>
      </c>
      <c r="L328">
        <v>1.5</v>
      </c>
      <c r="M328">
        <v>17.2</v>
      </c>
      <c r="N328">
        <v>1</v>
      </c>
      <c r="O328" t="s">
        <v>646</v>
      </c>
      <c r="P328" s="368" t="s">
        <v>719</v>
      </c>
      <c r="Q328" t="s">
        <v>46</v>
      </c>
      <c r="R328" t="s">
        <v>720</v>
      </c>
      <c r="S328" t="s">
        <v>179</v>
      </c>
      <c r="T328" t="s">
        <v>232</v>
      </c>
      <c r="U328"/>
    </row>
    <row r="329" spans="1:21" x14ac:dyDescent="0.2">
      <c r="A329">
        <v>300996</v>
      </c>
      <c r="B329" t="s">
        <v>1328</v>
      </c>
      <c r="C329">
        <v>2</v>
      </c>
      <c r="D329">
        <v>2</v>
      </c>
      <c r="E329">
        <v>4</v>
      </c>
      <c r="F329">
        <v>1</v>
      </c>
      <c r="G329">
        <v>15</v>
      </c>
      <c r="H329">
        <v>52</v>
      </c>
      <c r="I329">
        <v>78</v>
      </c>
      <c r="J329">
        <v>12.2</v>
      </c>
      <c r="K329">
        <v>0.53</v>
      </c>
      <c r="L329">
        <v>1.43</v>
      </c>
      <c r="M329">
        <v>16.3</v>
      </c>
      <c r="N329">
        <v>0.9</v>
      </c>
      <c r="O329" t="s">
        <v>692</v>
      </c>
      <c r="P329" s="368" t="s">
        <v>785</v>
      </c>
      <c r="Q329" t="s">
        <v>46</v>
      </c>
      <c r="R329" t="s">
        <v>812</v>
      </c>
      <c r="S329" t="s">
        <v>1321</v>
      </c>
      <c r="T329" t="s">
        <v>204</v>
      </c>
      <c r="U329"/>
    </row>
    <row r="330" spans="1:21" x14ac:dyDescent="0.2">
      <c r="A330">
        <v>804385</v>
      </c>
      <c r="B330" t="s">
        <v>1476</v>
      </c>
      <c r="C330">
        <v>-6</v>
      </c>
      <c r="D330">
        <v>-1</v>
      </c>
      <c r="E330">
        <v>2</v>
      </c>
      <c r="F330">
        <v>-6</v>
      </c>
      <c r="G330">
        <v>7</v>
      </c>
      <c r="H330">
        <v>36</v>
      </c>
      <c r="I330">
        <v>60</v>
      </c>
      <c r="J330">
        <v>9.9</v>
      </c>
      <c r="K330">
        <v>0.53</v>
      </c>
      <c r="L330">
        <v>1.81</v>
      </c>
      <c r="M330">
        <v>17.2</v>
      </c>
      <c r="N330">
        <v>0.7</v>
      </c>
      <c r="O330" t="s">
        <v>692</v>
      </c>
      <c r="P330" s="368" t="s">
        <v>693</v>
      </c>
      <c r="Q330" t="s">
        <v>46</v>
      </c>
      <c r="R330" t="s">
        <v>1197</v>
      </c>
      <c r="S330" t="s">
        <v>1322</v>
      </c>
      <c r="T330" t="s">
        <v>204</v>
      </c>
      <c r="U330"/>
    </row>
    <row r="331" spans="1:21" x14ac:dyDescent="0.2">
      <c r="A331">
        <v>687442</v>
      </c>
      <c r="B331" t="s">
        <v>473</v>
      </c>
      <c r="C331">
        <v>-21</v>
      </c>
      <c r="D331">
        <v>17</v>
      </c>
      <c r="E331">
        <v>1</v>
      </c>
      <c r="F331">
        <v>-13</v>
      </c>
      <c r="G331">
        <v>2</v>
      </c>
      <c r="H331">
        <v>20</v>
      </c>
      <c r="I331">
        <v>55</v>
      </c>
      <c r="J331">
        <v>9.1</v>
      </c>
      <c r="K331">
        <v>0.53</v>
      </c>
      <c r="L331">
        <v>1.5</v>
      </c>
      <c r="M331">
        <v>30</v>
      </c>
      <c r="N331">
        <v>0.4</v>
      </c>
      <c r="O331" t="s">
        <v>646</v>
      </c>
      <c r="P331" s="368" t="s">
        <v>1126</v>
      </c>
      <c r="Q331" t="s">
        <v>46</v>
      </c>
      <c r="R331" t="s">
        <v>1127</v>
      </c>
      <c r="S331" t="s">
        <v>179</v>
      </c>
      <c r="T331" t="s">
        <v>201</v>
      </c>
      <c r="U331"/>
    </row>
    <row r="332" spans="1:21" x14ac:dyDescent="0.2">
      <c r="A332">
        <v>517508</v>
      </c>
      <c r="B332" t="s">
        <v>401</v>
      </c>
      <c r="C332">
        <v>2</v>
      </c>
      <c r="D332">
        <v>0</v>
      </c>
      <c r="E332">
        <v>3</v>
      </c>
      <c r="F332">
        <v>3</v>
      </c>
      <c r="G332">
        <v>17</v>
      </c>
      <c r="H332">
        <v>43</v>
      </c>
      <c r="I332">
        <v>52</v>
      </c>
      <c r="J332">
        <v>8.8000000000000007</v>
      </c>
      <c r="K332">
        <v>0.53</v>
      </c>
      <c r="L332">
        <v>1.5</v>
      </c>
      <c r="M332">
        <v>12.2</v>
      </c>
      <c r="N332">
        <v>1.1000000000000001</v>
      </c>
      <c r="O332" t="s">
        <v>646</v>
      </c>
      <c r="P332" s="368" t="s">
        <v>998</v>
      </c>
      <c r="Q332" t="s">
        <v>46</v>
      </c>
      <c r="R332" t="s">
        <v>999</v>
      </c>
      <c r="S332" t="s">
        <v>179</v>
      </c>
      <c r="T332" t="s">
        <v>252</v>
      </c>
      <c r="U332"/>
    </row>
    <row r="333" spans="1:21" x14ac:dyDescent="0.2">
      <c r="A333">
        <v>686626</v>
      </c>
      <c r="B333" t="s">
        <v>472</v>
      </c>
      <c r="C333">
        <v>-11</v>
      </c>
      <c r="D333">
        <v>3</v>
      </c>
      <c r="E333">
        <v>-3</v>
      </c>
      <c r="F333">
        <v>-11</v>
      </c>
      <c r="G333">
        <v>2</v>
      </c>
      <c r="H333">
        <v>29</v>
      </c>
      <c r="I333">
        <v>49</v>
      </c>
      <c r="J333">
        <v>8.3000000000000007</v>
      </c>
      <c r="K333">
        <v>0.53</v>
      </c>
      <c r="L333">
        <v>1.71</v>
      </c>
      <c r="M333">
        <v>21.7</v>
      </c>
      <c r="N333">
        <v>0.5</v>
      </c>
      <c r="O333" t="s">
        <v>692</v>
      </c>
      <c r="P333" s="368" t="s">
        <v>1053</v>
      </c>
      <c r="Q333" t="s">
        <v>46</v>
      </c>
      <c r="R333" t="s">
        <v>1125</v>
      </c>
      <c r="S333" t="s">
        <v>174</v>
      </c>
      <c r="T333" t="s">
        <v>204</v>
      </c>
      <c r="U333"/>
    </row>
    <row r="334" spans="1:21" x14ac:dyDescent="0.2">
      <c r="A334">
        <v>303701</v>
      </c>
      <c r="B334" t="s">
        <v>299</v>
      </c>
      <c r="C334">
        <v>-1</v>
      </c>
      <c r="D334">
        <v>4</v>
      </c>
      <c r="E334">
        <v>1</v>
      </c>
      <c r="F334">
        <v>1</v>
      </c>
      <c r="G334">
        <v>10</v>
      </c>
      <c r="H334">
        <v>20</v>
      </c>
      <c r="I334">
        <v>45</v>
      </c>
      <c r="J334">
        <v>7.7</v>
      </c>
      <c r="K334">
        <v>0.53</v>
      </c>
      <c r="L334">
        <v>1.86</v>
      </c>
      <c r="M334">
        <v>10.5</v>
      </c>
      <c r="N334">
        <v>0.6</v>
      </c>
      <c r="O334" t="s">
        <v>641</v>
      </c>
      <c r="P334" s="368" t="s">
        <v>763</v>
      </c>
      <c r="Q334" t="s">
        <v>154</v>
      </c>
      <c r="R334" t="s">
        <v>817</v>
      </c>
      <c r="S334" t="s">
        <v>300</v>
      </c>
      <c r="T334" t="s">
        <v>177</v>
      </c>
      <c r="U334"/>
    </row>
    <row r="335" spans="1:21" x14ac:dyDescent="0.2">
      <c r="A335">
        <v>408484</v>
      </c>
      <c r="B335" t="s">
        <v>353</v>
      </c>
      <c r="C335">
        <v>1</v>
      </c>
      <c r="D335">
        <v>-1</v>
      </c>
      <c r="E335">
        <v>1</v>
      </c>
      <c r="F335">
        <v>1</v>
      </c>
      <c r="G335">
        <v>9</v>
      </c>
      <c r="H335">
        <v>25</v>
      </c>
      <c r="I335">
        <v>33</v>
      </c>
      <c r="J335">
        <v>5.9</v>
      </c>
      <c r="K335">
        <v>0.53</v>
      </c>
      <c r="L335">
        <v>1.45</v>
      </c>
      <c r="M335">
        <v>8.4</v>
      </c>
      <c r="N335">
        <v>0.9</v>
      </c>
      <c r="O335" t="s">
        <v>655</v>
      </c>
      <c r="P335" s="368" t="s">
        <v>785</v>
      </c>
      <c r="Q335" t="s">
        <v>46</v>
      </c>
      <c r="R335" t="s">
        <v>912</v>
      </c>
      <c r="S335" t="s">
        <v>1321</v>
      </c>
      <c r="T335" t="s">
        <v>189</v>
      </c>
      <c r="U335"/>
    </row>
    <row r="336" spans="1:21" x14ac:dyDescent="0.2">
      <c r="A336">
        <v>444315</v>
      </c>
      <c r="B336" t="s">
        <v>1335</v>
      </c>
      <c r="C336">
        <v>2</v>
      </c>
      <c r="D336">
        <v>-1</v>
      </c>
      <c r="E336">
        <v>1</v>
      </c>
      <c r="F336">
        <v>1</v>
      </c>
      <c r="G336">
        <v>8</v>
      </c>
      <c r="H336">
        <v>20</v>
      </c>
      <c r="I336">
        <v>27</v>
      </c>
      <c r="J336">
        <v>4.9000000000000004</v>
      </c>
      <c r="K336">
        <v>0.53</v>
      </c>
      <c r="L336">
        <v>1.45</v>
      </c>
      <c r="M336">
        <v>7.4</v>
      </c>
      <c r="N336">
        <v>0.9</v>
      </c>
      <c r="O336" t="s">
        <v>655</v>
      </c>
      <c r="P336" s="368" t="s">
        <v>785</v>
      </c>
      <c r="Q336" t="s">
        <v>46</v>
      </c>
      <c r="R336" t="s">
        <v>940</v>
      </c>
      <c r="S336" t="s">
        <v>1321</v>
      </c>
      <c r="T336" t="s">
        <v>189</v>
      </c>
      <c r="U336"/>
    </row>
    <row r="337" spans="1:21" x14ac:dyDescent="0.2">
      <c r="A337">
        <v>768556</v>
      </c>
      <c r="B337" t="s">
        <v>1475</v>
      </c>
      <c r="C337">
        <v>-16</v>
      </c>
      <c r="D337">
        <v>-1</v>
      </c>
      <c r="E337">
        <v>-5</v>
      </c>
      <c r="F337">
        <v>-15</v>
      </c>
      <c r="G337">
        <v>-6</v>
      </c>
      <c r="H337">
        <v>13</v>
      </c>
      <c r="I337">
        <v>16</v>
      </c>
      <c r="J337">
        <v>3.1</v>
      </c>
      <c r="K337">
        <v>0.53</v>
      </c>
      <c r="L337">
        <v>1.81</v>
      </c>
      <c r="M337">
        <v>17.600000000000001</v>
      </c>
      <c r="N337">
        <v>0.3</v>
      </c>
      <c r="O337" t="s">
        <v>692</v>
      </c>
      <c r="P337" s="368" t="s">
        <v>693</v>
      </c>
      <c r="Q337" t="s">
        <v>46</v>
      </c>
      <c r="R337" t="s">
        <v>1180</v>
      </c>
      <c r="S337" t="s">
        <v>1322</v>
      </c>
      <c r="T337" t="s">
        <v>204</v>
      </c>
      <c r="U337"/>
    </row>
    <row r="338" spans="1:21" x14ac:dyDescent="0.2">
      <c r="A338">
        <v>374421</v>
      </c>
      <c r="B338" t="s">
        <v>1459</v>
      </c>
      <c r="C338">
        <v>4</v>
      </c>
      <c r="D338">
        <v>0</v>
      </c>
      <c r="E338">
        <v>10</v>
      </c>
      <c r="F338">
        <v>5</v>
      </c>
      <c r="G338">
        <v>23</v>
      </c>
      <c r="H338">
        <v>57</v>
      </c>
      <c r="I338">
        <v>60</v>
      </c>
      <c r="J338">
        <v>9.9</v>
      </c>
      <c r="K338">
        <v>0.54</v>
      </c>
      <c r="L338">
        <v>1.82</v>
      </c>
      <c r="M338">
        <v>13.4</v>
      </c>
      <c r="N338">
        <v>1.2</v>
      </c>
      <c r="O338" t="s">
        <v>692</v>
      </c>
      <c r="P338" s="368" t="s">
        <v>693</v>
      </c>
      <c r="Q338" t="s">
        <v>46</v>
      </c>
      <c r="R338" t="s">
        <v>881</v>
      </c>
      <c r="S338" t="s">
        <v>1322</v>
      </c>
      <c r="T338" t="s">
        <v>252</v>
      </c>
      <c r="U338"/>
    </row>
    <row r="339" spans="1:21" x14ac:dyDescent="0.2">
      <c r="A339">
        <v>159442</v>
      </c>
      <c r="B339" t="s">
        <v>1452</v>
      </c>
      <c r="C339">
        <v>-5</v>
      </c>
      <c r="D339">
        <v>5</v>
      </c>
      <c r="E339">
        <v>11</v>
      </c>
      <c r="F339">
        <v>-4</v>
      </c>
      <c r="G339">
        <v>14</v>
      </c>
      <c r="H339">
        <v>22</v>
      </c>
      <c r="I339">
        <v>49</v>
      </c>
      <c r="J339">
        <v>8.3000000000000007</v>
      </c>
      <c r="K339">
        <v>0.54</v>
      </c>
      <c r="L339">
        <v>1.85</v>
      </c>
      <c r="M339">
        <v>16.399999999999999</v>
      </c>
      <c r="N339">
        <v>0.5</v>
      </c>
      <c r="O339" t="s">
        <v>692</v>
      </c>
      <c r="P339" s="368" t="s">
        <v>693</v>
      </c>
      <c r="Q339" t="s">
        <v>46</v>
      </c>
      <c r="R339" t="s">
        <v>694</v>
      </c>
      <c r="S339" t="s">
        <v>1322</v>
      </c>
      <c r="T339" t="s">
        <v>214</v>
      </c>
      <c r="U339"/>
    </row>
    <row r="340" spans="1:21" x14ac:dyDescent="0.2">
      <c r="A340">
        <v>727057</v>
      </c>
      <c r="B340" t="s">
        <v>489</v>
      </c>
      <c r="C340">
        <v>8</v>
      </c>
      <c r="D340">
        <v>5</v>
      </c>
      <c r="E340">
        <v>9</v>
      </c>
      <c r="F340">
        <v>10</v>
      </c>
      <c r="G340">
        <v>23</v>
      </c>
      <c r="H340">
        <v>39</v>
      </c>
      <c r="I340">
        <v>49</v>
      </c>
      <c r="J340">
        <v>8.3000000000000007</v>
      </c>
      <c r="K340">
        <v>0.54</v>
      </c>
      <c r="L340">
        <v>1.61</v>
      </c>
      <c r="M340">
        <v>16.5</v>
      </c>
      <c r="N340">
        <v>0.8</v>
      </c>
      <c r="O340" t="s">
        <v>641</v>
      </c>
      <c r="P340" s="368" t="s">
        <v>1074</v>
      </c>
      <c r="Q340" t="s">
        <v>154</v>
      </c>
      <c r="R340" t="s">
        <v>1156</v>
      </c>
      <c r="S340" t="s">
        <v>371</v>
      </c>
      <c r="T340" t="s">
        <v>212</v>
      </c>
      <c r="U340"/>
    </row>
    <row r="341" spans="1:21" x14ac:dyDescent="0.2">
      <c r="A341">
        <v>320358</v>
      </c>
      <c r="B341" t="s">
        <v>1330</v>
      </c>
      <c r="C341">
        <v>-5</v>
      </c>
      <c r="D341">
        <v>0</v>
      </c>
      <c r="E341">
        <v>-1</v>
      </c>
      <c r="F341">
        <v>-5</v>
      </c>
      <c r="G341">
        <v>4</v>
      </c>
      <c r="H341">
        <v>20</v>
      </c>
      <c r="I341">
        <v>33</v>
      </c>
      <c r="J341">
        <v>5.9</v>
      </c>
      <c r="K341">
        <v>0.54</v>
      </c>
      <c r="L341">
        <v>1.46</v>
      </c>
      <c r="M341">
        <v>10.5</v>
      </c>
      <c r="N341">
        <v>0.7</v>
      </c>
      <c r="O341" t="s">
        <v>655</v>
      </c>
      <c r="P341" s="368" t="s">
        <v>833</v>
      </c>
      <c r="Q341" t="s">
        <v>46</v>
      </c>
      <c r="R341" t="s">
        <v>834</v>
      </c>
      <c r="S341" t="s">
        <v>1321</v>
      </c>
      <c r="T341" t="s">
        <v>162</v>
      </c>
      <c r="U341"/>
    </row>
    <row r="342" spans="1:21" x14ac:dyDescent="0.2">
      <c r="A342">
        <v>118000</v>
      </c>
      <c r="B342" t="s">
        <v>180</v>
      </c>
      <c r="C342">
        <v>-3</v>
      </c>
      <c r="D342">
        <v>-1</v>
      </c>
      <c r="E342">
        <v>0</v>
      </c>
      <c r="F342">
        <v>-1</v>
      </c>
      <c r="G342">
        <v>5</v>
      </c>
      <c r="H342">
        <v>25</v>
      </c>
      <c r="I342">
        <v>31</v>
      </c>
      <c r="J342">
        <v>5.6</v>
      </c>
      <c r="K342">
        <v>0.54</v>
      </c>
      <c r="L342">
        <v>1.46</v>
      </c>
      <c r="M342">
        <v>10.1</v>
      </c>
      <c r="N342">
        <v>0.8</v>
      </c>
      <c r="O342" t="s">
        <v>655</v>
      </c>
      <c r="P342" s="368" t="s">
        <v>662</v>
      </c>
      <c r="Q342" t="s">
        <v>46</v>
      </c>
      <c r="R342" t="s">
        <v>663</v>
      </c>
      <c r="S342" t="s">
        <v>1321</v>
      </c>
      <c r="T342" t="s">
        <v>162</v>
      </c>
      <c r="U342"/>
    </row>
    <row r="343" spans="1:21" x14ac:dyDescent="0.2">
      <c r="A343">
        <v>615310</v>
      </c>
      <c r="B343" t="s">
        <v>444</v>
      </c>
      <c r="C343">
        <v>3</v>
      </c>
      <c r="D343">
        <v>3</v>
      </c>
      <c r="E343">
        <v>3</v>
      </c>
      <c r="F343">
        <v>3</v>
      </c>
      <c r="G343">
        <v>11</v>
      </c>
      <c r="H343">
        <v>21</v>
      </c>
      <c r="I343">
        <v>26</v>
      </c>
      <c r="J343">
        <v>4.8</v>
      </c>
      <c r="K343">
        <v>0.54</v>
      </c>
      <c r="L343">
        <v>1.51</v>
      </c>
      <c r="M343">
        <v>11.5</v>
      </c>
      <c r="N343">
        <v>0.6</v>
      </c>
      <c r="O343" t="s">
        <v>641</v>
      </c>
      <c r="P343" s="368" t="s">
        <v>1074</v>
      </c>
      <c r="Q343" t="s">
        <v>154</v>
      </c>
      <c r="R343" t="s">
        <v>1075</v>
      </c>
      <c r="S343" t="s">
        <v>371</v>
      </c>
      <c r="T343" t="s">
        <v>177</v>
      </c>
      <c r="U343"/>
    </row>
    <row r="344" spans="1:21" x14ac:dyDescent="0.2">
      <c r="A344">
        <v>608463</v>
      </c>
      <c r="B344" t="s">
        <v>1469</v>
      </c>
      <c r="C344"/>
      <c r="D344">
        <v>-6</v>
      </c>
      <c r="E344">
        <v>-9</v>
      </c>
      <c r="F344"/>
      <c r="G344"/>
      <c r="H344">
        <v>11</v>
      </c>
      <c r="I344">
        <v>23</v>
      </c>
      <c r="J344">
        <v>4.3</v>
      </c>
      <c r="K344">
        <v>0.54</v>
      </c>
      <c r="L344">
        <v>1.85</v>
      </c>
      <c r="M344">
        <v>15.6</v>
      </c>
      <c r="N344">
        <v>0.3</v>
      </c>
      <c r="O344" t="s">
        <v>692</v>
      </c>
      <c r="P344" s="368" t="s">
        <v>1485</v>
      </c>
      <c r="Q344" t="s">
        <v>46</v>
      </c>
      <c r="R344" t="s">
        <v>1494</v>
      </c>
      <c r="S344" t="s">
        <v>1322</v>
      </c>
      <c r="T344" t="s">
        <v>263</v>
      </c>
      <c r="U344"/>
    </row>
    <row r="345" spans="1:21" x14ac:dyDescent="0.2">
      <c r="A345">
        <v>644294</v>
      </c>
      <c r="B345" t="s">
        <v>1471</v>
      </c>
      <c r="C345"/>
      <c r="D345">
        <v>-1</v>
      </c>
      <c r="E345">
        <v>-14</v>
      </c>
      <c r="F345"/>
      <c r="G345"/>
      <c r="H345">
        <v>12</v>
      </c>
      <c r="I345">
        <v>19</v>
      </c>
      <c r="J345">
        <v>3.6</v>
      </c>
      <c r="K345">
        <v>0.54</v>
      </c>
      <c r="L345">
        <v>1.85</v>
      </c>
      <c r="M345">
        <v>17.399999999999999</v>
      </c>
      <c r="N345">
        <v>0.3</v>
      </c>
      <c r="O345" t="s">
        <v>692</v>
      </c>
      <c r="P345" s="368" t="s">
        <v>1485</v>
      </c>
      <c r="Q345" t="s">
        <v>46</v>
      </c>
      <c r="R345" t="s">
        <v>1495</v>
      </c>
      <c r="S345" t="s">
        <v>1322</v>
      </c>
      <c r="T345" t="s">
        <v>275</v>
      </c>
      <c r="U345"/>
    </row>
    <row r="346" spans="1:21" x14ac:dyDescent="0.2">
      <c r="A346">
        <v>480145</v>
      </c>
      <c r="B346" t="s">
        <v>386</v>
      </c>
      <c r="C346">
        <v>3</v>
      </c>
      <c r="D346">
        <v>-2</v>
      </c>
      <c r="E346">
        <v>0</v>
      </c>
      <c r="F346">
        <v>2</v>
      </c>
      <c r="G346">
        <v>5</v>
      </c>
      <c r="H346">
        <v>14</v>
      </c>
      <c r="I346">
        <v>19</v>
      </c>
      <c r="J346">
        <v>3.5</v>
      </c>
      <c r="K346">
        <v>0.54</v>
      </c>
      <c r="L346">
        <v>1.49</v>
      </c>
      <c r="M346">
        <v>6.9</v>
      </c>
      <c r="N346">
        <v>0.7</v>
      </c>
      <c r="O346" t="s">
        <v>655</v>
      </c>
      <c r="P346" s="368" t="s">
        <v>785</v>
      </c>
      <c r="Q346" t="s">
        <v>46</v>
      </c>
      <c r="R346" t="s">
        <v>967</v>
      </c>
      <c r="S346" t="s">
        <v>1321</v>
      </c>
      <c r="T346" t="s">
        <v>350</v>
      </c>
      <c r="U346"/>
    </row>
    <row r="347" spans="1:21" x14ac:dyDescent="0.2">
      <c r="A347">
        <v>625236</v>
      </c>
      <c r="B347" t="s">
        <v>1470</v>
      </c>
      <c r="C347">
        <v>-17</v>
      </c>
      <c r="D347">
        <v>-1</v>
      </c>
      <c r="E347">
        <v>-8</v>
      </c>
      <c r="F347">
        <v>-17</v>
      </c>
      <c r="G347">
        <v>-4</v>
      </c>
      <c r="H347">
        <v>12</v>
      </c>
      <c r="I347">
        <v>18</v>
      </c>
      <c r="J347">
        <v>3.4</v>
      </c>
      <c r="K347">
        <v>0.54</v>
      </c>
      <c r="L347">
        <v>1.84</v>
      </c>
      <c r="M347">
        <v>20</v>
      </c>
      <c r="N347">
        <v>0.3</v>
      </c>
      <c r="O347" t="s">
        <v>692</v>
      </c>
      <c r="P347" s="368" t="s">
        <v>693</v>
      </c>
      <c r="Q347" t="s">
        <v>46</v>
      </c>
      <c r="R347" t="s">
        <v>1081</v>
      </c>
      <c r="S347" t="s">
        <v>1322</v>
      </c>
      <c r="T347" t="s">
        <v>204</v>
      </c>
      <c r="U347"/>
    </row>
    <row r="348" spans="1:21" x14ac:dyDescent="0.2">
      <c r="A348">
        <v>391896</v>
      </c>
      <c r="B348" t="s">
        <v>1460</v>
      </c>
      <c r="C348">
        <v>-1</v>
      </c>
      <c r="D348">
        <v>-4</v>
      </c>
      <c r="E348">
        <v>1</v>
      </c>
      <c r="F348">
        <v>4</v>
      </c>
      <c r="G348">
        <v>10</v>
      </c>
      <c r="H348">
        <v>15</v>
      </c>
      <c r="I348">
        <v>17</v>
      </c>
      <c r="J348">
        <v>3.2</v>
      </c>
      <c r="K348">
        <v>0.54</v>
      </c>
      <c r="L348">
        <v>1.83</v>
      </c>
      <c r="M348">
        <v>17.2</v>
      </c>
      <c r="N348">
        <v>0.4</v>
      </c>
      <c r="O348" t="s">
        <v>692</v>
      </c>
      <c r="P348" s="368" t="s">
        <v>865</v>
      </c>
      <c r="Q348" t="s">
        <v>46</v>
      </c>
      <c r="R348" t="s">
        <v>896</v>
      </c>
      <c r="S348" t="s">
        <v>1322</v>
      </c>
      <c r="T348" t="s">
        <v>257</v>
      </c>
      <c r="U348"/>
    </row>
    <row r="349" spans="1:21" x14ac:dyDescent="0.2">
      <c r="A349">
        <v>410258</v>
      </c>
      <c r="B349" t="s">
        <v>1461</v>
      </c>
      <c r="C349">
        <v>-26</v>
      </c>
      <c r="D349">
        <v>1</v>
      </c>
      <c r="E349">
        <v>-17</v>
      </c>
      <c r="F349">
        <v>-24</v>
      </c>
      <c r="G349">
        <v>-15</v>
      </c>
      <c r="H349">
        <v>8</v>
      </c>
      <c r="I349">
        <v>17</v>
      </c>
      <c r="J349">
        <v>3.2</v>
      </c>
      <c r="K349">
        <v>0.54</v>
      </c>
      <c r="L349">
        <v>1.84</v>
      </c>
      <c r="M349">
        <v>23.7</v>
      </c>
      <c r="N349">
        <v>0.2</v>
      </c>
      <c r="O349" t="s">
        <v>692</v>
      </c>
      <c r="P349" s="368" t="s">
        <v>693</v>
      </c>
      <c r="Q349" t="s">
        <v>46</v>
      </c>
      <c r="R349" t="s">
        <v>915</v>
      </c>
      <c r="S349" t="s">
        <v>1322</v>
      </c>
      <c r="T349" t="s">
        <v>254</v>
      </c>
      <c r="U349"/>
    </row>
    <row r="350" spans="1:21" x14ac:dyDescent="0.2">
      <c r="A350">
        <v>916122</v>
      </c>
      <c r="B350" t="s">
        <v>1480</v>
      </c>
      <c r="C350">
        <v>-10</v>
      </c>
      <c r="D350">
        <v>4</v>
      </c>
      <c r="E350">
        <v>-4</v>
      </c>
      <c r="F350">
        <v>-10</v>
      </c>
      <c r="G350">
        <v>-1</v>
      </c>
      <c r="H350">
        <v>3</v>
      </c>
      <c r="I350">
        <v>16</v>
      </c>
      <c r="J350">
        <v>3</v>
      </c>
      <c r="K350">
        <v>0.54</v>
      </c>
      <c r="L350">
        <v>1.82</v>
      </c>
      <c r="M350">
        <v>15.3</v>
      </c>
      <c r="N350">
        <v>0.2</v>
      </c>
      <c r="O350" t="s">
        <v>655</v>
      </c>
      <c r="P350" s="368" t="s">
        <v>693</v>
      </c>
      <c r="Q350" t="s">
        <v>46</v>
      </c>
      <c r="R350" t="s">
        <v>1275</v>
      </c>
      <c r="S350" t="s">
        <v>1322</v>
      </c>
      <c r="T350" t="s">
        <v>185</v>
      </c>
      <c r="U350"/>
    </row>
    <row r="351" spans="1:21" x14ac:dyDescent="0.2">
      <c r="A351">
        <v>153833</v>
      </c>
      <c r="B351" t="s">
        <v>211</v>
      </c>
      <c r="C351">
        <v>-12</v>
      </c>
      <c r="D351">
        <v>-3</v>
      </c>
      <c r="E351">
        <v>-7</v>
      </c>
      <c r="F351">
        <v>-11</v>
      </c>
      <c r="G351">
        <v>-8</v>
      </c>
      <c r="H351">
        <v>0</v>
      </c>
      <c r="I351">
        <v>6</v>
      </c>
      <c r="J351">
        <v>1.3</v>
      </c>
      <c r="K351">
        <v>0.54</v>
      </c>
      <c r="L351">
        <v>1.49</v>
      </c>
      <c r="M351">
        <v>10.4</v>
      </c>
      <c r="N351">
        <v>0.1</v>
      </c>
      <c r="O351" t="s">
        <v>655</v>
      </c>
      <c r="P351" s="368" t="s">
        <v>662</v>
      </c>
      <c r="Q351" t="s">
        <v>46</v>
      </c>
      <c r="R351" t="s">
        <v>690</v>
      </c>
      <c r="S351" t="s">
        <v>1321</v>
      </c>
      <c r="T351" t="s">
        <v>212</v>
      </c>
      <c r="U351"/>
    </row>
    <row r="352" spans="1:21" x14ac:dyDescent="0.2">
      <c r="A352">
        <v>536806</v>
      </c>
      <c r="B352" t="s">
        <v>1466</v>
      </c>
      <c r="C352"/>
      <c r="D352">
        <v>0</v>
      </c>
      <c r="E352">
        <v>-2</v>
      </c>
      <c r="F352"/>
      <c r="G352"/>
      <c r="H352">
        <v>0</v>
      </c>
      <c r="I352">
        <v>-1</v>
      </c>
      <c r="J352">
        <v>-0.3</v>
      </c>
      <c r="K352">
        <v>0.54</v>
      </c>
      <c r="L352">
        <v>1.82</v>
      </c>
      <c r="M352">
        <v>19.3</v>
      </c>
      <c r="N352">
        <v>0.1</v>
      </c>
      <c r="O352" t="s">
        <v>692</v>
      </c>
      <c r="P352" s="368" t="s">
        <v>1485</v>
      </c>
      <c r="Q352" t="s">
        <v>46</v>
      </c>
      <c r="R352" t="s">
        <v>1492</v>
      </c>
      <c r="S352" t="s">
        <v>1322</v>
      </c>
      <c r="T352" t="s">
        <v>163</v>
      </c>
      <c r="U352"/>
    </row>
    <row r="353" spans="1:21" x14ac:dyDescent="0.2">
      <c r="A353">
        <v>696898</v>
      </c>
      <c r="B353" t="s">
        <v>1473</v>
      </c>
      <c r="C353">
        <v>-14</v>
      </c>
      <c r="D353">
        <v>2</v>
      </c>
      <c r="E353">
        <v>-8</v>
      </c>
      <c r="F353">
        <v>-12</v>
      </c>
      <c r="G353">
        <v>-5</v>
      </c>
      <c r="H353">
        <v>-10</v>
      </c>
      <c r="I353">
        <v>-5</v>
      </c>
      <c r="J353">
        <v>-1.1000000000000001</v>
      </c>
      <c r="K353">
        <v>0.54</v>
      </c>
      <c r="L353">
        <v>1.82</v>
      </c>
      <c r="M353">
        <v>15.9</v>
      </c>
      <c r="N353">
        <v>-0.1</v>
      </c>
      <c r="O353" t="s">
        <v>655</v>
      </c>
      <c r="P353" s="368" t="s">
        <v>693</v>
      </c>
      <c r="Q353" t="s">
        <v>46</v>
      </c>
      <c r="R353" t="s">
        <v>1136</v>
      </c>
      <c r="S353" t="s">
        <v>1322</v>
      </c>
      <c r="T353" t="s">
        <v>185</v>
      </c>
      <c r="U353"/>
    </row>
    <row r="354" spans="1:21" x14ac:dyDescent="0.2">
      <c r="A354">
        <v>332156</v>
      </c>
      <c r="B354" t="s">
        <v>319</v>
      </c>
      <c r="C354">
        <v>-21</v>
      </c>
      <c r="D354">
        <v>4</v>
      </c>
      <c r="E354">
        <v>-17</v>
      </c>
      <c r="F354">
        <v>-15</v>
      </c>
      <c r="G354"/>
      <c r="H354">
        <v>50</v>
      </c>
      <c r="I354">
        <v>83</v>
      </c>
      <c r="J354">
        <v>12.9</v>
      </c>
      <c r="K354">
        <v>0.55000000000000004</v>
      </c>
      <c r="L354">
        <v>1.5</v>
      </c>
      <c r="M354">
        <v>19.3</v>
      </c>
      <c r="N354">
        <v>0.8</v>
      </c>
      <c r="O354" t="s">
        <v>646</v>
      </c>
      <c r="P354" s="368" t="s">
        <v>847</v>
      </c>
      <c r="Q354" t="s">
        <v>46</v>
      </c>
      <c r="R354" t="s">
        <v>848</v>
      </c>
      <c r="S354" t="s">
        <v>320</v>
      </c>
      <c r="T354" t="s">
        <v>275</v>
      </c>
      <c r="U354"/>
    </row>
    <row r="355" spans="1:21" x14ac:dyDescent="0.2">
      <c r="A355">
        <v>422709</v>
      </c>
      <c r="B355" t="s">
        <v>360</v>
      </c>
      <c r="C355">
        <v>-2</v>
      </c>
      <c r="D355">
        <v>4</v>
      </c>
      <c r="E355">
        <v>3</v>
      </c>
      <c r="F355">
        <v>0</v>
      </c>
      <c r="G355">
        <v>11</v>
      </c>
      <c r="H355">
        <v>36</v>
      </c>
      <c r="I355">
        <v>67</v>
      </c>
      <c r="J355">
        <v>10.8</v>
      </c>
      <c r="K355">
        <v>0.55000000000000004</v>
      </c>
      <c r="L355">
        <v>1.57</v>
      </c>
      <c r="M355">
        <v>14.6</v>
      </c>
      <c r="N355">
        <v>0.8</v>
      </c>
      <c r="O355" t="s">
        <v>641</v>
      </c>
      <c r="P355" s="368" t="s">
        <v>891</v>
      </c>
      <c r="Q355" t="s">
        <v>46</v>
      </c>
      <c r="R355" t="s">
        <v>927</v>
      </c>
      <c r="S355" t="s">
        <v>343</v>
      </c>
      <c r="T355" t="s">
        <v>162</v>
      </c>
      <c r="U355"/>
    </row>
    <row r="356" spans="1:21" x14ac:dyDescent="0.2">
      <c r="A356">
        <v>562421</v>
      </c>
      <c r="B356" t="s">
        <v>423</v>
      </c>
      <c r="C356">
        <v>-5</v>
      </c>
      <c r="D356">
        <v>6</v>
      </c>
      <c r="E356">
        <v>2</v>
      </c>
      <c r="F356">
        <v>-6</v>
      </c>
      <c r="G356">
        <v>5</v>
      </c>
      <c r="H356">
        <v>31</v>
      </c>
      <c r="I356">
        <v>50</v>
      </c>
      <c r="J356">
        <v>8.5</v>
      </c>
      <c r="K356">
        <v>0.55000000000000004</v>
      </c>
      <c r="L356">
        <v>1.5</v>
      </c>
      <c r="M356">
        <v>17.2</v>
      </c>
      <c r="N356">
        <v>0.6</v>
      </c>
      <c r="O356" t="s">
        <v>646</v>
      </c>
      <c r="P356" s="368" t="s">
        <v>921</v>
      </c>
      <c r="Q356" t="s">
        <v>46</v>
      </c>
      <c r="R356" t="s">
        <v>1037</v>
      </c>
      <c r="S356" t="s">
        <v>790</v>
      </c>
      <c r="T356" t="s">
        <v>162</v>
      </c>
      <c r="U356"/>
    </row>
    <row r="357" spans="1:21" x14ac:dyDescent="0.2">
      <c r="A357">
        <v>231100</v>
      </c>
      <c r="B357" t="s">
        <v>1325</v>
      </c>
      <c r="C357">
        <v>-12</v>
      </c>
      <c r="D357">
        <v>-3</v>
      </c>
      <c r="E357">
        <v>-8</v>
      </c>
      <c r="F357">
        <v>-8</v>
      </c>
      <c r="G357">
        <v>1</v>
      </c>
      <c r="H357">
        <v>25</v>
      </c>
      <c r="I357">
        <v>33</v>
      </c>
      <c r="J357">
        <v>5.9</v>
      </c>
      <c r="K357">
        <v>0.55000000000000004</v>
      </c>
      <c r="L357">
        <v>1.86</v>
      </c>
      <c r="M357">
        <v>14.9</v>
      </c>
      <c r="N357">
        <v>0.6</v>
      </c>
      <c r="O357" t="s">
        <v>692</v>
      </c>
      <c r="P357" s="368" t="s">
        <v>693</v>
      </c>
      <c r="Q357" t="s">
        <v>46</v>
      </c>
      <c r="R357" t="s">
        <v>741</v>
      </c>
      <c r="S357" t="s">
        <v>1322</v>
      </c>
      <c r="T357" t="s">
        <v>172</v>
      </c>
      <c r="U357"/>
    </row>
    <row r="358" spans="1:21" x14ac:dyDescent="0.2">
      <c r="A358">
        <v>598557</v>
      </c>
      <c r="B358" t="s">
        <v>437</v>
      </c>
      <c r="C358">
        <v>-2</v>
      </c>
      <c r="D358">
        <v>10</v>
      </c>
      <c r="E358">
        <v>7</v>
      </c>
      <c r="F358">
        <v>2</v>
      </c>
      <c r="G358">
        <v>9</v>
      </c>
      <c r="H358">
        <v>18</v>
      </c>
      <c r="I358">
        <v>31</v>
      </c>
      <c r="J358">
        <v>5.6</v>
      </c>
      <c r="K358">
        <v>0.55000000000000004</v>
      </c>
      <c r="L358">
        <v>1.5</v>
      </c>
      <c r="M358">
        <v>17.399999999999999</v>
      </c>
      <c r="N358">
        <v>0.4</v>
      </c>
      <c r="O358" t="s">
        <v>646</v>
      </c>
      <c r="P358" s="368" t="s">
        <v>839</v>
      </c>
      <c r="Q358" t="s">
        <v>46</v>
      </c>
      <c r="R358" t="s">
        <v>1061</v>
      </c>
      <c r="S358" t="s">
        <v>790</v>
      </c>
      <c r="T358" t="s">
        <v>197</v>
      </c>
      <c r="U358"/>
    </row>
    <row r="359" spans="1:21" x14ac:dyDescent="0.2">
      <c r="A359">
        <v>117176</v>
      </c>
      <c r="B359" t="s">
        <v>178</v>
      </c>
      <c r="C359">
        <v>-17</v>
      </c>
      <c r="D359">
        <v>-1</v>
      </c>
      <c r="E359">
        <v>-12</v>
      </c>
      <c r="F359">
        <v>-13</v>
      </c>
      <c r="G359"/>
      <c r="H359">
        <v>8</v>
      </c>
      <c r="I359">
        <v>13</v>
      </c>
      <c r="J359">
        <v>2.5</v>
      </c>
      <c r="K359">
        <v>0.55000000000000004</v>
      </c>
      <c r="L359">
        <v>1.58</v>
      </c>
      <c r="M359">
        <v>16.2</v>
      </c>
      <c r="N359">
        <v>0.3</v>
      </c>
      <c r="O359" t="s">
        <v>646</v>
      </c>
      <c r="P359" s="368" t="s">
        <v>660</v>
      </c>
      <c r="Q359" t="s">
        <v>46</v>
      </c>
      <c r="R359" t="s">
        <v>661</v>
      </c>
      <c r="S359" t="s">
        <v>179</v>
      </c>
      <c r="T359" t="s">
        <v>172</v>
      </c>
      <c r="U359"/>
    </row>
    <row r="360" spans="1:21" x14ac:dyDescent="0.2">
      <c r="A360">
        <v>562728</v>
      </c>
      <c r="B360" t="s">
        <v>424</v>
      </c>
      <c r="C360">
        <v>-21</v>
      </c>
      <c r="D360">
        <v>6</v>
      </c>
      <c r="E360">
        <v>-11</v>
      </c>
      <c r="F360">
        <v>-17</v>
      </c>
      <c r="G360">
        <v>-19</v>
      </c>
      <c r="H360">
        <v>0</v>
      </c>
      <c r="I360">
        <v>10</v>
      </c>
      <c r="J360">
        <v>1.9</v>
      </c>
      <c r="K360">
        <v>0.55000000000000004</v>
      </c>
      <c r="L360">
        <v>1.5</v>
      </c>
      <c r="M360">
        <v>20.2</v>
      </c>
      <c r="N360">
        <v>0.1</v>
      </c>
      <c r="O360" t="s">
        <v>646</v>
      </c>
      <c r="P360" s="368" t="s">
        <v>839</v>
      </c>
      <c r="Q360" t="s">
        <v>46</v>
      </c>
      <c r="R360" t="s">
        <v>1038</v>
      </c>
      <c r="S360" t="s">
        <v>790</v>
      </c>
      <c r="T360" t="s">
        <v>201</v>
      </c>
      <c r="U360"/>
    </row>
    <row r="361" spans="1:21" x14ac:dyDescent="0.2">
      <c r="A361">
        <v>419101</v>
      </c>
      <c r="B361" t="s">
        <v>357</v>
      </c>
      <c r="C361">
        <v>-14</v>
      </c>
      <c r="D361">
        <v>1</v>
      </c>
      <c r="E361">
        <v>-9</v>
      </c>
      <c r="F361">
        <v>-12</v>
      </c>
      <c r="G361">
        <v>-11</v>
      </c>
      <c r="H361">
        <v>-3</v>
      </c>
      <c r="I361">
        <v>1</v>
      </c>
      <c r="J361">
        <v>0.2</v>
      </c>
      <c r="K361">
        <v>0.55000000000000004</v>
      </c>
      <c r="L361">
        <v>1.5</v>
      </c>
      <c r="M361">
        <v>13.8</v>
      </c>
      <c r="N361">
        <v>0</v>
      </c>
      <c r="O361" t="s">
        <v>646</v>
      </c>
      <c r="P361" s="368" t="s">
        <v>921</v>
      </c>
      <c r="Q361" t="s">
        <v>46</v>
      </c>
      <c r="R361" t="s">
        <v>922</v>
      </c>
      <c r="S361" t="s">
        <v>790</v>
      </c>
      <c r="T361" t="s">
        <v>172</v>
      </c>
      <c r="U361"/>
    </row>
    <row r="362" spans="1:21" x14ac:dyDescent="0.2">
      <c r="A362">
        <v>280867</v>
      </c>
      <c r="B362" t="s">
        <v>283</v>
      </c>
      <c r="C362">
        <v>-14</v>
      </c>
      <c r="D362">
        <v>1</v>
      </c>
      <c r="E362">
        <v>-8</v>
      </c>
      <c r="F362">
        <v>-14</v>
      </c>
      <c r="G362">
        <v>-9</v>
      </c>
      <c r="H362">
        <v>-10</v>
      </c>
      <c r="I362">
        <v>-4</v>
      </c>
      <c r="J362">
        <v>-0.7</v>
      </c>
      <c r="K362">
        <v>0.55000000000000004</v>
      </c>
      <c r="L362">
        <v>1.5</v>
      </c>
      <c r="M362">
        <v>17</v>
      </c>
      <c r="N362">
        <v>-0.1</v>
      </c>
      <c r="O362" t="s">
        <v>646</v>
      </c>
      <c r="P362" s="368" t="s">
        <v>788</v>
      </c>
      <c r="Q362" t="s">
        <v>46</v>
      </c>
      <c r="R362" t="s">
        <v>789</v>
      </c>
      <c r="S362" t="s">
        <v>790</v>
      </c>
      <c r="T362" t="s">
        <v>185</v>
      </c>
      <c r="U362"/>
    </row>
    <row r="363" spans="1:21" x14ac:dyDescent="0.2">
      <c r="A363">
        <v>500976</v>
      </c>
      <c r="B363" t="s">
        <v>1383</v>
      </c>
      <c r="C363"/>
      <c r="D363">
        <v>2</v>
      </c>
      <c r="E363">
        <v>11</v>
      </c>
      <c r="F363"/>
      <c r="G363"/>
      <c r="H363"/>
      <c r="I363"/>
      <c r="J363"/>
      <c r="K363">
        <v>0.55000000000000004</v>
      </c>
      <c r="L363">
        <v>1.29</v>
      </c>
      <c r="M363"/>
      <c r="N363"/>
      <c r="O363" t="s">
        <v>641</v>
      </c>
      <c r="P363" s="368" t="s">
        <v>1404</v>
      </c>
      <c r="Q363" t="s">
        <v>154</v>
      </c>
      <c r="R363" t="s">
        <v>1405</v>
      </c>
      <c r="S363" t="s">
        <v>519</v>
      </c>
      <c r="T363" t="s">
        <v>252</v>
      </c>
      <c r="U363"/>
    </row>
    <row r="364" spans="1:21" x14ac:dyDescent="0.2">
      <c r="A364">
        <v>852079</v>
      </c>
      <c r="B364" t="s">
        <v>531</v>
      </c>
      <c r="C364">
        <v>-23</v>
      </c>
      <c r="D364">
        <v>-4</v>
      </c>
      <c r="E364">
        <v>-21</v>
      </c>
      <c r="F364">
        <v>-22</v>
      </c>
      <c r="G364">
        <v>-12</v>
      </c>
      <c r="H364">
        <v>2</v>
      </c>
      <c r="I364">
        <v>15</v>
      </c>
      <c r="J364">
        <v>2.8</v>
      </c>
      <c r="K364">
        <v>0.56000000000000005</v>
      </c>
      <c r="L364">
        <v>1.31</v>
      </c>
      <c r="M364">
        <v>17.3</v>
      </c>
      <c r="N364">
        <v>0.2</v>
      </c>
      <c r="O364" t="s">
        <v>655</v>
      </c>
      <c r="P364" s="368" t="s">
        <v>1186</v>
      </c>
      <c r="Q364" t="s">
        <v>46</v>
      </c>
      <c r="R364" t="s">
        <v>1233</v>
      </c>
      <c r="S364" t="s">
        <v>494</v>
      </c>
      <c r="T364" t="s">
        <v>275</v>
      </c>
      <c r="U364"/>
    </row>
    <row r="365" spans="1:21" x14ac:dyDescent="0.2">
      <c r="A365">
        <v>901181</v>
      </c>
      <c r="B365" t="s">
        <v>547</v>
      </c>
      <c r="C365">
        <v>-10</v>
      </c>
      <c r="D365">
        <v>1</v>
      </c>
      <c r="E365">
        <v>-2</v>
      </c>
      <c r="F365">
        <v>-8</v>
      </c>
      <c r="G365">
        <v>-1</v>
      </c>
      <c r="H365"/>
      <c r="I365"/>
      <c r="J365"/>
      <c r="K365">
        <v>0.56000000000000005</v>
      </c>
      <c r="L365">
        <v>1.53</v>
      </c>
      <c r="M365"/>
      <c r="N365"/>
      <c r="O365" t="s">
        <v>641</v>
      </c>
      <c r="P365" s="368" t="s">
        <v>1264</v>
      </c>
      <c r="Q365" t="s">
        <v>46</v>
      </c>
      <c r="R365" t="s">
        <v>1265</v>
      </c>
      <c r="S365" t="s">
        <v>1352</v>
      </c>
      <c r="T365" t="s">
        <v>185</v>
      </c>
      <c r="U365"/>
    </row>
    <row r="366" spans="1:21" x14ac:dyDescent="0.2">
      <c r="A366">
        <v>889261</v>
      </c>
      <c r="B366" t="s">
        <v>545</v>
      </c>
      <c r="C366">
        <v>3</v>
      </c>
      <c r="D366">
        <v>5</v>
      </c>
      <c r="E366">
        <v>3</v>
      </c>
      <c r="F366">
        <v>2</v>
      </c>
      <c r="G366">
        <v>12</v>
      </c>
      <c r="H366">
        <v>58</v>
      </c>
      <c r="I366">
        <v>85</v>
      </c>
      <c r="J366">
        <v>13.1</v>
      </c>
      <c r="K366">
        <v>0.56999999999999995</v>
      </c>
      <c r="L366">
        <v>1.86</v>
      </c>
      <c r="M366">
        <v>21.4</v>
      </c>
      <c r="N366">
        <v>0.8</v>
      </c>
      <c r="O366" t="s">
        <v>692</v>
      </c>
      <c r="P366" s="368" t="s">
        <v>1259</v>
      </c>
      <c r="Q366" t="s">
        <v>46</v>
      </c>
      <c r="R366" t="s">
        <v>1260</v>
      </c>
      <c r="S366" t="s">
        <v>174</v>
      </c>
      <c r="T366" t="s">
        <v>204</v>
      </c>
      <c r="U366"/>
    </row>
    <row r="367" spans="1:21" x14ac:dyDescent="0.2">
      <c r="A367">
        <v>184416</v>
      </c>
      <c r="B367" t="s">
        <v>228</v>
      </c>
      <c r="C367">
        <v>-11</v>
      </c>
      <c r="D367">
        <v>7</v>
      </c>
      <c r="E367">
        <v>-3</v>
      </c>
      <c r="F367">
        <v>-7</v>
      </c>
      <c r="G367">
        <v>3</v>
      </c>
      <c r="H367">
        <v>-1</v>
      </c>
      <c r="I367">
        <v>33</v>
      </c>
      <c r="J367">
        <v>5.8</v>
      </c>
      <c r="K367">
        <v>0.56999999999999995</v>
      </c>
      <c r="L367">
        <v>1.57</v>
      </c>
      <c r="M367">
        <v>19.3</v>
      </c>
      <c r="N367">
        <v>0.1</v>
      </c>
      <c r="O367" t="s">
        <v>641</v>
      </c>
      <c r="P367" s="368" t="s">
        <v>675</v>
      </c>
      <c r="Q367" t="s">
        <v>154</v>
      </c>
      <c r="R367" t="s">
        <v>713</v>
      </c>
      <c r="S367" t="s">
        <v>168</v>
      </c>
      <c r="T367" t="s">
        <v>156</v>
      </c>
      <c r="U367"/>
    </row>
    <row r="368" spans="1:21" x14ac:dyDescent="0.2">
      <c r="A368">
        <v>529016</v>
      </c>
      <c r="B368" t="s">
        <v>406</v>
      </c>
      <c r="C368">
        <v>-7</v>
      </c>
      <c r="D368">
        <v>4</v>
      </c>
      <c r="E368">
        <v>-2</v>
      </c>
      <c r="F368">
        <v>-6</v>
      </c>
      <c r="G368">
        <v>2</v>
      </c>
      <c r="H368">
        <v>8</v>
      </c>
      <c r="I368">
        <v>23</v>
      </c>
      <c r="J368">
        <v>4.2</v>
      </c>
      <c r="K368">
        <v>0.56999999999999995</v>
      </c>
      <c r="L368">
        <v>1.86</v>
      </c>
      <c r="M368">
        <v>13.8</v>
      </c>
      <c r="N368">
        <v>0.3</v>
      </c>
      <c r="O368" t="s">
        <v>655</v>
      </c>
      <c r="P368" s="368" t="s">
        <v>1011</v>
      </c>
      <c r="Q368" t="s">
        <v>46</v>
      </c>
      <c r="R368" t="s">
        <v>1012</v>
      </c>
      <c r="S368" t="s">
        <v>174</v>
      </c>
      <c r="T368" t="s">
        <v>185</v>
      </c>
      <c r="U368"/>
    </row>
    <row r="369" spans="1:21" x14ac:dyDescent="0.2">
      <c r="A369">
        <v>768499</v>
      </c>
      <c r="B369" t="s">
        <v>1474</v>
      </c>
      <c r="C369">
        <v>-26</v>
      </c>
      <c r="D369">
        <v>-8</v>
      </c>
      <c r="E369">
        <v>-24</v>
      </c>
      <c r="F369">
        <v>-27</v>
      </c>
      <c r="G369">
        <v>-28</v>
      </c>
      <c r="H369">
        <v>-12</v>
      </c>
      <c r="I369">
        <v>6</v>
      </c>
      <c r="J369">
        <v>1.2</v>
      </c>
      <c r="K369">
        <v>0.56999999999999995</v>
      </c>
      <c r="L369">
        <v>1.96</v>
      </c>
      <c r="M369">
        <v>24.2</v>
      </c>
      <c r="N369">
        <v>0</v>
      </c>
      <c r="O369" t="s">
        <v>692</v>
      </c>
      <c r="P369" s="368" t="s">
        <v>1178</v>
      </c>
      <c r="Q369" t="s">
        <v>46</v>
      </c>
      <c r="R369" t="s">
        <v>1179</v>
      </c>
      <c r="S369" t="s">
        <v>1322</v>
      </c>
      <c r="T369" t="s">
        <v>221</v>
      </c>
      <c r="U369"/>
    </row>
    <row r="370" spans="1:21" x14ac:dyDescent="0.2">
      <c r="A370">
        <v>863522</v>
      </c>
      <c r="B370" t="s">
        <v>1531</v>
      </c>
      <c r="C370"/>
      <c r="D370">
        <v>-3</v>
      </c>
      <c r="E370">
        <v>-2</v>
      </c>
      <c r="F370"/>
      <c r="G370"/>
      <c r="H370"/>
      <c r="I370"/>
      <c r="J370"/>
      <c r="K370">
        <v>0.56999999999999995</v>
      </c>
      <c r="L370">
        <v>1.6</v>
      </c>
      <c r="M370"/>
      <c r="N370"/>
      <c r="O370" t="s">
        <v>692</v>
      </c>
      <c r="P370" s="368" t="s">
        <v>1541</v>
      </c>
      <c r="Q370" t="s">
        <v>46</v>
      </c>
      <c r="R370" t="s">
        <v>1547</v>
      </c>
      <c r="S370" t="s">
        <v>215</v>
      </c>
      <c r="T370" t="s">
        <v>177</v>
      </c>
      <c r="U370"/>
    </row>
    <row r="371" spans="1:21" x14ac:dyDescent="0.2">
      <c r="A371">
        <v>420463</v>
      </c>
      <c r="B371" t="s">
        <v>358</v>
      </c>
      <c r="C371">
        <v>2</v>
      </c>
      <c r="D371">
        <v>11</v>
      </c>
      <c r="E371">
        <v>5</v>
      </c>
      <c r="F371">
        <v>8</v>
      </c>
      <c r="G371">
        <v>14</v>
      </c>
      <c r="H371">
        <v>30</v>
      </c>
      <c r="I371">
        <v>61</v>
      </c>
      <c r="J371">
        <v>10.1</v>
      </c>
      <c r="K371">
        <v>0.57999999999999996</v>
      </c>
      <c r="L371">
        <v>1.6</v>
      </c>
      <c r="M371">
        <v>20</v>
      </c>
      <c r="N371">
        <v>0.6</v>
      </c>
      <c r="O371" t="s">
        <v>641</v>
      </c>
      <c r="P371" s="368" t="s">
        <v>923</v>
      </c>
      <c r="Q371" t="s">
        <v>46</v>
      </c>
      <c r="R371" t="s">
        <v>924</v>
      </c>
      <c r="S371" t="s">
        <v>250</v>
      </c>
      <c r="T371" t="s">
        <v>156</v>
      </c>
      <c r="U371"/>
    </row>
    <row r="372" spans="1:21" x14ac:dyDescent="0.2">
      <c r="A372">
        <v>668269</v>
      </c>
      <c r="B372" t="s">
        <v>467</v>
      </c>
      <c r="C372">
        <v>-4</v>
      </c>
      <c r="D372">
        <v>8</v>
      </c>
      <c r="E372">
        <v>5</v>
      </c>
      <c r="F372">
        <v>0</v>
      </c>
      <c r="G372">
        <v>6</v>
      </c>
      <c r="H372">
        <v>13</v>
      </c>
      <c r="I372">
        <v>55</v>
      </c>
      <c r="J372">
        <v>9.1</v>
      </c>
      <c r="K372">
        <v>0.57999999999999996</v>
      </c>
      <c r="L372">
        <v>1.6</v>
      </c>
      <c r="M372">
        <v>16.5</v>
      </c>
      <c r="N372">
        <v>0.3</v>
      </c>
      <c r="O372" t="s">
        <v>655</v>
      </c>
      <c r="P372" s="368" t="s">
        <v>1113</v>
      </c>
      <c r="Q372" t="s">
        <v>46</v>
      </c>
      <c r="R372" t="s">
        <v>1114</v>
      </c>
      <c r="S372" t="s">
        <v>250</v>
      </c>
      <c r="T372" t="s">
        <v>197</v>
      </c>
      <c r="U372"/>
    </row>
    <row r="373" spans="1:21" x14ac:dyDescent="0.2">
      <c r="A373">
        <v>793109</v>
      </c>
      <c r="B373" t="s">
        <v>510</v>
      </c>
      <c r="C373">
        <v>-13</v>
      </c>
      <c r="D373">
        <v>3</v>
      </c>
      <c r="E373">
        <v>-4</v>
      </c>
      <c r="F373">
        <v>-12</v>
      </c>
      <c r="G373">
        <v>2</v>
      </c>
      <c r="H373">
        <v>13</v>
      </c>
      <c r="I373">
        <v>37</v>
      </c>
      <c r="J373">
        <v>6.5</v>
      </c>
      <c r="K373">
        <v>0.57999999999999996</v>
      </c>
      <c r="L373">
        <v>1.6</v>
      </c>
      <c r="M373">
        <v>17.5</v>
      </c>
      <c r="N373">
        <v>0.3</v>
      </c>
      <c r="O373" t="s">
        <v>641</v>
      </c>
      <c r="P373" s="368" t="s">
        <v>1195</v>
      </c>
      <c r="Q373" t="s">
        <v>46</v>
      </c>
      <c r="R373" t="s">
        <v>1196</v>
      </c>
      <c r="S373" t="s">
        <v>250</v>
      </c>
      <c r="T373" t="s">
        <v>162</v>
      </c>
      <c r="U373"/>
    </row>
    <row r="374" spans="1:21" x14ac:dyDescent="0.2">
      <c r="A374">
        <v>220244</v>
      </c>
      <c r="B374" t="s">
        <v>247</v>
      </c>
      <c r="C374">
        <v>-6</v>
      </c>
      <c r="D374">
        <v>5</v>
      </c>
      <c r="E374">
        <v>1</v>
      </c>
      <c r="F374">
        <v>-3</v>
      </c>
      <c r="G374">
        <v>10</v>
      </c>
      <c r="H374">
        <v>7</v>
      </c>
      <c r="I374">
        <v>13</v>
      </c>
      <c r="J374">
        <v>2.5</v>
      </c>
      <c r="K374">
        <v>0.57999999999999996</v>
      </c>
      <c r="L374">
        <v>1.6</v>
      </c>
      <c r="M374">
        <v>17.2</v>
      </c>
      <c r="N374">
        <v>0.2</v>
      </c>
      <c r="O374" t="s">
        <v>641</v>
      </c>
      <c r="P374" s="368" t="s">
        <v>675</v>
      </c>
      <c r="Q374" t="s">
        <v>154</v>
      </c>
      <c r="R374" t="s">
        <v>736</v>
      </c>
      <c r="S374" t="s">
        <v>168</v>
      </c>
      <c r="T374" t="s">
        <v>209</v>
      </c>
      <c r="U374"/>
    </row>
    <row r="375" spans="1:21" x14ac:dyDescent="0.2">
      <c r="A375">
        <v>303230</v>
      </c>
      <c r="B375" t="s">
        <v>298</v>
      </c>
      <c r="C375">
        <v>32</v>
      </c>
      <c r="D375">
        <v>1</v>
      </c>
      <c r="E375">
        <v>15</v>
      </c>
      <c r="F375">
        <v>26</v>
      </c>
      <c r="G375">
        <v>22</v>
      </c>
      <c r="H375">
        <v>21</v>
      </c>
      <c r="I375">
        <v>12</v>
      </c>
      <c r="J375">
        <v>2.2999999999999998</v>
      </c>
      <c r="K375">
        <v>0.57999999999999996</v>
      </c>
      <c r="L375">
        <v>1.45</v>
      </c>
      <c r="M375">
        <v>17.8</v>
      </c>
      <c r="N375">
        <v>0.4</v>
      </c>
      <c r="O375" t="s">
        <v>692</v>
      </c>
      <c r="P375" s="368" t="s">
        <v>815</v>
      </c>
      <c r="Q375" t="s">
        <v>46</v>
      </c>
      <c r="R375" t="s">
        <v>816</v>
      </c>
      <c r="S375" t="s">
        <v>215</v>
      </c>
      <c r="T375" t="s">
        <v>177</v>
      </c>
      <c r="U375"/>
    </row>
    <row r="376" spans="1:21" x14ac:dyDescent="0.2">
      <c r="A376">
        <v>764951</v>
      </c>
      <c r="B376" t="s">
        <v>502</v>
      </c>
      <c r="C376">
        <v>-17</v>
      </c>
      <c r="D376">
        <v>0</v>
      </c>
      <c r="E376">
        <v>-11</v>
      </c>
      <c r="F376">
        <v>-14</v>
      </c>
      <c r="G376">
        <v>-4</v>
      </c>
      <c r="H376">
        <v>-7</v>
      </c>
      <c r="I376">
        <v>9</v>
      </c>
      <c r="J376">
        <v>1.6</v>
      </c>
      <c r="K376">
        <v>0.57999999999999996</v>
      </c>
      <c r="L376">
        <v>1.6</v>
      </c>
      <c r="M376">
        <v>18.7</v>
      </c>
      <c r="N376">
        <v>0</v>
      </c>
      <c r="O376" t="s">
        <v>655</v>
      </c>
      <c r="P376" s="368" t="s">
        <v>1043</v>
      </c>
      <c r="Q376" t="s">
        <v>46</v>
      </c>
      <c r="R376" t="s">
        <v>1177</v>
      </c>
      <c r="S376" t="s">
        <v>250</v>
      </c>
      <c r="T376" t="s">
        <v>185</v>
      </c>
      <c r="U376"/>
    </row>
    <row r="377" spans="1:21" x14ac:dyDescent="0.2">
      <c r="A377">
        <v>338590</v>
      </c>
      <c r="B377" t="s">
        <v>1457</v>
      </c>
      <c r="C377">
        <v>23</v>
      </c>
      <c r="D377">
        <v>0</v>
      </c>
      <c r="E377">
        <v>26</v>
      </c>
      <c r="F377">
        <v>30</v>
      </c>
      <c r="G377">
        <v>54</v>
      </c>
      <c r="H377">
        <v>41</v>
      </c>
      <c r="I377">
        <v>76</v>
      </c>
      <c r="J377">
        <v>12</v>
      </c>
      <c r="K377">
        <v>0.59</v>
      </c>
      <c r="L377">
        <v>2.0699999999999998</v>
      </c>
      <c r="M377">
        <v>29.2</v>
      </c>
      <c r="N377">
        <v>0.5</v>
      </c>
      <c r="O377" t="s">
        <v>692</v>
      </c>
      <c r="P377" s="368" t="s">
        <v>693</v>
      </c>
      <c r="Q377" t="s">
        <v>46</v>
      </c>
      <c r="R377" t="s">
        <v>853</v>
      </c>
      <c r="S377" t="s">
        <v>1322</v>
      </c>
      <c r="T377" t="s">
        <v>163</v>
      </c>
      <c r="U377"/>
    </row>
    <row r="378" spans="1:21" x14ac:dyDescent="0.2">
      <c r="A378">
        <v>616797</v>
      </c>
      <c r="B378" t="s">
        <v>445</v>
      </c>
      <c r="C378">
        <v>-8</v>
      </c>
      <c r="D378">
        <v>0</v>
      </c>
      <c r="E378">
        <v>-3</v>
      </c>
      <c r="F378">
        <v>-8</v>
      </c>
      <c r="G378">
        <v>3</v>
      </c>
      <c r="H378">
        <v>29</v>
      </c>
      <c r="I378">
        <v>50</v>
      </c>
      <c r="J378">
        <v>8.5</v>
      </c>
      <c r="K378">
        <v>0.59</v>
      </c>
      <c r="L378">
        <v>1.42</v>
      </c>
      <c r="M378">
        <v>18.2</v>
      </c>
      <c r="N378">
        <v>0.6</v>
      </c>
      <c r="O378" t="s">
        <v>692</v>
      </c>
      <c r="P378" s="368" t="s">
        <v>683</v>
      </c>
      <c r="Q378" t="s">
        <v>46</v>
      </c>
      <c r="R378" t="s">
        <v>1076</v>
      </c>
      <c r="S378" t="s">
        <v>206</v>
      </c>
      <c r="T378" t="s">
        <v>204</v>
      </c>
      <c r="U378"/>
    </row>
    <row r="379" spans="1:21" x14ac:dyDescent="0.2">
      <c r="A379">
        <v>553578</v>
      </c>
      <c r="B379" t="s">
        <v>1339</v>
      </c>
      <c r="C379">
        <v>-2</v>
      </c>
      <c r="D379">
        <v>4</v>
      </c>
      <c r="E379">
        <v>1</v>
      </c>
      <c r="F379">
        <v>0</v>
      </c>
      <c r="G379">
        <v>13</v>
      </c>
      <c r="H379">
        <v>26</v>
      </c>
      <c r="I379">
        <v>40</v>
      </c>
      <c r="J379">
        <v>6.9</v>
      </c>
      <c r="K379">
        <v>0.59</v>
      </c>
      <c r="L379">
        <v>2.0699999999999998</v>
      </c>
      <c r="M379">
        <v>15.1</v>
      </c>
      <c r="N379">
        <v>0.6</v>
      </c>
      <c r="O379" t="s">
        <v>692</v>
      </c>
      <c r="P379" s="368" t="s">
        <v>693</v>
      </c>
      <c r="Q379" t="s">
        <v>46</v>
      </c>
      <c r="R379" t="s">
        <v>1028</v>
      </c>
      <c r="S379" t="s">
        <v>1322</v>
      </c>
      <c r="T379" t="s">
        <v>163</v>
      </c>
      <c r="U379"/>
    </row>
    <row r="380" spans="1:21" x14ac:dyDescent="0.2">
      <c r="A380">
        <v>477729</v>
      </c>
      <c r="B380" t="s">
        <v>1336</v>
      </c>
      <c r="C380">
        <v>-6</v>
      </c>
      <c r="D380">
        <v>-3</v>
      </c>
      <c r="E380">
        <v>-2</v>
      </c>
      <c r="F380">
        <v>-3</v>
      </c>
      <c r="G380">
        <v>7</v>
      </c>
      <c r="H380">
        <v>25</v>
      </c>
      <c r="I380">
        <v>36</v>
      </c>
      <c r="J380">
        <v>6.3</v>
      </c>
      <c r="K380">
        <v>0.59</v>
      </c>
      <c r="L380">
        <v>1.7</v>
      </c>
      <c r="M380">
        <v>15.4</v>
      </c>
      <c r="N380">
        <v>0.6</v>
      </c>
      <c r="O380" t="s">
        <v>692</v>
      </c>
      <c r="P380" s="368" t="s">
        <v>785</v>
      </c>
      <c r="Q380" t="s">
        <v>46</v>
      </c>
      <c r="R380" t="s">
        <v>958</v>
      </c>
      <c r="S380" t="s">
        <v>608</v>
      </c>
      <c r="T380" t="s">
        <v>263</v>
      </c>
      <c r="U380"/>
    </row>
    <row r="381" spans="1:21" x14ac:dyDescent="0.2">
      <c r="A381">
        <v>334409</v>
      </c>
      <c r="B381" t="s">
        <v>1332</v>
      </c>
      <c r="C381">
        <v>-2</v>
      </c>
      <c r="D381">
        <v>-5</v>
      </c>
      <c r="E381">
        <v>-2</v>
      </c>
      <c r="F381">
        <v>3</v>
      </c>
      <c r="G381">
        <v>16</v>
      </c>
      <c r="H381">
        <v>34</v>
      </c>
      <c r="I381">
        <v>26</v>
      </c>
      <c r="J381">
        <v>4.7</v>
      </c>
      <c r="K381">
        <v>0.59</v>
      </c>
      <c r="L381">
        <v>1.7</v>
      </c>
      <c r="M381">
        <v>16.600000000000001</v>
      </c>
      <c r="N381">
        <v>0.7</v>
      </c>
      <c r="O381" t="s">
        <v>692</v>
      </c>
      <c r="P381" s="368" t="s">
        <v>785</v>
      </c>
      <c r="Q381" t="s">
        <v>46</v>
      </c>
      <c r="R381" t="s">
        <v>849</v>
      </c>
      <c r="S381" t="s">
        <v>608</v>
      </c>
      <c r="T381" t="s">
        <v>257</v>
      </c>
      <c r="U381"/>
    </row>
    <row r="382" spans="1:21" x14ac:dyDescent="0.2">
      <c r="A382">
        <v>481911</v>
      </c>
      <c r="B382" t="s">
        <v>1463</v>
      </c>
      <c r="C382">
        <v>-6</v>
      </c>
      <c r="D382">
        <v>2</v>
      </c>
      <c r="E382">
        <v>9</v>
      </c>
      <c r="F382">
        <v>0</v>
      </c>
      <c r="G382">
        <v>6</v>
      </c>
      <c r="H382">
        <v>28</v>
      </c>
      <c r="I382">
        <v>24</v>
      </c>
      <c r="J382">
        <v>4.4000000000000004</v>
      </c>
      <c r="K382">
        <v>0.59</v>
      </c>
      <c r="L382">
        <v>2.0699999999999998</v>
      </c>
      <c r="M382">
        <v>22</v>
      </c>
      <c r="N382">
        <v>0.5</v>
      </c>
      <c r="O382" t="s">
        <v>692</v>
      </c>
      <c r="P382" s="368" t="s">
        <v>693</v>
      </c>
      <c r="Q382" t="s">
        <v>46</v>
      </c>
      <c r="R382" t="s">
        <v>968</v>
      </c>
      <c r="S382" t="s">
        <v>1322</v>
      </c>
      <c r="T382" t="s">
        <v>163</v>
      </c>
      <c r="U382"/>
    </row>
    <row r="383" spans="1:21" x14ac:dyDescent="0.2">
      <c r="A383">
        <v>810465</v>
      </c>
      <c r="B383" t="s">
        <v>1529</v>
      </c>
      <c r="C383">
        <v>-12</v>
      </c>
      <c r="D383">
        <v>-1</v>
      </c>
      <c r="E383">
        <v>-5</v>
      </c>
      <c r="F383">
        <v>-11</v>
      </c>
      <c r="G383">
        <v>-2</v>
      </c>
      <c r="H383">
        <v>8</v>
      </c>
      <c r="I383">
        <v>18</v>
      </c>
      <c r="J383">
        <v>3.3</v>
      </c>
      <c r="K383">
        <v>0.59</v>
      </c>
      <c r="L383">
        <v>1.64</v>
      </c>
      <c r="M383">
        <v>13.1</v>
      </c>
      <c r="N383">
        <v>0.3</v>
      </c>
      <c r="O383" t="s">
        <v>655</v>
      </c>
      <c r="P383" s="368" t="s">
        <v>1199</v>
      </c>
      <c r="Q383" t="s">
        <v>46</v>
      </c>
      <c r="R383" t="s">
        <v>1200</v>
      </c>
      <c r="S383" t="s">
        <v>223</v>
      </c>
      <c r="T383" t="s">
        <v>185</v>
      </c>
      <c r="U383"/>
    </row>
    <row r="384" spans="1:21" x14ac:dyDescent="0.2">
      <c r="A384">
        <v>344739</v>
      </c>
      <c r="B384" t="s">
        <v>615</v>
      </c>
      <c r="C384">
        <v>-10</v>
      </c>
      <c r="D384">
        <v>3</v>
      </c>
      <c r="E384">
        <v>-4</v>
      </c>
      <c r="F384">
        <v>-8</v>
      </c>
      <c r="G384">
        <v>1</v>
      </c>
      <c r="H384">
        <v>0</v>
      </c>
      <c r="I384">
        <v>16</v>
      </c>
      <c r="J384">
        <v>3</v>
      </c>
      <c r="K384">
        <v>0.59</v>
      </c>
      <c r="L384">
        <v>1.4</v>
      </c>
      <c r="M384">
        <v>15.7</v>
      </c>
      <c r="N384">
        <v>0.1</v>
      </c>
      <c r="O384" t="s">
        <v>641</v>
      </c>
      <c r="P384" s="368" t="s">
        <v>823</v>
      </c>
      <c r="Q384" t="s">
        <v>154</v>
      </c>
      <c r="R384" t="s">
        <v>860</v>
      </c>
      <c r="S384" t="s">
        <v>304</v>
      </c>
      <c r="T384" t="s">
        <v>209</v>
      </c>
      <c r="U384"/>
    </row>
    <row r="385" spans="1:21" x14ac:dyDescent="0.2">
      <c r="A385">
        <v>235291</v>
      </c>
      <c r="B385" t="s">
        <v>1326</v>
      </c>
      <c r="C385">
        <v>-36</v>
      </c>
      <c r="D385">
        <v>-1</v>
      </c>
      <c r="E385">
        <v>-24</v>
      </c>
      <c r="F385">
        <v>-31</v>
      </c>
      <c r="G385">
        <v>-29</v>
      </c>
      <c r="H385">
        <v>-14</v>
      </c>
      <c r="I385">
        <v>-15</v>
      </c>
      <c r="J385">
        <v>-3.1</v>
      </c>
      <c r="K385">
        <v>0.59</v>
      </c>
      <c r="L385">
        <v>1.7</v>
      </c>
      <c r="M385">
        <v>25.5</v>
      </c>
      <c r="N385">
        <v>0</v>
      </c>
      <c r="O385" t="s">
        <v>692</v>
      </c>
      <c r="P385" s="368" t="s">
        <v>748</v>
      </c>
      <c r="Q385" t="s">
        <v>46</v>
      </c>
      <c r="R385" t="s">
        <v>749</v>
      </c>
      <c r="S385" t="s">
        <v>608</v>
      </c>
      <c r="T385" t="s">
        <v>239</v>
      </c>
      <c r="U385"/>
    </row>
    <row r="386" spans="1:21" x14ac:dyDescent="0.2">
      <c r="A386">
        <v>517748</v>
      </c>
      <c r="B386" t="s">
        <v>1465</v>
      </c>
      <c r="C386">
        <v>-32</v>
      </c>
      <c r="D386">
        <v>-4</v>
      </c>
      <c r="E386">
        <v>-15</v>
      </c>
      <c r="F386">
        <v>-30</v>
      </c>
      <c r="G386">
        <v>-30</v>
      </c>
      <c r="H386">
        <v>-24</v>
      </c>
      <c r="I386">
        <v>-38</v>
      </c>
      <c r="J386">
        <v>-9.1</v>
      </c>
      <c r="K386">
        <v>0.59</v>
      </c>
      <c r="L386">
        <v>2.06</v>
      </c>
      <c r="M386">
        <v>27.3</v>
      </c>
      <c r="N386">
        <v>-0.2</v>
      </c>
      <c r="O386" t="s">
        <v>692</v>
      </c>
      <c r="P386" s="368" t="s">
        <v>693</v>
      </c>
      <c r="Q386" t="s">
        <v>46</v>
      </c>
      <c r="R386" t="s">
        <v>1000</v>
      </c>
      <c r="S386" t="s">
        <v>1322</v>
      </c>
      <c r="T386" t="s">
        <v>163</v>
      </c>
      <c r="U386"/>
    </row>
    <row r="387" spans="1:21" x14ac:dyDescent="0.2">
      <c r="A387">
        <v>116293</v>
      </c>
      <c r="B387" t="s">
        <v>173</v>
      </c>
      <c r="C387">
        <v>-12</v>
      </c>
      <c r="D387">
        <v>4</v>
      </c>
      <c r="E387">
        <v>-7</v>
      </c>
      <c r="F387">
        <v>-10</v>
      </c>
      <c r="G387">
        <v>1</v>
      </c>
      <c r="H387">
        <v>9</v>
      </c>
      <c r="I387">
        <v>21</v>
      </c>
      <c r="J387">
        <v>4</v>
      </c>
      <c r="K387">
        <v>0.6</v>
      </c>
      <c r="L387">
        <v>1.99</v>
      </c>
      <c r="M387">
        <v>17.5</v>
      </c>
      <c r="N387">
        <v>0.3</v>
      </c>
      <c r="O387" t="s">
        <v>655</v>
      </c>
      <c r="P387" s="368" t="s">
        <v>656</v>
      </c>
      <c r="Q387" t="s">
        <v>46</v>
      </c>
      <c r="R387" t="s">
        <v>657</v>
      </c>
      <c r="S387" t="s">
        <v>174</v>
      </c>
      <c r="T387" t="s">
        <v>175</v>
      </c>
      <c r="U387"/>
    </row>
    <row r="388" spans="1:21" x14ac:dyDescent="0.2">
      <c r="A388">
        <v>987784</v>
      </c>
      <c r="B388" t="s">
        <v>1347</v>
      </c>
      <c r="C388">
        <v>-26</v>
      </c>
      <c r="D388">
        <v>3</v>
      </c>
      <c r="E388">
        <v>-13</v>
      </c>
      <c r="F388">
        <v>-25</v>
      </c>
      <c r="G388">
        <v>-17</v>
      </c>
      <c r="H388">
        <v>1</v>
      </c>
      <c r="I388">
        <v>12</v>
      </c>
      <c r="J388">
        <v>2.2000000000000002</v>
      </c>
      <c r="K388">
        <v>0.6</v>
      </c>
      <c r="L388">
        <v>2.1</v>
      </c>
      <c r="M388">
        <v>20.6</v>
      </c>
      <c r="N388">
        <v>0.1</v>
      </c>
      <c r="O388" t="s">
        <v>655</v>
      </c>
      <c r="P388" s="368" t="s">
        <v>693</v>
      </c>
      <c r="Q388" t="s">
        <v>46</v>
      </c>
      <c r="R388" t="s">
        <v>1313</v>
      </c>
      <c r="S388" t="s">
        <v>1322</v>
      </c>
      <c r="T388" t="s">
        <v>335</v>
      </c>
      <c r="U388"/>
    </row>
    <row r="389" spans="1:21" x14ac:dyDescent="0.2">
      <c r="A389">
        <v>401810</v>
      </c>
      <c r="B389" t="s">
        <v>348</v>
      </c>
      <c r="C389">
        <v>-19</v>
      </c>
      <c r="D389">
        <v>-2</v>
      </c>
      <c r="E389">
        <v>-14</v>
      </c>
      <c r="F389">
        <v>-19</v>
      </c>
      <c r="G389">
        <v>-18</v>
      </c>
      <c r="H389">
        <v>1</v>
      </c>
      <c r="I389">
        <v>6</v>
      </c>
      <c r="J389">
        <v>1.1000000000000001</v>
      </c>
      <c r="K389">
        <v>0.6</v>
      </c>
      <c r="L389">
        <v>1.44</v>
      </c>
      <c r="M389">
        <v>16.899999999999999</v>
      </c>
      <c r="N389">
        <v>0.1</v>
      </c>
      <c r="O389" t="s">
        <v>692</v>
      </c>
      <c r="P389" s="368" t="s">
        <v>683</v>
      </c>
      <c r="Q389" t="s">
        <v>46</v>
      </c>
      <c r="R389" t="s">
        <v>902</v>
      </c>
      <c r="S389" t="s">
        <v>206</v>
      </c>
      <c r="T389" t="s">
        <v>263</v>
      </c>
      <c r="U389"/>
    </row>
    <row r="390" spans="1:21" x14ac:dyDescent="0.2">
      <c r="A390">
        <v>661066</v>
      </c>
      <c r="B390" t="s">
        <v>1472</v>
      </c>
      <c r="C390">
        <v>-40</v>
      </c>
      <c r="D390">
        <v>1</v>
      </c>
      <c r="E390">
        <v>-28</v>
      </c>
      <c r="F390">
        <v>-34</v>
      </c>
      <c r="G390">
        <v>-34</v>
      </c>
      <c r="H390">
        <v>-14</v>
      </c>
      <c r="I390">
        <v>-8</v>
      </c>
      <c r="J390">
        <v>-1.8</v>
      </c>
      <c r="K390">
        <v>0.6</v>
      </c>
      <c r="L390">
        <v>2.08</v>
      </c>
      <c r="M390">
        <v>28.4</v>
      </c>
      <c r="N390">
        <v>0</v>
      </c>
      <c r="O390" t="s">
        <v>692</v>
      </c>
      <c r="P390" s="368" t="s">
        <v>693</v>
      </c>
      <c r="Q390" t="s">
        <v>46</v>
      </c>
      <c r="R390" t="s">
        <v>1106</v>
      </c>
      <c r="S390" t="s">
        <v>1322</v>
      </c>
      <c r="T390" t="s">
        <v>239</v>
      </c>
      <c r="U390"/>
    </row>
    <row r="391" spans="1:21" x14ac:dyDescent="0.2">
      <c r="A391">
        <v>407775</v>
      </c>
      <c r="B391" t="s">
        <v>1379</v>
      </c>
      <c r="C391">
        <v>-2</v>
      </c>
      <c r="D391">
        <v>-1</v>
      </c>
      <c r="E391">
        <v>0</v>
      </c>
      <c r="F391">
        <v>-2</v>
      </c>
      <c r="G391">
        <v>9</v>
      </c>
      <c r="H391">
        <v>43</v>
      </c>
      <c r="I391">
        <v>57</v>
      </c>
      <c r="J391">
        <v>9.5</v>
      </c>
      <c r="K391">
        <v>0.61</v>
      </c>
      <c r="L391">
        <v>1.69</v>
      </c>
      <c r="M391">
        <v>16.399999999999999</v>
      </c>
      <c r="N391">
        <v>0.8</v>
      </c>
      <c r="O391" t="s">
        <v>692</v>
      </c>
      <c r="P391" s="368" t="s">
        <v>850</v>
      </c>
      <c r="Q391" t="s">
        <v>46</v>
      </c>
      <c r="R391" t="s">
        <v>909</v>
      </c>
      <c r="S391" t="s">
        <v>233</v>
      </c>
      <c r="T391" t="s">
        <v>204</v>
      </c>
      <c r="U391"/>
    </row>
    <row r="392" spans="1:21" x14ac:dyDescent="0.2">
      <c r="A392">
        <v>192146</v>
      </c>
      <c r="B392" t="s">
        <v>1373</v>
      </c>
      <c r="C392">
        <v>-3</v>
      </c>
      <c r="D392">
        <v>6</v>
      </c>
      <c r="E392">
        <v>11</v>
      </c>
      <c r="F392">
        <v>-5</v>
      </c>
      <c r="G392">
        <v>8</v>
      </c>
      <c r="H392">
        <v>28</v>
      </c>
      <c r="I392">
        <v>49</v>
      </c>
      <c r="J392">
        <v>8.3000000000000007</v>
      </c>
      <c r="K392">
        <v>0.61</v>
      </c>
      <c r="L392">
        <v>1.68</v>
      </c>
      <c r="M392">
        <v>15.3</v>
      </c>
      <c r="N392">
        <v>0.6</v>
      </c>
      <c r="O392" t="s">
        <v>705</v>
      </c>
      <c r="P392" s="368" t="s">
        <v>670</v>
      </c>
      <c r="Q392" t="s">
        <v>46</v>
      </c>
      <c r="R392" t="s">
        <v>721</v>
      </c>
      <c r="S392" t="s">
        <v>233</v>
      </c>
      <c r="T392" t="s">
        <v>214</v>
      </c>
      <c r="U392"/>
    </row>
    <row r="393" spans="1:21" x14ac:dyDescent="0.2">
      <c r="A393">
        <v>728824</v>
      </c>
      <c r="B393" t="s">
        <v>490</v>
      </c>
      <c r="C393">
        <v>-3</v>
      </c>
      <c r="D393">
        <v>0</v>
      </c>
      <c r="E393">
        <v>0</v>
      </c>
      <c r="F393">
        <v>-4</v>
      </c>
      <c r="G393">
        <v>4</v>
      </c>
      <c r="H393">
        <v>23</v>
      </c>
      <c r="I393">
        <v>42</v>
      </c>
      <c r="J393">
        <v>7.3</v>
      </c>
      <c r="K393">
        <v>0.61</v>
      </c>
      <c r="L393">
        <v>1.55</v>
      </c>
      <c r="M393">
        <v>12.5</v>
      </c>
      <c r="N393">
        <v>0.6</v>
      </c>
      <c r="O393" t="s">
        <v>692</v>
      </c>
      <c r="P393" s="368" t="s">
        <v>1157</v>
      </c>
      <c r="Q393" t="s">
        <v>46</v>
      </c>
      <c r="R393" t="s">
        <v>1158</v>
      </c>
      <c r="S393" t="s">
        <v>215</v>
      </c>
      <c r="T393" t="s">
        <v>162</v>
      </c>
      <c r="U393"/>
    </row>
    <row r="394" spans="1:21" x14ac:dyDescent="0.2">
      <c r="A394">
        <v>865063</v>
      </c>
      <c r="B394" t="s">
        <v>1389</v>
      </c>
      <c r="C394">
        <v>-2</v>
      </c>
      <c r="D394">
        <v>3</v>
      </c>
      <c r="E394">
        <v>1</v>
      </c>
      <c r="F394">
        <v>-1</v>
      </c>
      <c r="G394">
        <v>8</v>
      </c>
      <c r="H394">
        <v>33</v>
      </c>
      <c r="I394">
        <v>40</v>
      </c>
      <c r="J394">
        <v>6.9</v>
      </c>
      <c r="K394">
        <v>0.61</v>
      </c>
      <c r="L394">
        <v>1.69</v>
      </c>
      <c r="M394">
        <v>13.9</v>
      </c>
      <c r="N394">
        <v>0.8</v>
      </c>
      <c r="O394" t="s">
        <v>655</v>
      </c>
      <c r="P394" s="368" t="s">
        <v>850</v>
      </c>
      <c r="Q394" t="s">
        <v>46</v>
      </c>
      <c r="R394" t="s">
        <v>1243</v>
      </c>
      <c r="S394" t="s">
        <v>233</v>
      </c>
      <c r="T394" t="s">
        <v>185</v>
      </c>
      <c r="U394"/>
    </row>
    <row r="395" spans="1:21" x14ac:dyDescent="0.2">
      <c r="A395">
        <v>294322</v>
      </c>
      <c r="B395" t="s">
        <v>292</v>
      </c>
      <c r="C395">
        <v>-10</v>
      </c>
      <c r="D395">
        <v>1</v>
      </c>
      <c r="E395">
        <v>-5</v>
      </c>
      <c r="F395">
        <v>-11</v>
      </c>
      <c r="G395">
        <v>-1</v>
      </c>
      <c r="H395">
        <v>18</v>
      </c>
      <c r="I395">
        <v>33</v>
      </c>
      <c r="J395">
        <v>5.8</v>
      </c>
      <c r="K395">
        <v>0.61</v>
      </c>
      <c r="L395">
        <v>1.45</v>
      </c>
      <c r="M395">
        <v>16.5</v>
      </c>
      <c r="N395">
        <v>0.4</v>
      </c>
      <c r="O395" t="s">
        <v>692</v>
      </c>
      <c r="P395" s="368" t="s">
        <v>683</v>
      </c>
      <c r="Q395" t="s">
        <v>46</v>
      </c>
      <c r="R395" t="s">
        <v>805</v>
      </c>
      <c r="S395" t="s">
        <v>206</v>
      </c>
      <c r="T395" t="s">
        <v>162</v>
      </c>
      <c r="U395"/>
    </row>
    <row r="396" spans="1:21" x14ac:dyDescent="0.2">
      <c r="A396">
        <v>757575</v>
      </c>
      <c r="B396" t="s">
        <v>1386</v>
      </c>
      <c r="C396">
        <v>2</v>
      </c>
      <c r="D396">
        <v>4</v>
      </c>
      <c r="E396">
        <v>8</v>
      </c>
      <c r="F396">
        <v>1</v>
      </c>
      <c r="G396">
        <v>15</v>
      </c>
      <c r="H396">
        <v>16</v>
      </c>
      <c r="I396">
        <v>32</v>
      </c>
      <c r="J396">
        <v>5.7</v>
      </c>
      <c r="K396">
        <v>0.61</v>
      </c>
      <c r="L396">
        <v>1.68</v>
      </c>
      <c r="M396">
        <v>14.3</v>
      </c>
      <c r="N396">
        <v>0.4</v>
      </c>
      <c r="O396" t="s">
        <v>705</v>
      </c>
      <c r="P396" s="368" t="s">
        <v>850</v>
      </c>
      <c r="Q396" t="s">
        <v>46</v>
      </c>
      <c r="R396" t="s">
        <v>1175</v>
      </c>
      <c r="S396" t="s">
        <v>233</v>
      </c>
      <c r="T396" t="s">
        <v>214</v>
      </c>
      <c r="U396"/>
    </row>
    <row r="397" spans="1:21" x14ac:dyDescent="0.2">
      <c r="A397">
        <v>367698</v>
      </c>
      <c r="B397" t="s">
        <v>1376</v>
      </c>
      <c r="C397">
        <v>-2</v>
      </c>
      <c r="D397">
        <v>3</v>
      </c>
      <c r="E397">
        <v>2</v>
      </c>
      <c r="F397">
        <v>0</v>
      </c>
      <c r="G397">
        <v>9</v>
      </c>
      <c r="H397">
        <v>31</v>
      </c>
      <c r="I397">
        <v>32</v>
      </c>
      <c r="J397">
        <v>5.6</v>
      </c>
      <c r="K397">
        <v>0.61</v>
      </c>
      <c r="L397">
        <v>1.69</v>
      </c>
      <c r="M397">
        <v>14</v>
      </c>
      <c r="N397">
        <v>0.7</v>
      </c>
      <c r="O397" t="s">
        <v>655</v>
      </c>
      <c r="P397" s="368" t="s">
        <v>850</v>
      </c>
      <c r="Q397" t="s">
        <v>46</v>
      </c>
      <c r="R397" t="s">
        <v>875</v>
      </c>
      <c r="S397" t="s">
        <v>233</v>
      </c>
      <c r="T397" t="s">
        <v>185</v>
      </c>
      <c r="U397"/>
    </row>
    <row r="398" spans="1:21" x14ac:dyDescent="0.2">
      <c r="A398">
        <v>151001</v>
      </c>
      <c r="B398" t="s">
        <v>205</v>
      </c>
      <c r="C398">
        <v>-18</v>
      </c>
      <c r="D398">
        <v>2</v>
      </c>
      <c r="E398">
        <v>-12</v>
      </c>
      <c r="F398">
        <v>-18</v>
      </c>
      <c r="G398">
        <v>-10</v>
      </c>
      <c r="H398">
        <v>-12</v>
      </c>
      <c r="I398">
        <v>1</v>
      </c>
      <c r="J398">
        <v>0.1</v>
      </c>
      <c r="K398">
        <v>0.61</v>
      </c>
      <c r="L398">
        <v>1.47</v>
      </c>
      <c r="M398">
        <v>16.3</v>
      </c>
      <c r="N398">
        <v>-0.2</v>
      </c>
      <c r="O398" t="s">
        <v>655</v>
      </c>
      <c r="P398" s="368" t="s">
        <v>683</v>
      </c>
      <c r="Q398" t="s">
        <v>46</v>
      </c>
      <c r="R398" t="s">
        <v>684</v>
      </c>
      <c r="S398" t="s">
        <v>206</v>
      </c>
      <c r="T398" t="s">
        <v>185</v>
      </c>
      <c r="U398"/>
    </row>
    <row r="399" spans="1:21" x14ac:dyDescent="0.2">
      <c r="A399">
        <v>473470</v>
      </c>
      <c r="B399" t="s">
        <v>379</v>
      </c>
      <c r="C399">
        <v>-20</v>
      </c>
      <c r="D399">
        <v>-2</v>
      </c>
      <c r="E399">
        <v>-13</v>
      </c>
      <c r="F399">
        <v>-19</v>
      </c>
      <c r="G399">
        <v>-13</v>
      </c>
      <c r="H399">
        <v>-12</v>
      </c>
      <c r="I399">
        <v>-9</v>
      </c>
      <c r="J399">
        <v>-1.8</v>
      </c>
      <c r="K399">
        <v>0.61</v>
      </c>
      <c r="L399">
        <v>1.47</v>
      </c>
      <c r="M399">
        <v>15.6</v>
      </c>
      <c r="N399">
        <v>-0.2</v>
      </c>
      <c r="O399" t="s">
        <v>655</v>
      </c>
      <c r="P399" s="368" t="s">
        <v>785</v>
      </c>
      <c r="Q399" t="s">
        <v>46</v>
      </c>
      <c r="R399" t="s">
        <v>955</v>
      </c>
      <c r="S399" t="s">
        <v>206</v>
      </c>
      <c r="T399" t="s">
        <v>185</v>
      </c>
      <c r="U399"/>
    </row>
    <row r="400" spans="1:21" x14ac:dyDescent="0.2">
      <c r="A400">
        <v>282632</v>
      </c>
      <c r="B400" t="s">
        <v>590</v>
      </c>
      <c r="C400">
        <v>-5</v>
      </c>
      <c r="D400">
        <v>2</v>
      </c>
      <c r="E400">
        <v>-1</v>
      </c>
      <c r="F400">
        <v>-4</v>
      </c>
      <c r="G400">
        <v>8</v>
      </c>
      <c r="H400">
        <v>32</v>
      </c>
      <c r="I400">
        <v>57</v>
      </c>
      <c r="J400">
        <v>9.4</v>
      </c>
      <c r="K400">
        <v>0.62</v>
      </c>
      <c r="L400">
        <v>1.5</v>
      </c>
      <c r="M400">
        <v>16</v>
      </c>
      <c r="N400">
        <v>0.7</v>
      </c>
      <c r="O400" t="s">
        <v>646</v>
      </c>
      <c r="P400" s="368" t="s">
        <v>794</v>
      </c>
      <c r="Q400" t="s">
        <v>46</v>
      </c>
      <c r="R400" t="s">
        <v>795</v>
      </c>
      <c r="S400" t="s">
        <v>171</v>
      </c>
      <c r="T400" t="s">
        <v>162</v>
      </c>
      <c r="U400"/>
    </row>
    <row r="401" spans="1:21" x14ac:dyDescent="0.2">
      <c r="A401">
        <v>360495</v>
      </c>
      <c r="B401" t="s">
        <v>594</v>
      </c>
      <c r="C401">
        <v>-3</v>
      </c>
      <c r="D401">
        <v>0</v>
      </c>
      <c r="E401">
        <v>1</v>
      </c>
      <c r="F401">
        <v>-3</v>
      </c>
      <c r="G401">
        <v>10</v>
      </c>
      <c r="H401">
        <v>34</v>
      </c>
      <c r="I401">
        <v>46</v>
      </c>
      <c r="J401">
        <v>7.8</v>
      </c>
      <c r="K401">
        <v>0.62</v>
      </c>
      <c r="L401">
        <v>1.5</v>
      </c>
      <c r="M401">
        <v>15.5</v>
      </c>
      <c r="N401">
        <v>0.7</v>
      </c>
      <c r="O401" t="s">
        <v>655</v>
      </c>
      <c r="P401" s="368" t="s">
        <v>839</v>
      </c>
      <c r="Q401" t="s">
        <v>46</v>
      </c>
      <c r="R401" t="s">
        <v>869</v>
      </c>
      <c r="S401" t="s">
        <v>313</v>
      </c>
      <c r="T401" t="s">
        <v>204</v>
      </c>
      <c r="U401"/>
    </row>
    <row r="402" spans="1:21" x14ac:dyDescent="0.2">
      <c r="A402">
        <v>318469</v>
      </c>
      <c r="B402" t="s">
        <v>309</v>
      </c>
      <c r="C402">
        <v>-25</v>
      </c>
      <c r="D402">
        <v>6</v>
      </c>
      <c r="E402">
        <v>-13</v>
      </c>
      <c r="F402">
        <v>-19</v>
      </c>
      <c r="G402">
        <v>-15</v>
      </c>
      <c r="H402">
        <v>12</v>
      </c>
      <c r="I402">
        <v>32</v>
      </c>
      <c r="J402">
        <v>5.6</v>
      </c>
      <c r="K402">
        <v>0.62</v>
      </c>
      <c r="L402">
        <v>1.5</v>
      </c>
      <c r="M402">
        <v>25.4</v>
      </c>
      <c r="N402">
        <v>0.3</v>
      </c>
      <c r="O402" t="s">
        <v>646</v>
      </c>
      <c r="P402" s="368" t="s">
        <v>794</v>
      </c>
      <c r="Q402" t="s">
        <v>46</v>
      </c>
      <c r="R402" t="s">
        <v>830</v>
      </c>
      <c r="S402" t="s">
        <v>171</v>
      </c>
      <c r="T402" t="s">
        <v>201</v>
      </c>
      <c r="U402"/>
    </row>
    <row r="403" spans="1:21" x14ac:dyDescent="0.2">
      <c r="A403">
        <v>354290</v>
      </c>
      <c r="B403" t="s">
        <v>325</v>
      </c>
      <c r="C403">
        <v>-17</v>
      </c>
      <c r="D403">
        <v>4</v>
      </c>
      <c r="E403">
        <v>-11</v>
      </c>
      <c r="F403">
        <v>-14</v>
      </c>
      <c r="G403">
        <v>-4</v>
      </c>
      <c r="H403">
        <v>2</v>
      </c>
      <c r="I403">
        <v>28</v>
      </c>
      <c r="J403">
        <v>5</v>
      </c>
      <c r="K403">
        <v>0.62</v>
      </c>
      <c r="L403">
        <v>1.5</v>
      </c>
      <c r="M403">
        <v>22.1</v>
      </c>
      <c r="N403">
        <v>0.1</v>
      </c>
      <c r="O403" t="s">
        <v>646</v>
      </c>
      <c r="P403" s="368" t="s">
        <v>794</v>
      </c>
      <c r="Q403" t="s">
        <v>46</v>
      </c>
      <c r="R403" t="s">
        <v>864</v>
      </c>
      <c r="S403" t="s">
        <v>171</v>
      </c>
      <c r="T403" t="s">
        <v>197</v>
      </c>
      <c r="U403"/>
    </row>
    <row r="404" spans="1:21" x14ac:dyDescent="0.2">
      <c r="A404">
        <v>780411</v>
      </c>
      <c r="B404" t="s">
        <v>506</v>
      </c>
      <c r="C404">
        <v>-13</v>
      </c>
      <c r="D404">
        <v>-1</v>
      </c>
      <c r="E404">
        <v>-12</v>
      </c>
      <c r="F404">
        <v>-12</v>
      </c>
      <c r="G404">
        <v>-6</v>
      </c>
      <c r="H404">
        <v>9</v>
      </c>
      <c r="I404">
        <v>28</v>
      </c>
      <c r="J404">
        <v>5</v>
      </c>
      <c r="K404">
        <v>0.62</v>
      </c>
      <c r="L404">
        <v>1.48</v>
      </c>
      <c r="M404">
        <v>13.4</v>
      </c>
      <c r="N404">
        <v>0.3</v>
      </c>
      <c r="O404" t="s">
        <v>655</v>
      </c>
      <c r="P404" s="368" t="s">
        <v>1186</v>
      </c>
      <c r="Q404" t="s">
        <v>46</v>
      </c>
      <c r="R404" t="s">
        <v>1187</v>
      </c>
      <c r="S404" t="s">
        <v>494</v>
      </c>
      <c r="T404" t="s">
        <v>275</v>
      </c>
      <c r="U404"/>
    </row>
    <row r="405" spans="1:21" x14ac:dyDescent="0.2">
      <c r="A405">
        <v>205832</v>
      </c>
      <c r="B405" t="s">
        <v>1374</v>
      </c>
      <c r="C405">
        <v>2</v>
      </c>
      <c r="D405">
        <v>-5</v>
      </c>
      <c r="E405">
        <v>-2</v>
      </c>
      <c r="F405"/>
      <c r="G405"/>
      <c r="H405">
        <v>21</v>
      </c>
      <c r="I405">
        <v>24</v>
      </c>
      <c r="J405">
        <v>4.3</v>
      </c>
      <c r="K405">
        <v>0.62</v>
      </c>
      <c r="L405">
        <v>1.67</v>
      </c>
      <c r="M405">
        <v>7.1</v>
      </c>
      <c r="N405">
        <v>0.9</v>
      </c>
      <c r="O405" t="s">
        <v>641</v>
      </c>
      <c r="P405" s="368" t="s">
        <v>1394</v>
      </c>
      <c r="Q405" t="s">
        <v>154</v>
      </c>
      <c r="R405" t="s">
        <v>1397</v>
      </c>
      <c r="S405" t="s">
        <v>304</v>
      </c>
      <c r="T405" t="s">
        <v>177</v>
      </c>
      <c r="U405"/>
    </row>
    <row r="406" spans="1:21" x14ac:dyDescent="0.2">
      <c r="A406">
        <v>147348</v>
      </c>
      <c r="B406" t="s">
        <v>200</v>
      </c>
      <c r="C406">
        <v>-20</v>
      </c>
      <c r="D406">
        <v>7</v>
      </c>
      <c r="E406">
        <v>-9</v>
      </c>
      <c r="F406">
        <v>-15</v>
      </c>
      <c r="G406">
        <v>-17</v>
      </c>
      <c r="H406">
        <v>4</v>
      </c>
      <c r="I406">
        <v>22</v>
      </c>
      <c r="J406">
        <v>4.0999999999999996</v>
      </c>
      <c r="K406">
        <v>0.62</v>
      </c>
      <c r="L406">
        <v>1.5</v>
      </c>
      <c r="M406">
        <v>22.4</v>
      </c>
      <c r="N406">
        <v>0.2</v>
      </c>
      <c r="O406" t="s">
        <v>646</v>
      </c>
      <c r="P406" s="368" t="s">
        <v>679</v>
      </c>
      <c r="Q406" t="s">
        <v>46</v>
      </c>
      <c r="R406" t="s">
        <v>680</v>
      </c>
      <c r="S406" t="s">
        <v>165</v>
      </c>
      <c r="T406" t="s">
        <v>201</v>
      </c>
      <c r="U406"/>
    </row>
    <row r="407" spans="1:21" x14ac:dyDescent="0.2">
      <c r="A407">
        <v>887901</v>
      </c>
      <c r="B407" t="s">
        <v>544</v>
      </c>
      <c r="C407">
        <v>-25</v>
      </c>
      <c r="D407">
        <v>-3</v>
      </c>
      <c r="E407">
        <v>-23</v>
      </c>
      <c r="F407">
        <v>-26</v>
      </c>
      <c r="G407">
        <v>-18</v>
      </c>
      <c r="H407">
        <v>-7</v>
      </c>
      <c r="I407">
        <v>2</v>
      </c>
      <c r="J407">
        <v>0.3</v>
      </c>
      <c r="K407">
        <v>0.62</v>
      </c>
      <c r="L407">
        <v>1.49</v>
      </c>
      <c r="M407">
        <v>19.600000000000001</v>
      </c>
      <c r="N407">
        <v>0</v>
      </c>
      <c r="O407" t="s">
        <v>655</v>
      </c>
      <c r="P407" s="368" t="s">
        <v>1186</v>
      </c>
      <c r="Q407" t="s">
        <v>46</v>
      </c>
      <c r="R407" t="s">
        <v>1258</v>
      </c>
      <c r="S407" t="s">
        <v>494</v>
      </c>
      <c r="T407" t="s">
        <v>275</v>
      </c>
      <c r="U407"/>
    </row>
    <row r="408" spans="1:21" x14ac:dyDescent="0.2">
      <c r="A408">
        <v>614966</v>
      </c>
      <c r="B408" t="s">
        <v>150</v>
      </c>
      <c r="C408">
        <v>3</v>
      </c>
      <c r="D408">
        <v>3</v>
      </c>
      <c r="E408">
        <v>6</v>
      </c>
      <c r="F408">
        <v>8</v>
      </c>
      <c r="G408">
        <v>28</v>
      </c>
      <c r="H408">
        <v>69</v>
      </c>
      <c r="I408">
        <v>141</v>
      </c>
      <c r="J408">
        <v>19.3</v>
      </c>
      <c r="K408">
        <v>0.63</v>
      </c>
      <c r="L408">
        <v>2.1</v>
      </c>
      <c r="M408">
        <v>23.1</v>
      </c>
      <c r="N408">
        <v>0.9</v>
      </c>
      <c r="O408" t="s">
        <v>692</v>
      </c>
      <c r="P408" s="368" t="s">
        <v>675</v>
      </c>
      <c r="Q408" t="s">
        <v>46</v>
      </c>
      <c r="R408" t="s">
        <v>1073</v>
      </c>
      <c r="S408" t="s">
        <v>174</v>
      </c>
      <c r="T408" t="s">
        <v>232</v>
      </c>
      <c r="U408"/>
    </row>
    <row r="409" spans="1:21" x14ac:dyDescent="0.2">
      <c r="A409">
        <v>626945</v>
      </c>
      <c r="B409" t="s">
        <v>448</v>
      </c>
      <c r="C409">
        <v>6</v>
      </c>
      <c r="D409">
        <v>2</v>
      </c>
      <c r="E409">
        <v>7</v>
      </c>
      <c r="F409">
        <v>7</v>
      </c>
      <c r="G409">
        <v>22</v>
      </c>
      <c r="H409">
        <v>71</v>
      </c>
      <c r="I409">
        <v>102</v>
      </c>
      <c r="J409">
        <v>15.1</v>
      </c>
      <c r="K409">
        <v>0.63</v>
      </c>
      <c r="L409">
        <v>2.11</v>
      </c>
      <c r="M409">
        <v>18.100000000000001</v>
      </c>
      <c r="N409">
        <v>1.1000000000000001</v>
      </c>
      <c r="O409" t="s">
        <v>692</v>
      </c>
      <c r="P409" s="368" t="s">
        <v>1082</v>
      </c>
      <c r="Q409" t="s">
        <v>46</v>
      </c>
      <c r="R409" t="s">
        <v>1083</v>
      </c>
      <c r="S409" t="s">
        <v>174</v>
      </c>
      <c r="T409" t="s">
        <v>204</v>
      </c>
      <c r="U409"/>
    </row>
    <row r="410" spans="1:21" x14ac:dyDescent="0.2">
      <c r="A410">
        <v>843698</v>
      </c>
      <c r="B410" t="s">
        <v>528</v>
      </c>
      <c r="C410">
        <v>-5</v>
      </c>
      <c r="D410">
        <v>-3</v>
      </c>
      <c r="E410">
        <v>-3</v>
      </c>
      <c r="F410">
        <v>-5</v>
      </c>
      <c r="G410">
        <v>4</v>
      </c>
      <c r="H410">
        <v>29</v>
      </c>
      <c r="I410">
        <v>48</v>
      </c>
      <c r="J410">
        <v>8.1</v>
      </c>
      <c r="K410">
        <v>0.63</v>
      </c>
      <c r="L410">
        <v>2.1</v>
      </c>
      <c r="M410">
        <v>15.4</v>
      </c>
      <c r="N410">
        <v>0.6</v>
      </c>
      <c r="O410" t="s">
        <v>692</v>
      </c>
      <c r="P410" s="368" t="s">
        <v>1223</v>
      </c>
      <c r="Q410" t="s">
        <v>46</v>
      </c>
      <c r="R410" t="s">
        <v>1224</v>
      </c>
      <c r="S410" t="s">
        <v>174</v>
      </c>
      <c r="T410" t="s">
        <v>263</v>
      </c>
      <c r="U410"/>
    </row>
    <row r="411" spans="1:21" x14ac:dyDescent="0.2">
      <c r="A411">
        <v>579136</v>
      </c>
      <c r="B411" t="s">
        <v>432</v>
      </c>
      <c r="C411">
        <v>3</v>
      </c>
      <c r="D411">
        <v>1</v>
      </c>
      <c r="E411">
        <v>9</v>
      </c>
      <c r="F411">
        <v>3</v>
      </c>
      <c r="G411">
        <v>20</v>
      </c>
      <c r="H411">
        <v>39</v>
      </c>
      <c r="I411">
        <v>41</v>
      </c>
      <c r="J411">
        <v>7</v>
      </c>
      <c r="K411">
        <v>0.63</v>
      </c>
      <c r="L411">
        <v>2.1</v>
      </c>
      <c r="M411">
        <v>14.7</v>
      </c>
      <c r="N411">
        <v>0.8</v>
      </c>
      <c r="O411" t="s">
        <v>692</v>
      </c>
      <c r="P411" s="368" t="s">
        <v>1053</v>
      </c>
      <c r="Q411" t="s">
        <v>46</v>
      </c>
      <c r="R411" t="s">
        <v>1054</v>
      </c>
      <c r="S411" t="s">
        <v>174</v>
      </c>
      <c r="T411" t="s">
        <v>252</v>
      </c>
      <c r="U411"/>
    </row>
    <row r="412" spans="1:21" x14ac:dyDescent="0.2">
      <c r="A412">
        <v>488932</v>
      </c>
      <c r="B412" t="s">
        <v>390</v>
      </c>
      <c r="C412">
        <v>-7</v>
      </c>
      <c r="D412">
        <v>1</v>
      </c>
      <c r="E412">
        <v>-2</v>
      </c>
      <c r="F412">
        <v>-7</v>
      </c>
      <c r="G412">
        <v>3</v>
      </c>
      <c r="H412">
        <v>28</v>
      </c>
      <c r="I412">
        <v>37</v>
      </c>
      <c r="J412">
        <v>6.5</v>
      </c>
      <c r="K412">
        <v>0.63</v>
      </c>
      <c r="L412">
        <v>2.1</v>
      </c>
      <c r="M412">
        <v>16.2</v>
      </c>
      <c r="N412">
        <v>0.6</v>
      </c>
      <c r="O412" t="s">
        <v>692</v>
      </c>
      <c r="P412" s="368" t="s">
        <v>974</v>
      </c>
      <c r="Q412" t="s">
        <v>46</v>
      </c>
      <c r="R412" t="s">
        <v>975</v>
      </c>
      <c r="S412" t="s">
        <v>174</v>
      </c>
      <c r="T412" t="s">
        <v>162</v>
      </c>
      <c r="U412"/>
    </row>
    <row r="413" spans="1:21" x14ac:dyDescent="0.2">
      <c r="A413">
        <v>772509</v>
      </c>
      <c r="B413" t="s">
        <v>504</v>
      </c>
      <c r="C413">
        <v>-10</v>
      </c>
      <c r="D413">
        <v>1</v>
      </c>
      <c r="E413">
        <v>-4</v>
      </c>
      <c r="F413">
        <v>-9</v>
      </c>
      <c r="G413">
        <v>3</v>
      </c>
      <c r="H413">
        <v>23</v>
      </c>
      <c r="I413">
        <v>36</v>
      </c>
      <c r="J413">
        <v>6.4</v>
      </c>
      <c r="K413">
        <v>0.63</v>
      </c>
      <c r="L413">
        <v>2.12</v>
      </c>
      <c r="M413">
        <v>18.100000000000001</v>
      </c>
      <c r="N413">
        <v>0.5</v>
      </c>
      <c r="O413" t="s">
        <v>655</v>
      </c>
      <c r="P413" s="368" t="s">
        <v>1183</v>
      </c>
      <c r="Q413" t="s">
        <v>46</v>
      </c>
      <c r="R413" t="s">
        <v>1184</v>
      </c>
      <c r="S413" t="s">
        <v>174</v>
      </c>
      <c r="T413" t="s">
        <v>162</v>
      </c>
      <c r="U413"/>
    </row>
    <row r="414" spans="1:21" x14ac:dyDescent="0.2">
      <c r="A414">
        <v>364158</v>
      </c>
      <c r="B414" t="s">
        <v>330</v>
      </c>
      <c r="C414">
        <v>15</v>
      </c>
      <c r="D414">
        <v>6</v>
      </c>
      <c r="E414">
        <v>15</v>
      </c>
      <c r="F414">
        <v>14</v>
      </c>
      <c r="G414">
        <v>35</v>
      </c>
      <c r="H414">
        <v>53</v>
      </c>
      <c r="I414">
        <v>26</v>
      </c>
      <c r="J414">
        <v>4.7</v>
      </c>
      <c r="K414">
        <v>0.63</v>
      </c>
      <c r="L414">
        <v>2.1</v>
      </c>
      <c r="M414">
        <v>20.5</v>
      </c>
      <c r="N414">
        <v>0.8</v>
      </c>
      <c r="O414" t="s">
        <v>692</v>
      </c>
      <c r="P414" s="368" t="s">
        <v>675</v>
      </c>
      <c r="Q414" t="s">
        <v>46</v>
      </c>
      <c r="R414" t="s">
        <v>873</v>
      </c>
      <c r="S414" t="s">
        <v>174</v>
      </c>
      <c r="T414" t="s">
        <v>252</v>
      </c>
      <c r="U414"/>
    </row>
    <row r="415" spans="1:21" x14ac:dyDescent="0.2">
      <c r="A415">
        <v>365981</v>
      </c>
      <c r="B415" t="s">
        <v>331</v>
      </c>
      <c r="C415">
        <v>-9</v>
      </c>
      <c r="D415">
        <v>2</v>
      </c>
      <c r="E415">
        <v>0</v>
      </c>
      <c r="F415">
        <v>-9</v>
      </c>
      <c r="G415">
        <v>3</v>
      </c>
      <c r="H415">
        <v>9</v>
      </c>
      <c r="I415">
        <v>19</v>
      </c>
      <c r="J415">
        <v>3.5</v>
      </c>
      <c r="K415">
        <v>0.63</v>
      </c>
      <c r="L415">
        <v>1.52</v>
      </c>
      <c r="M415">
        <v>13.8</v>
      </c>
      <c r="N415">
        <v>0.3</v>
      </c>
      <c r="O415" t="s">
        <v>705</v>
      </c>
      <c r="P415" s="368" t="s">
        <v>785</v>
      </c>
      <c r="Q415" t="s">
        <v>46</v>
      </c>
      <c r="R415" t="s">
        <v>874</v>
      </c>
      <c r="S415" t="s">
        <v>206</v>
      </c>
      <c r="T415" t="s">
        <v>214</v>
      </c>
      <c r="U415"/>
    </row>
    <row r="416" spans="1:21" x14ac:dyDescent="0.2">
      <c r="A416">
        <v>362327</v>
      </c>
      <c r="B416" t="s">
        <v>329</v>
      </c>
      <c r="C416">
        <v>-17</v>
      </c>
      <c r="D416">
        <v>1</v>
      </c>
      <c r="E416">
        <v>-14</v>
      </c>
      <c r="F416">
        <v>-16</v>
      </c>
      <c r="G416">
        <v>-11</v>
      </c>
      <c r="H416">
        <v>-7</v>
      </c>
      <c r="I416">
        <v>-5</v>
      </c>
      <c r="J416">
        <v>-0.9</v>
      </c>
      <c r="K416">
        <v>0.63</v>
      </c>
      <c r="L416">
        <v>1.85</v>
      </c>
      <c r="M416">
        <v>19.899999999999999</v>
      </c>
      <c r="N416">
        <v>0</v>
      </c>
      <c r="O416" t="s">
        <v>641</v>
      </c>
      <c r="P416" s="368" t="s">
        <v>802</v>
      </c>
      <c r="Q416" t="s">
        <v>46</v>
      </c>
      <c r="R416" t="s">
        <v>872</v>
      </c>
      <c r="S416" t="s">
        <v>261</v>
      </c>
      <c r="T416" t="s">
        <v>263</v>
      </c>
      <c r="U416"/>
    </row>
    <row r="417" spans="1:21" x14ac:dyDescent="0.2">
      <c r="A417">
        <v>570044</v>
      </c>
      <c r="B417" t="s">
        <v>426</v>
      </c>
      <c r="C417">
        <v>-7</v>
      </c>
      <c r="D417">
        <v>5</v>
      </c>
      <c r="E417">
        <v>-4</v>
      </c>
      <c r="F417">
        <v>-5</v>
      </c>
      <c r="G417">
        <v>3</v>
      </c>
      <c r="H417">
        <v>15</v>
      </c>
      <c r="I417">
        <v>51</v>
      </c>
      <c r="J417">
        <v>8.6</v>
      </c>
      <c r="K417">
        <v>0.64</v>
      </c>
      <c r="L417">
        <v>1.8</v>
      </c>
      <c r="M417">
        <v>16.100000000000001</v>
      </c>
      <c r="N417">
        <v>0.4</v>
      </c>
      <c r="O417" t="s">
        <v>655</v>
      </c>
      <c r="P417" s="368" t="s">
        <v>1043</v>
      </c>
      <c r="Q417" t="s">
        <v>46</v>
      </c>
      <c r="R417" t="s">
        <v>1044</v>
      </c>
      <c r="S417" t="s">
        <v>250</v>
      </c>
      <c r="T417" t="s">
        <v>201</v>
      </c>
      <c r="U417"/>
    </row>
    <row r="418" spans="1:21" x14ac:dyDescent="0.2">
      <c r="A418">
        <v>484980</v>
      </c>
      <c r="B418" t="s">
        <v>388</v>
      </c>
      <c r="C418">
        <v>-9</v>
      </c>
      <c r="D418">
        <v>2</v>
      </c>
      <c r="E418">
        <v>-4</v>
      </c>
      <c r="F418">
        <v>-7</v>
      </c>
      <c r="G418">
        <v>2</v>
      </c>
      <c r="H418">
        <v>8</v>
      </c>
      <c r="I418">
        <v>36</v>
      </c>
      <c r="J418">
        <v>6.4</v>
      </c>
      <c r="K418">
        <v>0.64</v>
      </c>
      <c r="L418">
        <v>1.61</v>
      </c>
      <c r="M418">
        <v>12.3</v>
      </c>
      <c r="N418">
        <v>0.3</v>
      </c>
      <c r="O418" t="s">
        <v>641</v>
      </c>
      <c r="P418" s="368" t="s">
        <v>970</v>
      </c>
      <c r="Q418" t="s">
        <v>154</v>
      </c>
      <c r="R418" t="s">
        <v>971</v>
      </c>
      <c r="S418" t="s">
        <v>290</v>
      </c>
      <c r="T418" t="s">
        <v>197</v>
      </c>
      <c r="U418"/>
    </row>
    <row r="419" spans="1:21" x14ac:dyDescent="0.2">
      <c r="A419">
        <v>384511</v>
      </c>
      <c r="B419" t="s">
        <v>339</v>
      </c>
      <c r="C419">
        <v>-3</v>
      </c>
      <c r="D419">
        <v>3</v>
      </c>
      <c r="E419">
        <v>1</v>
      </c>
      <c r="F419">
        <v>-2</v>
      </c>
      <c r="G419">
        <v>6</v>
      </c>
      <c r="H419">
        <v>21</v>
      </c>
      <c r="I419">
        <v>23</v>
      </c>
      <c r="J419">
        <v>4.3</v>
      </c>
      <c r="K419">
        <v>0.64</v>
      </c>
      <c r="L419">
        <v>2.13</v>
      </c>
      <c r="M419">
        <v>12.7</v>
      </c>
      <c r="N419">
        <v>0.6</v>
      </c>
      <c r="O419" t="s">
        <v>655</v>
      </c>
      <c r="P419" s="368" t="s">
        <v>886</v>
      </c>
      <c r="Q419" t="s">
        <v>46</v>
      </c>
      <c r="R419" t="s">
        <v>887</v>
      </c>
      <c r="S419" t="s">
        <v>174</v>
      </c>
      <c r="T419" t="s">
        <v>185</v>
      </c>
      <c r="U419"/>
    </row>
    <row r="420" spans="1:21" x14ac:dyDescent="0.2">
      <c r="A420">
        <v>367987</v>
      </c>
      <c r="B420" t="s">
        <v>333</v>
      </c>
      <c r="C420">
        <v>-16</v>
      </c>
      <c r="D420">
        <v>-2</v>
      </c>
      <c r="E420">
        <v>-8</v>
      </c>
      <c r="F420">
        <v>-10</v>
      </c>
      <c r="G420">
        <v>-6</v>
      </c>
      <c r="H420">
        <v>7</v>
      </c>
      <c r="I420"/>
      <c r="J420"/>
      <c r="K420">
        <v>0.64</v>
      </c>
      <c r="L420">
        <v>1.8</v>
      </c>
      <c r="M420">
        <v>17.5</v>
      </c>
      <c r="N420">
        <v>0.2</v>
      </c>
      <c r="O420" t="s">
        <v>655</v>
      </c>
      <c r="P420" s="368" t="s">
        <v>878</v>
      </c>
      <c r="Q420" t="s">
        <v>46</v>
      </c>
      <c r="R420" t="s">
        <v>879</v>
      </c>
      <c r="S420" t="s">
        <v>250</v>
      </c>
      <c r="T420" t="s">
        <v>172</v>
      </c>
      <c r="U420"/>
    </row>
    <row r="421" spans="1:21" x14ac:dyDescent="0.2">
      <c r="A421">
        <v>976506</v>
      </c>
      <c r="B421" t="s">
        <v>623</v>
      </c>
      <c r="C421">
        <v>-2</v>
      </c>
      <c r="D421">
        <v>3</v>
      </c>
      <c r="E421">
        <v>0</v>
      </c>
      <c r="F421">
        <v>0</v>
      </c>
      <c r="G421">
        <v>11</v>
      </c>
      <c r="H421">
        <v>31</v>
      </c>
      <c r="I421">
        <v>47</v>
      </c>
      <c r="J421">
        <v>8.1</v>
      </c>
      <c r="K421">
        <v>0.65</v>
      </c>
      <c r="L421">
        <v>1.59</v>
      </c>
      <c r="M421">
        <v>13.7</v>
      </c>
      <c r="N421">
        <v>0.7</v>
      </c>
      <c r="O421" t="s">
        <v>655</v>
      </c>
      <c r="P421" s="368" t="s">
        <v>1302</v>
      </c>
      <c r="Q421" t="s">
        <v>46</v>
      </c>
      <c r="R421" t="s">
        <v>1303</v>
      </c>
      <c r="S421" t="s">
        <v>439</v>
      </c>
      <c r="T421" t="s">
        <v>254</v>
      </c>
      <c r="U421"/>
    </row>
    <row r="422" spans="1:21" x14ac:dyDescent="0.2">
      <c r="A422">
        <v>305243</v>
      </c>
      <c r="B422" t="s">
        <v>629</v>
      </c>
      <c r="C422">
        <v>-13</v>
      </c>
      <c r="D422">
        <v>-2</v>
      </c>
      <c r="E422">
        <v>-8</v>
      </c>
      <c r="F422">
        <v>-10</v>
      </c>
      <c r="G422">
        <v>-1</v>
      </c>
      <c r="H422">
        <v>22</v>
      </c>
      <c r="I422">
        <v>43</v>
      </c>
      <c r="J422">
        <v>7.3</v>
      </c>
      <c r="K422">
        <v>0.65</v>
      </c>
      <c r="L422">
        <v>1.74</v>
      </c>
      <c r="M422">
        <v>14.8</v>
      </c>
      <c r="N422">
        <v>0.5</v>
      </c>
      <c r="O422" t="s">
        <v>692</v>
      </c>
      <c r="P422" s="368" t="s">
        <v>746</v>
      </c>
      <c r="Q422" t="s">
        <v>46</v>
      </c>
      <c r="R422" t="s">
        <v>821</v>
      </c>
      <c r="S422" t="s">
        <v>256</v>
      </c>
      <c r="T422" t="s">
        <v>172</v>
      </c>
      <c r="U422"/>
    </row>
    <row r="423" spans="1:21" x14ac:dyDescent="0.2">
      <c r="A423">
        <v>174490</v>
      </c>
      <c r="B423" t="s">
        <v>1323</v>
      </c>
      <c r="C423">
        <v>-6</v>
      </c>
      <c r="D423">
        <v>3</v>
      </c>
      <c r="E423">
        <v>3</v>
      </c>
      <c r="F423">
        <v>-8</v>
      </c>
      <c r="G423">
        <v>7</v>
      </c>
      <c r="H423">
        <v>7</v>
      </c>
      <c r="I423">
        <v>24</v>
      </c>
      <c r="J423">
        <v>4.4000000000000004</v>
      </c>
      <c r="K423">
        <v>0.65</v>
      </c>
      <c r="L423">
        <v>1.75</v>
      </c>
      <c r="M423">
        <v>14.2</v>
      </c>
      <c r="N423">
        <v>0.2</v>
      </c>
      <c r="O423" t="s">
        <v>705</v>
      </c>
      <c r="P423" s="368" t="s">
        <v>706</v>
      </c>
      <c r="Q423" t="s">
        <v>46</v>
      </c>
      <c r="R423" t="s">
        <v>707</v>
      </c>
      <c r="S423" t="s">
        <v>215</v>
      </c>
      <c r="T423" t="s">
        <v>214</v>
      </c>
      <c r="U423"/>
    </row>
    <row r="424" spans="1:21" x14ac:dyDescent="0.2">
      <c r="A424">
        <v>487108</v>
      </c>
      <c r="B424" t="s">
        <v>389</v>
      </c>
      <c r="C424">
        <v>-10</v>
      </c>
      <c r="D424">
        <v>2</v>
      </c>
      <c r="E424">
        <v>-6</v>
      </c>
      <c r="F424">
        <v>-6</v>
      </c>
      <c r="G424">
        <v>12</v>
      </c>
      <c r="H424">
        <v>48</v>
      </c>
      <c r="I424">
        <v>105</v>
      </c>
      <c r="J424">
        <v>15.4</v>
      </c>
      <c r="K424">
        <v>0.66</v>
      </c>
      <c r="L424">
        <v>1.6</v>
      </c>
      <c r="M424">
        <v>12.4</v>
      </c>
      <c r="N424">
        <v>1.1000000000000001</v>
      </c>
      <c r="O424" t="s">
        <v>641</v>
      </c>
      <c r="P424" s="368" t="s">
        <v>972</v>
      </c>
      <c r="Q424" t="s">
        <v>154</v>
      </c>
      <c r="R424" t="s">
        <v>973</v>
      </c>
      <c r="S424" t="s">
        <v>315</v>
      </c>
      <c r="T424" t="s">
        <v>254</v>
      </c>
      <c r="U424"/>
    </row>
    <row r="425" spans="1:21" x14ac:dyDescent="0.2">
      <c r="A425">
        <v>233585</v>
      </c>
      <c r="B425" t="s">
        <v>626</v>
      </c>
      <c r="C425">
        <v>7</v>
      </c>
      <c r="D425">
        <v>-2</v>
      </c>
      <c r="E425">
        <v>3</v>
      </c>
      <c r="F425">
        <v>12</v>
      </c>
      <c r="G425">
        <v>31</v>
      </c>
      <c r="H425">
        <v>62</v>
      </c>
      <c r="I425">
        <v>46</v>
      </c>
      <c r="J425">
        <v>7.9</v>
      </c>
      <c r="K425">
        <v>0.66</v>
      </c>
      <c r="L425">
        <v>1.77</v>
      </c>
      <c r="M425">
        <v>18.8</v>
      </c>
      <c r="N425">
        <v>1</v>
      </c>
      <c r="O425" t="s">
        <v>692</v>
      </c>
      <c r="P425" s="368" t="s">
        <v>746</v>
      </c>
      <c r="Q425" t="s">
        <v>46</v>
      </c>
      <c r="R425" t="s">
        <v>747</v>
      </c>
      <c r="S425" t="s">
        <v>256</v>
      </c>
      <c r="T425" t="s">
        <v>257</v>
      </c>
      <c r="U425"/>
    </row>
    <row r="426" spans="1:21" x14ac:dyDescent="0.2">
      <c r="A426">
        <v>324665</v>
      </c>
      <c r="B426" t="s">
        <v>312</v>
      </c>
      <c r="C426">
        <v>-4</v>
      </c>
      <c r="D426">
        <v>5</v>
      </c>
      <c r="E426">
        <v>-2</v>
      </c>
      <c r="F426">
        <v>-1</v>
      </c>
      <c r="G426">
        <v>8</v>
      </c>
      <c r="H426">
        <v>14</v>
      </c>
      <c r="I426">
        <v>32</v>
      </c>
      <c r="J426">
        <v>5.7</v>
      </c>
      <c r="K426">
        <v>0.66</v>
      </c>
      <c r="L426">
        <v>1.6</v>
      </c>
      <c r="M426">
        <v>16.899999999999999</v>
      </c>
      <c r="N426">
        <v>0.4</v>
      </c>
      <c r="O426" t="s">
        <v>655</v>
      </c>
      <c r="P426" s="368" t="s">
        <v>839</v>
      </c>
      <c r="Q426" t="s">
        <v>46</v>
      </c>
      <c r="R426" t="s">
        <v>840</v>
      </c>
      <c r="S426" t="s">
        <v>313</v>
      </c>
      <c r="T426" t="s">
        <v>201</v>
      </c>
      <c r="U426"/>
    </row>
    <row r="427" spans="1:21" x14ac:dyDescent="0.2">
      <c r="A427">
        <v>191080</v>
      </c>
      <c r="B427" t="s">
        <v>1324</v>
      </c>
      <c r="C427">
        <v>-17</v>
      </c>
      <c r="D427">
        <v>-7</v>
      </c>
      <c r="E427">
        <v>-12</v>
      </c>
      <c r="F427">
        <v>-14</v>
      </c>
      <c r="G427">
        <v>-6</v>
      </c>
      <c r="H427">
        <v>12</v>
      </c>
      <c r="I427">
        <v>24</v>
      </c>
      <c r="J427">
        <v>4.5</v>
      </c>
      <c r="K427">
        <v>0.66</v>
      </c>
      <c r="L427">
        <v>1.95</v>
      </c>
      <c r="M427">
        <v>16.899999999999999</v>
      </c>
      <c r="N427">
        <v>0.3</v>
      </c>
      <c r="O427" t="s">
        <v>692</v>
      </c>
      <c r="P427" s="368" t="s">
        <v>785</v>
      </c>
      <c r="Q427" t="s">
        <v>46</v>
      </c>
      <c r="R427" t="s">
        <v>718</v>
      </c>
      <c r="S427" t="s">
        <v>608</v>
      </c>
      <c r="T427" t="s">
        <v>172</v>
      </c>
      <c r="U427"/>
    </row>
    <row r="428" spans="1:21" x14ac:dyDescent="0.2">
      <c r="A428">
        <v>983593</v>
      </c>
      <c r="B428" t="s">
        <v>1346</v>
      </c>
      <c r="C428">
        <v>-26</v>
      </c>
      <c r="D428">
        <v>-1</v>
      </c>
      <c r="E428">
        <v>-16</v>
      </c>
      <c r="F428">
        <v>-23</v>
      </c>
      <c r="G428">
        <v>-14</v>
      </c>
      <c r="H428">
        <v>3</v>
      </c>
      <c r="I428">
        <v>21</v>
      </c>
      <c r="J428">
        <v>3.8</v>
      </c>
      <c r="K428">
        <v>0.66</v>
      </c>
      <c r="L428">
        <v>1.95</v>
      </c>
      <c r="M428">
        <v>20.7</v>
      </c>
      <c r="N428">
        <v>0.2</v>
      </c>
      <c r="O428" t="s">
        <v>692</v>
      </c>
      <c r="P428" s="368" t="s">
        <v>785</v>
      </c>
      <c r="Q428" t="s">
        <v>46</v>
      </c>
      <c r="R428" t="s">
        <v>1310</v>
      </c>
      <c r="S428" t="s">
        <v>608</v>
      </c>
      <c r="T428" t="s">
        <v>335</v>
      </c>
      <c r="U428"/>
    </row>
    <row r="429" spans="1:21" x14ac:dyDescent="0.2">
      <c r="A429">
        <v>920439</v>
      </c>
      <c r="B429" t="s">
        <v>1345</v>
      </c>
      <c r="C429">
        <v>-13</v>
      </c>
      <c r="D429">
        <v>2</v>
      </c>
      <c r="E429">
        <v>-3</v>
      </c>
      <c r="F429">
        <v>-14</v>
      </c>
      <c r="G429">
        <v>-1</v>
      </c>
      <c r="H429">
        <v>10</v>
      </c>
      <c r="I429">
        <v>14</v>
      </c>
      <c r="J429">
        <v>2.6</v>
      </c>
      <c r="K429">
        <v>0.66</v>
      </c>
      <c r="L429">
        <v>1.61</v>
      </c>
      <c r="M429">
        <v>15.4</v>
      </c>
      <c r="N429">
        <v>0.3</v>
      </c>
      <c r="O429" t="s">
        <v>705</v>
      </c>
      <c r="P429" s="368" t="s">
        <v>785</v>
      </c>
      <c r="Q429" t="s">
        <v>46</v>
      </c>
      <c r="R429" t="s">
        <v>1279</v>
      </c>
      <c r="S429" t="s">
        <v>1331</v>
      </c>
      <c r="T429" t="s">
        <v>214</v>
      </c>
      <c r="U429"/>
    </row>
    <row r="430" spans="1:21" x14ac:dyDescent="0.2">
      <c r="A430">
        <v>899773</v>
      </c>
      <c r="B430" t="s">
        <v>1344</v>
      </c>
      <c r="C430">
        <v>-16</v>
      </c>
      <c r="D430">
        <v>1</v>
      </c>
      <c r="E430">
        <v>-10</v>
      </c>
      <c r="F430">
        <v>-15</v>
      </c>
      <c r="G430">
        <v>-8</v>
      </c>
      <c r="H430">
        <v>1</v>
      </c>
      <c r="I430">
        <v>12</v>
      </c>
      <c r="J430">
        <v>2.4</v>
      </c>
      <c r="K430">
        <v>0.66</v>
      </c>
      <c r="L430">
        <v>1.6</v>
      </c>
      <c r="M430">
        <v>14.7</v>
      </c>
      <c r="N430">
        <v>0.1</v>
      </c>
      <c r="O430" t="s">
        <v>655</v>
      </c>
      <c r="P430" s="368" t="s">
        <v>1349</v>
      </c>
      <c r="Q430" t="s">
        <v>46</v>
      </c>
      <c r="R430" t="s">
        <v>1262</v>
      </c>
      <c r="S430" t="s">
        <v>1331</v>
      </c>
      <c r="T430" t="s">
        <v>185</v>
      </c>
      <c r="U430"/>
    </row>
    <row r="431" spans="1:21" x14ac:dyDescent="0.2">
      <c r="A431">
        <v>848770</v>
      </c>
      <c r="B431" t="s">
        <v>1342</v>
      </c>
      <c r="C431">
        <v>-17</v>
      </c>
      <c r="D431">
        <v>2</v>
      </c>
      <c r="E431">
        <v>-11</v>
      </c>
      <c r="F431">
        <v>-18</v>
      </c>
      <c r="G431">
        <v>-10</v>
      </c>
      <c r="H431">
        <v>-6</v>
      </c>
      <c r="I431">
        <v>7</v>
      </c>
      <c r="J431">
        <v>1.5</v>
      </c>
      <c r="K431">
        <v>0.66</v>
      </c>
      <c r="L431">
        <v>1.6</v>
      </c>
      <c r="M431">
        <v>15.8</v>
      </c>
      <c r="N431">
        <v>0</v>
      </c>
      <c r="O431" t="s">
        <v>655</v>
      </c>
      <c r="P431" s="368" t="s">
        <v>785</v>
      </c>
      <c r="Q431" t="s">
        <v>46</v>
      </c>
      <c r="R431" t="s">
        <v>1232</v>
      </c>
      <c r="S431" t="s">
        <v>1331</v>
      </c>
      <c r="T431" t="s">
        <v>185</v>
      </c>
      <c r="U431"/>
    </row>
    <row r="432" spans="1:21" x14ac:dyDescent="0.2">
      <c r="A432">
        <v>262741</v>
      </c>
      <c r="B432" t="s">
        <v>1327</v>
      </c>
      <c r="C432">
        <v>-22</v>
      </c>
      <c r="D432">
        <v>-3</v>
      </c>
      <c r="E432">
        <v>-10</v>
      </c>
      <c r="F432">
        <v>-21</v>
      </c>
      <c r="G432">
        <v>-15</v>
      </c>
      <c r="H432">
        <v>-10</v>
      </c>
      <c r="I432">
        <v>-16</v>
      </c>
      <c r="J432">
        <v>-3.5</v>
      </c>
      <c r="K432">
        <v>0.66</v>
      </c>
      <c r="L432">
        <v>1.95</v>
      </c>
      <c r="M432">
        <v>22.1</v>
      </c>
      <c r="N432">
        <v>0</v>
      </c>
      <c r="O432" t="s">
        <v>692</v>
      </c>
      <c r="P432" s="368" t="s">
        <v>785</v>
      </c>
      <c r="Q432" t="s">
        <v>46</v>
      </c>
      <c r="R432" t="s">
        <v>776</v>
      </c>
      <c r="S432" t="s">
        <v>608</v>
      </c>
      <c r="T432" t="s">
        <v>163</v>
      </c>
      <c r="U432"/>
    </row>
    <row r="433" spans="1:21" x14ac:dyDescent="0.2">
      <c r="A433">
        <v>167643</v>
      </c>
      <c r="B433" t="s">
        <v>217</v>
      </c>
      <c r="C433">
        <v>-9</v>
      </c>
      <c r="D433">
        <v>2</v>
      </c>
      <c r="E433">
        <v>-2</v>
      </c>
      <c r="F433">
        <v>-9</v>
      </c>
      <c r="G433">
        <v>6</v>
      </c>
      <c r="H433">
        <v>14</v>
      </c>
      <c r="I433"/>
      <c r="J433"/>
      <c r="K433">
        <v>0.66</v>
      </c>
      <c r="L433">
        <v>1.6</v>
      </c>
      <c r="M433">
        <v>18.600000000000001</v>
      </c>
      <c r="N433">
        <v>0.3</v>
      </c>
      <c r="O433" t="s">
        <v>641</v>
      </c>
      <c r="P433" s="368" t="s">
        <v>697</v>
      </c>
      <c r="Q433" t="s">
        <v>46</v>
      </c>
      <c r="R433" t="s">
        <v>698</v>
      </c>
      <c r="S433" t="s">
        <v>218</v>
      </c>
      <c r="T433" t="s">
        <v>162</v>
      </c>
      <c r="U433"/>
    </row>
    <row r="434" spans="1:21" x14ac:dyDescent="0.2">
      <c r="A434">
        <v>908806</v>
      </c>
      <c r="B434" t="s">
        <v>152</v>
      </c>
      <c r="C434">
        <v>0</v>
      </c>
      <c r="D434">
        <v>-5</v>
      </c>
      <c r="E434">
        <v>-2</v>
      </c>
      <c r="F434">
        <v>3</v>
      </c>
      <c r="G434">
        <v>19</v>
      </c>
      <c r="H434">
        <v>68</v>
      </c>
      <c r="I434">
        <v>82</v>
      </c>
      <c r="J434">
        <v>12.7</v>
      </c>
      <c r="K434">
        <v>0.67</v>
      </c>
      <c r="L434">
        <v>2.4</v>
      </c>
      <c r="M434">
        <v>16.5</v>
      </c>
      <c r="N434">
        <v>1.2</v>
      </c>
      <c r="O434" t="s">
        <v>692</v>
      </c>
      <c r="P434" s="368" t="s">
        <v>656</v>
      </c>
      <c r="Q434" t="s">
        <v>46</v>
      </c>
      <c r="R434" t="s">
        <v>1270</v>
      </c>
      <c r="S434" t="s">
        <v>174</v>
      </c>
      <c r="T434" t="s">
        <v>257</v>
      </c>
      <c r="U434"/>
    </row>
    <row r="435" spans="1:21" x14ac:dyDescent="0.2">
      <c r="A435">
        <v>770263</v>
      </c>
      <c r="B435" t="s">
        <v>503</v>
      </c>
      <c r="C435">
        <v>-17</v>
      </c>
      <c r="D435">
        <v>3</v>
      </c>
      <c r="E435">
        <v>-9</v>
      </c>
      <c r="F435">
        <v>-12</v>
      </c>
      <c r="G435">
        <v>-2</v>
      </c>
      <c r="H435">
        <v>30</v>
      </c>
      <c r="I435">
        <v>58</v>
      </c>
      <c r="J435">
        <v>9.6</v>
      </c>
      <c r="K435">
        <v>0.67</v>
      </c>
      <c r="L435">
        <v>2.41</v>
      </c>
      <c r="M435">
        <v>19.399999999999999</v>
      </c>
      <c r="N435">
        <v>0.6</v>
      </c>
      <c r="O435" t="s">
        <v>692</v>
      </c>
      <c r="P435" s="368" t="s">
        <v>1082</v>
      </c>
      <c r="Q435" t="s">
        <v>46</v>
      </c>
      <c r="R435" t="s">
        <v>1181</v>
      </c>
      <c r="S435" t="s">
        <v>174</v>
      </c>
      <c r="T435" t="s">
        <v>267</v>
      </c>
      <c r="U435"/>
    </row>
    <row r="436" spans="1:21" x14ac:dyDescent="0.2">
      <c r="A436">
        <v>275495</v>
      </c>
      <c r="B436" t="s">
        <v>628</v>
      </c>
      <c r="C436">
        <v>-6</v>
      </c>
      <c r="D436">
        <v>2</v>
      </c>
      <c r="E436">
        <v>3</v>
      </c>
      <c r="F436">
        <v>-6</v>
      </c>
      <c r="G436">
        <v>4</v>
      </c>
      <c r="H436">
        <v>19</v>
      </c>
      <c r="I436">
        <v>27</v>
      </c>
      <c r="J436">
        <v>5</v>
      </c>
      <c r="K436">
        <v>0.67</v>
      </c>
      <c r="L436">
        <v>1.81</v>
      </c>
      <c r="M436">
        <v>13.7</v>
      </c>
      <c r="N436">
        <v>0.5</v>
      </c>
      <c r="O436" t="s">
        <v>705</v>
      </c>
      <c r="P436" s="368" t="s">
        <v>785</v>
      </c>
      <c r="Q436" t="s">
        <v>46</v>
      </c>
      <c r="R436" t="s">
        <v>786</v>
      </c>
      <c r="S436" t="s">
        <v>256</v>
      </c>
      <c r="T436" t="s">
        <v>214</v>
      </c>
      <c r="U436"/>
    </row>
    <row r="437" spans="1:21" x14ac:dyDescent="0.2">
      <c r="A437">
        <v>834788</v>
      </c>
      <c r="B437" t="s">
        <v>522</v>
      </c>
      <c r="C437">
        <v>-20</v>
      </c>
      <c r="D437">
        <v>3</v>
      </c>
      <c r="E437">
        <v>-12</v>
      </c>
      <c r="F437">
        <v>-16</v>
      </c>
      <c r="G437">
        <v>-6</v>
      </c>
      <c r="H437">
        <v>23</v>
      </c>
      <c r="I437">
        <v>55</v>
      </c>
      <c r="J437">
        <v>9.1</v>
      </c>
      <c r="K437">
        <v>0.68</v>
      </c>
      <c r="L437">
        <v>2.12</v>
      </c>
      <c r="M437">
        <v>22.4</v>
      </c>
      <c r="N437">
        <v>0.4</v>
      </c>
      <c r="O437" t="s">
        <v>641</v>
      </c>
      <c r="P437" s="368" t="s">
        <v>1134</v>
      </c>
      <c r="Q437" t="s">
        <v>154</v>
      </c>
      <c r="R437" t="s">
        <v>1213</v>
      </c>
      <c r="S437" t="s">
        <v>367</v>
      </c>
      <c r="T437" t="s">
        <v>267</v>
      </c>
      <c r="U437"/>
    </row>
    <row r="438" spans="1:21" x14ac:dyDescent="0.2">
      <c r="A438">
        <v>317040</v>
      </c>
      <c r="B438" t="s">
        <v>308</v>
      </c>
      <c r="C438">
        <v>-20</v>
      </c>
      <c r="D438">
        <v>1</v>
      </c>
      <c r="E438">
        <v>-11</v>
      </c>
      <c r="F438">
        <v>-19</v>
      </c>
      <c r="G438">
        <v>-10</v>
      </c>
      <c r="H438">
        <v>-7</v>
      </c>
      <c r="I438">
        <v>3</v>
      </c>
      <c r="J438">
        <v>0.7</v>
      </c>
      <c r="K438">
        <v>0.68</v>
      </c>
      <c r="L438">
        <v>1.65</v>
      </c>
      <c r="M438">
        <v>20.399999999999999</v>
      </c>
      <c r="N438">
        <v>0</v>
      </c>
      <c r="O438" t="s">
        <v>692</v>
      </c>
      <c r="P438" s="368" t="s">
        <v>757</v>
      </c>
      <c r="Q438" t="s">
        <v>46</v>
      </c>
      <c r="R438" t="s">
        <v>829</v>
      </c>
      <c r="S438" t="s">
        <v>206</v>
      </c>
      <c r="T438" t="s">
        <v>162</v>
      </c>
      <c r="U438"/>
    </row>
    <row r="439" spans="1:21" x14ac:dyDescent="0.2">
      <c r="A439">
        <v>848069</v>
      </c>
      <c r="B439" t="s">
        <v>1387</v>
      </c>
      <c r="C439">
        <v>8</v>
      </c>
      <c r="D439">
        <v>2</v>
      </c>
      <c r="E439">
        <v>8</v>
      </c>
      <c r="F439">
        <v>10</v>
      </c>
      <c r="G439">
        <v>27</v>
      </c>
      <c r="H439">
        <v>66</v>
      </c>
      <c r="I439">
        <v>91</v>
      </c>
      <c r="J439">
        <v>13.8</v>
      </c>
      <c r="K439">
        <v>0.69</v>
      </c>
      <c r="L439">
        <v>1.94</v>
      </c>
      <c r="M439">
        <v>18.600000000000001</v>
      </c>
      <c r="N439">
        <v>1</v>
      </c>
      <c r="O439" t="s">
        <v>692</v>
      </c>
      <c r="P439" s="368" t="s">
        <v>1230</v>
      </c>
      <c r="Q439" t="s">
        <v>46</v>
      </c>
      <c r="R439" t="s">
        <v>1231</v>
      </c>
      <c r="S439" t="s">
        <v>233</v>
      </c>
      <c r="T439" t="s">
        <v>232</v>
      </c>
      <c r="U439"/>
    </row>
    <row r="440" spans="1:21" x14ac:dyDescent="0.2">
      <c r="A440">
        <v>652628</v>
      </c>
      <c r="B440" t="s">
        <v>456</v>
      </c>
      <c r="C440">
        <v>-14</v>
      </c>
      <c r="D440">
        <v>3</v>
      </c>
      <c r="E440">
        <v>0</v>
      </c>
      <c r="F440">
        <v>-15</v>
      </c>
      <c r="G440">
        <v>-3</v>
      </c>
      <c r="H440">
        <v>6</v>
      </c>
      <c r="I440">
        <v>26</v>
      </c>
      <c r="J440">
        <v>4.7</v>
      </c>
      <c r="K440">
        <v>0.69</v>
      </c>
      <c r="L440">
        <v>1.68</v>
      </c>
      <c r="M440">
        <v>15.4</v>
      </c>
      <c r="N440">
        <v>0.2</v>
      </c>
      <c r="O440" t="s">
        <v>705</v>
      </c>
      <c r="P440" s="368" t="s">
        <v>785</v>
      </c>
      <c r="Q440" t="s">
        <v>46</v>
      </c>
      <c r="R440" t="s">
        <v>1099</v>
      </c>
      <c r="S440" t="s">
        <v>206</v>
      </c>
      <c r="T440" t="s">
        <v>214</v>
      </c>
      <c r="U440"/>
    </row>
    <row r="441" spans="1:21" x14ac:dyDescent="0.2">
      <c r="A441">
        <v>442483</v>
      </c>
      <c r="B441" t="s">
        <v>366</v>
      </c>
      <c r="C441">
        <v>-26</v>
      </c>
      <c r="D441">
        <v>3</v>
      </c>
      <c r="E441">
        <v>-16</v>
      </c>
      <c r="F441">
        <v>-24</v>
      </c>
      <c r="G441">
        <v>-14</v>
      </c>
      <c r="H441">
        <v>-5</v>
      </c>
      <c r="I441">
        <v>14</v>
      </c>
      <c r="J441">
        <v>2.7</v>
      </c>
      <c r="K441">
        <v>0.69</v>
      </c>
      <c r="L441">
        <v>2.16</v>
      </c>
      <c r="M441">
        <v>22.2</v>
      </c>
      <c r="N441">
        <v>0.1</v>
      </c>
      <c r="O441" t="s">
        <v>641</v>
      </c>
      <c r="P441" s="368" t="s">
        <v>935</v>
      </c>
      <c r="Q441" t="s">
        <v>154</v>
      </c>
      <c r="R441" t="s">
        <v>936</v>
      </c>
      <c r="S441" t="s">
        <v>367</v>
      </c>
      <c r="T441" t="s">
        <v>335</v>
      </c>
      <c r="U441"/>
    </row>
    <row r="442" spans="1:21" x14ac:dyDescent="0.2">
      <c r="A442">
        <v>791863</v>
      </c>
      <c r="B442" t="s">
        <v>1528</v>
      </c>
      <c r="C442"/>
      <c r="D442">
        <v>0</v>
      </c>
      <c r="E442">
        <v>2</v>
      </c>
      <c r="F442"/>
      <c r="G442"/>
      <c r="H442"/>
      <c r="I442"/>
      <c r="J442"/>
      <c r="K442">
        <v>0.69</v>
      </c>
      <c r="L442">
        <v>1.9</v>
      </c>
      <c r="M442"/>
      <c r="N442"/>
      <c r="O442" t="s">
        <v>692</v>
      </c>
      <c r="P442" s="368" t="s">
        <v>1541</v>
      </c>
      <c r="Q442" t="s">
        <v>46</v>
      </c>
      <c r="R442" t="s">
        <v>1545</v>
      </c>
      <c r="S442" t="s">
        <v>215</v>
      </c>
      <c r="T442" t="s">
        <v>162</v>
      </c>
      <c r="U442"/>
    </row>
    <row r="443" spans="1:21" x14ac:dyDescent="0.2">
      <c r="A443">
        <v>872382</v>
      </c>
      <c r="B443" t="s">
        <v>538</v>
      </c>
      <c r="C443">
        <v>-23</v>
      </c>
      <c r="D443">
        <v>3</v>
      </c>
      <c r="E443">
        <v>-18</v>
      </c>
      <c r="F443">
        <v>-22</v>
      </c>
      <c r="G443">
        <v>-12</v>
      </c>
      <c r="H443">
        <v>-14</v>
      </c>
      <c r="I443">
        <v>-2</v>
      </c>
      <c r="J443">
        <v>-0.4</v>
      </c>
      <c r="K443">
        <v>0.7</v>
      </c>
      <c r="L443">
        <v>2.19</v>
      </c>
      <c r="M443">
        <v>19.100000000000001</v>
      </c>
      <c r="N443">
        <v>-0.2</v>
      </c>
      <c r="O443" t="s">
        <v>641</v>
      </c>
      <c r="P443" s="368" t="s">
        <v>1247</v>
      </c>
      <c r="Q443" t="s">
        <v>154</v>
      </c>
      <c r="R443" t="s">
        <v>1248</v>
      </c>
      <c r="S443" t="s">
        <v>367</v>
      </c>
      <c r="T443" t="s">
        <v>335</v>
      </c>
      <c r="U443"/>
    </row>
    <row r="444" spans="1:21" x14ac:dyDescent="0.2">
      <c r="A444">
        <v>643700</v>
      </c>
      <c r="B444" t="s">
        <v>452</v>
      </c>
      <c r="C444">
        <v>-6</v>
      </c>
      <c r="D444">
        <v>8</v>
      </c>
      <c r="E444">
        <v>1</v>
      </c>
      <c r="F444">
        <v>-5</v>
      </c>
      <c r="G444">
        <v>9</v>
      </c>
      <c r="H444">
        <v>11</v>
      </c>
      <c r="I444">
        <v>30</v>
      </c>
      <c r="J444">
        <v>5.4</v>
      </c>
      <c r="K444">
        <v>0.71</v>
      </c>
      <c r="L444">
        <v>1.76</v>
      </c>
      <c r="M444">
        <v>17.899999999999999</v>
      </c>
      <c r="N444">
        <v>0.3</v>
      </c>
      <c r="O444" t="s">
        <v>641</v>
      </c>
      <c r="P444" s="368" t="s">
        <v>1089</v>
      </c>
      <c r="Q444" t="s">
        <v>154</v>
      </c>
      <c r="R444" t="s">
        <v>1090</v>
      </c>
      <c r="S444" t="s">
        <v>193</v>
      </c>
      <c r="T444" t="s">
        <v>209</v>
      </c>
      <c r="U444"/>
    </row>
    <row r="445" spans="1:21" x14ac:dyDescent="0.2">
      <c r="A445">
        <v>475897</v>
      </c>
      <c r="B445" t="s">
        <v>381</v>
      </c>
      <c r="C445">
        <v>-27</v>
      </c>
      <c r="D445">
        <v>0</v>
      </c>
      <c r="E445">
        <v>-16</v>
      </c>
      <c r="F445">
        <v>-26</v>
      </c>
      <c r="G445">
        <v>-18</v>
      </c>
      <c r="H445">
        <v>-14</v>
      </c>
      <c r="I445">
        <v>-4</v>
      </c>
      <c r="J445">
        <v>-0.9</v>
      </c>
      <c r="K445">
        <v>0.71</v>
      </c>
      <c r="L445">
        <v>2.02</v>
      </c>
      <c r="M445">
        <v>20.7</v>
      </c>
      <c r="N445">
        <v>-0.1</v>
      </c>
      <c r="O445" t="s">
        <v>655</v>
      </c>
      <c r="P445" s="368" t="s">
        <v>774</v>
      </c>
      <c r="Q445" t="s">
        <v>46</v>
      </c>
      <c r="R445" t="s">
        <v>957</v>
      </c>
      <c r="S445" t="s">
        <v>223</v>
      </c>
      <c r="T445" t="s">
        <v>185</v>
      </c>
      <c r="U445"/>
    </row>
    <row r="446" spans="1:21" x14ac:dyDescent="0.2">
      <c r="A446">
        <v>170423</v>
      </c>
      <c r="B446" t="s">
        <v>219</v>
      </c>
      <c r="C446">
        <v>-7</v>
      </c>
      <c r="D446">
        <v>9</v>
      </c>
      <c r="E446">
        <v>0</v>
      </c>
      <c r="F446">
        <v>-4</v>
      </c>
      <c r="G446">
        <v>9</v>
      </c>
      <c r="H446">
        <v>10</v>
      </c>
      <c r="I446">
        <v>29</v>
      </c>
      <c r="J446">
        <v>5.2</v>
      </c>
      <c r="K446">
        <v>0.72</v>
      </c>
      <c r="L446">
        <v>1.77</v>
      </c>
      <c r="M446">
        <v>17.899999999999999</v>
      </c>
      <c r="N446">
        <v>0.3</v>
      </c>
      <c r="O446" t="s">
        <v>641</v>
      </c>
      <c r="P446" s="368" t="s">
        <v>699</v>
      </c>
      <c r="Q446" t="s">
        <v>154</v>
      </c>
      <c r="R446" t="s">
        <v>700</v>
      </c>
      <c r="S446" t="s">
        <v>193</v>
      </c>
      <c r="T446" t="s">
        <v>209</v>
      </c>
      <c r="U446"/>
    </row>
    <row r="447" spans="1:21" x14ac:dyDescent="0.2">
      <c r="A447">
        <v>910109</v>
      </c>
      <c r="B447" t="s">
        <v>1532</v>
      </c>
      <c r="C447">
        <v>-7</v>
      </c>
      <c r="D447">
        <v>2</v>
      </c>
      <c r="E447">
        <v>2</v>
      </c>
      <c r="F447">
        <v>-8</v>
      </c>
      <c r="G447">
        <v>5</v>
      </c>
      <c r="H447">
        <v>13</v>
      </c>
      <c r="I447">
        <v>27</v>
      </c>
      <c r="J447">
        <v>5</v>
      </c>
      <c r="K447">
        <v>0.72</v>
      </c>
      <c r="L447">
        <v>2.08</v>
      </c>
      <c r="M447">
        <v>14.7</v>
      </c>
      <c r="N447">
        <v>0.4</v>
      </c>
      <c r="O447" t="s">
        <v>705</v>
      </c>
      <c r="P447" s="368" t="s">
        <v>716</v>
      </c>
      <c r="Q447" t="s">
        <v>46</v>
      </c>
      <c r="R447" t="s">
        <v>1271</v>
      </c>
      <c r="S447" t="s">
        <v>223</v>
      </c>
      <c r="T447" t="s">
        <v>214</v>
      </c>
      <c r="U447"/>
    </row>
    <row r="448" spans="1:21" x14ac:dyDescent="0.2">
      <c r="A448">
        <v>245381</v>
      </c>
      <c r="B448" t="s">
        <v>262</v>
      </c>
      <c r="C448">
        <v>-15</v>
      </c>
      <c r="D448">
        <v>0</v>
      </c>
      <c r="E448">
        <v>-7</v>
      </c>
      <c r="F448">
        <v>-13</v>
      </c>
      <c r="G448">
        <v>-12</v>
      </c>
      <c r="H448">
        <v>-5</v>
      </c>
      <c r="I448">
        <v>2</v>
      </c>
      <c r="J448">
        <v>0.4</v>
      </c>
      <c r="K448">
        <v>0.72</v>
      </c>
      <c r="L448">
        <v>1.77</v>
      </c>
      <c r="M448">
        <v>18.2</v>
      </c>
      <c r="N448">
        <v>0</v>
      </c>
      <c r="O448" t="s">
        <v>692</v>
      </c>
      <c r="P448" s="368" t="s">
        <v>757</v>
      </c>
      <c r="Q448" t="s">
        <v>46</v>
      </c>
      <c r="R448" t="s">
        <v>758</v>
      </c>
      <c r="S448" t="s">
        <v>206</v>
      </c>
      <c r="T448" t="s">
        <v>263</v>
      </c>
      <c r="U448"/>
    </row>
    <row r="449" spans="1:21" x14ac:dyDescent="0.2">
      <c r="A449">
        <v>870907</v>
      </c>
      <c r="B449" t="s">
        <v>537</v>
      </c>
      <c r="C449">
        <v>-20</v>
      </c>
      <c r="D449">
        <v>0</v>
      </c>
      <c r="E449">
        <v>-19</v>
      </c>
      <c r="F449">
        <v>-20</v>
      </c>
      <c r="G449">
        <v>-17</v>
      </c>
      <c r="H449">
        <v>-5</v>
      </c>
      <c r="I449">
        <v>0</v>
      </c>
      <c r="J449">
        <v>-0.1</v>
      </c>
      <c r="K449">
        <v>0.72</v>
      </c>
      <c r="L449">
        <v>2.35</v>
      </c>
      <c r="M449">
        <v>18</v>
      </c>
      <c r="N449">
        <v>0</v>
      </c>
      <c r="O449" t="s">
        <v>641</v>
      </c>
      <c r="P449" s="368" t="s">
        <v>1245</v>
      </c>
      <c r="Q449" t="s">
        <v>46</v>
      </c>
      <c r="R449" t="s">
        <v>1246</v>
      </c>
      <c r="S449" t="s">
        <v>367</v>
      </c>
      <c r="T449" t="s">
        <v>172</v>
      </c>
      <c r="U449"/>
    </row>
    <row r="450" spans="1:21" x14ac:dyDescent="0.2">
      <c r="A450">
        <v>496729</v>
      </c>
      <c r="B450" t="s">
        <v>1382</v>
      </c>
      <c r="C450"/>
      <c r="D450">
        <v>7</v>
      </c>
      <c r="E450">
        <v>12</v>
      </c>
      <c r="F450"/>
      <c r="G450"/>
      <c r="H450">
        <v>96</v>
      </c>
      <c r="I450">
        <v>168</v>
      </c>
      <c r="J450">
        <v>21.8</v>
      </c>
      <c r="K450">
        <v>0.73</v>
      </c>
      <c r="L450">
        <v>1.81</v>
      </c>
      <c r="M450">
        <v>20.100000000000001</v>
      </c>
      <c r="N450">
        <v>1.2</v>
      </c>
      <c r="O450" t="s">
        <v>692</v>
      </c>
      <c r="P450" s="368" t="s">
        <v>1398</v>
      </c>
      <c r="Q450" t="s">
        <v>46</v>
      </c>
      <c r="R450" t="s">
        <v>1403</v>
      </c>
      <c r="S450" t="s">
        <v>220</v>
      </c>
      <c r="T450" t="s">
        <v>232</v>
      </c>
      <c r="U450"/>
    </row>
    <row r="451" spans="1:21" x14ac:dyDescent="0.2">
      <c r="A451">
        <v>401695</v>
      </c>
      <c r="B451" t="s">
        <v>1334</v>
      </c>
      <c r="C451">
        <v>1</v>
      </c>
      <c r="D451">
        <v>4</v>
      </c>
      <c r="E451">
        <v>4</v>
      </c>
      <c r="F451">
        <v>0</v>
      </c>
      <c r="G451">
        <v>17</v>
      </c>
      <c r="H451">
        <v>51</v>
      </c>
      <c r="I451">
        <v>109</v>
      </c>
      <c r="J451">
        <v>15.9</v>
      </c>
      <c r="K451">
        <v>0.73</v>
      </c>
      <c r="L451">
        <v>1.8</v>
      </c>
      <c r="M451">
        <v>19.2</v>
      </c>
      <c r="N451">
        <v>0.8</v>
      </c>
      <c r="O451" t="s">
        <v>692</v>
      </c>
      <c r="P451" s="368" t="s">
        <v>900</v>
      </c>
      <c r="Q451" t="s">
        <v>46</v>
      </c>
      <c r="R451" t="s">
        <v>901</v>
      </c>
      <c r="S451" t="s">
        <v>1331</v>
      </c>
      <c r="T451" t="s">
        <v>232</v>
      </c>
      <c r="U451"/>
    </row>
    <row r="452" spans="1:21" x14ac:dyDescent="0.2">
      <c r="A452">
        <v>384107</v>
      </c>
      <c r="B452" t="s">
        <v>338</v>
      </c>
      <c r="C452">
        <v>13</v>
      </c>
      <c r="D452">
        <v>5</v>
      </c>
      <c r="E452">
        <v>10</v>
      </c>
      <c r="F452">
        <v>11</v>
      </c>
      <c r="G452">
        <v>23</v>
      </c>
      <c r="H452">
        <v>69</v>
      </c>
      <c r="I452">
        <v>90</v>
      </c>
      <c r="J452">
        <v>13.7</v>
      </c>
      <c r="K452">
        <v>0.73</v>
      </c>
      <c r="L452">
        <v>1.81</v>
      </c>
      <c r="M452">
        <v>18.899999999999999</v>
      </c>
      <c r="N452">
        <v>1</v>
      </c>
      <c r="O452" t="s">
        <v>692</v>
      </c>
      <c r="P452" s="368" t="s">
        <v>884</v>
      </c>
      <c r="Q452" t="s">
        <v>46</v>
      </c>
      <c r="R452" t="s">
        <v>885</v>
      </c>
      <c r="S452" t="s">
        <v>220</v>
      </c>
      <c r="T452" t="s">
        <v>204</v>
      </c>
      <c r="U452"/>
    </row>
    <row r="453" spans="1:21" x14ac:dyDescent="0.2">
      <c r="A453">
        <v>523050</v>
      </c>
      <c r="B453" t="s">
        <v>1338</v>
      </c>
      <c r="C453">
        <v>-3</v>
      </c>
      <c r="D453">
        <v>4</v>
      </c>
      <c r="E453">
        <v>1</v>
      </c>
      <c r="F453">
        <v>-1</v>
      </c>
      <c r="G453">
        <v>7</v>
      </c>
      <c r="H453">
        <v>29</v>
      </c>
      <c r="I453">
        <v>35</v>
      </c>
      <c r="J453">
        <v>6.1</v>
      </c>
      <c r="K453">
        <v>0.73</v>
      </c>
      <c r="L453">
        <v>1.8</v>
      </c>
      <c r="M453">
        <v>15.1</v>
      </c>
      <c r="N453">
        <v>0.7</v>
      </c>
      <c r="O453" t="s">
        <v>655</v>
      </c>
      <c r="P453" s="368" t="s">
        <v>1006</v>
      </c>
      <c r="Q453" t="s">
        <v>46</v>
      </c>
      <c r="R453" t="s">
        <v>1007</v>
      </c>
      <c r="S453" t="s">
        <v>1331</v>
      </c>
      <c r="T453" t="s">
        <v>162</v>
      </c>
      <c r="U453"/>
    </row>
    <row r="454" spans="1:21" x14ac:dyDescent="0.2">
      <c r="A454">
        <v>389239</v>
      </c>
      <c r="B454" t="s">
        <v>1377</v>
      </c>
      <c r="C454"/>
      <c r="D454">
        <v>6</v>
      </c>
      <c r="E454">
        <v>11</v>
      </c>
      <c r="F454"/>
      <c r="G454"/>
      <c r="H454">
        <v>49</v>
      </c>
      <c r="I454">
        <v>17</v>
      </c>
      <c r="J454">
        <v>3.2</v>
      </c>
      <c r="K454">
        <v>0.73</v>
      </c>
      <c r="L454">
        <v>1.82</v>
      </c>
      <c r="M454">
        <v>21.8</v>
      </c>
      <c r="N454">
        <v>0.7</v>
      </c>
      <c r="O454" t="s">
        <v>692</v>
      </c>
      <c r="P454" s="368" t="s">
        <v>1398</v>
      </c>
      <c r="Q454" t="s">
        <v>46</v>
      </c>
      <c r="R454" t="s">
        <v>1399</v>
      </c>
      <c r="S454" t="s">
        <v>220</v>
      </c>
      <c r="T454" t="s">
        <v>252</v>
      </c>
      <c r="U454"/>
    </row>
    <row r="455" spans="1:21" x14ac:dyDescent="0.2">
      <c r="A455">
        <v>755090</v>
      </c>
      <c r="B455" t="s">
        <v>600</v>
      </c>
      <c r="C455">
        <v>-15</v>
      </c>
      <c r="D455">
        <v>1</v>
      </c>
      <c r="E455">
        <v>-8</v>
      </c>
      <c r="F455">
        <v>-14</v>
      </c>
      <c r="G455">
        <v>-9</v>
      </c>
      <c r="H455">
        <v>-5</v>
      </c>
      <c r="I455">
        <v>2</v>
      </c>
      <c r="J455">
        <v>0.5</v>
      </c>
      <c r="K455">
        <v>0.73</v>
      </c>
      <c r="L455">
        <v>1.8</v>
      </c>
      <c r="M455">
        <v>13.8</v>
      </c>
      <c r="N455">
        <v>0</v>
      </c>
      <c r="O455" t="s">
        <v>655</v>
      </c>
      <c r="P455" s="368" t="s">
        <v>1172</v>
      </c>
      <c r="Q455" t="s">
        <v>46</v>
      </c>
      <c r="R455" t="s">
        <v>1173</v>
      </c>
      <c r="S455" t="s">
        <v>313</v>
      </c>
      <c r="T455" t="s">
        <v>185</v>
      </c>
      <c r="U455"/>
    </row>
    <row r="456" spans="1:21" x14ac:dyDescent="0.2">
      <c r="A456">
        <v>563254</v>
      </c>
      <c r="B456" t="s">
        <v>619</v>
      </c>
      <c r="C456">
        <v>5</v>
      </c>
      <c r="D456">
        <v>3</v>
      </c>
      <c r="E456">
        <v>6</v>
      </c>
      <c r="F456">
        <v>5</v>
      </c>
      <c r="G456">
        <v>20</v>
      </c>
      <c r="H456">
        <v>47</v>
      </c>
      <c r="I456">
        <v>48</v>
      </c>
      <c r="J456">
        <v>8.1999999999999993</v>
      </c>
      <c r="K456">
        <v>0.74</v>
      </c>
      <c r="L456">
        <v>1.83</v>
      </c>
      <c r="M456">
        <v>15.9</v>
      </c>
      <c r="N456">
        <v>0.9</v>
      </c>
      <c r="O456" t="s">
        <v>692</v>
      </c>
      <c r="P456" s="368" t="s">
        <v>884</v>
      </c>
      <c r="Q456" t="s">
        <v>46</v>
      </c>
      <c r="R456" t="s">
        <v>1039</v>
      </c>
      <c r="S456" t="s">
        <v>220</v>
      </c>
      <c r="T456" t="s">
        <v>204</v>
      </c>
      <c r="U456"/>
    </row>
    <row r="457" spans="1:21" x14ac:dyDescent="0.2">
      <c r="A457">
        <v>717496</v>
      </c>
      <c r="B457" t="s">
        <v>481</v>
      </c>
      <c r="C457">
        <v>-22</v>
      </c>
      <c r="D457">
        <v>-1</v>
      </c>
      <c r="E457">
        <v>-13</v>
      </c>
      <c r="F457">
        <v>-21</v>
      </c>
      <c r="G457">
        <v>-13</v>
      </c>
      <c r="H457">
        <v>-7</v>
      </c>
      <c r="I457">
        <v>0</v>
      </c>
      <c r="J457">
        <v>0.1</v>
      </c>
      <c r="K457">
        <v>0.74</v>
      </c>
      <c r="L457">
        <v>1.83</v>
      </c>
      <c r="M457">
        <v>17.100000000000001</v>
      </c>
      <c r="N457">
        <v>0</v>
      </c>
      <c r="O457" t="s">
        <v>692</v>
      </c>
      <c r="P457" s="368" t="s">
        <v>1141</v>
      </c>
      <c r="Q457" t="s">
        <v>46</v>
      </c>
      <c r="R457" t="s">
        <v>1142</v>
      </c>
      <c r="S457" t="s">
        <v>220</v>
      </c>
      <c r="T457" t="s">
        <v>162</v>
      </c>
      <c r="U457"/>
    </row>
    <row r="458" spans="1:21" x14ac:dyDescent="0.2">
      <c r="A458">
        <v>666495</v>
      </c>
      <c r="B458" t="s">
        <v>466</v>
      </c>
      <c r="C458">
        <v>-26</v>
      </c>
      <c r="D458">
        <v>-1</v>
      </c>
      <c r="E458">
        <v>-16</v>
      </c>
      <c r="F458">
        <v>-25</v>
      </c>
      <c r="G458">
        <v>-20</v>
      </c>
      <c r="H458">
        <v>-23</v>
      </c>
      <c r="I458">
        <v>-19</v>
      </c>
      <c r="J458">
        <v>-4.0999999999999996</v>
      </c>
      <c r="K458">
        <v>0.74</v>
      </c>
      <c r="L458">
        <v>1.83</v>
      </c>
      <c r="M458">
        <v>18.399999999999999</v>
      </c>
      <c r="N458">
        <v>-0.4</v>
      </c>
      <c r="O458" t="s">
        <v>655</v>
      </c>
      <c r="P458" s="368" t="s">
        <v>884</v>
      </c>
      <c r="Q458" t="s">
        <v>46</v>
      </c>
      <c r="R458" t="s">
        <v>1112</v>
      </c>
      <c r="S458" t="s">
        <v>220</v>
      </c>
      <c r="T458" t="s">
        <v>185</v>
      </c>
      <c r="U458"/>
    </row>
    <row r="459" spans="1:21" x14ac:dyDescent="0.2">
      <c r="A459">
        <v>532558</v>
      </c>
      <c r="B459" t="s">
        <v>1384</v>
      </c>
      <c r="C459"/>
      <c r="D459">
        <v>-1</v>
      </c>
      <c r="E459">
        <v>-17</v>
      </c>
      <c r="F459"/>
      <c r="G459"/>
      <c r="H459">
        <v>-33</v>
      </c>
      <c r="I459">
        <v>-45</v>
      </c>
      <c r="J459">
        <v>-11.1</v>
      </c>
      <c r="K459">
        <v>0.74</v>
      </c>
      <c r="L459">
        <v>1.84</v>
      </c>
      <c r="M459">
        <v>33.299999999999997</v>
      </c>
      <c r="N459">
        <v>-0.2</v>
      </c>
      <c r="O459" t="s">
        <v>692</v>
      </c>
      <c r="P459" s="368" t="s">
        <v>1398</v>
      </c>
      <c r="Q459" t="s">
        <v>46</v>
      </c>
      <c r="R459" t="s">
        <v>1406</v>
      </c>
      <c r="S459" t="s">
        <v>220</v>
      </c>
      <c r="T459" t="s">
        <v>163</v>
      </c>
      <c r="U459"/>
    </row>
    <row r="460" spans="1:21" x14ac:dyDescent="0.2">
      <c r="A460">
        <v>182584</v>
      </c>
      <c r="B460" t="s">
        <v>607</v>
      </c>
      <c r="C460">
        <v>-5</v>
      </c>
      <c r="D460">
        <v>4</v>
      </c>
      <c r="E460">
        <v>1</v>
      </c>
      <c r="F460">
        <v>-1</v>
      </c>
      <c r="G460">
        <v>9</v>
      </c>
      <c r="H460">
        <v>14</v>
      </c>
      <c r="I460">
        <v>40</v>
      </c>
      <c r="J460">
        <v>6.9</v>
      </c>
      <c r="K460">
        <v>0.75</v>
      </c>
      <c r="L460">
        <v>1.86</v>
      </c>
      <c r="M460">
        <v>17.100000000000001</v>
      </c>
      <c r="N460">
        <v>0.3</v>
      </c>
      <c r="O460" t="s">
        <v>655</v>
      </c>
      <c r="P460" s="368" t="s">
        <v>647</v>
      </c>
      <c r="Q460" t="s">
        <v>46</v>
      </c>
      <c r="R460" t="s">
        <v>709</v>
      </c>
      <c r="S460" t="s">
        <v>225</v>
      </c>
      <c r="T460" t="s">
        <v>201</v>
      </c>
      <c r="U460"/>
    </row>
    <row r="461" spans="1:21" x14ac:dyDescent="0.2">
      <c r="A461">
        <v>502922</v>
      </c>
      <c r="B461" t="s">
        <v>396</v>
      </c>
      <c r="C461">
        <v>-14</v>
      </c>
      <c r="D461">
        <v>-2</v>
      </c>
      <c r="E461">
        <v>1</v>
      </c>
      <c r="F461">
        <v>-10</v>
      </c>
      <c r="G461">
        <v>-4</v>
      </c>
      <c r="H461">
        <v>6</v>
      </c>
      <c r="I461">
        <v>5</v>
      </c>
      <c r="J461">
        <v>1</v>
      </c>
      <c r="K461">
        <v>0.75</v>
      </c>
      <c r="L461">
        <v>1.86</v>
      </c>
      <c r="M461">
        <v>23</v>
      </c>
      <c r="N461">
        <v>0.2</v>
      </c>
      <c r="O461" t="s">
        <v>655</v>
      </c>
      <c r="P461" s="368" t="s">
        <v>898</v>
      </c>
      <c r="Q461" t="s">
        <v>46</v>
      </c>
      <c r="R461" t="s">
        <v>988</v>
      </c>
      <c r="S461" t="s">
        <v>269</v>
      </c>
      <c r="T461" t="s">
        <v>163</v>
      </c>
      <c r="U461"/>
    </row>
    <row r="462" spans="1:21" x14ac:dyDescent="0.2">
      <c r="A462">
        <v>814947</v>
      </c>
      <c r="B462" t="s">
        <v>1477</v>
      </c>
      <c r="C462">
        <v>-2</v>
      </c>
      <c r="D462">
        <v>3</v>
      </c>
      <c r="E462">
        <v>-1</v>
      </c>
      <c r="F462"/>
      <c r="G462"/>
      <c r="H462">
        <v>41</v>
      </c>
      <c r="I462">
        <v>70</v>
      </c>
      <c r="J462">
        <v>11.1</v>
      </c>
      <c r="K462">
        <v>0.76</v>
      </c>
      <c r="L462">
        <v>1.9</v>
      </c>
      <c r="M462">
        <v>14</v>
      </c>
      <c r="N462">
        <v>0.9</v>
      </c>
      <c r="O462" t="s">
        <v>655</v>
      </c>
      <c r="P462" s="368" t="s">
        <v>1488</v>
      </c>
      <c r="Q462" t="s">
        <v>46</v>
      </c>
      <c r="R462" t="s">
        <v>1497</v>
      </c>
      <c r="S462" t="s">
        <v>202</v>
      </c>
      <c r="T462" t="s">
        <v>185</v>
      </c>
      <c r="U462"/>
    </row>
    <row r="463" spans="1:21" x14ac:dyDescent="0.2">
      <c r="A463">
        <v>666370</v>
      </c>
      <c r="B463" t="s">
        <v>1341</v>
      </c>
      <c r="C463">
        <v>-6</v>
      </c>
      <c r="D463">
        <v>-4</v>
      </c>
      <c r="E463">
        <v>-4</v>
      </c>
      <c r="F463">
        <v>0</v>
      </c>
      <c r="G463">
        <v>15</v>
      </c>
      <c r="H463">
        <v>33</v>
      </c>
      <c r="I463">
        <v>36</v>
      </c>
      <c r="J463">
        <v>6.4</v>
      </c>
      <c r="K463">
        <v>0.76</v>
      </c>
      <c r="L463">
        <v>1.9</v>
      </c>
      <c r="M463">
        <v>14.6</v>
      </c>
      <c r="N463">
        <v>0.7</v>
      </c>
      <c r="O463" t="s">
        <v>692</v>
      </c>
      <c r="P463" s="368" t="s">
        <v>1006</v>
      </c>
      <c r="Q463" t="s">
        <v>46</v>
      </c>
      <c r="R463" t="s">
        <v>1111</v>
      </c>
      <c r="S463" t="s">
        <v>1331</v>
      </c>
      <c r="T463" t="s">
        <v>257</v>
      </c>
      <c r="U463"/>
    </row>
    <row r="464" spans="1:21" x14ac:dyDescent="0.2">
      <c r="A464">
        <v>850776</v>
      </c>
      <c r="B464" t="s">
        <v>1478</v>
      </c>
      <c r="C464">
        <v>-13</v>
      </c>
      <c r="D464">
        <v>1</v>
      </c>
      <c r="E464">
        <v>-5</v>
      </c>
      <c r="F464"/>
      <c r="G464"/>
      <c r="H464">
        <v>6</v>
      </c>
      <c r="I464">
        <v>17</v>
      </c>
      <c r="J464">
        <v>3.2</v>
      </c>
      <c r="K464">
        <v>0.76</v>
      </c>
      <c r="L464">
        <v>1.88</v>
      </c>
      <c r="M464">
        <v>15.3</v>
      </c>
      <c r="N464">
        <v>0.2</v>
      </c>
      <c r="O464" t="s">
        <v>655</v>
      </c>
      <c r="P464" s="368" t="s">
        <v>1488</v>
      </c>
      <c r="Q464" t="s">
        <v>46</v>
      </c>
      <c r="R464" t="s">
        <v>1498</v>
      </c>
      <c r="S464" t="s">
        <v>202</v>
      </c>
      <c r="T464" t="s">
        <v>204</v>
      </c>
      <c r="U464"/>
    </row>
    <row r="465" spans="1:21" x14ac:dyDescent="0.2">
      <c r="A465">
        <v>992099</v>
      </c>
      <c r="B465" t="s">
        <v>1348</v>
      </c>
      <c r="C465">
        <v>-12</v>
      </c>
      <c r="D465">
        <v>-4</v>
      </c>
      <c r="E465">
        <v>-6</v>
      </c>
      <c r="F465">
        <v>-8</v>
      </c>
      <c r="G465">
        <v>0</v>
      </c>
      <c r="H465">
        <v>12</v>
      </c>
      <c r="I465">
        <v>15</v>
      </c>
      <c r="J465">
        <v>2.7</v>
      </c>
      <c r="K465">
        <v>0.76</v>
      </c>
      <c r="L465">
        <v>1.9</v>
      </c>
      <c r="M465">
        <v>14.4</v>
      </c>
      <c r="N465">
        <v>0.3</v>
      </c>
      <c r="O465" t="s">
        <v>692</v>
      </c>
      <c r="P465" s="368" t="s">
        <v>785</v>
      </c>
      <c r="Q465" t="s">
        <v>46</v>
      </c>
      <c r="R465" t="s">
        <v>1317</v>
      </c>
      <c r="S465" t="s">
        <v>1331</v>
      </c>
      <c r="T465" t="s">
        <v>263</v>
      </c>
      <c r="U465"/>
    </row>
    <row r="466" spans="1:21" x14ac:dyDescent="0.2">
      <c r="A466">
        <v>670091</v>
      </c>
      <c r="B466" t="s">
        <v>598</v>
      </c>
      <c r="C466">
        <v>-16</v>
      </c>
      <c r="D466">
        <v>-2</v>
      </c>
      <c r="E466">
        <v>-10</v>
      </c>
      <c r="F466">
        <v>-12</v>
      </c>
      <c r="G466">
        <v>-7</v>
      </c>
      <c r="H466">
        <v>12</v>
      </c>
      <c r="I466">
        <v>6</v>
      </c>
      <c r="J466">
        <v>1.2</v>
      </c>
      <c r="K466">
        <v>0.76</v>
      </c>
      <c r="L466">
        <v>1.9</v>
      </c>
      <c r="M466">
        <v>14.4</v>
      </c>
      <c r="N466">
        <v>0.3</v>
      </c>
      <c r="O466" t="s">
        <v>655</v>
      </c>
      <c r="P466" s="368" t="s">
        <v>1115</v>
      </c>
      <c r="Q466" t="s">
        <v>46</v>
      </c>
      <c r="R466" t="s">
        <v>1116</v>
      </c>
      <c r="S466" t="s">
        <v>313</v>
      </c>
      <c r="T466" t="s">
        <v>172</v>
      </c>
      <c r="U466"/>
    </row>
    <row r="467" spans="1:21" x14ac:dyDescent="0.2">
      <c r="A467">
        <v>170894</v>
      </c>
      <c r="B467" t="s">
        <v>606</v>
      </c>
      <c r="C467">
        <v>-23</v>
      </c>
      <c r="D467">
        <v>-5</v>
      </c>
      <c r="E467">
        <v>-22</v>
      </c>
      <c r="F467">
        <v>-23</v>
      </c>
      <c r="G467">
        <v>-25</v>
      </c>
      <c r="H467">
        <v>-18</v>
      </c>
      <c r="I467">
        <v>-3</v>
      </c>
      <c r="J467">
        <v>-0.7</v>
      </c>
      <c r="K467">
        <v>0.76</v>
      </c>
      <c r="L467">
        <v>1.88</v>
      </c>
      <c r="M467">
        <v>22.8</v>
      </c>
      <c r="N467">
        <v>-0.2</v>
      </c>
      <c r="O467" t="s">
        <v>692</v>
      </c>
      <c r="P467" s="368" t="s">
        <v>701</v>
      </c>
      <c r="Q467" t="s">
        <v>46</v>
      </c>
      <c r="R467" t="s">
        <v>702</v>
      </c>
      <c r="S467" t="s">
        <v>220</v>
      </c>
      <c r="T467" t="s">
        <v>221</v>
      </c>
      <c r="U467"/>
    </row>
    <row r="468" spans="1:21" x14ac:dyDescent="0.2">
      <c r="A468">
        <v>296749</v>
      </c>
      <c r="B468" t="s">
        <v>296</v>
      </c>
      <c r="C468">
        <v>2</v>
      </c>
      <c r="D468">
        <v>2</v>
      </c>
      <c r="E468">
        <v>5</v>
      </c>
      <c r="F468">
        <v>3</v>
      </c>
      <c r="G468">
        <v>12</v>
      </c>
      <c r="H468">
        <v>41</v>
      </c>
      <c r="I468">
        <v>87</v>
      </c>
      <c r="J468">
        <v>13.4</v>
      </c>
      <c r="K468">
        <v>0.77</v>
      </c>
      <c r="L468">
        <v>2.71</v>
      </c>
      <c r="M468">
        <v>16</v>
      </c>
      <c r="N468">
        <v>0.8</v>
      </c>
      <c r="O468" t="s">
        <v>692</v>
      </c>
      <c r="P468" s="368" t="s">
        <v>774</v>
      </c>
      <c r="Q468" t="s">
        <v>46</v>
      </c>
      <c r="R468" t="s">
        <v>811</v>
      </c>
      <c r="S468" t="s">
        <v>223</v>
      </c>
      <c r="T468" t="s">
        <v>232</v>
      </c>
      <c r="U468"/>
    </row>
    <row r="469" spans="1:21" x14ac:dyDescent="0.2">
      <c r="A469">
        <v>994095</v>
      </c>
      <c r="B469" t="s">
        <v>1484</v>
      </c>
      <c r="C469">
        <v>-10</v>
      </c>
      <c r="D469">
        <v>-6</v>
      </c>
      <c r="E469">
        <v>-7</v>
      </c>
      <c r="F469"/>
      <c r="G469"/>
      <c r="H469">
        <v>30</v>
      </c>
      <c r="I469">
        <v>63</v>
      </c>
      <c r="J469">
        <v>10.3</v>
      </c>
      <c r="K469">
        <v>0.77</v>
      </c>
      <c r="L469">
        <v>1.92</v>
      </c>
      <c r="M469">
        <v>15.8</v>
      </c>
      <c r="N469">
        <v>0.7</v>
      </c>
      <c r="O469" t="s">
        <v>655</v>
      </c>
      <c r="P469" s="368" t="s">
        <v>1488</v>
      </c>
      <c r="Q469" t="s">
        <v>46</v>
      </c>
      <c r="R469" t="s">
        <v>1503</v>
      </c>
      <c r="S469" t="s">
        <v>202</v>
      </c>
      <c r="T469" t="s">
        <v>263</v>
      </c>
      <c r="U469"/>
    </row>
    <row r="470" spans="1:21" x14ac:dyDescent="0.2">
      <c r="A470">
        <v>968891</v>
      </c>
      <c r="B470" t="s">
        <v>564</v>
      </c>
      <c r="C470">
        <v>0</v>
      </c>
      <c r="D470">
        <v>3</v>
      </c>
      <c r="E470">
        <v>5</v>
      </c>
      <c r="F470">
        <v>-1</v>
      </c>
      <c r="G470">
        <v>12</v>
      </c>
      <c r="H470">
        <v>39</v>
      </c>
      <c r="I470">
        <v>54</v>
      </c>
      <c r="J470">
        <v>9</v>
      </c>
      <c r="K470">
        <v>0.77</v>
      </c>
      <c r="L470">
        <v>2.7</v>
      </c>
      <c r="M470">
        <v>17.100000000000001</v>
      </c>
      <c r="N470">
        <v>0.7</v>
      </c>
      <c r="O470" t="s">
        <v>692</v>
      </c>
      <c r="P470" s="368" t="s">
        <v>919</v>
      </c>
      <c r="Q470" t="s">
        <v>46</v>
      </c>
      <c r="R470" t="s">
        <v>1298</v>
      </c>
      <c r="S470" t="s">
        <v>223</v>
      </c>
      <c r="T470" t="s">
        <v>254</v>
      </c>
      <c r="U470"/>
    </row>
    <row r="471" spans="1:21" x14ac:dyDescent="0.2">
      <c r="A471">
        <v>189258</v>
      </c>
      <c r="B471" t="s">
        <v>231</v>
      </c>
      <c r="C471">
        <v>-7</v>
      </c>
      <c r="D471">
        <v>1</v>
      </c>
      <c r="E471">
        <v>-3</v>
      </c>
      <c r="F471">
        <v>-6</v>
      </c>
      <c r="G471">
        <v>6</v>
      </c>
      <c r="H471">
        <v>25</v>
      </c>
      <c r="I471">
        <v>47</v>
      </c>
      <c r="J471">
        <v>7.9</v>
      </c>
      <c r="K471">
        <v>0.77</v>
      </c>
      <c r="L471">
        <v>2.7</v>
      </c>
      <c r="M471">
        <v>15</v>
      </c>
      <c r="N471">
        <v>0.6</v>
      </c>
      <c r="O471" t="s">
        <v>655</v>
      </c>
      <c r="P471" s="368" t="s">
        <v>716</v>
      </c>
      <c r="Q471" t="s">
        <v>46</v>
      </c>
      <c r="R471" t="s">
        <v>717</v>
      </c>
      <c r="S471" t="s">
        <v>223</v>
      </c>
      <c r="T471" t="s">
        <v>163</v>
      </c>
      <c r="U471"/>
    </row>
    <row r="472" spans="1:21" x14ac:dyDescent="0.2">
      <c r="A472">
        <v>690693</v>
      </c>
      <c r="B472" t="s">
        <v>476</v>
      </c>
      <c r="C472">
        <v>-3</v>
      </c>
      <c r="D472">
        <v>2</v>
      </c>
      <c r="E472">
        <v>3</v>
      </c>
      <c r="F472">
        <v>-3</v>
      </c>
      <c r="G472">
        <v>9</v>
      </c>
      <c r="H472">
        <v>29</v>
      </c>
      <c r="I472">
        <v>40</v>
      </c>
      <c r="J472">
        <v>6.9</v>
      </c>
      <c r="K472">
        <v>0.77</v>
      </c>
      <c r="L472">
        <v>2.91</v>
      </c>
      <c r="M472">
        <v>15.7</v>
      </c>
      <c r="N472">
        <v>0.6</v>
      </c>
      <c r="O472" t="s">
        <v>692</v>
      </c>
      <c r="P472" s="368" t="s">
        <v>1132</v>
      </c>
      <c r="Q472" t="s">
        <v>46</v>
      </c>
      <c r="R472" t="s">
        <v>1133</v>
      </c>
      <c r="S472" t="s">
        <v>223</v>
      </c>
      <c r="T472" t="s">
        <v>162</v>
      </c>
      <c r="U472"/>
    </row>
    <row r="473" spans="1:21" x14ac:dyDescent="0.2">
      <c r="A473">
        <v>882126</v>
      </c>
      <c r="B473" t="s">
        <v>542</v>
      </c>
      <c r="C473">
        <v>-2</v>
      </c>
      <c r="D473">
        <v>-3</v>
      </c>
      <c r="E473">
        <v>-1</v>
      </c>
      <c r="F473">
        <v>2</v>
      </c>
      <c r="G473">
        <v>17</v>
      </c>
      <c r="H473">
        <v>40</v>
      </c>
      <c r="I473">
        <v>37</v>
      </c>
      <c r="J473">
        <v>6.5</v>
      </c>
      <c r="K473">
        <v>0.77</v>
      </c>
      <c r="L473">
        <v>2.35</v>
      </c>
      <c r="M473">
        <v>16.8</v>
      </c>
      <c r="N473">
        <v>0.8</v>
      </c>
      <c r="O473" t="s">
        <v>692</v>
      </c>
      <c r="P473" s="368" t="s">
        <v>1199</v>
      </c>
      <c r="Q473" t="s">
        <v>46</v>
      </c>
      <c r="R473" t="s">
        <v>1254</v>
      </c>
      <c r="S473" t="s">
        <v>223</v>
      </c>
      <c r="T473" t="s">
        <v>257</v>
      </c>
      <c r="U473"/>
    </row>
    <row r="474" spans="1:21" x14ac:dyDescent="0.2">
      <c r="A474">
        <v>917955</v>
      </c>
      <c r="B474" t="s">
        <v>1481</v>
      </c>
      <c r="C474">
        <v>-10</v>
      </c>
      <c r="D474">
        <v>-3</v>
      </c>
      <c r="E474">
        <v>-6</v>
      </c>
      <c r="F474">
        <v>-6</v>
      </c>
      <c r="G474">
        <v>4</v>
      </c>
      <c r="H474">
        <v>17</v>
      </c>
      <c r="I474">
        <v>31</v>
      </c>
      <c r="J474">
        <v>5.6</v>
      </c>
      <c r="K474">
        <v>0.77</v>
      </c>
      <c r="L474">
        <v>2.37</v>
      </c>
      <c r="M474">
        <v>16</v>
      </c>
      <c r="N474">
        <v>0.4</v>
      </c>
      <c r="O474" t="s">
        <v>692</v>
      </c>
      <c r="P474" s="368" t="s">
        <v>1277</v>
      </c>
      <c r="Q474" t="s">
        <v>46</v>
      </c>
      <c r="R474" t="s">
        <v>1278</v>
      </c>
      <c r="S474" t="s">
        <v>223</v>
      </c>
      <c r="T474" t="s">
        <v>263</v>
      </c>
      <c r="U474"/>
    </row>
    <row r="475" spans="1:21" x14ac:dyDescent="0.2">
      <c r="A475">
        <v>886606</v>
      </c>
      <c r="B475" t="s">
        <v>1479</v>
      </c>
      <c r="C475">
        <v>-4</v>
      </c>
      <c r="D475">
        <v>-5</v>
      </c>
      <c r="E475">
        <v>-4</v>
      </c>
      <c r="F475"/>
      <c r="G475"/>
      <c r="H475">
        <v>26</v>
      </c>
      <c r="I475">
        <v>29</v>
      </c>
      <c r="J475">
        <v>5.3</v>
      </c>
      <c r="K475">
        <v>0.77</v>
      </c>
      <c r="L475">
        <v>1.91</v>
      </c>
      <c r="M475">
        <v>15.8</v>
      </c>
      <c r="N475">
        <v>0.6</v>
      </c>
      <c r="O475" t="s">
        <v>655</v>
      </c>
      <c r="P475" s="368" t="s">
        <v>1488</v>
      </c>
      <c r="Q475" t="s">
        <v>46</v>
      </c>
      <c r="R475" t="s">
        <v>1500</v>
      </c>
      <c r="S475" t="s">
        <v>202</v>
      </c>
      <c r="T475" t="s">
        <v>257</v>
      </c>
      <c r="U475"/>
    </row>
    <row r="476" spans="1:21" x14ac:dyDescent="0.2">
      <c r="A476">
        <v>922435</v>
      </c>
      <c r="B476" t="s">
        <v>1482</v>
      </c>
      <c r="C476">
        <v>-15</v>
      </c>
      <c r="D476">
        <v>-6</v>
      </c>
      <c r="E476">
        <v>-11</v>
      </c>
      <c r="F476"/>
      <c r="G476"/>
      <c r="H476">
        <v>10</v>
      </c>
      <c r="I476">
        <v>27</v>
      </c>
      <c r="J476">
        <v>4.8</v>
      </c>
      <c r="K476">
        <v>0.77</v>
      </c>
      <c r="L476">
        <v>1.93</v>
      </c>
      <c r="M476">
        <v>14.6</v>
      </c>
      <c r="N476">
        <v>0.3</v>
      </c>
      <c r="O476" t="s">
        <v>655</v>
      </c>
      <c r="P476" s="368" t="s">
        <v>1488</v>
      </c>
      <c r="Q476" t="s">
        <v>46</v>
      </c>
      <c r="R476" t="s">
        <v>1501</v>
      </c>
      <c r="S476" t="s">
        <v>202</v>
      </c>
      <c r="T476" t="s">
        <v>263</v>
      </c>
      <c r="U476"/>
    </row>
    <row r="477" spans="1:21" x14ac:dyDescent="0.2">
      <c r="A477">
        <v>923383</v>
      </c>
      <c r="B477" t="s">
        <v>554</v>
      </c>
      <c r="C477">
        <v>-8</v>
      </c>
      <c r="D477">
        <v>3</v>
      </c>
      <c r="E477">
        <v>0</v>
      </c>
      <c r="F477">
        <v>-9</v>
      </c>
      <c r="G477">
        <v>4</v>
      </c>
      <c r="H477">
        <v>27</v>
      </c>
      <c r="I477">
        <v>26</v>
      </c>
      <c r="J477">
        <v>4.7</v>
      </c>
      <c r="K477">
        <v>0.77</v>
      </c>
      <c r="L477">
        <v>2.7</v>
      </c>
      <c r="M477">
        <v>15.4</v>
      </c>
      <c r="N477">
        <v>0.6</v>
      </c>
      <c r="O477" t="s">
        <v>655</v>
      </c>
      <c r="P477" s="368" t="s">
        <v>1280</v>
      </c>
      <c r="Q477" t="s">
        <v>46</v>
      </c>
      <c r="R477" t="s">
        <v>1281</v>
      </c>
      <c r="S477" t="s">
        <v>223</v>
      </c>
      <c r="T477" t="s">
        <v>162</v>
      </c>
      <c r="U477"/>
    </row>
    <row r="478" spans="1:21" x14ac:dyDescent="0.2">
      <c r="A478">
        <v>368407</v>
      </c>
      <c r="B478" t="s">
        <v>334</v>
      </c>
      <c r="C478">
        <v>-19</v>
      </c>
      <c r="D478">
        <v>3</v>
      </c>
      <c r="E478">
        <v>-13</v>
      </c>
      <c r="F478">
        <v>-15</v>
      </c>
      <c r="G478">
        <v>-1</v>
      </c>
      <c r="H478">
        <v>10</v>
      </c>
      <c r="I478">
        <v>24</v>
      </c>
      <c r="J478">
        <v>4.4000000000000004</v>
      </c>
      <c r="K478">
        <v>0.77</v>
      </c>
      <c r="L478">
        <v>2.5</v>
      </c>
      <c r="M478">
        <v>22.2</v>
      </c>
      <c r="N478">
        <v>0.3</v>
      </c>
      <c r="O478" t="s">
        <v>655</v>
      </c>
      <c r="P478" s="368" t="s">
        <v>774</v>
      </c>
      <c r="Q478" t="s">
        <v>46</v>
      </c>
      <c r="R478" t="s">
        <v>880</v>
      </c>
      <c r="S478" t="s">
        <v>223</v>
      </c>
      <c r="T478" t="s">
        <v>335</v>
      </c>
      <c r="U478"/>
    </row>
    <row r="479" spans="1:21" x14ac:dyDescent="0.2">
      <c r="A479">
        <v>440065</v>
      </c>
      <c r="B479" t="s">
        <v>365</v>
      </c>
      <c r="C479">
        <v>-13</v>
      </c>
      <c r="D479">
        <v>3</v>
      </c>
      <c r="E479">
        <v>-5</v>
      </c>
      <c r="F479">
        <v>-11</v>
      </c>
      <c r="G479">
        <v>-2</v>
      </c>
      <c r="H479">
        <v>1</v>
      </c>
      <c r="I479">
        <v>20</v>
      </c>
      <c r="J479">
        <v>3.7</v>
      </c>
      <c r="K479">
        <v>0.77</v>
      </c>
      <c r="L479">
        <v>2.63</v>
      </c>
      <c r="M479">
        <v>18.2</v>
      </c>
      <c r="N479">
        <v>0.1</v>
      </c>
      <c r="O479" t="s">
        <v>655</v>
      </c>
      <c r="P479" s="368" t="s">
        <v>716</v>
      </c>
      <c r="Q479" t="s">
        <v>46</v>
      </c>
      <c r="R479" t="s">
        <v>934</v>
      </c>
      <c r="S479" t="s">
        <v>223</v>
      </c>
      <c r="T479" t="s">
        <v>175</v>
      </c>
      <c r="U479"/>
    </row>
    <row r="480" spans="1:21" x14ac:dyDescent="0.2">
      <c r="A480">
        <v>887497</v>
      </c>
      <c r="B480" t="s">
        <v>543</v>
      </c>
      <c r="C480">
        <v>2</v>
      </c>
      <c r="D480">
        <v>5</v>
      </c>
      <c r="E480">
        <v>4</v>
      </c>
      <c r="F480">
        <v>3</v>
      </c>
      <c r="G480">
        <v>20</v>
      </c>
      <c r="H480">
        <v>25</v>
      </c>
      <c r="I480">
        <v>19</v>
      </c>
      <c r="J480">
        <v>3.6</v>
      </c>
      <c r="K480">
        <v>0.77</v>
      </c>
      <c r="L480">
        <v>2.7</v>
      </c>
      <c r="M480">
        <v>18</v>
      </c>
      <c r="N480">
        <v>0.5</v>
      </c>
      <c r="O480" t="s">
        <v>692</v>
      </c>
      <c r="P480" s="368" t="s">
        <v>1256</v>
      </c>
      <c r="Q480" t="s">
        <v>46</v>
      </c>
      <c r="R480" t="s">
        <v>1257</v>
      </c>
      <c r="S480" t="s">
        <v>223</v>
      </c>
      <c r="T480" t="s">
        <v>254</v>
      </c>
      <c r="U480"/>
    </row>
    <row r="481" spans="1:21" x14ac:dyDescent="0.2">
      <c r="A481">
        <v>688986</v>
      </c>
      <c r="B481" t="s">
        <v>475</v>
      </c>
      <c r="C481">
        <v>0</v>
      </c>
      <c r="D481">
        <v>1</v>
      </c>
      <c r="E481">
        <v>8</v>
      </c>
      <c r="F481">
        <v>0</v>
      </c>
      <c r="G481">
        <v>14</v>
      </c>
      <c r="H481">
        <v>35</v>
      </c>
      <c r="I481">
        <v>19</v>
      </c>
      <c r="J481">
        <v>3.5</v>
      </c>
      <c r="K481">
        <v>0.77</v>
      </c>
      <c r="L481">
        <v>2.72</v>
      </c>
      <c r="M481">
        <v>15.5</v>
      </c>
      <c r="N481">
        <v>0.7</v>
      </c>
      <c r="O481" t="s">
        <v>692</v>
      </c>
      <c r="P481" s="368" t="s">
        <v>1130</v>
      </c>
      <c r="Q481" t="s">
        <v>46</v>
      </c>
      <c r="R481" t="s">
        <v>1131</v>
      </c>
      <c r="S481" t="s">
        <v>223</v>
      </c>
      <c r="T481" t="s">
        <v>252</v>
      </c>
      <c r="U481"/>
    </row>
    <row r="482" spans="1:21" x14ac:dyDescent="0.2">
      <c r="A482">
        <v>260919</v>
      </c>
      <c r="B482" t="s">
        <v>276</v>
      </c>
      <c r="C482">
        <v>13</v>
      </c>
      <c r="D482">
        <v>1</v>
      </c>
      <c r="E482">
        <v>16</v>
      </c>
      <c r="F482">
        <v>10</v>
      </c>
      <c r="G482">
        <v>31</v>
      </c>
      <c r="H482">
        <v>50</v>
      </c>
      <c r="I482">
        <v>18</v>
      </c>
      <c r="J482">
        <v>3.3</v>
      </c>
      <c r="K482">
        <v>0.77</v>
      </c>
      <c r="L482">
        <v>2.7</v>
      </c>
      <c r="M482">
        <v>20.6</v>
      </c>
      <c r="N482">
        <v>0.8</v>
      </c>
      <c r="O482" t="s">
        <v>692</v>
      </c>
      <c r="P482" s="368" t="s">
        <v>774</v>
      </c>
      <c r="Q482" t="s">
        <v>46</v>
      </c>
      <c r="R482" t="s">
        <v>775</v>
      </c>
      <c r="S482" t="s">
        <v>223</v>
      </c>
      <c r="T482" t="s">
        <v>252</v>
      </c>
      <c r="U482"/>
    </row>
    <row r="483" spans="1:21" x14ac:dyDescent="0.2">
      <c r="A483">
        <v>349150</v>
      </c>
      <c r="B483" t="s">
        <v>1458</v>
      </c>
      <c r="C483">
        <v>-17</v>
      </c>
      <c r="D483">
        <v>-3</v>
      </c>
      <c r="E483">
        <v>-12</v>
      </c>
      <c r="F483"/>
      <c r="G483"/>
      <c r="H483">
        <v>10</v>
      </c>
      <c r="I483">
        <v>17</v>
      </c>
      <c r="J483">
        <v>3.2</v>
      </c>
      <c r="K483">
        <v>0.77</v>
      </c>
      <c r="L483">
        <v>1.93</v>
      </c>
      <c r="M483">
        <v>15.1</v>
      </c>
      <c r="N483">
        <v>0.3</v>
      </c>
      <c r="O483" t="s">
        <v>655</v>
      </c>
      <c r="P483" s="368" t="s">
        <v>1488</v>
      </c>
      <c r="Q483" t="s">
        <v>46</v>
      </c>
      <c r="R483" t="s">
        <v>1491</v>
      </c>
      <c r="S483" t="s">
        <v>202</v>
      </c>
      <c r="T483" t="s">
        <v>172</v>
      </c>
      <c r="U483"/>
    </row>
    <row r="484" spans="1:21" x14ac:dyDescent="0.2">
      <c r="A484">
        <v>404236</v>
      </c>
      <c r="B484" t="s">
        <v>351</v>
      </c>
      <c r="C484">
        <v>-16</v>
      </c>
      <c r="D484">
        <v>-1</v>
      </c>
      <c r="E484">
        <v>-9</v>
      </c>
      <c r="F484">
        <v>-10</v>
      </c>
      <c r="G484">
        <v>-2</v>
      </c>
      <c r="H484">
        <v>5</v>
      </c>
      <c r="I484">
        <v>11</v>
      </c>
      <c r="J484">
        <v>2.1</v>
      </c>
      <c r="K484">
        <v>0.77</v>
      </c>
      <c r="L484">
        <v>2.38</v>
      </c>
      <c r="M484">
        <v>15.9</v>
      </c>
      <c r="N484">
        <v>0.2</v>
      </c>
      <c r="O484" t="s">
        <v>692</v>
      </c>
      <c r="P484" s="368" t="s">
        <v>774</v>
      </c>
      <c r="Q484" t="s">
        <v>46</v>
      </c>
      <c r="R484" t="s">
        <v>904</v>
      </c>
      <c r="S484" t="s">
        <v>223</v>
      </c>
      <c r="T484" t="s">
        <v>172</v>
      </c>
      <c r="U484"/>
    </row>
    <row r="485" spans="1:21" x14ac:dyDescent="0.2">
      <c r="A485">
        <v>958264</v>
      </c>
      <c r="B485" t="s">
        <v>1483</v>
      </c>
      <c r="C485">
        <v>-15</v>
      </c>
      <c r="D485">
        <v>-9</v>
      </c>
      <c r="E485">
        <v>-10</v>
      </c>
      <c r="F485"/>
      <c r="G485"/>
      <c r="H485">
        <v>11</v>
      </c>
      <c r="I485">
        <v>10</v>
      </c>
      <c r="J485">
        <v>2</v>
      </c>
      <c r="K485">
        <v>0.77</v>
      </c>
      <c r="L485">
        <v>1.91</v>
      </c>
      <c r="M485">
        <v>15.5</v>
      </c>
      <c r="N485">
        <v>0.3</v>
      </c>
      <c r="O485" t="s">
        <v>692</v>
      </c>
      <c r="P485" s="368" t="s">
        <v>1488</v>
      </c>
      <c r="Q485" t="s">
        <v>46</v>
      </c>
      <c r="R485" t="s">
        <v>1502</v>
      </c>
      <c r="S485" t="s">
        <v>202</v>
      </c>
      <c r="T485" t="s">
        <v>257</v>
      </c>
      <c r="U485"/>
    </row>
    <row r="486" spans="1:21" x14ac:dyDescent="0.2">
      <c r="A486">
        <v>755033</v>
      </c>
      <c r="B486" t="s">
        <v>499</v>
      </c>
      <c r="C486">
        <v>-15</v>
      </c>
      <c r="D486">
        <v>-1</v>
      </c>
      <c r="E486">
        <v>-5</v>
      </c>
      <c r="F486">
        <v>-15</v>
      </c>
      <c r="G486">
        <v>1</v>
      </c>
      <c r="H486">
        <v>2</v>
      </c>
      <c r="I486">
        <v>9</v>
      </c>
      <c r="J486">
        <v>1.8</v>
      </c>
      <c r="K486">
        <v>0.77</v>
      </c>
      <c r="L486">
        <v>2.72</v>
      </c>
      <c r="M486">
        <v>21.6</v>
      </c>
      <c r="N486">
        <v>0.2</v>
      </c>
      <c r="O486" t="s">
        <v>692</v>
      </c>
      <c r="P486" s="368" t="s">
        <v>1170</v>
      </c>
      <c r="Q486" t="s">
        <v>46</v>
      </c>
      <c r="R486" t="s">
        <v>1171</v>
      </c>
      <c r="S486" t="s">
        <v>223</v>
      </c>
      <c r="T486" t="s">
        <v>163</v>
      </c>
      <c r="U486"/>
    </row>
    <row r="487" spans="1:21" x14ac:dyDescent="0.2">
      <c r="A487">
        <v>874271</v>
      </c>
      <c r="B487" t="s">
        <v>539</v>
      </c>
      <c r="C487">
        <v>-23</v>
      </c>
      <c r="D487">
        <v>-8</v>
      </c>
      <c r="E487">
        <v>-23</v>
      </c>
      <c r="F487">
        <v>-24</v>
      </c>
      <c r="G487">
        <v>-22</v>
      </c>
      <c r="H487">
        <v>-13</v>
      </c>
      <c r="I487">
        <v>4</v>
      </c>
      <c r="J487">
        <v>0.8</v>
      </c>
      <c r="K487">
        <v>0.77</v>
      </c>
      <c r="L487">
        <v>2.37</v>
      </c>
      <c r="M487">
        <v>22.1</v>
      </c>
      <c r="N487">
        <v>-0.1</v>
      </c>
      <c r="O487" t="s">
        <v>692</v>
      </c>
      <c r="P487" s="368" t="s">
        <v>716</v>
      </c>
      <c r="Q487" t="s">
        <v>46</v>
      </c>
      <c r="R487" t="s">
        <v>1249</v>
      </c>
      <c r="S487" t="s">
        <v>223</v>
      </c>
      <c r="T487" t="s">
        <v>221</v>
      </c>
      <c r="U487"/>
    </row>
    <row r="488" spans="1:21" x14ac:dyDescent="0.2">
      <c r="A488">
        <v>313320</v>
      </c>
      <c r="B488" t="s">
        <v>1456</v>
      </c>
      <c r="C488">
        <v>-13</v>
      </c>
      <c r="D488">
        <v>-4</v>
      </c>
      <c r="E488">
        <v>-10</v>
      </c>
      <c r="F488"/>
      <c r="G488"/>
      <c r="H488">
        <v>15</v>
      </c>
      <c r="I488">
        <v>27</v>
      </c>
      <c r="J488">
        <v>4.8</v>
      </c>
      <c r="K488">
        <v>0.78</v>
      </c>
      <c r="L488">
        <v>1.94</v>
      </c>
      <c r="M488">
        <v>14.7</v>
      </c>
      <c r="N488">
        <v>0.4</v>
      </c>
      <c r="O488" t="s">
        <v>655</v>
      </c>
      <c r="P488" s="368" t="s">
        <v>1488</v>
      </c>
      <c r="Q488" t="s">
        <v>46</v>
      </c>
      <c r="R488" t="s">
        <v>1490</v>
      </c>
      <c r="S488" t="s">
        <v>202</v>
      </c>
      <c r="T488" t="s">
        <v>263</v>
      </c>
      <c r="U488"/>
    </row>
    <row r="489" spans="1:21" x14ac:dyDescent="0.2">
      <c r="A489">
        <v>720201</v>
      </c>
      <c r="B489" t="s">
        <v>1526</v>
      </c>
      <c r="C489"/>
      <c r="D489">
        <v>-7</v>
      </c>
      <c r="E489">
        <v>-22</v>
      </c>
      <c r="F489"/>
      <c r="G489"/>
      <c r="H489">
        <v>-5</v>
      </c>
      <c r="I489">
        <v>12</v>
      </c>
      <c r="J489">
        <v>2.4</v>
      </c>
      <c r="K489">
        <v>0.78</v>
      </c>
      <c r="L489">
        <v>2.2000000000000002</v>
      </c>
      <c r="M489">
        <v>21.4</v>
      </c>
      <c r="N489">
        <v>0</v>
      </c>
      <c r="O489" t="s">
        <v>692</v>
      </c>
      <c r="P489" s="368" t="s">
        <v>1541</v>
      </c>
      <c r="Q489" t="s">
        <v>46</v>
      </c>
      <c r="R489" t="s">
        <v>1543</v>
      </c>
      <c r="S489" t="s">
        <v>215</v>
      </c>
      <c r="T489" t="s">
        <v>221</v>
      </c>
      <c r="U489"/>
    </row>
    <row r="490" spans="1:21" x14ac:dyDescent="0.2">
      <c r="A490">
        <v>233460</v>
      </c>
      <c r="B490" t="s">
        <v>255</v>
      </c>
      <c r="C490">
        <v>-25</v>
      </c>
      <c r="D490">
        <v>-10</v>
      </c>
      <c r="E490">
        <v>-24</v>
      </c>
      <c r="F490">
        <v>-26</v>
      </c>
      <c r="G490">
        <v>-26</v>
      </c>
      <c r="H490">
        <v>-9</v>
      </c>
      <c r="I490">
        <v>8</v>
      </c>
      <c r="J490">
        <v>1.5</v>
      </c>
      <c r="K490">
        <v>0.78</v>
      </c>
      <c r="L490">
        <v>2.0499999999999998</v>
      </c>
      <c r="M490">
        <v>21.9</v>
      </c>
      <c r="N490">
        <v>0</v>
      </c>
      <c r="O490" t="s">
        <v>692</v>
      </c>
      <c r="P490" s="368" t="s">
        <v>744</v>
      </c>
      <c r="Q490" t="s">
        <v>46</v>
      </c>
      <c r="R490" t="s">
        <v>745</v>
      </c>
      <c r="S490" t="s">
        <v>215</v>
      </c>
      <c r="T490" t="s">
        <v>221</v>
      </c>
      <c r="U490"/>
    </row>
    <row r="491" spans="1:21" x14ac:dyDescent="0.2">
      <c r="A491">
        <v>756031</v>
      </c>
      <c r="B491" t="s">
        <v>1527</v>
      </c>
      <c r="C491"/>
      <c r="D491">
        <v>1</v>
      </c>
      <c r="E491">
        <v>-28</v>
      </c>
      <c r="F491"/>
      <c r="G491"/>
      <c r="H491">
        <v>-9</v>
      </c>
      <c r="I491">
        <v>-10</v>
      </c>
      <c r="J491">
        <v>-2.1</v>
      </c>
      <c r="K491">
        <v>0.78</v>
      </c>
      <c r="L491">
        <v>2.2000000000000002</v>
      </c>
      <c r="M491">
        <v>27.5</v>
      </c>
      <c r="N491">
        <v>0</v>
      </c>
      <c r="O491" t="s">
        <v>692</v>
      </c>
      <c r="P491" s="368" t="s">
        <v>1541</v>
      </c>
      <c r="Q491" t="s">
        <v>46</v>
      </c>
      <c r="R491" t="s">
        <v>1544</v>
      </c>
      <c r="S491" t="s">
        <v>215</v>
      </c>
      <c r="T491" t="s">
        <v>239</v>
      </c>
      <c r="U491"/>
    </row>
    <row r="492" spans="1:21" x14ac:dyDescent="0.2">
      <c r="A492">
        <v>204891</v>
      </c>
      <c r="B492" t="s">
        <v>238</v>
      </c>
      <c r="C492">
        <v>-41</v>
      </c>
      <c r="D492">
        <v>-4</v>
      </c>
      <c r="E492">
        <v>-32</v>
      </c>
      <c r="F492">
        <v>-37</v>
      </c>
      <c r="G492">
        <v>-36</v>
      </c>
      <c r="H492">
        <v>-18</v>
      </c>
      <c r="I492">
        <v>-18</v>
      </c>
      <c r="J492">
        <v>-3.9</v>
      </c>
      <c r="K492">
        <v>0.78</v>
      </c>
      <c r="L492">
        <v>2.0499999999999998</v>
      </c>
      <c r="M492">
        <v>27.2</v>
      </c>
      <c r="N492">
        <v>-0.1</v>
      </c>
      <c r="O492" t="s">
        <v>692</v>
      </c>
      <c r="P492" s="368" t="s">
        <v>729</v>
      </c>
      <c r="Q492" t="s">
        <v>46</v>
      </c>
      <c r="R492" t="s">
        <v>730</v>
      </c>
      <c r="S492" t="s">
        <v>215</v>
      </c>
      <c r="T492" t="s">
        <v>239</v>
      </c>
      <c r="U492"/>
    </row>
    <row r="493" spans="1:21" x14ac:dyDescent="0.2">
      <c r="A493">
        <v>684373</v>
      </c>
      <c r="B493" t="s">
        <v>1525</v>
      </c>
      <c r="C493"/>
      <c r="D493">
        <v>3</v>
      </c>
      <c r="E493">
        <v>27</v>
      </c>
      <c r="F493"/>
      <c r="G493"/>
      <c r="H493">
        <v>49</v>
      </c>
      <c r="I493">
        <v>70</v>
      </c>
      <c r="J493">
        <v>11.2</v>
      </c>
      <c r="K493">
        <v>0.8</v>
      </c>
      <c r="L493">
        <v>2.2999999999999998</v>
      </c>
      <c r="M493">
        <v>29.6</v>
      </c>
      <c r="N493">
        <v>0.6</v>
      </c>
      <c r="O493" t="s">
        <v>692</v>
      </c>
      <c r="P493" s="368" t="s">
        <v>1541</v>
      </c>
      <c r="Q493" t="s">
        <v>46</v>
      </c>
      <c r="R493" t="s">
        <v>1542</v>
      </c>
      <c r="S493" t="s">
        <v>215</v>
      </c>
      <c r="T493" t="s">
        <v>163</v>
      </c>
      <c r="U493"/>
    </row>
    <row r="494" spans="1:21" x14ac:dyDescent="0.2">
      <c r="A494">
        <v>202002</v>
      </c>
      <c r="B494" t="s">
        <v>235</v>
      </c>
      <c r="C494">
        <v>-8</v>
      </c>
      <c r="D494">
        <v>3</v>
      </c>
      <c r="E494">
        <v>-4</v>
      </c>
      <c r="F494">
        <v>-6</v>
      </c>
      <c r="G494">
        <v>2</v>
      </c>
      <c r="H494">
        <v>22</v>
      </c>
      <c r="I494">
        <v>52</v>
      </c>
      <c r="J494">
        <v>8.8000000000000007</v>
      </c>
      <c r="K494">
        <v>0.8</v>
      </c>
      <c r="L494">
        <v>2</v>
      </c>
      <c r="M494">
        <v>17.8</v>
      </c>
      <c r="N494">
        <v>0.5</v>
      </c>
      <c r="O494" t="s">
        <v>655</v>
      </c>
      <c r="P494" s="368" t="s">
        <v>725</v>
      </c>
      <c r="Q494" t="s">
        <v>46</v>
      </c>
      <c r="R494" t="s">
        <v>726</v>
      </c>
      <c r="S494" t="s">
        <v>236</v>
      </c>
      <c r="T494" t="s">
        <v>162</v>
      </c>
      <c r="U494"/>
    </row>
    <row r="495" spans="1:21" x14ac:dyDescent="0.2">
      <c r="A495">
        <v>827691</v>
      </c>
      <c r="B495" t="s">
        <v>1530</v>
      </c>
      <c r="C495"/>
      <c r="D495">
        <v>3</v>
      </c>
      <c r="E495">
        <v>2</v>
      </c>
      <c r="F495"/>
      <c r="G495"/>
      <c r="H495">
        <v>27</v>
      </c>
      <c r="I495">
        <v>42</v>
      </c>
      <c r="J495">
        <v>7.2</v>
      </c>
      <c r="K495">
        <v>0.8</v>
      </c>
      <c r="L495">
        <v>2.2999999999999998</v>
      </c>
      <c r="M495">
        <v>16.2</v>
      </c>
      <c r="N495">
        <v>0.6</v>
      </c>
      <c r="O495" t="s">
        <v>692</v>
      </c>
      <c r="P495" s="368" t="s">
        <v>1541</v>
      </c>
      <c r="Q495" t="s">
        <v>46</v>
      </c>
      <c r="R495" t="s">
        <v>1546</v>
      </c>
      <c r="S495" t="s">
        <v>215</v>
      </c>
      <c r="T495" t="s">
        <v>254</v>
      </c>
      <c r="U495"/>
    </row>
    <row r="496" spans="1:21" x14ac:dyDescent="0.2">
      <c r="A496">
        <v>237834</v>
      </c>
      <c r="B496" t="s">
        <v>258</v>
      </c>
      <c r="C496">
        <v>-9</v>
      </c>
      <c r="D496">
        <v>8</v>
      </c>
      <c r="E496">
        <v>-3</v>
      </c>
      <c r="F496">
        <v>-5</v>
      </c>
      <c r="G496">
        <v>1</v>
      </c>
      <c r="H496">
        <v>8</v>
      </c>
      <c r="I496">
        <v>40</v>
      </c>
      <c r="J496">
        <v>7</v>
      </c>
      <c r="K496">
        <v>0.8</v>
      </c>
      <c r="L496">
        <v>2</v>
      </c>
      <c r="M496">
        <v>19.7</v>
      </c>
      <c r="N496">
        <v>0.2</v>
      </c>
      <c r="O496" t="s">
        <v>655</v>
      </c>
      <c r="P496" s="368" t="s">
        <v>725</v>
      </c>
      <c r="Q496" t="s">
        <v>46</v>
      </c>
      <c r="R496" t="s">
        <v>750</v>
      </c>
      <c r="S496" t="s">
        <v>236</v>
      </c>
      <c r="T496" t="s">
        <v>197</v>
      </c>
      <c r="U496"/>
    </row>
    <row r="497" spans="1:21" x14ac:dyDescent="0.2">
      <c r="A497">
        <v>674101</v>
      </c>
      <c r="B497" t="s">
        <v>599</v>
      </c>
      <c r="C497">
        <v>-9</v>
      </c>
      <c r="D497">
        <v>4</v>
      </c>
      <c r="E497">
        <v>1</v>
      </c>
      <c r="F497">
        <v>-9</v>
      </c>
      <c r="G497">
        <v>-10</v>
      </c>
      <c r="H497">
        <v>6</v>
      </c>
      <c r="I497">
        <v>38</v>
      </c>
      <c r="J497">
        <v>6.6</v>
      </c>
      <c r="K497">
        <v>0.8</v>
      </c>
      <c r="L497">
        <v>2</v>
      </c>
      <c r="M497">
        <v>14.3</v>
      </c>
      <c r="N497">
        <v>0.2</v>
      </c>
      <c r="O497" t="s">
        <v>646</v>
      </c>
      <c r="P497" s="368" t="s">
        <v>1118</v>
      </c>
      <c r="Q497" t="s">
        <v>46</v>
      </c>
      <c r="R497" t="s">
        <v>1119</v>
      </c>
      <c r="S497" t="s">
        <v>171</v>
      </c>
      <c r="T497" t="s">
        <v>254</v>
      </c>
      <c r="U497"/>
    </row>
    <row r="498" spans="1:21" x14ac:dyDescent="0.2">
      <c r="A498">
        <v>425067</v>
      </c>
      <c r="B498" t="s">
        <v>1400</v>
      </c>
      <c r="C498"/>
      <c r="D498">
        <v>-2</v>
      </c>
      <c r="E498">
        <v>-12</v>
      </c>
      <c r="F498"/>
      <c r="G498"/>
      <c r="H498">
        <v>9</v>
      </c>
      <c r="I498">
        <v>25</v>
      </c>
      <c r="J498">
        <v>4.5</v>
      </c>
      <c r="K498">
        <v>0.8</v>
      </c>
      <c r="L498">
        <v>2</v>
      </c>
      <c r="M498">
        <v>16.100000000000001</v>
      </c>
      <c r="N498">
        <v>0.3</v>
      </c>
      <c r="O498" t="s">
        <v>692</v>
      </c>
      <c r="P498" s="368" t="s">
        <v>1398</v>
      </c>
      <c r="Q498" t="s">
        <v>46</v>
      </c>
      <c r="R498" t="s">
        <v>1401</v>
      </c>
      <c r="S498" t="s">
        <v>220</v>
      </c>
      <c r="T498" t="s">
        <v>172</v>
      </c>
      <c r="U498"/>
    </row>
    <row r="499" spans="1:21" x14ac:dyDescent="0.2">
      <c r="A499">
        <v>356063</v>
      </c>
      <c r="B499" t="s">
        <v>326</v>
      </c>
      <c r="C499">
        <v>-16</v>
      </c>
      <c r="D499">
        <v>2</v>
      </c>
      <c r="E499">
        <v>-8</v>
      </c>
      <c r="F499">
        <v>-14</v>
      </c>
      <c r="G499">
        <v>-5</v>
      </c>
      <c r="H499">
        <v>-4</v>
      </c>
      <c r="I499">
        <v>24</v>
      </c>
      <c r="J499">
        <v>4.4000000000000004</v>
      </c>
      <c r="K499">
        <v>0.8</v>
      </c>
      <c r="L499">
        <v>2</v>
      </c>
      <c r="M499">
        <v>20.8</v>
      </c>
      <c r="N499">
        <v>0.1</v>
      </c>
      <c r="O499" t="s">
        <v>655</v>
      </c>
      <c r="P499" s="368" t="s">
        <v>865</v>
      </c>
      <c r="Q499" t="s">
        <v>46</v>
      </c>
      <c r="R499" t="s">
        <v>866</v>
      </c>
      <c r="S499" t="s">
        <v>236</v>
      </c>
      <c r="T499" t="s">
        <v>175</v>
      </c>
      <c r="U499"/>
    </row>
    <row r="500" spans="1:21" x14ac:dyDescent="0.2">
      <c r="A500">
        <v>785493</v>
      </c>
      <c r="B500" t="s">
        <v>507</v>
      </c>
      <c r="C500">
        <v>-13</v>
      </c>
      <c r="D500">
        <v>7</v>
      </c>
      <c r="E500">
        <v>-4</v>
      </c>
      <c r="F500">
        <v>-9</v>
      </c>
      <c r="G500">
        <v>6</v>
      </c>
      <c r="H500">
        <v>-8</v>
      </c>
      <c r="I500">
        <v>22</v>
      </c>
      <c r="J500">
        <v>4.0999999999999996</v>
      </c>
      <c r="K500">
        <v>0.8</v>
      </c>
      <c r="L500">
        <v>2</v>
      </c>
      <c r="M500">
        <v>19.899999999999999</v>
      </c>
      <c r="N500">
        <v>0</v>
      </c>
      <c r="O500" t="s">
        <v>655</v>
      </c>
      <c r="P500" s="368" t="s">
        <v>1191</v>
      </c>
      <c r="Q500" t="s">
        <v>46</v>
      </c>
      <c r="R500" t="s">
        <v>1192</v>
      </c>
      <c r="S500" t="s">
        <v>236</v>
      </c>
      <c r="T500" t="s">
        <v>197</v>
      </c>
      <c r="U500"/>
    </row>
    <row r="501" spans="1:21" x14ac:dyDescent="0.2">
      <c r="A501">
        <v>165755</v>
      </c>
      <c r="B501" t="s">
        <v>1355</v>
      </c>
      <c r="C501">
        <v>-25</v>
      </c>
      <c r="D501">
        <v>4</v>
      </c>
      <c r="E501">
        <v>-14</v>
      </c>
      <c r="F501">
        <v>-20</v>
      </c>
      <c r="G501"/>
      <c r="H501">
        <v>-4</v>
      </c>
      <c r="I501">
        <v>6</v>
      </c>
      <c r="J501">
        <v>1.2</v>
      </c>
      <c r="K501">
        <v>0.8</v>
      </c>
      <c r="L501">
        <v>2.0099999999999998</v>
      </c>
      <c r="M501">
        <v>22.7</v>
      </c>
      <c r="N501">
        <v>0.1</v>
      </c>
      <c r="O501" t="s">
        <v>646</v>
      </c>
      <c r="P501" s="368" t="s">
        <v>1356</v>
      </c>
      <c r="Q501" t="s">
        <v>46</v>
      </c>
      <c r="R501" t="s">
        <v>1357</v>
      </c>
      <c r="S501" t="s">
        <v>218</v>
      </c>
      <c r="T501" t="s">
        <v>201</v>
      </c>
      <c r="U501"/>
    </row>
    <row r="502" spans="1:21" x14ac:dyDescent="0.2">
      <c r="A502">
        <v>555102</v>
      </c>
      <c r="B502" t="s">
        <v>418</v>
      </c>
      <c r="C502">
        <v>-23</v>
      </c>
      <c r="D502">
        <v>-2</v>
      </c>
      <c r="E502">
        <v>-12</v>
      </c>
      <c r="F502">
        <v>-21</v>
      </c>
      <c r="G502">
        <v>-13</v>
      </c>
      <c r="H502">
        <v>-8</v>
      </c>
      <c r="I502">
        <v>0</v>
      </c>
      <c r="J502">
        <v>0.1</v>
      </c>
      <c r="K502">
        <v>0.8</v>
      </c>
      <c r="L502">
        <v>2</v>
      </c>
      <c r="M502">
        <v>16</v>
      </c>
      <c r="N502">
        <v>-0.1</v>
      </c>
      <c r="O502" t="s">
        <v>655</v>
      </c>
      <c r="P502" s="368" t="s">
        <v>1031</v>
      </c>
      <c r="Q502" t="s">
        <v>46</v>
      </c>
      <c r="R502" t="s">
        <v>1032</v>
      </c>
      <c r="S502" t="s">
        <v>419</v>
      </c>
      <c r="T502" t="s">
        <v>162</v>
      </c>
      <c r="U502"/>
    </row>
    <row r="503" spans="1:21" x14ac:dyDescent="0.2">
      <c r="A503">
        <v>116111</v>
      </c>
      <c r="B503" t="s">
        <v>585</v>
      </c>
      <c r="C503">
        <v>-16</v>
      </c>
      <c r="D503">
        <v>-1</v>
      </c>
      <c r="E503">
        <v>-11</v>
      </c>
      <c r="F503">
        <v>-16</v>
      </c>
      <c r="G503">
        <v>-16</v>
      </c>
      <c r="H503">
        <v>-15</v>
      </c>
      <c r="I503">
        <v>-2</v>
      </c>
      <c r="J503">
        <v>-0.4</v>
      </c>
      <c r="K503">
        <v>0.8</v>
      </c>
      <c r="L503">
        <v>2</v>
      </c>
      <c r="M503">
        <v>15.6</v>
      </c>
      <c r="N503">
        <v>-0.3</v>
      </c>
      <c r="O503" t="s">
        <v>646</v>
      </c>
      <c r="P503" s="368" t="s">
        <v>653</v>
      </c>
      <c r="Q503" t="s">
        <v>46</v>
      </c>
      <c r="R503" t="s">
        <v>654</v>
      </c>
      <c r="S503" t="s">
        <v>171</v>
      </c>
      <c r="T503" t="s">
        <v>172</v>
      </c>
      <c r="U503"/>
    </row>
    <row r="504" spans="1:21" x14ac:dyDescent="0.2">
      <c r="A504">
        <v>305003</v>
      </c>
      <c r="B504" t="s">
        <v>301</v>
      </c>
      <c r="C504"/>
      <c r="D504"/>
      <c r="E504"/>
      <c r="F504"/>
      <c r="G504"/>
      <c r="H504">
        <v>63</v>
      </c>
      <c r="I504">
        <v>87</v>
      </c>
      <c r="J504">
        <v>13.3</v>
      </c>
      <c r="K504">
        <v>0.81</v>
      </c>
      <c r="L504">
        <v>2.15</v>
      </c>
      <c r="M504">
        <v>30.1</v>
      </c>
      <c r="N504">
        <v>0.7</v>
      </c>
      <c r="O504" t="s">
        <v>692</v>
      </c>
      <c r="P504" s="368" t="s">
        <v>742</v>
      </c>
      <c r="Q504" t="s">
        <v>46</v>
      </c>
      <c r="R504" t="s">
        <v>819</v>
      </c>
      <c r="S504" t="s">
        <v>215</v>
      </c>
      <c r="T504" t="s">
        <v>163</v>
      </c>
      <c r="U504"/>
    </row>
    <row r="505" spans="1:21" x14ac:dyDescent="0.2">
      <c r="A505">
        <v>339473</v>
      </c>
      <c r="B505" t="s">
        <v>614</v>
      </c>
      <c r="C505">
        <v>-2</v>
      </c>
      <c r="D505">
        <v>8</v>
      </c>
      <c r="E505">
        <v>3</v>
      </c>
      <c r="F505">
        <v>5</v>
      </c>
      <c r="G505">
        <v>17</v>
      </c>
      <c r="H505">
        <v>21</v>
      </c>
      <c r="I505">
        <v>66</v>
      </c>
      <c r="J505">
        <v>10.7</v>
      </c>
      <c r="K505">
        <v>0.81</v>
      </c>
      <c r="L505">
        <v>2.0299999999999998</v>
      </c>
      <c r="M505">
        <v>20</v>
      </c>
      <c r="N505">
        <v>0.4</v>
      </c>
      <c r="O505" t="s">
        <v>655</v>
      </c>
      <c r="P505" s="368" t="s">
        <v>856</v>
      </c>
      <c r="Q505" t="s">
        <v>46</v>
      </c>
      <c r="R505" t="s">
        <v>857</v>
      </c>
      <c r="S505" t="s">
        <v>225</v>
      </c>
      <c r="T505" t="s">
        <v>197</v>
      </c>
      <c r="U505"/>
    </row>
    <row r="506" spans="1:21" x14ac:dyDescent="0.2">
      <c r="A506">
        <v>233346</v>
      </c>
      <c r="B506" t="s">
        <v>253</v>
      </c>
      <c r="C506">
        <v>-2</v>
      </c>
      <c r="D506">
        <v>3</v>
      </c>
      <c r="E506">
        <v>2</v>
      </c>
      <c r="F506">
        <v>-3</v>
      </c>
      <c r="G506">
        <v>8</v>
      </c>
      <c r="H506">
        <v>25</v>
      </c>
      <c r="I506">
        <v>40</v>
      </c>
      <c r="J506">
        <v>7</v>
      </c>
      <c r="K506">
        <v>0.81</v>
      </c>
      <c r="L506">
        <v>2.15</v>
      </c>
      <c r="M506">
        <v>16.100000000000001</v>
      </c>
      <c r="N506">
        <v>0.6</v>
      </c>
      <c r="O506" t="s">
        <v>692</v>
      </c>
      <c r="P506" s="368" t="s">
        <v>742</v>
      </c>
      <c r="Q506" t="s">
        <v>46</v>
      </c>
      <c r="R506" t="s">
        <v>743</v>
      </c>
      <c r="S506" t="s">
        <v>215</v>
      </c>
      <c r="T506" t="s">
        <v>254</v>
      </c>
      <c r="U506"/>
    </row>
    <row r="507" spans="1:21" x14ac:dyDescent="0.2">
      <c r="A507">
        <v>309492</v>
      </c>
      <c r="B507" t="s">
        <v>613</v>
      </c>
      <c r="C507">
        <v>-5</v>
      </c>
      <c r="D507">
        <v>2</v>
      </c>
      <c r="E507">
        <v>-4</v>
      </c>
      <c r="F507">
        <v>-3</v>
      </c>
      <c r="G507">
        <v>8</v>
      </c>
      <c r="H507">
        <v>35</v>
      </c>
      <c r="I507">
        <v>37</v>
      </c>
      <c r="J507">
        <v>6.5</v>
      </c>
      <c r="K507">
        <v>0.84</v>
      </c>
      <c r="L507">
        <v>2.11</v>
      </c>
      <c r="M507">
        <v>15.1</v>
      </c>
      <c r="N507">
        <v>0.8</v>
      </c>
      <c r="O507" t="s">
        <v>655</v>
      </c>
      <c r="P507" s="368" t="s">
        <v>675</v>
      </c>
      <c r="Q507" t="s">
        <v>46</v>
      </c>
      <c r="R507" t="s">
        <v>825</v>
      </c>
      <c r="S507" t="s">
        <v>305</v>
      </c>
      <c r="T507" t="s">
        <v>185</v>
      </c>
      <c r="U507"/>
    </row>
    <row r="508" spans="1:21" x14ac:dyDescent="0.2">
      <c r="A508">
        <v>538751</v>
      </c>
      <c r="B508" t="s">
        <v>410</v>
      </c>
      <c r="C508">
        <v>-11</v>
      </c>
      <c r="D508">
        <v>4</v>
      </c>
      <c r="E508">
        <v>-4</v>
      </c>
      <c r="F508">
        <v>-10</v>
      </c>
      <c r="G508">
        <v>-3</v>
      </c>
      <c r="H508">
        <v>9</v>
      </c>
      <c r="I508">
        <v>24</v>
      </c>
      <c r="J508">
        <v>4.3</v>
      </c>
      <c r="K508">
        <v>0.84</v>
      </c>
      <c r="L508">
        <v>2.12</v>
      </c>
      <c r="M508">
        <v>20.8</v>
      </c>
      <c r="N508">
        <v>0.2</v>
      </c>
      <c r="O508" t="s">
        <v>655</v>
      </c>
      <c r="P508" s="368" t="s">
        <v>898</v>
      </c>
      <c r="Q508" t="s">
        <v>46</v>
      </c>
      <c r="R508" t="s">
        <v>1018</v>
      </c>
      <c r="S508" t="s">
        <v>269</v>
      </c>
      <c r="T508" t="s">
        <v>175</v>
      </c>
      <c r="U508"/>
    </row>
    <row r="509" spans="1:21" x14ac:dyDescent="0.2">
      <c r="A509">
        <v>246868</v>
      </c>
      <c r="B509" t="s">
        <v>264</v>
      </c>
      <c r="C509">
        <v>-13</v>
      </c>
      <c r="D509">
        <v>-8</v>
      </c>
      <c r="E509">
        <v>-11</v>
      </c>
      <c r="F509">
        <v>-9</v>
      </c>
      <c r="G509">
        <v>-4</v>
      </c>
      <c r="H509">
        <v>8</v>
      </c>
      <c r="I509">
        <v>-3</v>
      </c>
      <c r="J509">
        <v>-0.6</v>
      </c>
      <c r="K509">
        <v>0.84</v>
      </c>
      <c r="L509">
        <v>2.13</v>
      </c>
      <c r="M509">
        <v>14.5</v>
      </c>
      <c r="N509">
        <v>0.3</v>
      </c>
      <c r="O509" t="s">
        <v>692</v>
      </c>
      <c r="P509" s="368" t="s">
        <v>759</v>
      </c>
      <c r="Q509" t="s">
        <v>46</v>
      </c>
      <c r="R509" t="s">
        <v>760</v>
      </c>
      <c r="S509" t="s">
        <v>265</v>
      </c>
      <c r="T509" t="s">
        <v>257</v>
      </c>
      <c r="U509"/>
    </row>
    <row r="510" spans="1:21" x14ac:dyDescent="0.2">
      <c r="A510">
        <v>938845</v>
      </c>
      <c r="B510" t="s">
        <v>557</v>
      </c>
      <c r="C510">
        <v>-9</v>
      </c>
      <c r="D510">
        <v>-5</v>
      </c>
      <c r="E510">
        <v>-9</v>
      </c>
      <c r="F510">
        <v>-5</v>
      </c>
      <c r="G510">
        <v>9</v>
      </c>
      <c r="H510">
        <v>19</v>
      </c>
      <c r="I510">
        <v>22</v>
      </c>
      <c r="J510">
        <v>4</v>
      </c>
      <c r="K510">
        <v>0.89</v>
      </c>
      <c r="L510">
        <v>2.33</v>
      </c>
      <c r="M510">
        <v>17.7</v>
      </c>
      <c r="N510">
        <v>0.4</v>
      </c>
      <c r="O510" t="s">
        <v>641</v>
      </c>
      <c r="P510" s="368" t="s">
        <v>1286</v>
      </c>
      <c r="Q510" t="s">
        <v>46</v>
      </c>
      <c r="R510" t="s">
        <v>1287</v>
      </c>
      <c r="S510" t="s">
        <v>439</v>
      </c>
      <c r="T510" t="s">
        <v>263</v>
      </c>
      <c r="U510"/>
    </row>
    <row r="511" spans="1:21" x14ac:dyDescent="0.2">
      <c r="A511">
        <v>660704</v>
      </c>
      <c r="B511" t="s">
        <v>460</v>
      </c>
      <c r="C511">
        <v>-25</v>
      </c>
      <c r="D511">
        <v>1</v>
      </c>
      <c r="E511">
        <v>-18</v>
      </c>
      <c r="F511">
        <v>-25</v>
      </c>
      <c r="G511">
        <v>-20</v>
      </c>
      <c r="H511">
        <v>-6</v>
      </c>
      <c r="I511">
        <v>20</v>
      </c>
      <c r="J511">
        <v>3.8</v>
      </c>
      <c r="K511">
        <v>0.89</v>
      </c>
      <c r="L511">
        <v>2.4700000000000002</v>
      </c>
      <c r="M511">
        <v>19</v>
      </c>
      <c r="N511">
        <v>0</v>
      </c>
      <c r="O511" t="s">
        <v>655</v>
      </c>
      <c r="P511" s="368" t="s">
        <v>1103</v>
      </c>
      <c r="Q511" t="s">
        <v>46</v>
      </c>
      <c r="R511" t="s">
        <v>1104</v>
      </c>
      <c r="S511" t="s">
        <v>461</v>
      </c>
      <c r="T511" t="s">
        <v>335</v>
      </c>
      <c r="U511"/>
    </row>
    <row r="512" spans="1:21" x14ac:dyDescent="0.2">
      <c r="A512">
        <v>395434</v>
      </c>
      <c r="B512" t="s">
        <v>347</v>
      </c>
      <c r="C512">
        <v>-18</v>
      </c>
      <c r="D512">
        <v>2</v>
      </c>
      <c r="E512">
        <v>0</v>
      </c>
      <c r="F512">
        <v>-20</v>
      </c>
      <c r="G512">
        <v>-17</v>
      </c>
      <c r="H512">
        <v>3</v>
      </c>
      <c r="I512">
        <v>10</v>
      </c>
      <c r="J512">
        <v>1.9</v>
      </c>
      <c r="K512">
        <v>0.89</v>
      </c>
      <c r="L512">
        <v>2.3199999999999998</v>
      </c>
      <c r="M512">
        <v>21</v>
      </c>
      <c r="N512">
        <v>0.2</v>
      </c>
      <c r="O512" t="s">
        <v>655</v>
      </c>
      <c r="P512" s="368" t="s">
        <v>898</v>
      </c>
      <c r="Q512" t="s">
        <v>46</v>
      </c>
      <c r="R512" t="s">
        <v>899</v>
      </c>
      <c r="S512" t="s">
        <v>269</v>
      </c>
      <c r="T512" t="s">
        <v>201</v>
      </c>
      <c r="U512"/>
    </row>
    <row r="513" spans="1:21" x14ac:dyDescent="0.2">
      <c r="A513">
        <v>753731</v>
      </c>
      <c r="B513" t="s">
        <v>498</v>
      </c>
      <c r="C513">
        <v>-1</v>
      </c>
      <c r="D513">
        <v>-2</v>
      </c>
      <c r="E513">
        <v>-1</v>
      </c>
      <c r="F513">
        <v>3</v>
      </c>
      <c r="G513">
        <v>8</v>
      </c>
      <c r="H513">
        <v>23</v>
      </c>
      <c r="I513">
        <v>10</v>
      </c>
      <c r="J513">
        <v>1.9</v>
      </c>
      <c r="K513">
        <v>0.89</v>
      </c>
      <c r="L513">
        <v>2.3199999999999998</v>
      </c>
      <c r="M513">
        <v>14.8</v>
      </c>
      <c r="N513">
        <v>0.5</v>
      </c>
      <c r="O513" t="s">
        <v>692</v>
      </c>
      <c r="P513" s="368" t="s">
        <v>898</v>
      </c>
      <c r="Q513" t="s">
        <v>46</v>
      </c>
      <c r="R513" t="s">
        <v>1169</v>
      </c>
      <c r="S513" t="s">
        <v>269</v>
      </c>
      <c r="T513" t="s">
        <v>257</v>
      </c>
      <c r="U513"/>
    </row>
    <row r="514" spans="1:21" x14ac:dyDescent="0.2">
      <c r="A514">
        <v>666313</v>
      </c>
      <c r="B514" t="s">
        <v>464</v>
      </c>
      <c r="C514">
        <v>-17</v>
      </c>
      <c r="D514">
        <v>2</v>
      </c>
      <c r="E514">
        <v>-12</v>
      </c>
      <c r="F514">
        <v>-16</v>
      </c>
      <c r="G514">
        <v>-10</v>
      </c>
      <c r="H514">
        <v>-8</v>
      </c>
      <c r="I514">
        <v>4</v>
      </c>
      <c r="J514">
        <v>0.9</v>
      </c>
      <c r="K514">
        <v>0.89</v>
      </c>
      <c r="L514">
        <v>2.38</v>
      </c>
      <c r="M514">
        <v>14.1</v>
      </c>
      <c r="N514">
        <v>-0.1</v>
      </c>
      <c r="O514" t="s">
        <v>655</v>
      </c>
      <c r="P514" s="368" t="s">
        <v>1109</v>
      </c>
      <c r="Q514" t="s">
        <v>46</v>
      </c>
      <c r="R514" t="s">
        <v>1110</v>
      </c>
      <c r="S514" t="s">
        <v>465</v>
      </c>
      <c r="T514" t="s">
        <v>172</v>
      </c>
      <c r="U514"/>
    </row>
    <row r="515" spans="1:21" x14ac:dyDescent="0.2">
      <c r="A515">
        <v>250878</v>
      </c>
      <c r="B515" t="s">
        <v>268</v>
      </c>
      <c r="C515">
        <v>-10</v>
      </c>
      <c r="D515">
        <v>-2</v>
      </c>
      <c r="E515">
        <v>-4</v>
      </c>
      <c r="F515">
        <v>-7</v>
      </c>
      <c r="G515">
        <v>-1</v>
      </c>
      <c r="H515">
        <v>-3</v>
      </c>
      <c r="I515">
        <v>4</v>
      </c>
      <c r="J515">
        <v>0.7</v>
      </c>
      <c r="K515">
        <v>0.89</v>
      </c>
      <c r="L515">
        <v>2.3199999999999998</v>
      </c>
      <c r="M515">
        <v>14.7</v>
      </c>
      <c r="N515">
        <v>0</v>
      </c>
      <c r="O515" t="s">
        <v>692</v>
      </c>
      <c r="P515" s="368" t="s">
        <v>763</v>
      </c>
      <c r="Q515" t="s">
        <v>46</v>
      </c>
      <c r="R515" t="s">
        <v>764</v>
      </c>
      <c r="S515" t="s">
        <v>269</v>
      </c>
      <c r="T515" t="s">
        <v>263</v>
      </c>
      <c r="U515"/>
    </row>
    <row r="516" spans="1:21" x14ac:dyDescent="0.2">
      <c r="A516">
        <v>861229</v>
      </c>
      <c r="B516" t="s">
        <v>534</v>
      </c>
      <c r="C516">
        <v>-13</v>
      </c>
      <c r="D516">
        <v>3</v>
      </c>
      <c r="E516">
        <v>-10</v>
      </c>
      <c r="F516">
        <v>-15</v>
      </c>
      <c r="G516">
        <v>-10</v>
      </c>
      <c r="H516">
        <v>-10</v>
      </c>
      <c r="I516">
        <v>1</v>
      </c>
      <c r="J516">
        <v>0.2</v>
      </c>
      <c r="K516">
        <v>0.89</v>
      </c>
      <c r="L516">
        <v>2.5499999999999998</v>
      </c>
      <c r="M516">
        <v>18.600000000000001</v>
      </c>
      <c r="N516">
        <v>-0.1</v>
      </c>
      <c r="O516" t="s">
        <v>641</v>
      </c>
      <c r="P516" s="368" t="s">
        <v>1239</v>
      </c>
      <c r="Q516" t="s">
        <v>154</v>
      </c>
      <c r="R516" t="s">
        <v>1240</v>
      </c>
      <c r="S516" t="s">
        <v>479</v>
      </c>
      <c r="T516" t="s">
        <v>172</v>
      </c>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17">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dimension ref="A1:V1703"/>
  <sheetViews>
    <sheetView showGridLine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6"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6"/>
      <c r="B4" s="295"/>
      <c r="D4" s="38"/>
      <c r="F4" s="38"/>
      <c r="I4" s="39"/>
      <c r="L4" s="40"/>
      <c r="M4" s="41"/>
      <c r="O4" s="39"/>
      <c r="Q4" s="44"/>
      <c r="R4" s="46"/>
      <c r="T4" s="318"/>
    </row>
    <row r="5" spans="1:21" ht="20.25" x14ac:dyDescent="0.3">
      <c r="A5" s="299" t="s">
        <v>1549</v>
      </c>
      <c r="C5" s="45"/>
      <c r="D5" s="45"/>
      <c r="E5" s="45"/>
      <c r="F5" s="45"/>
      <c r="G5" s="45"/>
      <c r="H5" s="45"/>
      <c r="I5" s="39"/>
      <c r="L5" s="40"/>
      <c r="M5" s="41"/>
      <c r="O5" s="39"/>
      <c r="Q5" s="44"/>
      <c r="R5" s="46"/>
      <c r="T5" s="318"/>
    </row>
    <row r="6" spans="1:21" ht="13.5" customHeight="1" x14ac:dyDescent="0.2">
      <c r="A6" s="301" t="str">
        <f>'Fondval &amp; marknadsvärde'!A7</f>
        <v>Nästa uppdatering: 2020-07-08</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7"/>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7"/>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7"/>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7"/>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8"/>
      <c r="C19" s="46"/>
      <c r="D19" s="46"/>
      <c r="E19" s="46"/>
      <c r="F19" s="46"/>
      <c r="G19" s="46"/>
      <c r="H19" s="46"/>
      <c r="I19" s="46"/>
      <c r="J19" s="46"/>
      <c r="K19" s="46"/>
      <c r="L19" s="46"/>
      <c r="M19" s="392"/>
      <c r="N19" s="50"/>
      <c r="O19" s="50"/>
      <c r="P19" s="46"/>
      <c r="Q19" s="46"/>
      <c r="S19" s="318"/>
      <c r="T19" s="323"/>
    </row>
    <row r="20" spans="1:22" s="1" customFormat="1" ht="37.5" customHeight="1" x14ac:dyDescent="0.2">
      <c r="A20" s="389" t="s">
        <v>61</v>
      </c>
      <c r="B20" s="390" t="s">
        <v>47</v>
      </c>
      <c r="C20" s="389" t="s">
        <v>1407</v>
      </c>
      <c r="D20" s="391" t="s">
        <v>1429</v>
      </c>
      <c r="E20" s="391" t="s">
        <v>1408</v>
      </c>
      <c r="F20" s="390" t="s">
        <v>1430</v>
      </c>
      <c r="G20" s="389" t="s">
        <v>1409</v>
      </c>
      <c r="H20" s="391" t="s">
        <v>1410</v>
      </c>
      <c r="I20" s="390" t="s">
        <v>1411</v>
      </c>
      <c r="J20" s="389" t="s">
        <v>1412</v>
      </c>
      <c r="K20" s="391" t="s">
        <v>1413</v>
      </c>
      <c r="L20" s="391" t="s">
        <v>1414</v>
      </c>
      <c r="M20" s="391" t="s">
        <v>1415</v>
      </c>
      <c r="N20" s="391" t="s">
        <v>1416</v>
      </c>
      <c r="O20" s="391" t="s">
        <v>1417</v>
      </c>
      <c r="P20" s="391" t="s">
        <v>1418</v>
      </c>
      <c r="Q20" s="391" t="s">
        <v>1419</v>
      </c>
      <c r="R20" s="391" t="s">
        <v>1420</v>
      </c>
      <c r="S20" s="391" t="s">
        <v>1421</v>
      </c>
      <c r="T20" s="391" t="s">
        <v>1422</v>
      </c>
      <c r="U20" s="390" t="s">
        <v>1423</v>
      </c>
      <c r="V20" s="393" t="s">
        <v>1424</v>
      </c>
    </row>
    <row r="21" spans="1:22" x14ac:dyDescent="0.2">
      <c r="A21">
        <v>103606</v>
      </c>
      <c r="B21" s="399" t="s">
        <v>153</v>
      </c>
      <c r="C21" s="297">
        <v>24</v>
      </c>
      <c r="D21" s="394">
        <v>43890</v>
      </c>
      <c r="E21" s="297" t="s">
        <v>1425</v>
      </c>
      <c r="F21" s="394">
        <v>43830</v>
      </c>
      <c r="G21" s="297" t="s">
        <v>1426</v>
      </c>
      <c r="H21" s="297" t="s">
        <v>1426</v>
      </c>
      <c r="I21" s="297" t="s">
        <v>1426</v>
      </c>
      <c r="J21" s="297" t="s">
        <v>1426</v>
      </c>
      <c r="K21" s="297" t="s">
        <v>1426</v>
      </c>
      <c r="L21" s="297" t="s">
        <v>1426</v>
      </c>
      <c r="M21" s="297" t="s">
        <v>1425</v>
      </c>
      <c r="N21" s="297" t="s">
        <v>1425</v>
      </c>
      <c r="O21" s="297" t="s">
        <v>1426</v>
      </c>
      <c r="P21" s="394" t="s">
        <v>1425</v>
      </c>
      <c r="Q21" s="297" t="s">
        <v>1425</v>
      </c>
      <c r="R21" s="297" t="s">
        <v>1425</v>
      </c>
      <c r="S21" s="297" t="s">
        <v>1426</v>
      </c>
      <c r="T21" s="297" t="s">
        <v>1425</v>
      </c>
      <c r="U21" s="297" t="s">
        <v>1425</v>
      </c>
      <c r="V21" s="46" t="s">
        <v>1425</v>
      </c>
    </row>
    <row r="22" spans="1:22" x14ac:dyDescent="0.2">
      <c r="A22">
        <v>104786</v>
      </c>
      <c r="B22" s="399" t="s">
        <v>157</v>
      </c>
      <c r="C22" s="297"/>
      <c r="D22" s="394"/>
      <c r="E22" s="297" t="s">
        <v>1425</v>
      </c>
      <c r="F22" s="394">
        <v>43830</v>
      </c>
      <c r="G22" s="297" t="s">
        <v>1426</v>
      </c>
      <c r="H22" s="297" t="s">
        <v>1426</v>
      </c>
      <c r="I22" s="297" t="s">
        <v>1426</v>
      </c>
      <c r="J22" s="297" t="s">
        <v>1426</v>
      </c>
      <c r="K22" s="297" t="s">
        <v>1426</v>
      </c>
      <c r="L22" s="297" t="s">
        <v>1426</v>
      </c>
      <c r="M22" s="297" t="s">
        <v>1426</v>
      </c>
      <c r="N22" s="297" t="s">
        <v>1426</v>
      </c>
      <c r="O22" s="297" t="s">
        <v>1426</v>
      </c>
      <c r="P22" s="394" t="s">
        <v>1426</v>
      </c>
      <c r="Q22" s="297" t="s">
        <v>1426</v>
      </c>
      <c r="R22" s="297" t="s">
        <v>1426</v>
      </c>
      <c r="S22" s="297" t="s">
        <v>1426</v>
      </c>
      <c r="T22" s="297" t="s">
        <v>1425</v>
      </c>
      <c r="U22" s="297" t="s">
        <v>1425</v>
      </c>
      <c r="V22" s="46" t="s">
        <v>1426</v>
      </c>
    </row>
    <row r="23" spans="1:22" x14ac:dyDescent="0.2">
      <c r="A23">
        <v>106849</v>
      </c>
      <c r="B23" s="399" t="s">
        <v>1368</v>
      </c>
      <c r="C23" s="297">
        <v>21</v>
      </c>
      <c r="D23" s="394">
        <v>43890</v>
      </c>
      <c r="E23" s="297" t="s">
        <v>1426</v>
      </c>
      <c r="F23" s="394">
        <v>43830</v>
      </c>
      <c r="G23" s="297" t="s">
        <v>1426</v>
      </c>
      <c r="H23" s="297" t="s">
        <v>1426</v>
      </c>
      <c r="I23" s="297" t="s">
        <v>1426</v>
      </c>
      <c r="J23" s="297" t="s">
        <v>1426</v>
      </c>
      <c r="K23" s="297" t="s">
        <v>1426</v>
      </c>
      <c r="L23" s="297" t="s">
        <v>1426</v>
      </c>
      <c r="M23" s="297" t="s">
        <v>1425</v>
      </c>
      <c r="N23" s="297" t="s">
        <v>1425</v>
      </c>
      <c r="O23" s="297" t="s">
        <v>1425</v>
      </c>
      <c r="P23" s="394" t="s">
        <v>1425</v>
      </c>
      <c r="Q23" s="297" t="s">
        <v>1425</v>
      </c>
      <c r="R23" s="297" t="s">
        <v>1425</v>
      </c>
      <c r="S23" s="297" t="s">
        <v>1425</v>
      </c>
      <c r="T23" s="297" t="s">
        <v>1425</v>
      </c>
      <c r="U23" s="297" t="s">
        <v>1425</v>
      </c>
      <c r="V23" s="46" t="s">
        <v>1425</v>
      </c>
    </row>
    <row r="24" spans="1:22" x14ac:dyDescent="0.2">
      <c r="A24">
        <v>111096</v>
      </c>
      <c r="B24" s="399" t="s">
        <v>1369</v>
      </c>
      <c r="C24" s="297">
        <v>25</v>
      </c>
      <c r="D24" s="394">
        <v>43890</v>
      </c>
      <c r="E24" s="297" t="s">
        <v>1425</v>
      </c>
      <c r="F24" s="394">
        <v>43830</v>
      </c>
      <c r="G24" s="297" t="s">
        <v>1426</v>
      </c>
      <c r="H24" s="297" t="s">
        <v>1426</v>
      </c>
      <c r="I24" s="297" t="s">
        <v>1426</v>
      </c>
      <c r="J24" s="297" t="s">
        <v>1426</v>
      </c>
      <c r="K24" s="297" t="s">
        <v>1426</v>
      </c>
      <c r="L24" s="297" t="s">
        <v>1426</v>
      </c>
      <c r="M24" s="297" t="s">
        <v>1426</v>
      </c>
      <c r="N24" s="297" t="s">
        <v>1426</v>
      </c>
      <c r="O24" s="297" t="s">
        <v>1426</v>
      </c>
      <c r="P24" s="394" t="s">
        <v>1426</v>
      </c>
      <c r="Q24" s="297" t="s">
        <v>1426</v>
      </c>
      <c r="R24" s="297" t="s">
        <v>1426</v>
      </c>
      <c r="S24" s="297" t="s">
        <v>1426</v>
      </c>
      <c r="T24" s="297" t="s">
        <v>1426</v>
      </c>
      <c r="U24" s="297" t="s">
        <v>1426</v>
      </c>
      <c r="V24" s="46" t="s">
        <v>1426</v>
      </c>
    </row>
    <row r="25" spans="1:22" x14ac:dyDescent="0.2">
      <c r="A25">
        <v>111518</v>
      </c>
      <c r="B25" s="399" t="s">
        <v>164</v>
      </c>
      <c r="C25" s="297"/>
      <c r="D25" s="394"/>
      <c r="E25" s="297" t="s">
        <v>1425</v>
      </c>
      <c r="F25" s="394">
        <v>43830</v>
      </c>
      <c r="G25" s="297" t="s">
        <v>1426</v>
      </c>
      <c r="H25" s="297" t="s">
        <v>1426</v>
      </c>
      <c r="I25" s="297" t="s">
        <v>1426</v>
      </c>
      <c r="J25" s="297" t="s">
        <v>1426</v>
      </c>
      <c r="K25" s="297" t="s">
        <v>1426</v>
      </c>
      <c r="L25" s="297" t="s">
        <v>1426</v>
      </c>
      <c r="M25" s="297" t="s">
        <v>1426</v>
      </c>
      <c r="N25" s="297" t="s">
        <v>1426</v>
      </c>
      <c r="O25" s="297" t="s">
        <v>1426</v>
      </c>
      <c r="P25" s="394" t="s">
        <v>1425</v>
      </c>
      <c r="Q25" s="297" t="s">
        <v>1426</v>
      </c>
      <c r="R25" s="297" t="s">
        <v>1425</v>
      </c>
      <c r="S25" s="297" t="s">
        <v>1425</v>
      </c>
      <c r="T25" s="297" t="s">
        <v>1425</v>
      </c>
      <c r="U25" s="297" t="s">
        <v>1425</v>
      </c>
      <c r="V25" s="46" t="s">
        <v>1426</v>
      </c>
    </row>
    <row r="26" spans="1:22" x14ac:dyDescent="0.2">
      <c r="A26">
        <v>112755</v>
      </c>
      <c r="B26" s="399" t="s">
        <v>167</v>
      </c>
      <c r="C26" s="297">
        <v>16</v>
      </c>
      <c r="D26" s="394">
        <v>43861</v>
      </c>
      <c r="E26" s="297" t="s">
        <v>1425</v>
      </c>
      <c r="F26" s="394">
        <v>43830</v>
      </c>
      <c r="G26" s="297" t="s">
        <v>1426</v>
      </c>
      <c r="H26" s="297" t="s">
        <v>1426</v>
      </c>
      <c r="I26" s="297" t="s">
        <v>1426</v>
      </c>
      <c r="J26" s="297" t="s">
        <v>1426</v>
      </c>
      <c r="K26" s="297" t="s">
        <v>1426</v>
      </c>
      <c r="L26" s="297" t="s">
        <v>1426</v>
      </c>
      <c r="M26" s="297" t="s">
        <v>1426</v>
      </c>
      <c r="N26" s="297" t="s">
        <v>1426</v>
      </c>
      <c r="O26" s="297" t="s">
        <v>1426</v>
      </c>
      <c r="P26" s="394" t="s">
        <v>1426</v>
      </c>
      <c r="Q26" s="297" t="s">
        <v>1426</v>
      </c>
      <c r="R26" s="297" t="s">
        <v>1426</v>
      </c>
      <c r="S26" s="297" t="s">
        <v>1426</v>
      </c>
      <c r="T26" s="297" t="s">
        <v>1425</v>
      </c>
      <c r="U26" s="297" t="s">
        <v>1425</v>
      </c>
      <c r="V26" s="46" t="s">
        <v>1426</v>
      </c>
    </row>
    <row r="27" spans="1:22" x14ac:dyDescent="0.2">
      <c r="A27">
        <v>114819</v>
      </c>
      <c r="B27" s="399" t="s">
        <v>148</v>
      </c>
      <c r="C27" s="297">
        <v>23</v>
      </c>
      <c r="D27" s="394">
        <v>43890</v>
      </c>
      <c r="E27" s="297" t="s">
        <v>1425</v>
      </c>
      <c r="F27" s="394">
        <v>43830</v>
      </c>
      <c r="G27" s="297" t="s">
        <v>1426</v>
      </c>
      <c r="H27" s="297" t="s">
        <v>1426</v>
      </c>
      <c r="I27" s="297" t="s">
        <v>1426</v>
      </c>
      <c r="J27" s="297" t="s">
        <v>1426</v>
      </c>
      <c r="K27" s="297" t="s">
        <v>1426</v>
      </c>
      <c r="L27" s="297" t="s">
        <v>1426</v>
      </c>
      <c r="M27" s="297" t="s">
        <v>1426</v>
      </c>
      <c r="N27" s="297" t="s">
        <v>1426</v>
      </c>
      <c r="O27" s="297" t="s">
        <v>1426</v>
      </c>
      <c r="P27" s="394" t="s">
        <v>1426</v>
      </c>
      <c r="Q27" s="297" t="s">
        <v>1426</v>
      </c>
      <c r="R27" s="297" t="s">
        <v>1425</v>
      </c>
      <c r="S27" s="297" t="s">
        <v>1426</v>
      </c>
      <c r="T27" s="297" t="s">
        <v>1425</v>
      </c>
      <c r="U27" s="297" t="s">
        <v>1425</v>
      </c>
      <c r="V27" s="46" t="s">
        <v>1426</v>
      </c>
    </row>
    <row r="28" spans="1:22" x14ac:dyDescent="0.2">
      <c r="A28">
        <v>116111</v>
      </c>
      <c r="B28" s="399" t="s">
        <v>585</v>
      </c>
      <c r="C28" s="297">
        <v>26</v>
      </c>
      <c r="D28" s="394">
        <v>43890</v>
      </c>
      <c r="E28" s="297" t="s">
        <v>1425</v>
      </c>
      <c r="F28" s="394">
        <v>43830</v>
      </c>
      <c r="G28" s="297" t="s">
        <v>1426</v>
      </c>
      <c r="H28" s="297" t="s">
        <v>1426</v>
      </c>
      <c r="I28" s="297" t="s">
        <v>1426</v>
      </c>
      <c r="J28" s="297" t="s">
        <v>1426</v>
      </c>
      <c r="K28" s="297" t="s">
        <v>1426</v>
      </c>
      <c r="L28" s="297" t="s">
        <v>1426</v>
      </c>
      <c r="M28" s="297" t="s">
        <v>1425</v>
      </c>
      <c r="N28" s="297" t="s">
        <v>1425</v>
      </c>
      <c r="O28" s="297" t="s">
        <v>1426</v>
      </c>
      <c r="P28" s="394" t="s">
        <v>1425</v>
      </c>
      <c r="Q28" s="297" t="s">
        <v>1425</v>
      </c>
      <c r="R28" s="297" t="s">
        <v>1425</v>
      </c>
      <c r="S28" s="297" t="s">
        <v>1426</v>
      </c>
      <c r="T28" s="297" t="s">
        <v>1425</v>
      </c>
      <c r="U28" s="297" t="s">
        <v>1425</v>
      </c>
      <c r="V28" s="46" t="s">
        <v>1425</v>
      </c>
    </row>
    <row r="29" spans="1:22" x14ac:dyDescent="0.2">
      <c r="A29">
        <v>116293</v>
      </c>
      <c r="B29" s="399" t="s">
        <v>173</v>
      </c>
      <c r="C29" s="297">
        <v>25</v>
      </c>
      <c r="D29" s="394">
        <v>43890</v>
      </c>
      <c r="E29" s="297" t="s">
        <v>1425</v>
      </c>
      <c r="F29" s="394">
        <v>43830</v>
      </c>
      <c r="G29" s="297" t="s">
        <v>1426</v>
      </c>
      <c r="H29" s="297" t="s">
        <v>1426</v>
      </c>
      <c r="I29" s="297" t="s">
        <v>1426</v>
      </c>
      <c r="J29" s="297" t="s">
        <v>1426</v>
      </c>
      <c r="K29" s="297" t="s">
        <v>1426</v>
      </c>
      <c r="L29" s="297" t="s">
        <v>1425</v>
      </c>
      <c r="M29" s="297" t="s">
        <v>1425</v>
      </c>
      <c r="N29" s="297" t="s">
        <v>1425</v>
      </c>
      <c r="O29" s="297" t="s">
        <v>1425</v>
      </c>
      <c r="P29" s="394" t="s">
        <v>1425</v>
      </c>
      <c r="Q29" s="297" t="s">
        <v>1425</v>
      </c>
      <c r="R29" s="297" t="s">
        <v>1425</v>
      </c>
      <c r="S29" s="297" t="s">
        <v>1425</v>
      </c>
      <c r="T29" s="297" t="s">
        <v>1425</v>
      </c>
      <c r="U29" s="297" t="s">
        <v>1425</v>
      </c>
      <c r="V29" s="46" t="s">
        <v>1425</v>
      </c>
    </row>
    <row r="30" spans="1:22" x14ac:dyDescent="0.2">
      <c r="A30">
        <v>117002</v>
      </c>
      <c r="B30" s="399" t="s">
        <v>176</v>
      </c>
      <c r="C30" s="297">
        <v>22</v>
      </c>
      <c r="D30" s="394">
        <v>43890</v>
      </c>
      <c r="E30" s="297" t="s">
        <v>1425</v>
      </c>
      <c r="F30" s="394">
        <v>43830</v>
      </c>
      <c r="G30" s="297" t="s">
        <v>1426</v>
      </c>
      <c r="H30" s="297" t="s">
        <v>1426</v>
      </c>
      <c r="I30" s="297" t="s">
        <v>1426</v>
      </c>
      <c r="J30" s="297" t="s">
        <v>1426</v>
      </c>
      <c r="K30" s="297" t="s">
        <v>1426</v>
      </c>
      <c r="L30" s="297" t="s">
        <v>1426</v>
      </c>
      <c r="M30" s="297" t="s">
        <v>1426</v>
      </c>
      <c r="N30" s="297" t="s">
        <v>1426</v>
      </c>
      <c r="O30" s="297" t="s">
        <v>1426</v>
      </c>
      <c r="P30" s="394" t="s">
        <v>1426</v>
      </c>
      <c r="Q30" s="297" t="s">
        <v>1426</v>
      </c>
      <c r="R30" s="297" t="s">
        <v>1426</v>
      </c>
      <c r="S30" s="297" t="s">
        <v>1426</v>
      </c>
      <c r="T30" s="297" t="s">
        <v>1425</v>
      </c>
      <c r="U30" s="297" t="s">
        <v>1425</v>
      </c>
      <c r="V30" s="46" t="s">
        <v>1426</v>
      </c>
    </row>
    <row r="31" spans="1:22" x14ac:dyDescent="0.2">
      <c r="A31">
        <v>117176</v>
      </c>
      <c r="B31" s="399" t="s">
        <v>178</v>
      </c>
      <c r="C31" s="297">
        <v>26</v>
      </c>
      <c r="D31" s="394">
        <v>43890</v>
      </c>
      <c r="E31" s="297" t="s">
        <v>1425</v>
      </c>
      <c r="F31" s="394">
        <v>43830</v>
      </c>
      <c r="G31" s="297" t="s">
        <v>1426</v>
      </c>
      <c r="H31" s="297" t="s">
        <v>1426</v>
      </c>
      <c r="I31" s="297" t="s">
        <v>1426</v>
      </c>
      <c r="J31" s="297" t="s">
        <v>1426</v>
      </c>
      <c r="K31" s="297" t="s">
        <v>1426</v>
      </c>
      <c r="L31" s="297" t="s">
        <v>1426</v>
      </c>
      <c r="M31" s="297" t="s">
        <v>1426</v>
      </c>
      <c r="N31" s="297" t="s">
        <v>1426</v>
      </c>
      <c r="O31" s="297" t="s">
        <v>1426</v>
      </c>
      <c r="P31" s="394" t="s">
        <v>1425</v>
      </c>
      <c r="Q31" s="297" t="s">
        <v>1426</v>
      </c>
      <c r="R31" s="297" t="s">
        <v>1425</v>
      </c>
      <c r="S31" s="297" t="s">
        <v>1426</v>
      </c>
      <c r="T31" s="297" t="s">
        <v>1425</v>
      </c>
      <c r="U31" s="297" t="s">
        <v>1425</v>
      </c>
      <c r="V31" s="46" t="s">
        <v>1425</v>
      </c>
    </row>
    <row r="32" spans="1:22" x14ac:dyDescent="0.2">
      <c r="A32">
        <v>118000</v>
      </c>
      <c r="B32" s="399" t="s">
        <v>180</v>
      </c>
      <c r="C32" s="297">
        <v>23</v>
      </c>
      <c r="D32" s="394">
        <v>43890</v>
      </c>
      <c r="E32" s="297" t="s">
        <v>1426</v>
      </c>
      <c r="F32" s="394">
        <v>43830</v>
      </c>
      <c r="G32" s="297" t="s">
        <v>1426</v>
      </c>
      <c r="H32" s="297" t="s">
        <v>1426</v>
      </c>
      <c r="I32" s="297" t="s">
        <v>1426</v>
      </c>
      <c r="J32" s="297" t="s">
        <v>1426</v>
      </c>
      <c r="K32" s="297" t="s">
        <v>1426</v>
      </c>
      <c r="L32" s="297" t="s">
        <v>1426</v>
      </c>
      <c r="M32" s="297" t="s">
        <v>1426</v>
      </c>
      <c r="N32" s="297" t="s">
        <v>1425</v>
      </c>
      <c r="O32" s="297" t="s">
        <v>1425</v>
      </c>
      <c r="P32" s="394" t="s">
        <v>1425</v>
      </c>
      <c r="Q32" s="297" t="s">
        <v>1425</v>
      </c>
      <c r="R32" s="297" t="s">
        <v>1425</v>
      </c>
      <c r="S32" s="297" t="s">
        <v>1425</v>
      </c>
      <c r="T32" s="297" t="s">
        <v>1426</v>
      </c>
      <c r="U32" s="297" t="s">
        <v>1425</v>
      </c>
      <c r="V32" s="46" t="s">
        <v>1426</v>
      </c>
    </row>
    <row r="33" spans="1:22" x14ac:dyDescent="0.2">
      <c r="A33">
        <v>122432</v>
      </c>
      <c r="B33" s="399" t="s">
        <v>183</v>
      </c>
      <c r="C33" s="297">
        <v>22</v>
      </c>
      <c r="D33" s="394">
        <v>43890</v>
      </c>
      <c r="E33" s="297" t="s">
        <v>1425</v>
      </c>
      <c r="F33" s="394">
        <v>43830</v>
      </c>
      <c r="G33" s="297" t="s">
        <v>1426</v>
      </c>
      <c r="H33" s="297" t="s">
        <v>1426</v>
      </c>
      <c r="I33" s="297" t="s">
        <v>1426</v>
      </c>
      <c r="J33" s="297" t="s">
        <v>1426</v>
      </c>
      <c r="K33" s="297" t="s">
        <v>1426</v>
      </c>
      <c r="L33" s="297" t="s">
        <v>1426</v>
      </c>
      <c r="M33" s="297" t="s">
        <v>1425</v>
      </c>
      <c r="N33" s="297" t="s">
        <v>1425</v>
      </c>
      <c r="O33" s="297" t="s">
        <v>1426</v>
      </c>
      <c r="P33" s="394" t="s">
        <v>1425</v>
      </c>
      <c r="Q33" s="297" t="s">
        <v>1425</v>
      </c>
      <c r="R33" s="297" t="s">
        <v>1425</v>
      </c>
      <c r="S33" s="297" t="s">
        <v>1426</v>
      </c>
      <c r="T33" s="297" t="s">
        <v>1425</v>
      </c>
      <c r="U33" s="297" t="s">
        <v>1425</v>
      </c>
      <c r="V33" s="46" t="s">
        <v>1425</v>
      </c>
    </row>
    <row r="34" spans="1:22" x14ac:dyDescent="0.2">
      <c r="A34">
        <v>123679</v>
      </c>
      <c r="B34" s="399" t="s">
        <v>186</v>
      </c>
      <c r="C34" s="297">
        <v>21</v>
      </c>
      <c r="D34" s="394">
        <v>43890</v>
      </c>
      <c r="E34" s="297" t="s">
        <v>1426</v>
      </c>
      <c r="F34" s="394">
        <v>43830</v>
      </c>
      <c r="G34" s="297" t="s">
        <v>1426</v>
      </c>
      <c r="H34" s="297" t="s">
        <v>1426</v>
      </c>
      <c r="I34" s="297" t="s">
        <v>1426</v>
      </c>
      <c r="J34" s="297" t="s">
        <v>1426</v>
      </c>
      <c r="K34" s="297" t="s">
        <v>1426</v>
      </c>
      <c r="L34" s="297" t="s">
        <v>1426</v>
      </c>
      <c r="M34" s="297" t="s">
        <v>1426</v>
      </c>
      <c r="N34" s="297" t="s">
        <v>1426</v>
      </c>
      <c r="O34" s="297" t="s">
        <v>1426</v>
      </c>
      <c r="P34" s="394" t="s">
        <v>1426</v>
      </c>
      <c r="Q34" s="297" t="s">
        <v>1426</v>
      </c>
      <c r="R34" s="297" t="s">
        <v>1426</v>
      </c>
      <c r="S34" s="297" t="s">
        <v>1425</v>
      </c>
      <c r="T34" s="297" t="s">
        <v>1425</v>
      </c>
      <c r="U34" s="297" t="s">
        <v>1425</v>
      </c>
      <c r="V34" s="46" t="s">
        <v>1426</v>
      </c>
    </row>
    <row r="35" spans="1:22" x14ac:dyDescent="0.2">
      <c r="A35">
        <v>123901</v>
      </c>
      <c r="B35" s="399" t="s">
        <v>624</v>
      </c>
      <c r="C35" s="297">
        <v>24</v>
      </c>
      <c r="D35" s="394">
        <v>43890</v>
      </c>
      <c r="E35" s="297" t="s">
        <v>1425</v>
      </c>
      <c r="F35" s="394">
        <v>43830</v>
      </c>
      <c r="G35" s="297" t="s">
        <v>1426</v>
      </c>
      <c r="H35" s="297" t="s">
        <v>1426</v>
      </c>
      <c r="I35" s="297" t="s">
        <v>1426</v>
      </c>
      <c r="J35" s="297" t="s">
        <v>1426</v>
      </c>
      <c r="K35" s="297" t="s">
        <v>1426</v>
      </c>
      <c r="L35" s="297" t="s">
        <v>1426</v>
      </c>
      <c r="M35" s="297" t="s">
        <v>1425</v>
      </c>
      <c r="N35" s="297" t="s">
        <v>1425</v>
      </c>
      <c r="O35" s="297" t="s">
        <v>1426</v>
      </c>
      <c r="P35" s="394" t="s">
        <v>1426</v>
      </c>
      <c r="Q35" s="297" t="s">
        <v>1426</v>
      </c>
      <c r="R35" s="297" t="s">
        <v>1425</v>
      </c>
      <c r="S35" s="297" t="s">
        <v>1426</v>
      </c>
      <c r="T35" s="297" t="s">
        <v>1425</v>
      </c>
      <c r="U35" s="297" t="s">
        <v>1425</v>
      </c>
      <c r="V35" s="46" t="s">
        <v>1425</v>
      </c>
    </row>
    <row r="36" spans="1:22" x14ac:dyDescent="0.2">
      <c r="A36">
        <v>129924</v>
      </c>
      <c r="B36" s="399" t="s">
        <v>1370</v>
      </c>
      <c r="C36" s="297"/>
      <c r="D36" s="394"/>
      <c r="E36" s="297" t="s">
        <v>1425</v>
      </c>
      <c r="F36" s="394">
        <v>43830</v>
      </c>
      <c r="G36" s="297" t="s">
        <v>1425</v>
      </c>
      <c r="H36" s="297" t="s">
        <v>1426</v>
      </c>
      <c r="I36" s="297" t="s">
        <v>1426</v>
      </c>
      <c r="J36" s="297" t="s">
        <v>1426</v>
      </c>
      <c r="K36" s="297" t="s">
        <v>1426</v>
      </c>
      <c r="L36" s="297" t="s">
        <v>1426</v>
      </c>
      <c r="M36" s="297" t="s">
        <v>1426</v>
      </c>
      <c r="N36" s="297" t="s">
        <v>1426</v>
      </c>
      <c r="O36" s="297" t="s">
        <v>1426</v>
      </c>
      <c r="P36" s="394" t="s">
        <v>1426</v>
      </c>
      <c r="Q36" s="297" t="s">
        <v>1426</v>
      </c>
      <c r="R36" s="297" t="s">
        <v>1425</v>
      </c>
      <c r="S36" s="297" t="s">
        <v>1426</v>
      </c>
      <c r="T36" s="297" t="s">
        <v>1426</v>
      </c>
      <c r="U36" s="297" t="s">
        <v>1426</v>
      </c>
      <c r="V36" s="46" t="s">
        <v>1426</v>
      </c>
    </row>
    <row r="37" spans="1:22" x14ac:dyDescent="0.2">
      <c r="A37">
        <v>131409</v>
      </c>
      <c r="B37" s="399" t="s">
        <v>190</v>
      </c>
      <c r="C37" s="297"/>
      <c r="D37" s="394"/>
      <c r="E37" s="297" t="s">
        <v>1425</v>
      </c>
      <c r="F37" s="394">
        <v>43465</v>
      </c>
      <c r="G37" s="297" t="s">
        <v>1426</v>
      </c>
      <c r="H37" s="297" t="s">
        <v>1426</v>
      </c>
      <c r="I37" s="297" t="s">
        <v>1425</v>
      </c>
      <c r="J37" s="297" t="s">
        <v>1426</v>
      </c>
      <c r="K37" s="297" t="s">
        <v>1426</v>
      </c>
      <c r="L37" s="297" t="s">
        <v>1426</v>
      </c>
      <c r="M37" s="297" t="s">
        <v>1425</v>
      </c>
      <c r="N37" s="297" t="s">
        <v>1425</v>
      </c>
      <c r="O37" s="297" t="s">
        <v>1425</v>
      </c>
      <c r="P37" s="394" t="s">
        <v>1425</v>
      </c>
      <c r="Q37" s="297" t="s">
        <v>1425</v>
      </c>
      <c r="R37" s="297" t="s">
        <v>1425</v>
      </c>
      <c r="S37" s="297" t="s">
        <v>1425</v>
      </c>
      <c r="T37" s="297" t="s">
        <v>1425</v>
      </c>
      <c r="U37" s="297" t="s">
        <v>1425</v>
      </c>
      <c r="V37" s="46" t="s">
        <v>1425</v>
      </c>
    </row>
    <row r="38" spans="1:22" x14ac:dyDescent="0.2">
      <c r="A38">
        <v>134593</v>
      </c>
      <c r="B38" s="399" t="s">
        <v>192</v>
      </c>
      <c r="C38" s="297">
        <v>22</v>
      </c>
      <c r="D38" s="394">
        <v>43890</v>
      </c>
      <c r="E38" s="297" t="s">
        <v>1425</v>
      </c>
      <c r="F38" s="394">
        <v>43830</v>
      </c>
      <c r="G38" s="297" t="s">
        <v>1426</v>
      </c>
      <c r="H38" s="297" t="s">
        <v>1426</v>
      </c>
      <c r="I38" s="297" t="s">
        <v>1426</v>
      </c>
      <c r="J38" s="297" t="s">
        <v>1426</v>
      </c>
      <c r="K38" s="297" t="s">
        <v>1426</v>
      </c>
      <c r="L38" s="297" t="s">
        <v>1426</v>
      </c>
      <c r="M38" s="297" t="s">
        <v>1426</v>
      </c>
      <c r="N38" s="297" t="s">
        <v>1426</v>
      </c>
      <c r="O38" s="297" t="s">
        <v>1426</v>
      </c>
      <c r="P38" s="394" t="s">
        <v>1426</v>
      </c>
      <c r="Q38" s="297" t="s">
        <v>1426</v>
      </c>
      <c r="R38" s="297" t="s">
        <v>1426</v>
      </c>
      <c r="S38" s="297" t="s">
        <v>1426</v>
      </c>
      <c r="T38" s="297" t="s">
        <v>1425</v>
      </c>
      <c r="U38" s="297" t="s">
        <v>1425</v>
      </c>
      <c r="V38" s="46" t="s">
        <v>1426</v>
      </c>
    </row>
    <row r="39" spans="1:22" x14ac:dyDescent="0.2">
      <c r="A39">
        <v>140491</v>
      </c>
      <c r="B39" s="399" t="s">
        <v>195</v>
      </c>
      <c r="C39" s="297">
        <v>23</v>
      </c>
      <c r="D39" s="394">
        <v>43890</v>
      </c>
      <c r="E39" s="297" t="s">
        <v>1425</v>
      </c>
      <c r="F39" s="394">
        <v>43830</v>
      </c>
      <c r="G39" s="297" t="s">
        <v>1426</v>
      </c>
      <c r="H39" s="297" t="s">
        <v>1426</v>
      </c>
      <c r="I39" s="297" t="s">
        <v>1426</v>
      </c>
      <c r="J39" s="297" t="s">
        <v>1426</v>
      </c>
      <c r="K39" s="297" t="s">
        <v>1426</v>
      </c>
      <c r="L39" s="297" t="s">
        <v>1426</v>
      </c>
      <c r="M39" s="297" t="s">
        <v>1426</v>
      </c>
      <c r="N39" s="297" t="s">
        <v>1425</v>
      </c>
      <c r="O39" s="297" t="s">
        <v>1426</v>
      </c>
      <c r="P39" s="394" t="s">
        <v>1426</v>
      </c>
      <c r="Q39" s="297" t="s">
        <v>1426</v>
      </c>
      <c r="R39" s="297" t="s">
        <v>1426</v>
      </c>
      <c r="S39" s="297" t="s">
        <v>1426</v>
      </c>
      <c r="T39" s="297" t="s">
        <v>1426</v>
      </c>
      <c r="U39" s="297" t="s">
        <v>1425</v>
      </c>
      <c r="V39" s="46" t="s">
        <v>1426</v>
      </c>
    </row>
    <row r="40" spans="1:22" x14ac:dyDescent="0.2">
      <c r="A40">
        <v>140673</v>
      </c>
      <c r="B40" s="399" t="s">
        <v>1371</v>
      </c>
      <c r="C40" s="297">
        <v>22</v>
      </c>
      <c r="D40" s="394">
        <v>43890</v>
      </c>
      <c r="E40" s="297" t="s">
        <v>1425</v>
      </c>
      <c r="F40" s="394">
        <v>43830</v>
      </c>
      <c r="G40" s="297" t="s">
        <v>1426</v>
      </c>
      <c r="H40" s="297" t="s">
        <v>1426</v>
      </c>
      <c r="I40" s="297" t="s">
        <v>1426</v>
      </c>
      <c r="J40" s="297" t="s">
        <v>1426</v>
      </c>
      <c r="K40" s="297" t="s">
        <v>1426</v>
      </c>
      <c r="L40" s="297" t="s">
        <v>1426</v>
      </c>
      <c r="M40" s="297" t="s">
        <v>1426</v>
      </c>
      <c r="N40" s="297" t="s">
        <v>1426</v>
      </c>
      <c r="O40" s="297" t="s">
        <v>1426</v>
      </c>
      <c r="P40" s="394" t="s">
        <v>1426</v>
      </c>
      <c r="Q40" s="297" t="s">
        <v>1426</v>
      </c>
      <c r="R40" s="297" t="s">
        <v>1426</v>
      </c>
      <c r="S40" s="297" t="s">
        <v>1426</v>
      </c>
      <c r="T40" s="297" t="s">
        <v>1425</v>
      </c>
      <c r="U40" s="297" t="s">
        <v>1425</v>
      </c>
      <c r="V40" s="46" t="s">
        <v>1426</v>
      </c>
    </row>
    <row r="41" spans="1:22" x14ac:dyDescent="0.2">
      <c r="A41">
        <v>144501</v>
      </c>
      <c r="B41" s="399" t="s">
        <v>625</v>
      </c>
      <c r="C41" s="297">
        <v>26</v>
      </c>
      <c r="D41" s="394">
        <v>43830</v>
      </c>
      <c r="E41" s="297" t="s">
        <v>1425</v>
      </c>
      <c r="F41" s="394">
        <v>43830</v>
      </c>
      <c r="G41" s="297" t="s">
        <v>1426</v>
      </c>
      <c r="H41" s="297" t="s">
        <v>1426</v>
      </c>
      <c r="I41" s="297" t="s">
        <v>1426</v>
      </c>
      <c r="J41" s="297" t="s">
        <v>1426</v>
      </c>
      <c r="K41" s="297" t="s">
        <v>1426</v>
      </c>
      <c r="L41" s="297" t="s">
        <v>1426</v>
      </c>
      <c r="M41" s="297" t="s">
        <v>1425</v>
      </c>
      <c r="N41" s="297" t="s">
        <v>1425</v>
      </c>
      <c r="O41" s="297" t="s">
        <v>1426</v>
      </c>
      <c r="P41" s="394" t="s">
        <v>1426</v>
      </c>
      <c r="Q41" s="297" t="s">
        <v>1426</v>
      </c>
      <c r="R41" s="297" t="s">
        <v>1425</v>
      </c>
      <c r="S41" s="297" t="s">
        <v>1426</v>
      </c>
      <c r="T41" s="297" t="s">
        <v>1425</v>
      </c>
      <c r="U41" s="297" t="s">
        <v>1425</v>
      </c>
      <c r="V41" s="46" t="s">
        <v>1425</v>
      </c>
    </row>
    <row r="42" spans="1:22" x14ac:dyDescent="0.2">
      <c r="A42">
        <v>146928</v>
      </c>
      <c r="B42" s="399" t="s">
        <v>1451</v>
      </c>
      <c r="C42" s="297">
        <v>22</v>
      </c>
      <c r="D42" s="394">
        <v>43890</v>
      </c>
      <c r="E42" s="297" t="s">
        <v>1425</v>
      </c>
      <c r="F42" s="394">
        <v>43830</v>
      </c>
      <c r="G42" s="297" t="s">
        <v>1426</v>
      </c>
      <c r="H42" s="297" t="s">
        <v>1426</v>
      </c>
      <c r="I42" s="297" t="s">
        <v>1426</v>
      </c>
      <c r="J42" s="297" t="s">
        <v>1426</v>
      </c>
      <c r="K42" s="297" t="s">
        <v>1426</v>
      </c>
      <c r="L42" s="297" t="s">
        <v>1426</v>
      </c>
      <c r="M42" s="297" t="s">
        <v>1426</v>
      </c>
      <c r="N42" s="297" t="s">
        <v>1426</v>
      </c>
      <c r="O42" s="297" t="s">
        <v>1426</v>
      </c>
      <c r="P42" s="394" t="s">
        <v>1426</v>
      </c>
      <c r="Q42" s="297" t="s">
        <v>1426</v>
      </c>
      <c r="R42" s="297" t="s">
        <v>1426</v>
      </c>
      <c r="S42" s="297" t="s">
        <v>1426</v>
      </c>
      <c r="T42" s="297" t="s">
        <v>1426</v>
      </c>
      <c r="U42" s="297" t="s">
        <v>1425</v>
      </c>
      <c r="V42" s="46" t="s">
        <v>1426</v>
      </c>
    </row>
    <row r="43" spans="1:22" x14ac:dyDescent="0.2">
      <c r="A43">
        <v>147348</v>
      </c>
      <c r="B43" s="399" t="s">
        <v>200</v>
      </c>
      <c r="C43" s="297">
        <v>27</v>
      </c>
      <c r="D43" s="394">
        <v>43890</v>
      </c>
      <c r="E43" s="297" t="s">
        <v>1425</v>
      </c>
      <c r="F43" s="394">
        <v>43830</v>
      </c>
      <c r="G43" s="297" t="s">
        <v>1426</v>
      </c>
      <c r="H43" s="297" t="s">
        <v>1426</v>
      </c>
      <c r="I43" s="297" t="s">
        <v>1426</v>
      </c>
      <c r="J43" s="297" t="s">
        <v>1426</v>
      </c>
      <c r="K43" s="297" t="s">
        <v>1426</v>
      </c>
      <c r="L43" s="297" t="s">
        <v>1426</v>
      </c>
      <c r="M43" s="297" t="s">
        <v>1426</v>
      </c>
      <c r="N43" s="297" t="s">
        <v>1426</v>
      </c>
      <c r="O43" s="297" t="s">
        <v>1426</v>
      </c>
      <c r="P43" s="394" t="s">
        <v>1425</v>
      </c>
      <c r="Q43" s="297" t="s">
        <v>1426</v>
      </c>
      <c r="R43" s="297" t="s">
        <v>1425</v>
      </c>
      <c r="S43" s="297" t="s">
        <v>1425</v>
      </c>
      <c r="T43" s="297" t="s">
        <v>1425</v>
      </c>
      <c r="U43" s="297" t="s">
        <v>1425</v>
      </c>
      <c r="V43" s="46" t="s">
        <v>1426</v>
      </c>
    </row>
    <row r="44" spans="1:22" x14ac:dyDescent="0.2">
      <c r="A44">
        <v>150649</v>
      </c>
      <c r="B44" s="399" t="s">
        <v>203</v>
      </c>
      <c r="C44" s="297">
        <v>23</v>
      </c>
      <c r="D44" s="394">
        <v>43890</v>
      </c>
      <c r="E44" s="297" t="s">
        <v>1425</v>
      </c>
      <c r="F44" s="394">
        <v>43830</v>
      </c>
      <c r="G44" s="297" t="s">
        <v>1426</v>
      </c>
      <c r="H44" s="297" t="s">
        <v>1426</v>
      </c>
      <c r="I44" s="297" t="s">
        <v>1426</v>
      </c>
      <c r="J44" s="297" t="s">
        <v>1426</v>
      </c>
      <c r="K44" s="297" t="s">
        <v>1426</v>
      </c>
      <c r="L44" s="297" t="s">
        <v>1426</v>
      </c>
      <c r="M44" s="297" t="s">
        <v>1426</v>
      </c>
      <c r="N44" s="297" t="s">
        <v>1426</v>
      </c>
      <c r="O44" s="297" t="s">
        <v>1426</v>
      </c>
      <c r="P44" s="394" t="s">
        <v>1426</v>
      </c>
      <c r="Q44" s="297" t="s">
        <v>1426</v>
      </c>
      <c r="R44" s="297" t="s">
        <v>1425</v>
      </c>
      <c r="S44" s="297" t="s">
        <v>1426</v>
      </c>
      <c r="T44" s="297" t="s">
        <v>1425</v>
      </c>
      <c r="U44" s="297" t="s">
        <v>1425</v>
      </c>
      <c r="V44" s="46" t="s">
        <v>1426</v>
      </c>
    </row>
    <row r="45" spans="1:22" x14ac:dyDescent="0.2">
      <c r="A45">
        <v>151001</v>
      </c>
      <c r="B45" s="399" t="s">
        <v>205</v>
      </c>
      <c r="C45" s="297">
        <v>21</v>
      </c>
      <c r="D45" s="394">
        <v>43890</v>
      </c>
      <c r="E45" s="297" t="s">
        <v>1425</v>
      </c>
      <c r="F45" s="394">
        <v>43830</v>
      </c>
      <c r="G45" s="297" t="s">
        <v>1426</v>
      </c>
      <c r="H45" s="297" t="s">
        <v>1426</v>
      </c>
      <c r="I45" s="297" t="s">
        <v>1426</v>
      </c>
      <c r="J45" s="297" t="s">
        <v>1426</v>
      </c>
      <c r="K45" s="297" t="s">
        <v>1426</v>
      </c>
      <c r="L45" s="297" t="s">
        <v>1426</v>
      </c>
      <c r="M45" s="297" t="s">
        <v>1425</v>
      </c>
      <c r="N45" s="297" t="s">
        <v>1425</v>
      </c>
      <c r="O45" s="297" t="s">
        <v>1426</v>
      </c>
      <c r="P45" s="394" t="s">
        <v>1425</v>
      </c>
      <c r="Q45" s="297" t="s">
        <v>1425</v>
      </c>
      <c r="R45" s="297" t="s">
        <v>1425</v>
      </c>
      <c r="S45" s="297" t="s">
        <v>1426</v>
      </c>
      <c r="T45" s="297" t="s">
        <v>1426</v>
      </c>
      <c r="U45" s="297" t="s">
        <v>1425</v>
      </c>
      <c r="V45" s="46" t="s">
        <v>1426</v>
      </c>
    </row>
    <row r="46" spans="1:22" x14ac:dyDescent="0.2">
      <c r="A46">
        <v>152181</v>
      </c>
      <c r="B46" s="399" t="s">
        <v>207</v>
      </c>
      <c r="C46" s="297">
        <v>23</v>
      </c>
      <c r="D46" s="394">
        <v>43890</v>
      </c>
      <c r="E46" s="297" t="s">
        <v>1425</v>
      </c>
      <c r="F46" s="394">
        <v>43830</v>
      </c>
      <c r="G46" s="297" t="s">
        <v>1426</v>
      </c>
      <c r="H46" s="297" t="s">
        <v>1426</v>
      </c>
      <c r="I46" s="297" t="s">
        <v>1426</v>
      </c>
      <c r="J46" s="297" t="s">
        <v>1426</v>
      </c>
      <c r="K46" s="297" t="s">
        <v>1426</v>
      </c>
      <c r="L46" s="297" t="s">
        <v>1426</v>
      </c>
      <c r="M46" s="297" t="s">
        <v>1426</v>
      </c>
      <c r="N46" s="297" t="s">
        <v>1426</v>
      </c>
      <c r="O46" s="297" t="s">
        <v>1426</v>
      </c>
      <c r="P46" s="394" t="s">
        <v>1426</v>
      </c>
      <c r="Q46" s="297" t="s">
        <v>1426</v>
      </c>
      <c r="R46" s="297" t="s">
        <v>1426</v>
      </c>
      <c r="S46" s="297" t="s">
        <v>1426</v>
      </c>
      <c r="T46" s="297" t="s">
        <v>1426</v>
      </c>
      <c r="U46" s="297" t="s">
        <v>1425</v>
      </c>
      <c r="V46" s="46" t="s">
        <v>1425</v>
      </c>
    </row>
    <row r="47" spans="1:22" x14ac:dyDescent="0.2">
      <c r="A47">
        <v>152835</v>
      </c>
      <c r="B47" s="399" t="s">
        <v>210</v>
      </c>
      <c r="C47" s="297">
        <v>22</v>
      </c>
      <c r="D47" s="394">
        <v>43890</v>
      </c>
      <c r="E47" s="297" t="s">
        <v>1426</v>
      </c>
      <c r="F47" s="394">
        <v>43830</v>
      </c>
      <c r="G47" s="297" t="s">
        <v>1426</v>
      </c>
      <c r="H47" s="297" t="s">
        <v>1426</v>
      </c>
      <c r="I47" s="297" t="s">
        <v>1426</v>
      </c>
      <c r="J47" s="297" t="s">
        <v>1426</v>
      </c>
      <c r="K47" s="297" t="s">
        <v>1426</v>
      </c>
      <c r="L47" s="297" t="s">
        <v>1426</v>
      </c>
      <c r="M47" s="297" t="s">
        <v>1426</v>
      </c>
      <c r="N47" s="297" t="s">
        <v>1426</v>
      </c>
      <c r="O47" s="297" t="s">
        <v>1426</v>
      </c>
      <c r="P47" s="394" t="s">
        <v>1426</v>
      </c>
      <c r="Q47" s="297" t="s">
        <v>1426</v>
      </c>
      <c r="R47" s="297" t="s">
        <v>1426</v>
      </c>
      <c r="S47" s="297" t="s">
        <v>1426</v>
      </c>
      <c r="T47" s="297" t="s">
        <v>1425</v>
      </c>
      <c r="U47" s="297" t="s">
        <v>1425</v>
      </c>
      <c r="V47" s="46" t="s">
        <v>1426</v>
      </c>
    </row>
    <row r="48" spans="1:22" x14ac:dyDescent="0.2">
      <c r="A48">
        <v>153007</v>
      </c>
      <c r="B48" s="399" t="s">
        <v>586</v>
      </c>
      <c r="C48" s="297"/>
      <c r="D48" s="394"/>
      <c r="E48" s="297"/>
      <c r="F48" s="394"/>
      <c r="G48" s="297" t="s">
        <v>1426</v>
      </c>
      <c r="H48" s="297" t="s">
        <v>1426</v>
      </c>
      <c r="I48" s="297" t="s">
        <v>1426</v>
      </c>
      <c r="J48" s="297" t="s">
        <v>1426</v>
      </c>
      <c r="K48" s="297" t="s">
        <v>1426</v>
      </c>
      <c r="L48" s="297" t="s">
        <v>1426</v>
      </c>
      <c r="M48" s="297" t="s">
        <v>1425</v>
      </c>
      <c r="N48" s="297" t="s">
        <v>1425</v>
      </c>
      <c r="O48" s="297" t="s">
        <v>1426</v>
      </c>
      <c r="P48" s="394" t="s">
        <v>1426</v>
      </c>
      <c r="Q48" s="297" t="s">
        <v>1426</v>
      </c>
      <c r="R48" s="297" t="s">
        <v>1425</v>
      </c>
      <c r="S48" s="297" t="s">
        <v>1425</v>
      </c>
      <c r="T48" s="297" t="s">
        <v>1425</v>
      </c>
      <c r="U48" s="297" t="s">
        <v>1425</v>
      </c>
      <c r="V48" s="46" t="s">
        <v>1425</v>
      </c>
    </row>
    <row r="49" spans="1:22" x14ac:dyDescent="0.2">
      <c r="A49">
        <v>153833</v>
      </c>
      <c r="B49" s="399" t="s">
        <v>211</v>
      </c>
      <c r="C49" s="297">
        <v>27</v>
      </c>
      <c r="D49" s="394">
        <v>43890</v>
      </c>
      <c r="E49" s="297" t="s">
        <v>1425</v>
      </c>
      <c r="F49" s="394">
        <v>43830</v>
      </c>
      <c r="G49" s="297" t="s">
        <v>1426</v>
      </c>
      <c r="H49" s="297" t="s">
        <v>1426</v>
      </c>
      <c r="I49" s="297" t="s">
        <v>1426</v>
      </c>
      <c r="J49" s="297" t="s">
        <v>1426</v>
      </c>
      <c r="K49" s="297" t="s">
        <v>1426</v>
      </c>
      <c r="L49" s="297" t="s">
        <v>1426</v>
      </c>
      <c r="M49" s="297" t="s">
        <v>1426</v>
      </c>
      <c r="N49" s="297" t="s">
        <v>1425</v>
      </c>
      <c r="O49" s="297" t="s">
        <v>1425</v>
      </c>
      <c r="P49" s="394" t="s">
        <v>1425</v>
      </c>
      <c r="Q49" s="297" t="s">
        <v>1425</v>
      </c>
      <c r="R49" s="297" t="s">
        <v>1425</v>
      </c>
      <c r="S49" s="297" t="s">
        <v>1425</v>
      </c>
      <c r="T49" s="297" t="s">
        <v>1426</v>
      </c>
      <c r="U49" s="297" t="s">
        <v>1425</v>
      </c>
      <c r="V49" s="46" t="s">
        <v>1426</v>
      </c>
    </row>
    <row r="50" spans="1:22" x14ac:dyDescent="0.2">
      <c r="A50">
        <v>158261</v>
      </c>
      <c r="B50" s="399" t="s">
        <v>213</v>
      </c>
      <c r="C50" s="297">
        <v>21</v>
      </c>
      <c r="D50" s="394">
        <v>43890</v>
      </c>
      <c r="E50" s="297" t="s">
        <v>1426</v>
      </c>
      <c r="F50" s="394">
        <v>43830</v>
      </c>
      <c r="G50" s="297" t="s">
        <v>1426</v>
      </c>
      <c r="H50" s="297" t="s">
        <v>1426</v>
      </c>
      <c r="I50" s="297" t="s">
        <v>1426</v>
      </c>
      <c r="J50" s="297" t="s">
        <v>1426</v>
      </c>
      <c r="K50" s="297" t="s">
        <v>1426</v>
      </c>
      <c r="L50" s="297" t="s">
        <v>1426</v>
      </c>
      <c r="M50" s="297" t="s">
        <v>1425</v>
      </c>
      <c r="N50" s="297" t="s">
        <v>1425</v>
      </c>
      <c r="O50" s="297" t="s">
        <v>1426</v>
      </c>
      <c r="P50" s="394" t="s">
        <v>1425</v>
      </c>
      <c r="Q50" s="297" t="s">
        <v>1425</v>
      </c>
      <c r="R50" s="297" t="s">
        <v>1425</v>
      </c>
      <c r="S50" s="297" t="s">
        <v>1426</v>
      </c>
      <c r="T50" s="297" t="s">
        <v>1425</v>
      </c>
      <c r="U50" s="297" t="s">
        <v>1425</v>
      </c>
      <c r="V50" s="46" t="s">
        <v>1425</v>
      </c>
    </row>
    <row r="51" spans="1:22" x14ac:dyDescent="0.2">
      <c r="A51">
        <v>159442</v>
      </c>
      <c r="B51" s="399" t="s">
        <v>1452</v>
      </c>
      <c r="C51" s="297">
        <v>29</v>
      </c>
      <c r="D51" s="394">
        <v>43890</v>
      </c>
      <c r="E51" s="297" t="s">
        <v>1425</v>
      </c>
      <c r="F51" s="394">
        <v>43830</v>
      </c>
      <c r="G51" s="297" t="s">
        <v>1426</v>
      </c>
      <c r="H51" s="297" t="s">
        <v>1426</v>
      </c>
      <c r="I51" s="297" t="s">
        <v>1426</v>
      </c>
      <c r="J51" s="297" t="s">
        <v>1426</v>
      </c>
      <c r="K51" s="297" t="s">
        <v>1426</v>
      </c>
      <c r="L51" s="297" t="s">
        <v>1426</v>
      </c>
      <c r="M51" s="297" t="s">
        <v>1426</v>
      </c>
      <c r="N51" s="297" t="s">
        <v>1425</v>
      </c>
      <c r="O51" s="297" t="s">
        <v>1425</v>
      </c>
      <c r="P51" s="394" t="s">
        <v>1425</v>
      </c>
      <c r="Q51" s="297" t="s">
        <v>1425</v>
      </c>
      <c r="R51" s="297" t="s">
        <v>1425</v>
      </c>
      <c r="S51" s="297" t="s">
        <v>1425</v>
      </c>
      <c r="T51" s="297" t="s">
        <v>1426</v>
      </c>
      <c r="U51" s="297" t="s">
        <v>1425</v>
      </c>
      <c r="V51" s="46" t="s">
        <v>1426</v>
      </c>
    </row>
    <row r="52" spans="1:22" x14ac:dyDescent="0.2">
      <c r="A52">
        <v>165755</v>
      </c>
      <c r="B52" s="399" t="s">
        <v>1355</v>
      </c>
      <c r="C52" s="297">
        <v>26</v>
      </c>
      <c r="D52" s="394">
        <v>43890</v>
      </c>
      <c r="E52" s="297" t="s">
        <v>1425</v>
      </c>
      <c r="F52" s="394">
        <v>43830</v>
      </c>
      <c r="G52" s="297" t="s">
        <v>1426</v>
      </c>
      <c r="H52" s="297" t="s">
        <v>1426</v>
      </c>
      <c r="I52" s="297" t="s">
        <v>1426</v>
      </c>
      <c r="J52" s="297" t="s">
        <v>1426</v>
      </c>
      <c r="K52" s="297" t="s">
        <v>1426</v>
      </c>
      <c r="L52" s="297" t="s">
        <v>1426</v>
      </c>
      <c r="M52" s="297" t="s">
        <v>1426</v>
      </c>
      <c r="N52" s="297" t="s">
        <v>1426</v>
      </c>
      <c r="O52" s="297" t="s">
        <v>1426</v>
      </c>
      <c r="P52" s="394" t="s">
        <v>1426</v>
      </c>
      <c r="Q52" s="297" t="s">
        <v>1426</v>
      </c>
      <c r="R52" s="297" t="s">
        <v>1425</v>
      </c>
      <c r="S52" s="297" t="s">
        <v>1426</v>
      </c>
      <c r="T52" s="297" t="s">
        <v>1426</v>
      </c>
      <c r="U52" s="297" t="s">
        <v>1426</v>
      </c>
      <c r="V52" s="46" t="s">
        <v>1426</v>
      </c>
    </row>
    <row r="53" spans="1:22" x14ac:dyDescent="0.2">
      <c r="A53">
        <v>167114</v>
      </c>
      <c r="B53" s="399" t="s">
        <v>587</v>
      </c>
      <c r="C53" s="297"/>
      <c r="D53" s="394"/>
      <c r="E53" s="297" t="s">
        <v>1425</v>
      </c>
      <c r="F53" s="394">
        <v>43830</v>
      </c>
      <c r="G53" s="297" t="s">
        <v>1426</v>
      </c>
      <c r="H53" s="297" t="s">
        <v>1426</v>
      </c>
      <c r="I53" s="297" t="s">
        <v>1426</v>
      </c>
      <c r="J53" s="297" t="s">
        <v>1426</v>
      </c>
      <c r="K53" s="297" t="s">
        <v>1426</v>
      </c>
      <c r="L53" s="297" t="s">
        <v>1426</v>
      </c>
      <c r="M53" s="297" t="s">
        <v>1426</v>
      </c>
      <c r="N53" s="297" t="s">
        <v>1426</v>
      </c>
      <c r="O53" s="297" t="s">
        <v>1426</v>
      </c>
      <c r="P53" s="394" t="s">
        <v>1426</v>
      </c>
      <c r="Q53" s="297" t="s">
        <v>1426</v>
      </c>
      <c r="R53" s="297" t="s">
        <v>1426</v>
      </c>
      <c r="S53" s="297" t="s">
        <v>1426</v>
      </c>
      <c r="T53" s="297" t="s">
        <v>1425</v>
      </c>
      <c r="U53" s="297" t="s">
        <v>1425</v>
      </c>
      <c r="V53" s="46" t="s">
        <v>1426</v>
      </c>
    </row>
    <row r="54" spans="1:22" x14ac:dyDescent="0.2">
      <c r="A54">
        <v>167643</v>
      </c>
      <c r="B54" s="399" t="s">
        <v>217</v>
      </c>
      <c r="C54" s="297">
        <v>21</v>
      </c>
      <c r="D54" s="394">
        <v>43890</v>
      </c>
      <c r="E54" s="297" t="s">
        <v>1426</v>
      </c>
      <c r="F54" s="394">
        <v>43830</v>
      </c>
      <c r="G54" s="297" t="s">
        <v>1426</v>
      </c>
      <c r="H54" s="297" t="s">
        <v>1426</v>
      </c>
      <c r="I54" s="297" t="s">
        <v>1426</v>
      </c>
      <c r="J54" s="297" t="s">
        <v>1426</v>
      </c>
      <c r="K54" s="297" t="s">
        <v>1426</v>
      </c>
      <c r="L54" s="297" t="s">
        <v>1426</v>
      </c>
      <c r="M54" s="297" t="s">
        <v>1426</v>
      </c>
      <c r="N54" s="297" t="s">
        <v>1426</v>
      </c>
      <c r="O54" s="297" t="s">
        <v>1426</v>
      </c>
      <c r="P54" s="394" t="s">
        <v>1426</v>
      </c>
      <c r="Q54" s="297" t="s">
        <v>1426</v>
      </c>
      <c r="R54" s="297" t="s">
        <v>1426</v>
      </c>
      <c r="S54" s="297" t="s">
        <v>1426</v>
      </c>
      <c r="T54" s="297" t="s">
        <v>1426</v>
      </c>
      <c r="U54" s="297" t="s">
        <v>1426</v>
      </c>
      <c r="V54" s="46" t="s">
        <v>1426</v>
      </c>
    </row>
    <row r="55" spans="1:22" x14ac:dyDescent="0.2">
      <c r="A55">
        <v>170423</v>
      </c>
      <c r="B55" s="399" t="s">
        <v>219</v>
      </c>
      <c r="C55" s="297">
        <v>22</v>
      </c>
      <c r="D55" s="394">
        <v>43890</v>
      </c>
      <c r="E55" s="297" t="s">
        <v>1425</v>
      </c>
      <c r="F55" s="394">
        <v>43830</v>
      </c>
      <c r="G55" s="297" t="s">
        <v>1426</v>
      </c>
      <c r="H55" s="297" t="s">
        <v>1426</v>
      </c>
      <c r="I55" s="297" t="s">
        <v>1426</v>
      </c>
      <c r="J55" s="297" t="s">
        <v>1426</v>
      </c>
      <c r="K55" s="297" t="s">
        <v>1426</v>
      </c>
      <c r="L55" s="297" t="s">
        <v>1426</v>
      </c>
      <c r="M55" s="297" t="s">
        <v>1426</v>
      </c>
      <c r="N55" s="297" t="s">
        <v>1426</v>
      </c>
      <c r="O55" s="297" t="s">
        <v>1426</v>
      </c>
      <c r="P55" s="394" t="s">
        <v>1426</v>
      </c>
      <c r="Q55" s="297" t="s">
        <v>1426</v>
      </c>
      <c r="R55" s="297" t="s">
        <v>1426</v>
      </c>
      <c r="S55" s="297" t="s">
        <v>1426</v>
      </c>
      <c r="T55" s="297" t="s">
        <v>1425</v>
      </c>
      <c r="U55" s="297" t="s">
        <v>1425</v>
      </c>
      <c r="V55" s="46" t="s">
        <v>1426</v>
      </c>
    </row>
    <row r="56" spans="1:22" x14ac:dyDescent="0.2">
      <c r="A56">
        <v>170894</v>
      </c>
      <c r="B56" s="399" t="s">
        <v>606</v>
      </c>
      <c r="C56" s="297">
        <v>28</v>
      </c>
      <c r="D56" s="394">
        <v>43890</v>
      </c>
      <c r="E56" s="297" t="s">
        <v>1425</v>
      </c>
      <c r="F56" s="394">
        <v>43830</v>
      </c>
      <c r="G56" s="297" t="s">
        <v>1425</v>
      </c>
      <c r="H56" s="297" t="s">
        <v>1425</v>
      </c>
      <c r="I56" s="297" t="s">
        <v>1425</v>
      </c>
      <c r="J56" s="297" t="s">
        <v>1426</v>
      </c>
      <c r="K56" s="297" t="s">
        <v>1426</v>
      </c>
      <c r="L56" s="297" t="s">
        <v>1425</v>
      </c>
      <c r="M56" s="297" t="s">
        <v>1425</v>
      </c>
      <c r="N56" s="297" t="s">
        <v>1425</v>
      </c>
      <c r="O56" s="297" t="s">
        <v>1425</v>
      </c>
      <c r="P56" s="394" t="s">
        <v>1425</v>
      </c>
      <c r="Q56" s="297" t="s">
        <v>1425</v>
      </c>
      <c r="R56" s="297" t="s">
        <v>1425</v>
      </c>
      <c r="S56" s="297" t="s">
        <v>1425</v>
      </c>
      <c r="T56" s="297" t="s">
        <v>1425</v>
      </c>
      <c r="U56" s="297" t="s">
        <v>1425</v>
      </c>
      <c r="V56" s="46" t="s">
        <v>1425</v>
      </c>
    </row>
    <row r="57" spans="1:22" x14ac:dyDescent="0.2">
      <c r="A57">
        <v>173435</v>
      </c>
      <c r="B57" s="399" t="s">
        <v>222</v>
      </c>
      <c r="C57" s="297"/>
      <c r="D57" s="394"/>
      <c r="E57" s="297" t="s">
        <v>1425</v>
      </c>
      <c r="F57" s="394">
        <v>43830</v>
      </c>
      <c r="G57" s="297" t="s">
        <v>1426</v>
      </c>
      <c r="H57" s="297" t="s">
        <v>1426</v>
      </c>
      <c r="I57" s="297" t="s">
        <v>1426</v>
      </c>
      <c r="J57" s="297" t="s">
        <v>1426</v>
      </c>
      <c r="K57" s="297" t="s">
        <v>1426</v>
      </c>
      <c r="L57" s="297" t="s">
        <v>1426</v>
      </c>
      <c r="M57" s="297" t="s">
        <v>1426</v>
      </c>
      <c r="N57" s="297" t="s">
        <v>1425</v>
      </c>
      <c r="O57" s="297" t="s">
        <v>1425</v>
      </c>
      <c r="P57" s="394" t="s">
        <v>1425</v>
      </c>
      <c r="Q57" s="297" t="s">
        <v>1425</v>
      </c>
      <c r="R57" s="297" t="s">
        <v>1425</v>
      </c>
      <c r="S57" s="297" t="s">
        <v>1425</v>
      </c>
      <c r="T57" s="297" t="s">
        <v>1425</v>
      </c>
      <c r="U57" s="297" t="s">
        <v>1425</v>
      </c>
      <c r="V57" s="46" t="s">
        <v>1426</v>
      </c>
    </row>
    <row r="58" spans="1:22" x14ac:dyDescent="0.2">
      <c r="A58">
        <v>174490</v>
      </c>
      <c r="B58" s="399" t="s">
        <v>1323</v>
      </c>
      <c r="C58" s="297">
        <v>26</v>
      </c>
      <c r="D58" s="394">
        <v>43890</v>
      </c>
      <c r="E58" s="297" t="s">
        <v>1425</v>
      </c>
      <c r="F58" s="394">
        <v>43830</v>
      </c>
      <c r="G58" s="297" t="s">
        <v>1426</v>
      </c>
      <c r="H58" s="297" t="s">
        <v>1426</v>
      </c>
      <c r="I58" s="297" t="s">
        <v>1426</v>
      </c>
      <c r="J58" s="297" t="s">
        <v>1426</v>
      </c>
      <c r="K58" s="297" t="s">
        <v>1426</v>
      </c>
      <c r="L58" s="297" t="s">
        <v>1425</v>
      </c>
      <c r="M58" s="297" t="s">
        <v>1425</v>
      </c>
      <c r="N58" s="297" t="s">
        <v>1425</v>
      </c>
      <c r="O58" s="297" t="s">
        <v>1425</v>
      </c>
      <c r="P58" s="394" t="s">
        <v>1426</v>
      </c>
      <c r="Q58" s="297" t="s">
        <v>1426</v>
      </c>
      <c r="R58" s="297" t="s">
        <v>1425</v>
      </c>
      <c r="S58" s="297" t="s">
        <v>1425</v>
      </c>
      <c r="T58" s="297" t="s">
        <v>1425</v>
      </c>
      <c r="U58" s="297" t="s">
        <v>1425</v>
      </c>
      <c r="V58" s="46" t="s">
        <v>1426</v>
      </c>
    </row>
    <row r="59" spans="1:22" x14ac:dyDescent="0.2">
      <c r="A59">
        <v>176503</v>
      </c>
      <c r="B59" s="399" t="s">
        <v>1372</v>
      </c>
      <c r="C59" s="297">
        <v>24</v>
      </c>
      <c r="D59" s="394">
        <v>43890</v>
      </c>
      <c r="E59" s="297" t="s">
        <v>1425</v>
      </c>
      <c r="F59" s="394">
        <v>43830</v>
      </c>
      <c r="G59" s="297" t="s">
        <v>1426</v>
      </c>
      <c r="H59" s="297" t="s">
        <v>1426</v>
      </c>
      <c r="I59" s="297" t="s">
        <v>1426</v>
      </c>
      <c r="J59" s="297" t="s">
        <v>1426</v>
      </c>
      <c r="K59" s="297" t="s">
        <v>1426</v>
      </c>
      <c r="L59" s="297" t="s">
        <v>1426</v>
      </c>
      <c r="M59" s="297" t="s">
        <v>1426</v>
      </c>
      <c r="N59" s="297" t="s">
        <v>1426</v>
      </c>
      <c r="O59" s="297" t="s">
        <v>1426</v>
      </c>
      <c r="P59" s="394" t="s">
        <v>1426</v>
      </c>
      <c r="Q59" s="297" t="s">
        <v>1426</v>
      </c>
      <c r="R59" s="297" t="s">
        <v>1426</v>
      </c>
      <c r="S59" s="297" t="s">
        <v>1426</v>
      </c>
      <c r="T59" s="297" t="s">
        <v>1425</v>
      </c>
      <c r="U59" s="395" t="s">
        <v>1425</v>
      </c>
      <c r="V59" s="46" t="s">
        <v>1426</v>
      </c>
    </row>
    <row r="60" spans="1:22" x14ac:dyDescent="0.2">
      <c r="A60">
        <v>182584</v>
      </c>
      <c r="B60" s="399" t="s">
        <v>607</v>
      </c>
      <c r="C60" s="297">
        <v>21</v>
      </c>
      <c r="D60" s="394">
        <v>43890</v>
      </c>
      <c r="E60" s="297" t="s">
        <v>1425</v>
      </c>
      <c r="F60" s="394">
        <v>43830</v>
      </c>
      <c r="G60" s="297" t="s">
        <v>1426</v>
      </c>
      <c r="H60" s="297" t="s">
        <v>1426</v>
      </c>
      <c r="I60" s="297" t="s">
        <v>1426</v>
      </c>
      <c r="J60" s="297" t="s">
        <v>1426</v>
      </c>
      <c r="K60" s="297" t="s">
        <v>1426</v>
      </c>
      <c r="L60" s="297" t="s">
        <v>1426</v>
      </c>
      <c r="M60" s="297" t="s">
        <v>1426</v>
      </c>
      <c r="N60" s="297" t="s">
        <v>1425</v>
      </c>
      <c r="O60" s="297" t="s">
        <v>1426</v>
      </c>
      <c r="P60" s="394" t="s">
        <v>1426</v>
      </c>
      <c r="Q60" s="297" t="s">
        <v>1425</v>
      </c>
      <c r="R60" s="297" t="s">
        <v>1425</v>
      </c>
      <c r="S60" s="297" t="s">
        <v>1425</v>
      </c>
      <c r="T60" s="297" t="s">
        <v>1425</v>
      </c>
      <c r="U60" s="297" t="s">
        <v>1425</v>
      </c>
      <c r="V60" s="46" t="s">
        <v>1425</v>
      </c>
    </row>
    <row r="61" spans="1:22" x14ac:dyDescent="0.2">
      <c r="A61">
        <v>182759</v>
      </c>
      <c r="B61" s="399" t="s">
        <v>1453</v>
      </c>
      <c r="C61" s="297">
        <v>27</v>
      </c>
      <c r="D61" s="394">
        <v>43890</v>
      </c>
      <c r="E61" s="297" t="s">
        <v>1425</v>
      </c>
      <c r="F61" s="394">
        <v>43830</v>
      </c>
      <c r="G61" s="297" t="s">
        <v>1426</v>
      </c>
      <c r="H61" s="297" t="s">
        <v>1426</v>
      </c>
      <c r="I61" s="297" t="s">
        <v>1426</v>
      </c>
      <c r="J61" s="297" t="s">
        <v>1426</v>
      </c>
      <c r="K61" s="297" t="s">
        <v>1426</v>
      </c>
      <c r="L61" s="297" t="s">
        <v>1426</v>
      </c>
      <c r="M61" s="297" t="s">
        <v>1426</v>
      </c>
      <c r="N61" s="297" t="s">
        <v>1426</v>
      </c>
      <c r="O61" s="297" t="s">
        <v>1426</v>
      </c>
      <c r="P61" s="394" t="s">
        <v>1426</v>
      </c>
      <c r="Q61" s="297" t="s">
        <v>1426</v>
      </c>
      <c r="R61" s="297" t="s">
        <v>1426</v>
      </c>
      <c r="S61" s="297" t="s">
        <v>1426</v>
      </c>
      <c r="T61" s="297" t="s">
        <v>1426</v>
      </c>
      <c r="U61" s="297" t="s">
        <v>1425</v>
      </c>
      <c r="V61" s="46" t="s">
        <v>1426</v>
      </c>
    </row>
    <row r="62" spans="1:22" x14ac:dyDescent="0.2">
      <c r="A62">
        <v>183178</v>
      </c>
      <c r="B62" s="399" t="s">
        <v>226</v>
      </c>
      <c r="C62" s="297">
        <v>26</v>
      </c>
      <c r="D62" s="394">
        <v>43890</v>
      </c>
      <c r="E62" s="297" t="s">
        <v>1425</v>
      </c>
      <c r="F62" s="394">
        <v>43830</v>
      </c>
      <c r="G62" s="297" t="s">
        <v>1426</v>
      </c>
      <c r="H62" s="297" t="s">
        <v>1426</v>
      </c>
      <c r="I62" s="297" t="s">
        <v>1426</v>
      </c>
      <c r="J62" s="297" t="s">
        <v>1426</v>
      </c>
      <c r="K62" s="297" t="s">
        <v>1426</v>
      </c>
      <c r="L62" s="297" t="s">
        <v>1426</v>
      </c>
      <c r="M62" s="297" t="s">
        <v>1426</v>
      </c>
      <c r="N62" s="297" t="s">
        <v>1426</v>
      </c>
      <c r="O62" s="297" t="s">
        <v>1426</v>
      </c>
      <c r="P62" s="394" t="s">
        <v>1425</v>
      </c>
      <c r="Q62" s="297" t="s">
        <v>1426</v>
      </c>
      <c r="R62" s="297" t="s">
        <v>1425</v>
      </c>
      <c r="S62" s="297" t="s">
        <v>1425</v>
      </c>
      <c r="T62" s="297" t="s">
        <v>1425</v>
      </c>
      <c r="U62" s="297" t="s">
        <v>1425</v>
      </c>
      <c r="V62" s="46" t="s">
        <v>1426</v>
      </c>
    </row>
    <row r="63" spans="1:22" x14ac:dyDescent="0.2">
      <c r="A63">
        <v>184119</v>
      </c>
      <c r="B63" s="399" t="s">
        <v>227</v>
      </c>
      <c r="C63" s="297">
        <v>22</v>
      </c>
      <c r="D63" s="394">
        <v>43890</v>
      </c>
      <c r="E63" s="297" t="s">
        <v>1426</v>
      </c>
      <c r="F63" s="394">
        <v>43830</v>
      </c>
      <c r="G63" s="297" t="s">
        <v>1426</v>
      </c>
      <c r="H63" s="297" t="s">
        <v>1426</v>
      </c>
      <c r="I63" s="297" t="s">
        <v>1426</v>
      </c>
      <c r="J63" s="297" t="s">
        <v>1426</v>
      </c>
      <c r="K63" s="297" t="s">
        <v>1426</v>
      </c>
      <c r="L63" s="297" t="s">
        <v>1426</v>
      </c>
      <c r="M63" s="297" t="s">
        <v>1426</v>
      </c>
      <c r="N63" s="297" t="s">
        <v>1426</v>
      </c>
      <c r="O63" s="297" t="s">
        <v>1426</v>
      </c>
      <c r="P63" s="394" t="s">
        <v>1426</v>
      </c>
      <c r="Q63" s="297" t="s">
        <v>1426</v>
      </c>
      <c r="R63" s="297" t="s">
        <v>1426</v>
      </c>
      <c r="S63" s="297" t="s">
        <v>1426</v>
      </c>
      <c r="T63" s="297" t="s">
        <v>1425</v>
      </c>
      <c r="U63" s="297" t="s">
        <v>1425</v>
      </c>
      <c r="V63" s="46" t="s">
        <v>1426</v>
      </c>
    </row>
    <row r="64" spans="1:22" x14ac:dyDescent="0.2">
      <c r="A64">
        <v>184416</v>
      </c>
      <c r="B64" s="399" t="s">
        <v>228</v>
      </c>
      <c r="C64" s="297">
        <v>24</v>
      </c>
      <c r="D64" s="394">
        <v>43890</v>
      </c>
      <c r="E64" s="297" t="s">
        <v>1425</v>
      </c>
      <c r="F64" s="394">
        <v>43830</v>
      </c>
      <c r="G64" s="297" t="s">
        <v>1426</v>
      </c>
      <c r="H64" s="297" t="s">
        <v>1426</v>
      </c>
      <c r="I64" s="297" t="s">
        <v>1426</v>
      </c>
      <c r="J64" s="297" t="s">
        <v>1426</v>
      </c>
      <c r="K64" s="297" t="s">
        <v>1426</v>
      </c>
      <c r="L64" s="297" t="s">
        <v>1426</v>
      </c>
      <c r="M64" s="297" t="s">
        <v>1426</v>
      </c>
      <c r="N64" s="297" t="s">
        <v>1426</v>
      </c>
      <c r="O64" s="297" t="s">
        <v>1426</v>
      </c>
      <c r="P64" s="394" t="s">
        <v>1426</v>
      </c>
      <c r="Q64" s="297" t="s">
        <v>1426</v>
      </c>
      <c r="R64" s="297" t="s">
        <v>1426</v>
      </c>
      <c r="S64" s="297" t="s">
        <v>1426</v>
      </c>
      <c r="T64" s="297" t="s">
        <v>1425</v>
      </c>
      <c r="U64" s="297" t="s">
        <v>1425</v>
      </c>
      <c r="V64" s="46" t="s">
        <v>1426</v>
      </c>
    </row>
    <row r="65" spans="1:22" x14ac:dyDescent="0.2">
      <c r="A65">
        <v>184580</v>
      </c>
      <c r="B65" s="399" t="s">
        <v>229</v>
      </c>
      <c r="C65" s="297"/>
      <c r="D65" s="394"/>
      <c r="E65" s="297"/>
      <c r="F65" s="394"/>
      <c r="G65" s="297" t="s">
        <v>1426</v>
      </c>
      <c r="H65" s="297" t="s">
        <v>1426</v>
      </c>
      <c r="I65" s="297" t="s">
        <v>1426</v>
      </c>
      <c r="J65" s="297" t="s">
        <v>1426</v>
      </c>
      <c r="K65" s="297" t="s">
        <v>1426</v>
      </c>
      <c r="L65" s="297" t="s">
        <v>1426</v>
      </c>
      <c r="M65" s="297" t="s">
        <v>1425</v>
      </c>
      <c r="N65" s="297" t="s">
        <v>1425</v>
      </c>
      <c r="O65" s="297" t="s">
        <v>1426</v>
      </c>
      <c r="P65" s="394" t="s">
        <v>1425</v>
      </c>
      <c r="Q65" s="297" t="s">
        <v>1425</v>
      </c>
      <c r="R65" s="297" t="s">
        <v>1425</v>
      </c>
      <c r="S65" s="297" t="s">
        <v>1425</v>
      </c>
      <c r="T65" s="297" t="s">
        <v>1425</v>
      </c>
      <c r="U65" s="297" t="s">
        <v>1425</v>
      </c>
      <c r="V65" s="46" t="s">
        <v>1426</v>
      </c>
    </row>
    <row r="66" spans="1:22" x14ac:dyDescent="0.2">
      <c r="A66">
        <v>189258</v>
      </c>
      <c r="B66" s="399" t="s">
        <v>231</v>
      </c>
      <c r="C66" s="297">
        <v>25</v>
      </c>
      <c r="D66" s="394">
        <v>43890</v>
      </c>
      <c r="E66" s="297" t="s">
        <v>1426</v>
      </c>
      <c r="F66" s="394">
        <v>43830</v>
      </c>
      <c r="G66" s="297" t="s">
        <v>1426</v>
      </c>
      <c r="H66" s="297" t="s">
        <v>1426</v>
      </c>
      <c r="I66" s="297" t="s">
        <v>1426</v>
      </c>
      <c r="J66" s="297" t="s">
        <v>1426</v>
      </c>
      <c r="K66" s="297" t="s">
        <v>1426</v>
      </c>
      <c r="L66" s="297" t="s">
        <v>1426</v>
      </c>
      <c r="M66" s="297" t="s">
        <v>1426</v>
      </c>
      <c r="N66" s="297" t="s">
        <v>1426</v>
      </c>
      <c r="O66" s="297" t="s">
        <v>1426</v>
      </c>
      <c r="P66" s="394" t="s">
        <v>1426</v>
      </c>
      <c r="Q66" s="297" t="s">
        <v>1426</v>
      </c>
      <c r="R66" s="297" t="s">
        <v>1425</v>
      </c>
      <c r="S66" s="297" t="s">
        <v>1425</v>
      </c>
      <c r="T66" s="297" t="s">
        <v>1425</v>
      </c>
      <c r="U66" s="297" t="s">
        <v>1426</v>
      </c>
      <c r="V66" s="46" t="s">
        <v>1426</v>
      </c>
    </row>
    <row r="67" spans="1:22" x14ac:dyDescent="0.2">
      <c r="A67">
        <v>191080</v>
      </c>
      <c r="B67" s="399" t="s">
        <v>1324</v>
      </c>
      <c r="C67" s="297">
        <v>27</v>
      </c>
      <c r="D67" s="394">
        <v>43890</v>
      </c>
      <c r="E67" s="297" t="s">
        <v>1425</v>
      </c>
      <c r="F67" s="394">
        <v>43830</v>
      </c>
      <c r="G67" s="297" t="s">
        <v>1426</v>
      </c>
      <c r="H67" s="297" t="s">
        <v>1426</v>
      </c>
      <c r="I67" s="297" t="s">
        <v>1426</v>
      </c>
      <c r="J67" s="297" t="s">
        <v>1425</v>
      </c>
      <c r="K67" s="297" t="s">
        <v>1425</v>
      </c>
      <c r="L67" s="297" t="s">
        <v>1425</v>
      </c>
      <c r="M67" s="297" t="s">
        <v>1425</v>
      </c>
      <c r="N67" s="297" t="s">
        <v>1425</v>
      </c>
      <c r="O67" s="297" t="s">
        <v>1425</v>
      </c>
      <c r="P67" s="394" t="s">
        <v>1425</v>
      </c>
      <c r="Q67" s="297" t="s">
        <v>1425</v>
      </c>
      <c r="R67" s="297" t="s">
        <v>1425</v>
      </c>
      <c r="S67" s="297" t="s">
        <v>1425</v>
      </c>
      <c r="T67" s="297" t="s">
        <v>1425</v>
      </c>
      <c r="U67" s="297" t="s">
        <v>1425</v>
      </c>
      <c r="V67" s="46" t="s">
        <v>1425</v>
      </c>
    </row>
    <row r="68" spans="1:22" x14ac:dyDescent="0.2">
      <c r="A68">
        <v>191676</v>
      </c>
      <c r="B68" s="399" t="s">
        <v>149</v>
      </c>
      <c r="C68" s="297">
        <v>20</v>
      </c>
      <c r="D68" s="394">
        <v>43890</v>
      </c>
      <c r="E68" s="297" t="s">
        <v>1426</v>
      </c>
      <c r="F68" s="394">
        <v>43830</v>
      </c>
      <c r="G68" s="297" t="s">
        <v>1426</v>
      </c>
      <c r="H68" s="297" t="s">
        <v>1426</v>
      </c>
      <c r="I68" s="297" t="s">
        <v>1426</v>
      </c>
      <c r="J68" s="297" t="s">
        <v>1426</v>
      </c>
      <c r="K68" s="297" t="s">
        <v>1426</v>
      </c>
      <c r="L68" s="297" t="s">
        <v>1426</v>
      </c>
      <c r="M68" s="297" t="s">
        <v>1425</v>
      </c>
      <c r="N68" s="297" t="s">
        <v>1425</v>
      </c>
      <c r="O68" s="297" t="s">
        <v>1426</v>
      </c>
      <c r="P68" s="394" t="s">
        <v>1425</v>
      </c>
      <c r="Q68" s="297" t="s">
        <v>1426</v>
      </c>
      <c r="R68" s="297" t="s">
        <v>1425</v>
      </c>
      <c r="S68" s="297" t="s">
        <v>1426</v>
      </c>
      <c r="T68" s="297" t="s">
        <v>1425</v>
      </c>
      <c r="U68" s="297" t="s">
        <v>1425</v>
      </c>
      <c r="V68" s="46" t="s">
        <v>1425</v>
      </c>
    </row>
    <row r="69" spans="1:22" x14ac:dyDescent="0.2">
      <c r="A69">
        <v>192146</v>
      </c>
      <c r="B69" s="399" t="s">
        <v>1373</v>
      </c>
      <c r="C69" s="297">
        <v>28</v>
      </c>
      <c r="D69" s="394">
        <v>43890</v>
      </c>
      <c r="E69" s="297" t="s">
        <v>1425</v>
      </c>
      <c r="F69" s="394">
        <v>43830</v>
      </c>
      <c r="G69" s="297" t="s">
        <v>1427</v>
      </c>
      <c r="H69" s="297" t="s">
        <v>1427</v>
      </c>
      <c r="I69" s="297" t="s">
        <v>1427</v>
      </c>
      <c r="J69" s="297" t="s">
        <v>1427</v>
      </c>
      <c r="K69" s="297" t="s">
        <v>1427</v>
      </c>
      <c r="L69" s="297" t="s">
        <v>1427</v>
      </c>
      <c r="M69" s="297" t="s">
        <v>1427</v>
      </c>
      <c r="N69" s="297" t="s">
        <v>1427</v>
      </c>
      <c r="O69" s="297" t="s">
        <v>1427</v>
      </c>
      <c r="P69" s="394" t="s">
        <v>1427</v>
      </c>
      <c r="Q69" s="297" t="s">
        <v>1427</v>
      </c>
      <c r="R69" s="297" t="s">
        <v>1427</v>
      </c>
      <c r="S69" s="297" t="s">
        <v>1427</v>
      </c>
      <c r="T69" s="297" t="s">
        <v>1427</v>
      </c>
      <c r="U69" s="297" t="s">
        <v>1427</v>
      </c>
      <c r="V69" s="46" t="s">
        <v>1427</v>
      </c>
    </row>
    <row r="70" spans="1:22" x14ac:dyDescent="0.2">
      <c r="A70">
        <v>194092</v>
      </c>
      <c r="B70" s="399" t="s">
        <v>609</v>
      </c>
      <c r="C70" s="297">
        <v>16</v>
      </c>
      <c r="D70" s="394">
        <v>43890</v>
      </c>
      <c r="E70" s="297" t="s">
        <v>1426</v>
      </c>
      <c r="F70" s="394">
        <v>43830</v>
      </c>
      <c r="G70" s="297" t="s">
        <v>1426</v>
      </c>
      <c r="H70" s="297" t="s">
        <v>1426</v>
      </c>
      <c r="I70" s="297" t="s">
        <v>1426</v>
      </c>
      <c r="J70" s="297" t="s">
        <v>1426</v>
      </c>
      <c r="K70" s="297" t="s">
        <v>1426</v>
      </c>
      <c r="L70" s="297" t="s">
        <v>1426</v>
      </c>
      <c r="M70" s="297" t="s">
        <v>1425</v>
      </c>
      <c r="N70" s="297" t="s">
        <v>1425</v>
      </c>
      <c r="O70" s="297" t="s">
        <v>1426</v>
      </c>
      <c r="P70" s="394" t="s">
        <v>1425</v>
      </c>
      <c r="Q70" s="297" t="s">
        <v>1425</v>
      </c>
      <c r="R70" s="297" t="s">
        <v>1425</v>
      </c>
      <c r="S70" s="297" t="s">
        <v>1426</v>
      </c>
      <c r="T70" s="297" t="s">
        <v>1425</v>
      </c>
      <c r="U70" s="297" t="s">
        <v>1425</v>
      </c>
      <c r="V70" s="46" t="s">
        <v>1425</v>
      </c>
    </row>
    <row r="71" spans="1:22" x14ac:dyDescent="0.2">
      <c r="A71">
        <v>201111</v>
      </c>
      <c r="B71" s="399" t="s">
        <v>234</v>
      </c>
      <c r="C71" s="297">
        <v>21</v>
      </c>
      <c r="D71" s="394">
        <v>43890</v>
      </c>
      <c r="E71" s="297" t="s">
        <v>1426</v>
      </c>
      <c r="F71" s="394">
        <v>43830</v>
      </c>
      <c r="G71" s="297" t="s">
        <v>1426</v>
      </c>
      <c r="H71" s="297" t="s">
        <v>1426</v>
      </c>
      <c r="I71" s="297" t="s">
        <v>1426</v>
      </c>
      <c r="J71" s="297" t="s">
        <v>1426</v>
      </c>
      <c r="K71" s="297" t="s">
        <v>1426</v>
      </c>
      <c r="L71" s="297" t="s">
        <v>1426</v>
      </c>
      <c r="M71" s="297" t="s">
        <v>1426</v>
      </c>
      <c r="N71" s="297" t="s">
        <v>1426</v>
      </c>
      <c r="O71" s="297" t="s">
        <v>1426</v>
      </c>
      <c r="P71" s="394" t="s">
        <v>1426</v>
      </c>
      <c r="Q71" s="297" t="s">
        <v>1426</v>
      </c>
      <c r="R71" s="297" t="s">
        <v>1426</v>
      </c>
      <c r="S71" s="297" t="s">
        <v>1426</v>
      </c>
      <c r="T71" s="297" t="s">
        <v>1425</v>
      </c>
      <c r="U71" s="297" t="s">
        <v>1425</v>
      </c>
      <c r="V71" s="46" t="s">
        <v>1426</v>
      </c>
    </row>
    <row r="72" spans="1:22" x14ac:dyDescent="0.2">
      <c r="A72">
        <v>202002</v>
      </c>
      <c r="B72" s="399" t="s">
        <v>235</v>
      </c>
      <c r="C72" s="297">
        <v>26</v>
      </c>
      <c r="D72" s="394">
        <v>43890</v>
      </c>
      <c r="E72" s="297" t="s">
        <v>1426</v>
      </c>
      <c r="F72" s="394">
        <v>43830</v>
      </c>
      <c r="G72" s="297" t="s">
        <v>1426</v>
      </c>
      <c r="H72" s="297" t="s">
        <v>1426</v>
      </c>
      <c r="I72" s="297" t="s">
        <v>1426</v>
      </c>
      <c r="J72" s="297" t="s">
        <v>1426</v>
      </c>
      <c r="K72" s="297" t="s">
        <v>1426</v>
      </c>
      <c r="L72" s="297" t="s">
        <v>1426</v>
      </c>
      <c r="M72" s="297" t="s">
        <v>1426</v>
      </c>
      <c r="N72" s="297" t="s">
        <v>1425</v>
      </c>
      <c r="O72" s="297" t="s">
        <v>1426</v>
      </c>
      <c r="P72" s="394" t="s">
        <v>1425</v>
      </c>
      <c r="Q72" s="297" t="s">
        <v>1426</v>
      </c>
      <c r="R72" s="297" t="s">
        <v>1426</v>
      </c>
      <c r="S72" s="297" t="s">
        <v>1425</v>
      </c>
      <c r="T72" s="297" t="s">
        <v>1426</v>
      </c>
      <c r="U72" s="297" t="s">
        <v>1426</v>
      </c>
      <c r="V72" s="46" t="s">
        <v>1425</v>
      </c>
    </row>
    <row r="73" spans="1:22" x14ac:dyDescent="0.2">
      <c r="A73">
        <v>203067</v>
      </c>
      <c r="B73" s="399" t="s">
        <v>237</v>
      </c>
      <c r="C73" s="297">
        <v>20</v>
      </c>
      <c r="D73" s="394">
        <v>43890</v>
      </c>
      <c r="E73" s="297" t="s">
        <v>1426</v>
      </c>
      <c r="F73" s="394">
        <v>43830</v>
      </c>
      <c r="G73" s="297" t="s">
        <v>1426</v>
      </c>
      <c r="H73" s="297" t="s">
        <v>1426</v>
      </c>
      <c r="I73" s="297" t="s">
        <v>1426</v>
      </c>
      <c r="J73" s="297" t="s">
        <v>1426</v>
      </c>
      <c r="K73" s="297" t="s">
        <v>1426</v>
      </c>
      <c r="L73" s="297" t="s">
        <v>1426</v>
      </c>
      <c r="M73" s="297" t="s">
        <v>1426</v>
      </c>
      <c r="N73" s="297" t="s">
        <v>1426</v>
      </c>
      <c r="O73" s="297" t="s">
        <v>1426</v>
      </c>
      <c r="P73" s="394" t="s">
        <v>1426</v>
      </c>
      <c r="Q73" s="297" t="s">
        <v>1426</v>
      </c>
      <c r="R73" s="297" t="s">
        <v>1425</v>
      </c>
      <c r="S73" s="297" t="s">
        <v>1425</v>
      </c>
      <c r="T73" s="297" t="s">
        <v>1425</v>
      </c>
      <c r="U73" s="297" t="s">
        <v>1425</v>
      </c>
      <c r="V73" s="46" t="s">
        <v>1426</v>
      </c>
    </row>
    <row r="74" spans="1:22" x14ac:dyDescent="0.2">
      <c r="A74">
        <v>204891</v>
      </c>
      <c r="B74" s="399" t="s">
        <v>238</v>
      </c>
      <c r="C74" s="297">
        <v>33</v>
      </c>
      <c r="D74" s="394">
        <v>43890</v>
      </c>
      <c r="E74" s="297" t="s">
        <v>1425</v>
      </c>
      <c r="F74" s="394">
        <v>43830</v>
      </c>
      <c r="G74" s="297" t="s">
        <v>1426</v>
      </c>
      <c r="H74" s="297" t="s">
        <v>1426</v>
      </c>
      <c r="I74" s="297" t="s">
        <v>1426</v>
      </c>
      <c r="J74" s="297" t="s">
        <v>1426</v>
      </c>
      <c r="K74" s="297" t="s">
        <v>1426</v>
      </c>
      <c r="L74" s="297" t="s">
        <v>1425</v>
      </c>
      <c r="M74" s="297" t="s">
        <v>1425</v>
      </c>
      <c r="N74" s="297" t="s">
        <v>1425</v>
      </c>
      <c r="O74" s="297" t="s">
        <v>1425</v>
      </c>
      <c r="P74" s="394" t="s">
        <v>1426</v>
      </c>
      <c r="Q74" s="297" t="s">
        <v>1426</v>
      </c>
      <c r="R74" s="297" t="s">
        <v>1425</v>
      </c>
      <c r="S74" s="297" t="s">
        <v>1425</v>
      </c>
      <c r="T74" s="297" t="s">
        <v>1426</v>
      </c>
      <c r="U74" s="297" t="s">
        <v>1425</v>
      </c>
      <c r="V74" s="46" t="s">
        <v>1426</v>
      </c>
    </row>
    <row r="75" spans="1:22" x14ac:dyDescent="0.2">
      <c r="A75">
        <v>205832</v>
      </c>
      <c r="B75" s="399" t="s">
        <v>1374</v>
      </c>
      <c r="C75" s="297"/>
      <c r="D75" s="394"/>
      <c r="E75" s="297" t="s">
        <v>1425</v>
      </c>
      <c r="F75" s="394">
        <v>43830</v>
      </c>
      <c r="G75" s="297" t="s">
        <v>1425</v>
      </c>
      <c r="H75" s="297" t="s">
        <v>1425</v>
      </c>
      <c r="I75" s="297" t="s">
        <v>1425</v>
      </c>
      <c r="J75" s="297" t="s">
        <v>1425</v>
      </c>
      <c r="K75" s="297" t="s">
        <v>1425</v>
      </c>
      <c r="L75" s="297" t="s">
        <v>1425</v>
      </c>
      <c r="M75" s="297" t="s">
        <v>1425</v>
      </c>
      <c r="N75" s="297" t="s">
        <v>1425</v>
      </c>
      <c r="O75" s="297" t="s">
        <v>1425</v>
      </c>
      <c r="P75" s="394" t="s">
        <v>1425</v>
      </c>
      <c r="Q75" s="297" t="s">
        <v>1425</v>
      </c>
      <c r="R75" s="297" t="s">
        <v>1425</v>
      </c>
      <c r="S75" s="297" t="s">
        <v>1425</v>
      </c>
      <c r="T75" s="297" t="s">
        <v>1425</v>
      </c>
      <c r="U75" s="297" t="s">
        <v>1425</v>
      </c>
      <c r="V75" s="46" t="s">
        <v>1425</v>
      </c>
    </row>
    <row r="76" spans="1:22" x14ac:dyDescent="0.2">
      <c r="A76">
        <v>206250</v>
      </c>
      <c r="B76" s="399" t="s">
        <v>240</v>
      </c>
      <c r="C76" s="297">
        <v>27</v>
      </c>
      <c r="D76" s="394">
        <v>43890</v>
      </c>
      <c r="E76" s="297" t="s">
        <v>1425</v>
      </c>
      <c r="F76" s="394">
        <v>43830</v>
      </c>
      <c r="G76" s="297" t="s">
        <v>1426</v>
      </c>
      <c r="H76" s="297" t="s">
        <v>1426</v>
      </c>
      <c r="I76" s="297" t="s">
        <v>1426</v>
      </c>
      <c r="J76" s="297" t="s">
        <v>1426</v>
      </c>
      <c r="K76" s="297" t="s">
        <v>1426</v>
      </c>
      <c r="L76" s="297" t="s">
        <v>1426</v>
      </c>
      <c r="M76" s="297" t="s">
        <v>1425</v>
      </c>
      <c r="N76" s="297" t="s">
        <v>1425</v>
      </c>
      <c r="O76" s="297" t="s">
        <v>1426</v>
      </c>
      <c r="P76" s="394" t="s">
        <v>1425</v>
      </c>
      <c r="Q76" s="297" t="s">
        <v>1425</v>
      </c>
      <c r="R76" s="297" t="s">
        <v>1425</v>
      </c>
      <c r="S76" s="297" t="s">
        <v>1425</v>
      </c>
      <c r="T76" s="297" t="s">
        <v>1425</v>
      </c>
      <c r="U76" s="297" t="s">
        <v>1425</v>
      </c>
      <c r="V76" s="46" t="s">
        <v>1425</v>
      </c>
    </row>
    <row r="77" spans="1:22" x14ac:dyDescent="0.2">
      <c r="A77">
        <v>212332</v>
      </c>
      <c r="B77" s="399" t="s">
        <v>242</v>
      </c>
      <c r="C77" s="297">
        <v>21</v>
      </c>
      <c r="D77" s="394">
        <v>43890</v>
      </c>
      <c r="E77" s="297" t="s">
        <v>1426</v>
      </c>
      <c r="F77" s="394">
        <v>43830</v>
      </c>
      <c r="G77" s="297" t="s">
        <v>1426</v>
      </c>
      <c r="H77" s="297" t="s">
        <v>1426</v>
      </c>
      <c r="I77" s="297" t="s">
        <v>1426</v>
      </c>
      <c r="J77" s="297" t="s">
        <v>1426</v>
      </c>
      <c r="K77" s="297" t="s">
        <v>1426</v>
      </c>
      <c r="L77" s="297" t="s">
        <v>1426</v>
      </c>
      <c r="M77" s="297" t="s">
        <v>1426</v>
      </c>
      <c r="N77" s="297" t="s">
        <v>1426</v>
      </c>
      <c r="O77" s="297" t="s">
        <v>1426</v>
      </c>
      <c r="P77" s="394" t="s">
        <v>1426</v>
      </c>
      <c r="Q77" s="297" t="s">
        <v>1426</v>
      </c>
      <c r="R77" s="297" t="s">
        <v>1426</v>
      </c>
      <c r="S77" s="297" t="s">
        <v>1426</v>
      </c>
      <c r="T77" s="297" t="s">
        <v>1425</v>
      </c>
      <c r="U77" s="297" t="s">
        <v>1425</v>
      </c>
      <c r="V77" s="46" t="s">
        <v>1426</v>
      </c>
    </row>
    <row r="78" spans="1:22" x14ac:dyDescent="0.2">
      <c r="A78">
        <v>214163</v>
      </c>
      <c r="B78" s="399" t="s">
        <v>243</v>
      </c>
      <c r="C78" s="297"/>
      <c r="D78" s="394"/>
      <c r="E78" s="297" t="s">
        <v>1425</v>
      </c>
      <c r="F78" s="394">
        <v>43830</v>
      </c>
      <c r="G78" s="297" t="s">
        <v>1426</v>
      </c>
      <c r="H78" s="297" t="s">
        <v>1426</v>
      </c>
      <c r="I78" s="297" t="s">
        <v>1426</v>
      </c>
      <c r="J78" s="297" t="s">
        <v>1426</v>
      </c>
      <c r="K78" s="297" t="s">
        <v>1426</v>
      </c>
      <c r="L78" s="297" t="s">
        <v>1426</v>
      </c>
      <c r="M78" s="297" t="s">
        <v>1426</v>
      </c>
      <c r="N78" s="297" t="s">
        <v>1426</v>
      </c>
      <c r="O78" s="297" t="s">
        <v>1426</v>
      </c>
      <c r="P78" s="394" t="s">
        <v>1426</v>
      </c>
      <c r="Q78" s="297" t="s">
        <v>1426</v>
      </c>
      <c r="R78" s="297" t="s">
        <v>1426</v>
      </c>
      <c r="S78" s="297" t="s">
        <v>1426</v>
      </c>
      <c r="T78" s="297" t="s">
        <v>1425</v>
      </c>
      <c r="U78" s="297" t="s">
        <v>1425</v>
      </c>
      <c r="V78" s="46" t="s">
        <v>1425</v>
      </c>
    </row>
    <row r="79" spans="1:22" x14ac:dyDescent="0.2">
      <c r="A79">
        <v>215996</v>
      </c>
      <c r="B79" s="399" t="s">
        <v>245</v>
      </c>
      <c r="C79" s="297">
        <v>22</v>
      </c>
      <c r="D79" s="394">
        <v>43890</v>
      </c>
      <c r="E79" s="297" t="s">
        <v>1426</v>
      </c>
      <c r="F79" s="394">
        <v>43830</v>
      </c>
      <c r="G79" s="297" t="s">
        <v>1426</v>
      </c>
      <c r="H79" s="297" t="s">
        <v>1426</v>
      </c>
      <c r="I79" s="297" t="s">
        <v>1426</v>
      </c>
      <c r="J79" s="297" t="s">
        <v>1426</v>
      </c>
      <c r="K79" s="297" t="s">
        <v>1426</v>
      </c>
      <c r="L79" s="297" t="s">
        <v>1426</v>
      </c>
      <c r="M79" s="297" t="s">
        <v>1426</v>
      </c>
      <c r="N79" s="297" t="s">
        <v>1426</v>
      </c>
      <c r="O79" s="297" t="s">
        <v>1426</v>
      </c>
      <c r="P79" s="394" t="s">
        <v>1426</v>
      </c>
      <c r="Q79" s="297" t="s">
        <v>1426</v>
      </c>
      <c r="R79" s="297" t="s">
        <v>1426</v>
      </c>
      <c r="S79" s="297" t="s">
        <v>1425</v>
      </c>
      <c r="T79" s="297" t="s">
        <v>1425</v>
      </c>
      <c r="U79" s="297" t="s">
        <v>1425</v>
      </c>
      <c r="V79" s="46" t="s">
        <v>1426</v>
      </c>
    </row>
    <row r="80" spans="1:22" x14ac:dyDescent="0.2">
      <c r="A80">
        <v>220244</v>
      </c>
      <c r="B80" s="399" t="s">
        <v>247</v>
      </c>
      <c r="C80" s="297">
        <v>21</v>
      </c>
      <c r="D80" s="394">
        <v>43890</v>
      </c>
      <c r="E80" s="297" t="s">
        <v>1426</v>
      </c>
      <c r="F80" s="394">
        <v>43830</v>
      </c>
      <c r="G80" s="297" t="s">
        <v>1426</v>
      </c>
      <c r="H80" s="297" t="s">
        <v>1426</v>
      </c>
      <c r="I80" s="297" t="s">
        <v>1426</v>
      </c>
      <c r="J80" s="297" t="s">
        <v>1426</v>
      </c>
      <c r="K80" s="297" t="s">
        <v>1426</v>
      </c>
      <c r="L80" s="297" t="s">
        <v>1426</v>
      </c>
      <c r="M80" s="297" t="s">
        <v>1426</v>
      </c>
      <c r="N80" s="297" t="s">
        <v>1426</v>
      </c>
      <c r="O80" s="297" t="s">
        <v>1426</v>
      </c>
      <c r="P80" s="394" t="s">
        <v>1426</v>
      </c>
      <c r="Q80" s="297" t="s">
        <v>1426</v>
      </c>
      <c r="R80" s="297" t="s">
        <v>1426</v>
      </c>
      <c r="S80" s="297" t="s">
        <v>1426</v>
      </c>
      <c r="T80" s="297" t="s">
        <v>1425</v>
      </c>
      <c r="U80" s="297" t="s">
        <v>1425</v>
      </c>
      <c r="V80" s="46" t="s">
        <v>1426</v>
      </c>
    </row>
    <row r="81" spans="1:22" x14ac:dyDescent="0.2">
      <c r="A81">
        <v>224493</v>
      </c>
      <c r="B81" s="399" t="s">
        <v>248</v>
      </c>
      <c r="C81" s="297">
        <v>22</v>
      </c>
      <c r="D81" s="394">
        <v>43890</v>
      </c>
      <c r="E81" s="297" t="s">
        <v>1426</v>
      </c>
      <c r="F81" s="394">
        <v>43830</v>
      </c>
      <c r="G81" s="297" t="s">
        <v>1426</v>
      </c>
      <c r="H81" s="297" t="s">
        <v>1426</v>
      </c>
      <c r="I81" s="297" t="s">
        <v>1426</v>
      </c>
      <c r="J81" s="297" t="s">
        <v>1426</v>
      </c>
      <c r="K81" s="297" t="s">
        <v>1426</v>
      </c>
      <c r="L81" s="297" t="s">
        <v>1426</v>
      </c>
      <c r="M81" s="297" t="s">
        <v>1426</v>
      </c>
      <c r="N81" s="297" t="s">
        <v>1426</v>
      </c>
      <c r="O81" s="297" t="s">
        <v>1426</v>
      </c>
      <c r="P81" s="394" t="s">
        <v>1426</v>
      </c>
      <c r="Q81" s="297" t="s">
        <v>1426</v>
      </c>
      <c r="R81" s="297" t="s">
        <v>1425</v>
      </c>
      <c r="S81" s="297" t="s">
        <v>1426</v>
      </c>
      <c r="T81" s="297" t="s">
        <v>1425</v>
      </c>
      <c r="U81" s="297" t="s">
        <v>1425</v>
      </c>
      <c r="V81" s="46" t="s">
        <v>1425</v>
      </c>
    </row>
    <row r="82" spans="1:22" x14ac:dyDescent="0.2">
      <c r="A82">
        <v>229625</v>
      </c>
      <c r="B82" s="399" t="s">
        <v>249</v>
      </c>
      <c r="C82" s="297">
        <v>33</v>
      </c>
      <c r="D82" s="394">
        <v>43890</v>
      </c>
      <c r="E82" s="297" t="s">
        <v>1425</v>
      </c>
      <c r="F82" s="394">
        <v>43830</v>
      </c>
      <c r="G82" s="297" t="s">
        <v>1426</v>
      </c>
      <c r="H82" s="297" t="s">
        <v>1426</v>
      </c>
      <c r="I82" s="297" t="s">
        <v>1426</v>
      </c>
      <c r="J82" s="297" t="s">
        <v>1426</v>
      </c>
      <c r="K82" s="297" t="s">
        <v>1426</v>
      </c>
      <c r="L82" s="297" t="s">
        <v>1426</v>
      </c>
      <c r="M82" s="297" t="s">
        <v>1425</v>
      </c>
      <c r="N82" s="297" t="s">
        <v>1425</v>
      </c>
      <c r="O82" s="297" t="s">
        <v>1426</v>
      </c>
      <c r="P82" s="394" t="s">
        <v>1425</v>
      </c>
      <c r="Q82" s="297" t="s">
        <v>1426</v>
      </c>
      <c r="R82" s="297" t="s">
        <v>1426</v>
      </c>
      <c r="S82" s="297" t="s">
        <v>1425</v>
      </c>
      <c r="T82" s="297" t="s">
        <v>1426</v>
      </c>
      <c r="U82" s="297" t="s">
        <v>1425</v>
      </c>
      <c r="V82" s="46" t="s">
        <v>1425</v>
      </c>
    </row>
    <row r="83" spans="1:22" x14ac:dyDescent="0.2">
      <c r="A83">
        <v>229922</v>
      </c>
      <c r="B83" s="399" t="s">
        <v>251</v>
      </c>
      <c r="C83" s="297">
        <v>27</v>
      </c>
      <c r="D83" s="394">
        <v>43890</v>
      </c>
      <c r="E83" s="297" t="s">
        <v>1426</v>
      </c>
      <c r="F83" s="394">
        <v>43830</v>
      </c>
      <c r="G83" s="297" t="s">
        <v>1426</v>
      </c>
      <c r="H83" s="297" t="s">
        <v>1426</v>
      </c>
      <c r="I83" s="297" t="s">
        <v>1426</v>
      </c>
      <c r="J83" s="297" t="s">
        <v>1426</v>
      </c>
      <c r="K83" s="297" t="s">
        <v>1426</v>
      </c>
      <c r="L83" s="297" t="s">
        <v>1426</v>
      </c>
      <c r="M83" s="297" t="s">
        <v>1426</v>
      </c>
      <c r="N83" s="297" t="s">
        <v>1426</v>
      </c>
      <c r="O83" s="297" t="s">
        <v>1426</v>
      </c>
      <c r="P83" s="394" t="s">
        <v>1426</v>
      </c>
      <c r="Q83" s="297" t="s">
        <v>1426</v>
      </c>
      <c r="R83" s="297" t="s">
        <v>1426</v>
      </c>
      <c r="S83" s="297" t="s">
        <v>1426</v>
      </c>
      <c r="T83" s="297" t="s">
        <v>1426</v>
      </c>
      <c r="U83" s="297" t="s">
        <v>1426</v>
      </c>
      <c r="V83" s="46" t="s">
        <v>1425</v>
      </c>
    </row>
    <row r="84" spans="1:22" x14ac:dyDescent="0.2">
      <c r="A84">
        <v>231100</v>
      </c>
      <c r="B84" s="399" t="s">
        <v>1325</v>
      </c>
      <c r="C84" s="297">
        <v>28</v>
      </c>
      <c r="D84" s="394">
        <v>43890</v>
      </c>
      <c r="E84" s="297" t="s">
        <v>1425</v>
      </c>
      <c r="F84" s="394">
        <v>43830</v>
      </c>
      <c r="G84" s="297" t="s">
        <v>1426</v>
      </c>
      <c r="H84" s="297" t="s">
        <v>1426</v>
      </c>
      <c r="I84" s="297" t="s">
        <v>1426</v>
      </c>
      <c r="J84" s="297" t="s">
        <v>1426</v>
      </c>
      <c r="K84" s="297" t="s">
        <v>1426</v>
      </c>
      <c r="L84" s="297" t="s">
        <v>1426</v>
      </c>
      <c r="M84" s="297" t="s">
        <v>1426</v>
      </c>
      <c r="N84" s="297" t="s">
        <v>1425</v>
      </c>
      <c r="O84" s="297" t="s">
        <v>1425</v>
      </c>
      <c r="P84" s="394" t="s">
        <v>1425</v>
      </c>
      <c r="Q84" s="297" t="s">
        <v>1425</v>
      </c>
      <c r="R84" s="297" t="s">
        <v>1425</v>
      </c>
      <c r="S84" s="297" t="s">
        <v>1425</v>
      </c>
      <c r="T84" s="297" t="s">
        <v>1426</v>
      </c>
      <c r="U84" s="297" t="s">
        <v>1425</v>
      </c>
      <c r="V84" s="46" t="s">
        <v>1426</v>
      </c>
    </row>
    <row r="85" spans="1:22" x14ac:dyDescent="0.2">
      <c r="A85">
        <v>233346</v>
      </c>
      <c r="B85" s="399" t="s">
        <v>253</v>
      </c>
      <c r="C85" s="297">
        <v>21</v>
      </c>
      <c r="D85" s="394">
        <v>43890</v>
      </c>
      <c r="E85" s="297" t="s">
        <v>1426</v>
      </c>
      <c r="F85" s="394">
        <v>43830</v>
      </c>
      <c r="G85" s="297" t="s">
        <v>1426</v>
      </c>
      <c r="H85" s="297" t="s">
        <v>1426</v>
      </c>
      <c r="I85" s="297" t="s">
        <v>1426</v>
      </c>
      <c r="J85" s="297" t="s">
        <v>1426</v>
      </c>
      <c r="K85" s="297" t="s">
        <v>1426</v>
      </c>
      <c r="L85" s="297" t="s">
        <v>1426</v>
      </c>
      <c r="M85" s="297" t="s">
        <v>1426</v>
      </c>
      <c r="N85" s="297" t="s">
        <v>1425</v>
      </c>
      <c r="O85" s="297" t="s">
        <v>1425</v>
      </c>
      <c r="P85" s="394" t="s">
        <v>1426</v>
      </c>
      <c r="Q85" s="297" t="s">
        <v>1426</v>
      </c>
      <c r="R85" s="297" t="s">
        <v>1425</v>
      </c>
      <c r="S85" s="297" t="s">
        <v>1425</v>
      </c>
      <c r="T85" s="297" t="s">
        <v>1426</v>
      </c>
      <c r="U85" s="297" t="s">
        <v>1426</v>
      </c>
      <c r="V85" s="46" t="s">
        <v>1426</v>
      </c>
    </row>
    <row r="86" spans="1:22" x14ac:dyDescent="0.2">
      <c r="A86">
        <v>233460</v>
      </c>
      <c r="B86" s="399" t="s">
        <v>255</v>
      </c>
      <c r="C86" s="297">
        <v>27</v>
      </c>
      <c r="D86" s="394">
        <v>43890</v>
      </c>
      <c r="E86" s="297" t="s">
        <v>1425</v>
      </c>
      <c r="F86" s="394">
        <v>43830</v>
      </c>
      <c r="G86" s="297" t="s">
        <v>1426</v>
      </c>
      <c r="H86" s="297" t="s">
        <v>1426</v>
      </c>
      <c r="I86" s="297" t="s">
        <v>1426</v>
      </c>
      <c r="J86" s="297" t="s">
        <v>1426</v>
      </c>
      <c r="K86" s="297" t="s">
        <v>1426</v>
      </c>
      <c r="L86" s="297" t="s">
        <v>1425</v>
      </c>
      <c r="M86" s="297" t="s">
        <v>1425</v>
      </c>
      <c r="N86" s="297" t="s">
        <v>1425</v>
      </c>
      <c r="O86" s="297" t="s">
        <v>1425</v>
      </c>
      <c r="P86" s="394" t="s">
        <v>1426</v>
      </c>
      <c r="Q86" s="297" t="s">
        <v>1426</v>
      </c>
      <c r="R86" s="297" t="s">
        <v>1425</v>
      </c>
      <c r="S86" s="297" t="s">
        <v>1425</v>
      </c>
      <c r="T86" s="297" t="s">
        <v>1426</v>
      </c>
      <c r="U86" s="297" t="s">
        <v>1426</v>
      </c>
      <c r="V86" s="46" t="s">
        <v>1426</v>
      </c>
    </row>
    <row r="87" spans="1:22" x14ac:dyDescent="0.2">
      <c r="A87">
        <v>233585</v>
      </c>
      <c r="B87" s="399" t="s">
        <v>626</v>
      </c>
      <c r="C87" s="297">
        <v>27</v>
      </c>
      <c r="D87" s="394">
        <v>43890</v>
      </c>
      <c r="E87" s="297" t="s">
        <v>1425</v>
      </c>
      <c r="F87" s="394">
        <v>43830</v>
      </c>
      <c r="G87" s="297" t="s">
        <v>1426</v>
      </c>
      <c r="H87" s="297" t="s">
        <v>1426</v>
      </c>
      <c r="I87" s="297" t="s">
        <v>1426</v>
      </c>
      <c r="J87" s="297" t="s">
        <v>1425</v>
      </c>
      <c r="K87" s="297" t="s">
        <v>1425</v>
      </c>
      <c r="L87" s="297" t="s">
        <v>1425</v>
      </c>
      <c r="M87" s="297" t="s">
        <v>1425</v>
      </c>
      <c r="N87" s="297" t="s">
        <v>1425</v>
      </c>
      <c r="O87" s="297" t="s">
        <v>1425</v>
      </c>
      <c r="P87" s="394" t="s">
        <v>1425</v>
      </c>
      <c r="Q87" s="297" t="s">
        <v>1425</v>
      </c>
      <c r="R87" s="297" t="s">
        <v>1425</v>
      </c>
      <c r="S87" s="297" t="s">
        <v>1425</v>
      </c>
      <c r="T87" s="297" t="s">
        <v>1425</v>
      </c>
      <c r="U87" s="297" t="s">
        <v>1425</v>
      </c>
      <c r="V87" s="46" t="s">
        <v>1425</v>
      </c>
    </row>
    <row r="88" spans="1:22" x14ac:dyDescent="0.2">
      <c r="A88">
        <v>235291</v>
      </c>
      <c r="B88" s="399" t="s">
        <v>1326</v>
      </c>
      <c r="C88" s="297">
        <v>30</v>
      </c>
      <c r="D88" s="394">
        <v>43890</v>
      </c>
      <c r="E88" s="297" t="s">
        <v>1425</v>
      </c>
      <c r="F88" s="394">
        <v>43830</v>
      </c>
      <c r="G88" s="297" t="s">
        <v>1426</v>
      </c>
      <c r="H88" s="297" t="s">
        <v>1426</v>
      </c>
      <c r="I88" s="297" t="s">
        <v>1426</v>
      </c>
      <c r="J88" s="297" t="s">
        <v>1425</v>
      </c>
      <c r="K88" s="297" t="s">
        <v>1425</v>
      </c>
      <c r="L88" s="297" t="s">
        <v>1425</v>
      </c>
      <c r="M88" s="297" t="s">
        <v>1425</v>
      </c>
      <c r="N88" s="297" t="s">
        <v>1425</v>
      </c>
      <c r="O88" s="297" t="s">
        <v>1425</v>
      </c>
      <c r="P88" s="394" t="s">
        <v>1425</v>
      </c>
      <c r="Q88" s="297" t="s">
        <v>1425</v>
      </c>
      <c r="R88" s="297" t="s">
        <v>1425</v>
      </c>
      <c r="S88" s="297" t="s">
        <v>1425</v>
      </c>
      <c r="T88" s="297" t="s">
        <v>1425</v>
      </c>
      <c r="U88" s="297" t="s">
        <v>1425</v>
      </c>
      <c r="V88" s="46" t="s">
        <v>1425</v>
      </c>
    </row>
    <row r="89" spans="1:22" x14ac:dyDescent="0.2">
      <c r="A89">
        <v>237834</v>
      </c>
      <c r="B89" s="399" t="s">
        <v>258</v>
      </c>
      <c r="C89" s="297">
        <v>23</v>
      </c>
      <c r="D89" s="394">
        <v>43890</v>
      </c>
      <c r="E89" s="297" t="s">
        <v>1425</v>
      </c>
      <c r="F89" s="394">
        <v>43830</v>
      </c>
      <c r="G89" s="297" t="s">
        <v>1426</v>
      </c>
      <c r="H89" s="297" t="s">
        <v>1426</v>
      </c>
      <c r="I89" s="297" t="s">
        <v>1426</v>
      </c>
      <c r="J89" s="297" t="s">
        <v>1426</v>
      </c>
      <c r="K89" s="297" t="s">
        <v>1426</v>
      </c>
      <c r="L89" s="297" t="s">
        <v>1426</v>
      </c>
      <c r="M89" s="297" t="s">
        <v>1426</v>
      </c>
      <c r="N89" s="297" t="s">
        <v>1425</v>
      </c>
      <c r="O89" s="297" t="s">
        <v>1426</v>
      </c>
      <c r="P89" s="394" t="s">
        <v>1425</v>
      </c>
      <c r="Q89" s="297" t="s">
        <v>1426</v>
      </c>
      <c r="R89" s="297" t="s">
        <v>1426</v>
      </c>
      <c r="S89" s="297" t="s">
        <v>1425</v>
      </c>
      <c r="T89" s="297" t="s">
        <v>1425</v>
      </c>
      <c r="U89" s="297" t="s">
        <v>1426</v>
      </c>
      <c r="V89" s="46" t="s">
        <v>1425</v>
      </c>
    </row>
    <row r="90" spans="1:22" x14ac:dyDescent="0.2">
      <c r="A90">
        <v>238832</v>
      </c>
      <c r="B90" s="399" t="s">
        <v>627</v>
      </c>
      <c r="C90" s="297">
        <v>23</v>
      </c>
      <c r="D90" s="394">
        <v>43890</v>
      </c>
      <c r="E90" s="297" t="s">
        <v>1425</v>
      </c>
      <c r="F90" s="394">
        <v>43830</v>
      </c>
      <c r="G90" s="297" t="s">
        <v>1426</v>
      </c>
      <c r="H90" s="297" t="s">
        <v>1426</v>
      </c>
      <c r="I90" s="297" t="s">
        <v>1426</v>
      </c>
      <c r="J90" s="297" t="s">
        <v>1426</v>
      </c>
      <c r="K90" s="297" t="s">
        <v>1426</v>
      </c>
      <c r="L90" s="297" t="s">
        <v>1426</v>
      </c>
      <c r="M90" s="297" t="s">
        <v>1425</v>
      </c>
      <c r="N90" s="297" t="s">
        <v>1425</v>
      </c>
      <c r="O90" s="297" t="s">
        <v>1426</v>
      </c>
      <c r="P90" s="394" t="s">
        <v>1426</v>
      </c>
      <c r="Q90" s="297" t="s">
        <v>1426</v>
      </c>
      <c r="R90" s="297" t="s">
        <v>1425</v>
      </c>
      <c r="S90" s="297" t="s">
        <v>1426</v>
      </c>
      <c r="T90" s="297" t="s">
        <v>1425</v>
      </c>
      <c r="U90" s="297" t="s">
        <v>1425</v>
      </c>
      <c r="V90" s="46" t="s">
        <v>1425</v>
      </c>
    </row>
    <row r="91" spans="1:22" x14ac:dyDescent="0.2">
      <c r="A91">
        <v>241661</v>
      </c>
      <c r="B91" s="399" t="s">
        <v>1536</v>
      </c>
      <c r="C91" s="297">
        <v>35</v>
      </c>
      <c r="D91" s="394">
        <v>43890</v>
      </c>
      <c r="E91" s="297" t="s">
        <v>1425</v>
      </c>
      <c r="F91" s="394">
        <v>43830</v>
      </c>
      <c r="G91" s="297" t="s">
        <v>1426</v>
      </c>
      <c r="H91" s="297" t="s">
        <v>1426</v>
      </c>
      <c r="I91" s="297" t="s">
        <v>1426</v>
      </c>
      <c r="J91" s="297" t="s">
        <v>1426</v>
      </c>
      <c r="K91" s="297" t="s">
        <v>1426</v>
      </c>
      <c r="L91" s="297" t="s">
        <v>1426</v>
      </c>
      <c r="M91" s="297" t="s">
        <v>1426</v>
      </c>
      <c r="N91" s="297" t="s">
        <v>1425</v>
      </c>
      <c r="O91" s="297" t="s">
        <v>1425</v>
      </c>
      <c r="P91" s="394" t="s">
        <v>1425</v>
      </c>
      <c r="Q91" s="297" t="s">
        <v>1425</v>
      </c>
      <c r="R91" s="297" t="s">
        <v>1425</v>
      </c>
      <c r="S91" s="297" t="s">
        <v>1425</v>
      </c>
      <c r="T91" s="297" t="s">
        <v>1425</v>
      </c>
      <c r="U91" s="297" t="s">
        <v>1425</v>
      </c>
      <c r="V91" s="46" t="s">
        <v>1426</v>
      </c>
    </row>
    <row r="92" spans="1:22" x14ac:dyDescent="0.2">
      <c r="A92">
        <v>242081</v>
      </c>
      <c r="B92" s="399" t="s">
        <v>259</v>
      </c>
      <c r="C92" s="297"/>
      <c r="D92" s="394"/>
      <c r="E92" s="297" t="s">
        <v>1425</v>
      </c>
      <c r="F92" s="394">
        <v>43830</v>
      </c>
      <c r="G92" s="297" t="s">
        <v>1427</v>
      </c>
      <c r="H92" s="297" t="s">
        <v>1427</v>
      </c>
      <c r="I92" s="297" t="s">
        <v>1427</v>
      </c>
      <c r="J92" s="297" t="s">
        <v>1427</v>
      </c>
      <c r="K92" s="297" t="s">
        <v>1427</v>
      </c>
      <c r="L92" s="297" t="s">
        <v>1427</v>
      </c>
      <c r="M92" s="297" t="s">
        <v>1427</v>
      </c>
      <c r="N92" s="297" t="s">
        <v>1427</v>
      </c>
      <c r="O92" s="297" t="s">
        <v>1427</v>
      </c>
      <c r="P92" s="394" t="s">
        <v>1427</v>
      </c>
      <c r="Q92" s="297" t="s">
        <v>1427</v>
      </c>
      <c r="R92" s="297" t="s">
        <v>1427</v>
      </c>
      <c r="S92" s="297" t="s">
        <v>1427</v>
      </c>
      <c r="T92" s="297" t="s">
        <v>1427</v>
      </c>
      <c r="U92" s="297" t="s">
        <v>1427</v>
      </c>
      <c r="V92" s="46" t="s">
        <v>1427</v>
      </c>
    </row>
    <row r="93" spans="1:22" x14ac:dyDescent="0.2">
      <c r="A93">
        <v>242495</v>
      </c>
      <c r="B93" s="399" t="s">
        <v>260</v>
      </c>
      <c r="C93" s="297">
        <v>23</v>
      </c>
      <c r="D93" s="394">
        <v>43890</v>
      </c>
      <c r="E93" s="297" t="s">
        <v>1425</v>
      </c>
      <c r="F93" s="394">
        <v>43830</v>
      </c>
      <c r="G93" s="297" t="s">
        <v>1426</v>
      </c>
      <c r="H93" s="297" t="s">
        <v>1426</v>
      </c>
      <c r="I93" s="297" t="s">
        <v>1426</v>
      </c>
      <c r="J93" s="297" t="s">
        <v>1426</v>
      </c>
      <c r="K93" s="297" t="s">
        <v>1426</v>
      </c>
      <c r="L93" s="297" t="s">
        <v>1426</v>
      </c>
      <c r="M93" s="297" t="s">
        <v>1425</v>
      </c>
      <c r="N93" s="297" t="s">
        <v>1425</v>
      </c>
      <c r="O93" s="297" t="s">
        <v>1426</v>
      </c>
      <c r="P93" s="394" t="s">
        <v>1425</v>
      </c>
      <c r="Q93" s="297" t="s">
        <v>1426</v>
      </c>
      <c r="R93" s="297" t="s">
        <v>1425</v>
      </c>
      <c r="S93" s="297" t="s">
        <v>1426</v>
      </c>
      <c r="T93" s="297" t="s">
        <v>1425</v>
      </c>
      <c r="U93" s="297" t="s">
        <v>1425</v>
      </c>
      <c r="V93" s="46" t="s">
        <v>1425</v>
      </c>
    </row>
    <row r="94" spans="1:22" x14ac:dyDescent="0.2">
      <c r="A94">
        <v>243022</v>
      </c>
      <c r="B94" s="399" t="s">
        <v>588</v>
      </c>
      <c r="C94" s="297">
        <v>22</v>
      </c>
      <c r="D94" s="394">
        <v>43890</v>
      </c>
      <c r="E94" s="297" t="s">
        <v>1426</v>
      </c>
      <c r="F94" s="394">
        <v>43830</v>
      </c>
      <c r="G94" s="297" t="s">
        <v>1426</v>
      </c>
      <c r="H94" s="297" t="s">
        <v>1426</v>
      </c>
      <c r="I94" s="297" t="s">
        <v>1426</v>
      </c>
      <c r="J94" s="297" t="s">
        <v>1426</v>
      </c>
      <c r="K94" s="297" t="s">
        <v>1426</v>
      </c>
      <c r="L94" s="297" t="s">
        <v>1426</v>
      </c>
      <c r="M94" s="297" t="s">
        <v>1426</v>
      </c>
      <c r="N94" s="297" t="s">
        <v>1426</v>
      </c>
      <c r="O94" s="297" t="s">
        <v>1426</v>
      </c>
      <c r="P94" s="394" t="s">
        <v>1426</v>
      </c>
      <c r="Q94" s="297" t="s">
        <v>1426</v>
      </c>
      <c r="R94" s="297" t="s">
        <v>1426</v>
      </c>
      <c r="S94" s="297" t="s">
        <v>1426</v>
      </c>
      <c r="T94" s="297" t="s">
        <v>1425</v>
      </c>
      <c r="U94" s="297" t="s">
        <v>1425</v>
      </c>
      <c r="V94" s="46" t="s">
        <v>1426</v>
      </c>
    </row>
    <row r="95" spans="1:22" x14ac:dyDescent="0.2">
      <c r="A95">
        <v>245381</v>
      </c>
      <c r="B95" s="399" t="s">
        <v>262</v>
      </c>
      <c r="C95" s="297">
        <v>31</v>
      </c>
      <c r="D95" s="394">
        <v>43890</v>
      </c>
      <c r="E95" s="297" t="s">
        <v>1425</v>
      </c>
      <c r="F95" s="394">
        <v>43830</v>
      </c>
      <c r="G95" s="297" t="s">
        <v>1426</v>
      </c>
      <c r="H95" s="297" t="s">
        <v>1426</v>
      </c>
      <c r="I95" s="297" t="s">
        <v>1426</v>
      </c>
      <c r="J95" s="297" t="s">
        <v>1426</v>
      </c>
      <c r="K95" s="297" t="s">
        <v>1426</v>
      </c>
      <c r="L95" s="297" t="s">
        <v>1426</v>
      </c>
      <c r="M95" s="297" t="s">
        <v>1425</v>
      </c>
      <c r="N95" s="297" t="s">
        <v>1425</v>
      </c>
      <c r="O95" s="297" t="s">
        <v>1426</v>
      </c>
      <c r="P95" s="394" t="s">
        <v>1425</v>
      </c>
      <c r="Q95" s="297" t="s">
        <v>1425</v>
      </c>
      <c r="R95" s="297" t="s">
        <v>1425</v>
      </c>
      <c r="S95" s="297" t="s">
        <v>1426</v>
      </c>
      <c r="T95" s="297" t="s">
        <v>1426</v>
      </c>
      <c r="U95" s="297" t="s">
        <v>1425</v>
      </c>
      <c r="V95" s="46" t="s">
        <v>1426</v>
      </c>
    </row>
    <row r="96" spans="1:22" x14ac:dyDescent="0.2">
      <c r="A96">
        <v>246868</v>
      </c>
      <c r="B96" s="399" t="s">
        <v>264</v>
      </c>
      <c r="C96" s="297">
        <v>27</v>
      </c>
      <c r="D96" s="394">
        <v>43890</v>
      </c>
      <c r="E96" s="297" t="s">
        <v>1425</v>
      </c>
      <c r="F96" s="394">
        <v>43830</v>
      </c>
      <c r="G96" s="297" t="s">
        <v>1426</v>
      </c>
      <c r="H96" s="297" t="s">
        <v>1426</v>
      </c>
      <c r="I96" s="297" t="s">
        <v>1426</v>
      </c>
      <c r="J96" s="297" t="s">
        <v>1425</v>
      </c>
      <c r="K96" s="297" t="s">
        <v>1425</v>
      </c>
      <c r="L96" s="297" t="s">
        <v>1425</v>
      </c>
      <c r="M96" s="297" t="s">
        <v>1425</v>
      </c>
      <c r="N96" s="297" t="s">
        <v>1425</v>
      </c>
      <c r="O96" s="297" t="s">
        <v>1425</v>
      </c>
      <c r="P96" s="394" t="s">
        <v>1425</v>
      </c>
      <c r="Q96" s="297" t="s">
        <v>1425</v>
      </c>
      <c r="R96" s="297" t="s">
        <v>1425</v>
      </c>
      <c r="S96" s="297" t="s">
        <v>1425</v>
      </c>
      <c r="T96" s="297" t="s">
        <v>1425</v>
      </c>
      <c r="U96" s="297" t="s">
        <v>1425</v>
      </c>
      <c r="V96" s="46" t="s">
        <v>1425</v>
      </c>
    </row>
    <row r="97" spans="1:22" x14ac:dyDescent="0.2">
      <c r="A97">
        <v>248161</v>
      </c>
      <c r="B97" s="399" t="s">
        <v>1375</v>
      </c>
      <c r="C97" s="297">
        <v>23</v>
      </c>
      <c r="D97" s="394">
        <v>43890</v>
      </c>
      <c r="E97" s="297" t="s">
        <v>1425</v>
      </c>
      <c r="F97" s="394">
        <v>43830</v>
      </c>
      <c r="G97" s="297" t="s">
        <v>1426</v>
      </c>
      <c r="H97" s="297" t="s">
        <v>1426</v>
      </c>
      <c r="I97" s="297" t="s">
        <v>1426</v>
      </c>
      <c r="J97" s="297" t="s">
        <v>1426</v>
      </c>
      <c r="K97" s="297" t="s">
        <v>1426</v>
      </c>
      <c r="L97" s="297" t="s">
        <v>1426</v>
      </c>
      <c r="M97" s="297" t="s">
        <v>1426</v>
      </c>
      <c r="N97" s="297" t="s">
        <v>1426</v>
      </c>
      <c r="O97" s="297" t="s">
        <v>1426</v>
      </c>
      <c r="P97" s="394" t="s">
        <v>1426</v>
      </c>
      <c r="Q97" s="297" t="s">
        <v>1426</v>
      </c>
      <c r="R97" s="297" t="s">
        <v>1426</v>
      </c>
      <c r="S97" s="297" t="s">
        <v>1426</v>
      </c>
      <c r="T97" s="297" t="s">
        <v>1425</v>
      </c>
      <c r="U97" s="297" t="s">
        <v>1425</v>
      </c>
      <c r="V97" s="46" t="s">
        <v>1426</v>
      </c>
    </row>
    <row r="98" spans="1:22" x14ac:dyDescent="0.2">
      <c r="A98">
        <v>249995</v>
      </c>
      <c r="B98" s="399" t="s">
        <v>266</v>
      </c>
      <c r="C98" s="297">
        <v>33</v>
      </c>
      <c r="D98" s="394">
        <v>43890</v>
      </c>
      <c r="E98" s="297" t="s">
        <v>1425</v>
      </c>
      <c r="F98" s="394">
        <v>43830</v>
      </c>
      <c r="G98" s="297" t="s">
        <v>1426</v>
      </c>
      <c r="H98" s="297" t="s">
        <v>1426</v>
      </c>
      <c r="I98" s="297" t="s">
        <v>1426</v>
      </c>
      <c r="J98" s="297" t="s">
        <v>1426</v>
      </c>
      <c r="K98" s="297" t="s">
        <v>1426</v>
      </c>
      <c r="L98" s="297" t="s">
        <v>1426</v>
      </c>
      <c r="M98" s="297" t="s">
        <v>1426</v>
      </c>
      <c r="N98" s="297" t="s">
        <v>1426</v>
      </c>
      <c r="O98" s="297" t="s">
        <v>1426</v>
      </c>
      <c r="P98" s="394" t="s">
        <v>1426</v>
      </c>
      <c r="Q98" s="297" t="s">
        <v>1426</v>
      </c>
      <c r="R98" s="297" t="s">
        <v>1425</v>
      </c>
      <c r="S98" s="297" t="s">
        <v>1426</v>
      </c>
      <c r="T98" s="297" t="s">
        <v>1425</v>
      </c>
      <c r="U98" s="297" t="s">
        <v>1425</v>
      </c>
      <c r="V98" s="46" t="s">
        <v>1425</v>
      </c>
    </row>
    <row r="99" spans="1:22" x14ac:dyDescent="0.2">
      <c r="A99">
        <v>250878</v>
      </c>
      <c r="B99" s="399" t="s">
        <v>268</v>
      </c>
      <c r="C99" s="297">
        <v>26</v>
      </c>
      <c r="D99" s="394">
        <v>43890</v>
      </c>
      <c r="E99" s="297" t="s">
        <v>1425</v>
      </c>
      <c r="F99" s="394">
        <v>43830</v>
      </c>
      <c r="G99" s="297" t="s">
        <v>1426</v>
      </c>
      <c r="H99" s="297" t="s">
        <v>1426</v>
      </c>
      <c r="I99" s="297" t="s">
        <v>1426</v>
      </c>
      <c r="J99" s="297" t="s">
        <v>1426</v>
      </c>
      <c r="K99" s="297" t="s">
        <v>1425</v>
      </c>
      <c r="L99" s="297" t="s">
        <v>1425</v>
      </c>
      <c r="M99" s="297" t="s">
        <v>1425</v>
      </c>
      <c r="N99" s="297" t="s">
        <v>1425</v>
      </c>
      <c r="O99" s="297" t="s">
        <v>1425</v>
      </c>
      <c r="P99" s="394" t="s">
        <v>1425</v>
      </c>
      <c r="Q99" s="297" t="s">
        <v>1425</v>
      </c>
      <c r="R99" s="297" t="s">
        <v>1425</v>
      </c>
      <c r="S99" s="297" t="s">
        <v>1425</v>
      </c>
      <c r="T99" s="297" t="s">
        <v>1425</v>
      </c>
      <c r="U99" s="297" t="s">
        <v>1425</v>
      </c>
      <c r="V99" s="46" t="s">
        <v>1425</v>
      </c>
    </row>
    <row r="100" spans="1:22" x14ac:dyDescent="0.2">
      <c r="A100">
        <v>252411</v>
      </c>
      <c r="B100" s="399" t="s">
        <v>271</v>
      </c>
      <c r="C100" s="297">
        <v>24</v>
      </c>
      <c r="D100" s="394">
        <v>43890</v>
      </c>
      <c r="E100" s="297" t="s">
        <v>1425</v>
      </c>
      <c r="F100" s="394">
        <v>43830</v>
      </c>
      <c r="G100" s="297" t="s">
        <v>1426</v>
      </c>
      <c r="H100" s="297" t="s">
        <v>1426</v>
      </c>
      <c r="I100" s="297" t="s">
        <v>1426</v>
      </c>
      <c r="J100" s="297" t="s">
        <v>1426</v>
      </c>
      <c r="K100" s="297" t="s">
        <v>1426</v>
      </c>
      <c r="L100" s="297" t="s">
        <v>1426</v>
      </c>
      <c r="M100" s="297" t="s">
        <v>1425</v>
      </c>
      <c r="N100" s="297" t="s">
        <v>1425</v>
      </c>
      <c r="O100" s="297" t="s">
        <v>1425</v>
      </c>
      <c r="P100" s="394" t="s">
        <v>1425</v>
      </c>
      <c r="Q100" s="297" t="s">
        <v>1425</v>
      </c>
      <c r="R100" s="297" t="s">
        <v>1425</v>
      </c>
      <c r="S100" s="297" t="s">
        <v>1425</v>
      </c>
      <c r="T100" s="297" t="s">
        <v>1425</v>
      </c>
      <c r="U100" s="297" t="s">
        <v>1425</v>
      </c>
      <c r="V100" s="46" t="s">
        <v>1426</v>
      </c>
    </row>
    <row r="101" spans="1:22" x14ac:dyDescent="0.2">
      <c r="A101">
        <v>256362</v>
      </c>
      <c r="B101" s="399" t="s">
        <v>272</v>
      </c>
      <c r="C101" s="297">
        <v>24</v>
      </c>
      <c r="D101" s="394">
        <v>43890</v>
      </c>
      <c r="E101" s="297" t="s">
        <v>1425</v>
      </c>
      <c r="F101" s="394">
        <v>43830</v>
      </c>
      <c r="G101" s="297" t="s">
        <v>1426</v>
      </c>
      <c r="H101" s="297" t="s">
        <v>1426</v>
      </c>
      <c r="I101" s="297" t="s">
        <v>1426</v>
      </c>
      <c r="J101" s="297" t="s">
        <v>1426</v>
      </c>
      <c r="K101" s="297" t="s">
        <v>1426</v>
      </c>
      <c r="L101" s="297" t="s">
        <v>1426</v>
      </c>
      <c r="M101" s="297" t="s">
        <v>1425</v>
      </c>
      <c r="N101" s="297" t="s">
        <v>1425</v>
      </c>
      <c r="O101" s="297" t="s">
        <v>1426</v>
      </c>
      <c r="P101" s="394" t="s">
        <v>1425</v>
      </c>
      <c r="Q101" s="297" t="s">
        <v>1425</v>
      </c>
      <c r="R101" s="297" t="s">
        <v>1425</v>
      </c>
      <c r="S101" s="297" t="s">
        <v>1426</v>
      </c>
      <c r="T101" s="297" t="s">
        <v>1425</v>
      </c>
      <c r="U101" s="297" t="s">
        <v>1425</v>
      </c>
      <c r="V101" s="46" t="s">
        <v>1425</v>
      </c>
    </row>
    <row r="102" spans="1:22" x14ac:dyDescent="0.2">
      <c r="A102">
        <v>259499</v>
      </c>
      <c r="B102" s="399" t="s">
        <v>273</v>
      </c>
      <c r="C102" s="297"/>
      <c r="D102" s="394"/>
      <c r="E102" s="297" t="s">
        <v>1425</v>
      </c>
      <c r="F102" s="394">
        <v>43830</v>
      </c>
      <c r="G102" s="297" t="s">
        <v>1426</v>
      </c>
      <c r="H102" s="297" t="s">
        <v>1426</v>
      </c>
      <c r="I102" s="297" t="s">
        <v>1426</v>
      </c>
      <c r="J102" s="297" t="s">
        <v>1426</v>
      </c>
      <c r="K102" s="297" t="s">
        <v>1426</v>
      </c>
      <c r="L102" s="297" t="s">
        <v>1425</v>
      </c>
      <c r="M102" s="297" t="s">
        <v>1425</v>
      </c>
      <c r="N102" s="297" t="s">
        <v>1425</v>
      </c>
      <c r="O102" s="297" t="s">
        <v>1425</v>
      </c>
      <c r="P102" s="394" t="s">
        <v>1425</v>
      </c>
      <c r="Q102" s="297" t="s">
        <v>1425</v>
      </c>
      <c r="R102" s="297" t="s">
        <v>1425</v>
      </c>
      <c r="S102" s="297" t="s">
        <v>1425</v>
      </c>
      <c r="T102" s="297" t="s">
        <v>1425</v>
      </c>
      <c r="U102" s="297" t="s">
        <v>1425</v>
      </c>
      <c r="V102" s="46" t="s">
        <v>1425</v>
      </c>
    </row>
    <row r="103" spans="1:22" x14ac:dyDescent="0.2">
      <c r="A103">
        <v>259903</v>
      </c>
      <c r="B103" s="399" t="s">
        <v>610</v>
      </c>
      <c r="C103" s="297">
        <v>35</v>
      </c>
      <c r="D103" s="394">
        <v>43890</v>
      </c>
      <c r="E103" s="297" t="s">
        <v>1425</v>
      </c>
      <c r="F103" s="394">
        <v>43830</v>
      </c>
      <c r="G103" s="297" t="s">
        <v>1426</v>
      </c>
      <c r="H103" s="297" t="s">
        <v>1426</v>
      </c>
      <c r="I103" s="297" t="s">
        <v>1426</v>
      </c>
      <c r="J103" s="297" t="s">
        <v>1426</v>
      </c>
      <c r="K103" s="297" t="s">
        <v>1426</v>
      </c>
      <c r="L103" s="297" t="s">
        <v>1426</v>
      </c>
      <c r="M103" s="297" t="s">
        <v>1425</v>
      </c>
      <c r="N103" s="297" t="s">
        <v>1425</v>
      </c>
      <c r="O103" s="297" t="s">
        <v>1426</v>
      </c>
      <c r="P103" s="394" t="s">
        <v>1425</v>
      </c>
      <c r="Q103" s="297" t="s">
        <v>1425</v>
      </c>
      <c r="R103" s="297" t="s">
        <v>1425</v>
      </c>
      <c r="S103" s="297" t="s">
        <v>1426</v>
      </c>
      <c r="T103" s="297" t="s">
        <v>1425</v>
      </c>
      <c r="U103" s="297" t="s">
        <v>1425</v>
      </c>
      <c r="V103" s="46" t="s">
        <v>1425</v>
      </c>
    </row>
    <row r="104" spans="1:22" x14ac:dyDescent="0.2">
      <c r="A104">
        <v>260497</v>
      </c>
      <c r="B104" s="399" t="s">
        <v>274</v>
      </c>
      <c r="C104" s="297">
        <v>20</v>
      </c>
      <c r="D104" s="394">
        <v>43890</v>
      </c>
      <c r="E104" s="297" t="s">
        <v>1425</v>
      </c>
      <c r="F104" s="394">
        <v>43830</v>
      </c>
      <c r="G104" s="297" t="s">
        <v>1426</v>
      </c>
      <c r="H104" s="297" t="s">
        <v>1426</v>
      </c>
      <c r="I104" s="297" t="s">
        <v>1426</v>
      </c>
      <c r="J104" s="297" t="s">
        <v>1426</v>
      </c>
      <c r="K104" s="297" t="s">
        <v>1426</v>
      </c>
      <c r="L104" s="297" t="s">
        <v>1426</v>
      </c>
      <c r="M104" s="297" t="s">
        <v>1425</v>
      </c>
      <c r="N104" s="297" t="s">
        <v>1425</v>
      </c>
      <c r="O104" s="297" t="s">
        <v>1426</v>
      </c>
      <c r="P104" s="394" t="s">
        <v>1426</v>
      </c>
      <c r="Q104" s="297" t="s">
        <v>1426</v>
      </c>
      <c r="R104" s="297" t="s">
        <v>1425</v>
      </c>
      <c r="S104" s="297" t="s">
        <v>1425</v>
      </c>
      <c r="T104" s="297" t="s">
        <v>1425</v>
      </c>
      <c r="U104" s="297" t="s">
        <v>1425</v>
      </c>
      <c r="V104" s="46" t="s">
        <v>1425</v>
      </c>
    </row>
    <row r="105" spans="1:22" x14ac:dyDescent="0.2">
      <c r="A105">
        <v>260919</v>
      </c>
      <c r="B105" s="399" t="s">
        <v>276</v>
      </c>
      <c r="C105" s="297">
        <v>30</v>
      </c>
      <c r="D105" s="394">
        <v>43890</v>
      </c>
      <c r="E105" s="297" t="s">
        <v>1425</v>
      </c>
      <c r="F105" s="394">
        <v>43830</v>
      </c>
      <c r="G105" s="297" t="s">
        <v>1426</v>
      </c>
      <c r="H105" s="297" t="s">
        <v>1426</v>
      </c>
      <c r="I105" s="297" t="s">
        <v>1426</v>
      </c>
      <c r="J105" s="297" t="s">
        <v>1426</v>
      </c>
      <c r="K105" s="297" t="s">
        <v>1426</v>
      </c>
      <c r="L105" s="297" t="s">
        <v>1426</v>
      </c>
      <c r="M105" s="297" t="s">
        <v>1426</v>
      </c>
      <c r="N105" s="297" t="s">
        <v>1426</v>
      </c>
      <c r="O105" s="297" t="s">
        <v>1426</v>
      </c>
      <c r="P105" s="394" t="s">
        <v>1426</v>
      </c>
      <c r="Q105" s="297" t="s">
        <v>1426</v>
      </c>
      <c r="R105" s="297" t="s">
        <v>1426</v>
      </c>
      <c r="S105" s="297" t="s">
        <v>1426</v>
      </c>
      <c r="T105" s="297" t="s">
        <v>1425</v>
      </c>
      <c r="U105" s="297" t="s">
        <v>1426</v>
      </c>
      <c r="V105" s="46" t="s">
        <v>1426</v>
      </c>
    </row>
    <row r="106" spans="1:22" x14ac:dyDescent="0.2">
      <c r="A106">
        <v>262741</v>
      </c>
      <c r="B106" s="399" t="s">
        <v>1327</v>
      </c>
      <c r="C106" s="297">
        <v>32</v>
      </c>
      <c r="D106" s="394">
        <v>43890</v>
      </c>
      <c r="E106" s="297" t="s">
        <v>1425</v>
      </c>
      <c r="F106" s="394">
        <v>43830</v>
      </c>
      <c r="G106" s="297" t="s">
        <v>1426</v>
      </c>
      <c r="H106" s="297" t="s">
        <v>1426</v>
      </c>
      <c r="I106" s="297" t="s">
        <v>1426</v>
      </c>
      <c r="J106" s="297" t="s">
        <v>1425</v>
      </c>
      <c r="K106" s="297" t="s">
        <v>1425</v>
      </c>
      <c r="L106" s="297" t="s">
        <v>1425</v>
      </c>
      <c r="M106" s="297" t="s">
        <v>1425</v>
      </c>
      <c r="N106" s="297" t="s">
        <v>1425</v>
      </c>
      <c r="O106" s="297" t="s">
        <v>1425</v>
      </c>
      <c r="P106" s="394" t="s">
        <v>1425</v>
      </c>
      <c r="Q106" s="297" t="s">
        <v>1425</v>
      </c>
      <c r="R106" s="297" t="s">
        <v>1425</v>
      </c>
      <c r="S106" s="297" t="s">
        <v>1425</v>
      </c>
      <c r="T106" s="297" t="s">
        <v>1425</v>
      </c>
      <c r="U106" s="297" t="s">
        <v>1425</v>
      </c>
      <c r="V106" s="46" t="s">
        <v>1425</v>
      </c>
    </row>
    <row r="107" spans="1:22" x14ac:dyDescent="0.2">
      <c r="A107">
        <v>265512</v>
      </c>
      <c r="B107" s="399" t="s">
        <v>277</v>
      </c>
      <c r="C107" s="297"/>
      <c r="D107" s="394"/>
      <c r="E107" s="297" t="s">
        <v>1425</v>
      </c>
      <c r="F107" s="394">
        <v>43830</v>
      </c>
      <c r="G107" s="297" t="s">
        <v>1426</v>
      </c>
      <c r="H107" s="297" t="s">
        <v>1426</v>
      </c>
      <c r="I107" s="297" t="s">
        <v>1426</v>
      </c>
      <c r="J107" s="297" t="s">
        <v>1426</v>
      </c>
      <c r="K107" s="297" t="s">
        <v>1426</v>
      </c>
      <c r="L107" s="297" t="s">
        <v>1426</v>
      </c>
      <c r="M107" s="297" t="s">
        <v>1425</v>
      </c>
      <c r="N107" s="297" t="s">
        <v>1425</v>
      </c>
      <c r="O107" s="297" t="s">
        <v>1425</v>
      </c>
      <c r="P107" s="394" t="s">
        <v>1425</v>
      </c>
      <c r="Q107" s="297" t="s">
        <v>1425</v>
      </c>
      <c r="R107" s="297" t="s">
        <v>1425</v>
      </c>
      <c r="S107" s="297" t="s">
        <v>1425</v>
      </c>
      <c r="T107" s="297" t="s">
        <v>1425</v>
      </c>
      <c r="U107" s="297" t="s">
        <v>1425</v>
      </c>
      <c r="V107" s="46" t="s">
        <v>1426</v>
      </c>
    </row>
    <row r="108" spans="1:22" x14ac:dyDescent="0.2">
      <c r="A108">
        <v>269357</v>
      </c>
      <c r="B108" s="399" t="s">
        <v>279</v>
      </c>
      <c r="C108" s="297">
        <v>23</v>
      </c>
      <c r="D108" s="394">
        <v>43890</v>
      </c>
      <c r="E108" s="297" t="s">
        <v>1425</v>
      </c>
      <c r="F108" s="394">
        <v>43830</v>
      </c>
      <c r="G108" s="297" t="s">
        <v>1426</v>
      </c>
      <c r="H108" s="297" t="s">
        <v>1426</v>
      </c>
      <c r="I108" s="297" t="s">
        <v>1426</v>
      </c>
      <c r="J108" s="297" t="s">
        <v>1426</v>
      </c>
      <c r="K108" s="297" t="s">
        <v>1426</v>
      </c>
      <c r="L108" s="297" t="s">
        <v>1426</v>
      </c>
      <c r="M108" s="297" t="s">
        <v>1425</v>
      </c>
      <c r="N108" s="297" t="s">
        <v>1425</v>
      </c>
      <c r="O108" s="297" t="s">
        <v>1425</v>
      </c>
      <c r="P108" s="394" t="s">
        <v>1425</v>
      </c>
      <c r="Q108" s="297" t="s">
        <v>1425</v>
      </c>
      <c r="R108" s="297" t="s">
        <v>1425</v>
      </c>
      <c r="S108" s="297" t="s">
        <v>1425</v>
      </c>
      <c r="T108" s="297" t="s">
        <v>1425</v>
      </c>
      <c r="U108" s="297" t="s">
        <v>1425</v>
      </c>
      <c r="V108" s="46" t="s">
        <v>1426</v>
      </c>
    </row>
    <row r="109" spans="1:22" x14ac:dyDescent="0.2">
      <c r="A109">
        <v>271478</v>
      </c>
      <c r="B109" s="399" t="s">
        <v>280</v>
      </c>
      <c r="C109" s="297">
        <v>21</v>
      </c>
      <c r="D109" s="394">
        <v>43890</v>
      </c>
      <c r="E109" s="297" t="s">
        <v>1426</v>
      </c>
      <c r="F109" s="394">
        <v>43830</v>
      </c>
      <c r="G109" s="297" t="s">
        <v>1426</v>
      </c>
      <c r="H109" s="297" t="s">
        <v>1426</v>
      </c>
      <c r="I109" s="297" t="s">
        <v>1426</v>
      </c>
      <c r="J109" s="297" t="s">
        <v>1426</v>
      </c>
      <c r="K109" s="297" t="s">
        <v>1426</v>
      </c>
      <c r="L109" s="297" t="s">
        <v>1426</v>
      </c>
      <c r="M109" s="297" t="s">
        <v>1425</v>
      </c>
      <c r="N109" s="297" t="s">
        <v>1425</v>
      </c>
      <c r="O109" s="297" t="s">
        <v>1425</v>
      </c>
      <c r="P109" s="394" t="s">
        <v>1425</v>
      </c>
      <c r="Q109" s="297" t="s">
        <v>1425</v>
      </c>
      <c r="R109" s="297" t="s">
        <v>1425</v>
      </c>
      <c r="S109" s="297" t="s">
        <v>1425</v>
      </c>
      <c r="T109" s="297" t="s">
        <v>1425</v>
      </c>
      <c r="U109" s="297" t="s">
        <v>1425</v>
      </c>
      <c r="V109" s="46" t="s">
        <v>1425</v>
      </c>
    </row>
    <row r="110" spans="1:22" x14ac:dyDescent="0.2">
      <c r="A110">
        <v>272898</v>
      </c>
      <c r="B110" s="399" t="s">
        <v>282</v>
      </c>
      <c r="C110" s="297">
        <v>22</v>
      </c>
      <c r="D110" s="394">
        <v>43890</v>
      </c>
      <c r="E110" s="297" t="s">
        <v>1425</v>
      </c>
      <c r="F110" s="394">
        <v>43830</v>
      </c>
      <c r="G110" s="297" t="s">
        <v>1426</v>
      </c>
      <c r="H110" s="297" t="s">
        <v>1426</v>
      </c>
      <c r="I110" s="297" t="s">
        <v>1426</v>
      </c>
      <c r="J110" s="297" t="s">
        <v>1426</v>
      </c>
      <c r="K110" s="297" t="s">
        <v>1426</v>
      </c>
      <c r="L110" s="297" t="s">
        <v>1426</v>
      </c>
      <c r="M110" s="297" t="s">
        <v>1426</v>
      </c>
      <c r="N110" s="297" t="s">
        <v>1426</v>
      </c>
      <c r="O110" s="297" t="s">
        <v>1426</v>
      </c>
      <c r="P110" s="394" t="s">
        <v>1426</v>
      </c>
      <c r="Q110" s="297" t="s">
        <v>1426</v>
      </c>
      <c r="R110" s="297" t="s">
        <v>1426</v>
      </c>
      <c r="S110" s="297" t="s">
        <v>1426</v>
      </c>
      <c r="T110" s="297" t="s">
        <v>1426</v>
      </c>
      <c r="U110" s="297" t="s">
        <v>1425</v>
      </c>
      <c r="V110" s="46" t="s">
        <v>1425</v>
      </c>
    </row>
    <row r="111" spans="1:22" x14ac:dyDescent="0.2">
      <c r="A111">
        <v>275495</v>
      </c>
      <c r="B111" s="399" t="s">
        <v>628</v>
      </c>
      <c r="C111" s="297">
        <v>24</v>
      </c>
      <c r="D111" s="394">
        <v>43890</v>
      </c>
      <c r="E111" s="297" t="s">
        <v>1425</v>
      </c>
      <c r="F111" s="394">
        <v>43830</v>
      </c>
      <c r="G111" s="297" t="s">
        <v>1426</v>
      </c>
      <c r="H111" s="297" t="s">
        <v>1426</v>
      </c>
      <c r="I111" s="297" t="s">
        <v>1426</v>
      </c>
      <c r="J111" s="297" t="s">
        <v>1425</v>
      </c>
      <c r="K111" s="297" t="s">
        <v>1425</v>
      </c>
      <c r="L111" s="297" t="s">
        <v>1425</v>
      </c>
      <c r="M111" s="297" t="s">
        <v>1425</v>
      </c>
      <c r="N111" s="297" t="s">
        <v>1425</v>
      </c>
      <c r="O111" s="297" t="s">
        <v>1425</v>
      </c>
      <c r="P111" s="394" t="s">
        <v>1425</v>
      </c>
      <c r="Q111" s="297" t="s">
        <v>1425</v>
      </c>
      <c r="R111" s="297" t="s">
        <v>1425</v>
      </c>
      <c r="S111" s="297" t="s">
        <v>1425</v>
      </c>
      <c r="T111" s="297" t="s">
        <v>1425</v>
      </c>
      <c r="U111" s="297" t="s">
        <v>1425</v>
      </c>
      <c r="V111" s="46" t="s">
        <v>1425</v>
      </c>
    </row>
    <row r="112" spans="1:22" x14ac:dyDescent="0.2">
      <c r="A112">
        <v>277491</v>
      </c>
      <c r="B112" s="399" t="s">
        <v>1454</v>
      </c>
      <c r="C112" s="297"/>
      <c r="D112" s="394"/>
      <c r="E112" s="297" t="s">
        <v>1425</v>
      </c>
      <c r="F112" s="394">
        <v>43830</v>
      </c>
      <c r="G112" s="297" t="s">
        <v>1426</v>
      </c>
      <c r="H112" s="297" t="s">
        <v>1426</v>
      </c>
      <c r="I112" s="297" t="s">
        <v>1426</v>
      </c>
      <c r="J112" s="297" t="s">
        <v>1426</v>
      </c>
      <c r="K112" s="297" t="s">
        <v>1426</v>
      </c>
      <c r="L112" s="297" t="s">
        <v>1426</v>
      </c>
      <c r="M112" s="297" t="s">
        <v>1425</v>
      </c>
      <c r="N112" s="297" t="s">
        <v>1425</v>
      </c>
      <c r="O112" s="297" t="s">
        <v>1425</v>
      </c>
      <c r="P112" s="394" t="s">
        <v>1425</v>
      </c>
      <c r="Q112" s="297" t="s">
        <v>1425</v>
      </c>
      <c r="R112" s="297" t="s">
        <v>1425</v>
      </c>
      <c r="S112" s="297" t="s">
        <v>1425</v>
      </c>
      <c r="T112" s="297" t="s">
        <v>1425</v>
      </c>
      <c r="U112" s="297" t="s">
        <v>1425</v>
      </c>
      <c r="V112" s="46" t="s">
        <v>1426</v>
      </c>
    </row>
    <row r="113" spans="1:22" x14ac:dyDescent="0.2">
      <c r="A113">
        <v>278853</v>
      </c>
      <c r="B113" s="399" t="s">
        <v>589</v>
      </c>
      <c r="C113" s="297">
        <v>22</v>
      </c>
      <c r="D113" s="394">
        <v>43890</v>
      </c>
      <c r="E113" s="297" t="s">
        <v>1426</v>
      </c>
      <c r="F113" s="394">
        <v>43830</v>
      </c>
      <c r="G113" s="297" t="s">
        <v>1426</v>
      </c>
      <c r="H113" s="297" t="s">
        <v>1426</v>
      </c>
      <c r="I113" s="297" t="s">
        <v>1426</v>
      </c>
      <c r="J113" s="297" t="s">
        <v>1426</v>
      </c>
      <c r="K113" s="297" t="s">
        <v>1426</v>
      </c>
      <c r="L113" s="297" t="s">
        <v>1426</v>
      </c>
      <c r="M113" s="297" t="s">
        <v>1426</v>
      </c>
      <c r="N113" s="297" t="s">
        <v>1426</v>
      </c>
      <c r="O113" s="297" t="s">
        <v>1426</v>
      </c>
      <c r="P113" s="394" t="s">
        <v>1426</v>
      </c>
      <c r="Q113" s="297" t="s">
        <v>1426</v>
      </c>
      <c r="R113" s="297" t="s">
        <v>1426</v>
      </c>
      <c r="S113" s="297" t="s">
        <v>1426</v>
      </c>
      <c r="T113" s="297" t="s">
        <v>1425</v>
      </c>
      <c r="U113" s="297" t="s">
        <v>1425</v>
      </c>
      <c r="V113" s="46" t="s">
        <v>1426</v>
      </c>
    </row>
    <row r="114" spans="1:22" x14ac:dyDescent="0.2">
      <c r="A114">
        <v>280867</v>
      </c>
      <c r="B114" s="399" t="s">
        <v>283</v>
      </c>
      <c r="C114" s="297">
        <v>21</v>
      </c>
      <c r="D114" s="394">
        <v>43890</v>
      </c>
      <c r="E114" s="297" t="s">
        <v>1426</v>
      </c>
      <c r="F114" s="394">
        <v>43830</v>
      </c>
      <c r="G114" s="297" t="s">
        <v>1426</v>
      </c>
      <c r="H114" s="297" t="s">
        <v>1426</v>
      </c>
      <c r="I114" s="297" t="s">
        <v>1426</v>
      </c>
      <c r="J114" s="297" t="s">
        <v>1426</v>
      </c>
      <c r="K114" s="297" t="s">
        <v>1426</v>
      </c>
      <c r="L114" s="297" t="s">
        <v>1426</v>
      </c>
      <c r="M114" s="297" t="s">
        <v>1425</v>
      </c>
      <c r="N114" s="297" t="s">
        <v>1425</v>
      </c>
      <c r="O114" s="297" t="s">
        <v>1426</v>
      </c>
      <c r="P114" s="394" t="s">
        <v>1426</v>
      </c>
      <c r="Q114" s="297" t="s">
        <v>1426</v>
      </c>
      <c r="R114" s="297" t="s">
        <v>1426</v>
      </c>
      <c r="S114" s="297" t="s">
        <v>1426</v>
      </c>
      <c r="T114" s="297" t="s">
        <v>1426</v>
      </c>
      <c r="U114" s="297" t="s">
        <v>1425</v>
      </c>
      <c r="V114" s="46" t="s">
        <v>1425</v>
      </c>
    </row>
    <row r="115" spans="1:22" x14ac:dyDescent="0.2">
      <c r="A115">
        <v>280925</v>
      </c>
      <c r="B115" s="399" t="s">
        <v>284</v>
      </c>
      <c r="C115" s="297"/>
      <c r="D115" s="394"/>
      <c r="E115" s="297" t="s">
        <v>1425</v>
      </c>
      <c r="F115" s="394">
        <v>43830</v>
      </c>
      <c r="G115" s="297" t="s">
        <v>1426</v>
      </c>
      <c r="H115" s="297" t="s">
        <v>1426</v>
      </c>
      <c r="I115" s="297" t="s">
        <v>1426</v>
      </c>
      <c r="J115" s="297" t="s">
        <v>1426</v>
      </c>
      <c r="K115" s="297" t="s">
        <v>1426</v>
      </c>
      <c r="L115" s="297" t="s">
        <v>1426</v>
      </c>
      <c r="M115" s="297" t="s">
        <v>1426</v>
      </c>
      <c r="N115" s="297" t="s">
        <v>1425</v>
      </c>
      <c r="O115" s="297" t="s">
        <v>1425</v>
      </c>
      <c r="P115" s="394" t="s">
        <v>1425</v>
      </c>
      <c r="Q115" s="297" t="s">
        <v>1425</v>
      </c>
      <c r="R115" s="297" t="s">
        <v>1425</v>
      </c>
      <c r="S115" s="297" t="s">
        <v>1425</v>
      </c>
      <c r="T115" s="297" t="s">
        <v>1425</v>
      </c>
      <c r="U115" s="297" t="s">
        <v>1425</v>
      </c>
      <c r="V115" s="46" t="s">
        <v>1426</v>
      </c>
    </row>
    <row r="116" spans="1:22" x14ac:dyDescent="0.2">
      <c r="A116">
        <v>282517</v>
      </c>
      <c r="B116" s="399" t="s">
        <v>285</v>
      </c>
      <c r="C116" s="297">
        <v>22</v>
      </c>
      <c r="D116" s="394">
        <v>43890</v>
      </c>
      <c r="E116" s="297" t="s">
        <v>1425</v>
      </c>
      <c r="F116" s="394">
        <v>43830</v>
      </c>
      <c r="G116" s="297" t="s">
        <v>1426</v>
      </c>
      <c r="H116" s="297" t="s">
        <v>1426</v>
      </c>
      <c r="I116" s="297" t="s">
        <v>1426</v>
      </c>
      <c r="J116" s="297" t="s">
        <v>1426</v>
      </c>
      <c r="K116" s="297" t="s">
        <v>1426</v>
      </c>
      <c r="L116" s="297" t="s">
        <v>1426</v>
      </c>
      <c r="M116" s="297" t="s">
        <v>1425</v>
      </c>
      <c r="N116" s="297" t="s">
        <v>1425</v>
      </c>
      <c r="O116" s="297" t="s">
        <v>1425</v>
      </c>
      <c r="P116" s="394" t="s">
        <v>1425</v>
      </c>
      <c r="Q116" s="297" t="s">
        <v>1425</v>
      </c>
      <c r="R116" s="297" t="s">
        <v>1425</v>
      </c>
      <c r="S116" s="297" t="s">
        <v>1425</v>
      </c>
      <c r="T116" s="297" t="s">
        <v>1425</v>
      </c>
      <c r="U116" s="297" t="s">
        <v>1425</v>
      </c>
      <c r="V116" s="46" t="s">
        <v>1425</v>
      </c>
    </row>
    <row r="117" spans="1:22" x14ac:dyDescent="0.2">
      <c r="A117">
        <v>282632</v>
      </c>
      <c r="B117" s="399" t="s">
        <v>590</v>
      </c>
      <c r="C117" s="297">
        <v>26</v>
      </c>
      <c r="D117" s="394">
        <v>43890</v>
      </c>
      <c r="E117" s="297" t="s">
        <v>1426</v>
      </c>
      <c r="F117" s="394">
        <v>43830</v>
      </c>
      <c r="G117" s="297" t="s">
        <v>1426</v>
      </c>
      <c r="H117" s="297" t="s">
        <v>1426</v>
      </c>
      <c r="I117" s="297" t="s">
        <v>1426</v>
      </c>
      <c r="J117" s="297" t="s">
        <v>1426</v>
      </c>
      <c r="K117" s="297" t="s">
        <v>1426</v>
      </c>
      <c r="L117" s="297" t="s">
        <v>1426</v>
      </c>
      <c r="M117" s="297" t="s">
        <v>1425</v>
      </c>
      <c r="N117" s="297" t="s">
        <v>1425</v>
      </c>
      <c r="O117" s="297" t="s">
        <v>1426</v>
      </c>
      <c r="P117" s="394" t="s">
        <v>1425</v>
      </c>
      <c r="Q117" s="297" t="s">
        <v>1425</v>
      </c>
      <c r="R117" s="297" t="s">
        <v>1425</v>
      </c>
      <c r="S117" s="297" t="s">
        <v>1426</v>
      </c>
      <c r="T117" s="297" t="s">
        <v>1425</v>
      </c>
      <c r="U117" s="297" t="s">
        <v>1425</v>
      </c>
      <c r="V117" s="46" t="s">
        <v>1425</v>
      </c>
    </row>
    <row r="118" spans="1:22" x14ac:dyDescent="0.2">
      <c r="A118">
        <v>283408</v>
      </c>
      <c r="B118" s="399" t="s">
        <v>611</v>
      </c>
      <c r="C118" s="297">
        <v>20</v>
      </c>
      <c r="D118" s="394">
        <v>43890</v>
      </c>
      <c r="E118" s="297" t="s">
        <v>1426</v>
      </c>
      <c r="F118" s="394">
        <v>43830</v>
      </c>
      <c r="G118" s="297" t="s">
        <v>1426</v>
      </c>
      <c r="H118" s="297" t="s">
        <v>1426</v>
      </c>
      <c r="I118" s="297" t="s">
        <v>1426</v>
      </c>
      <c r="J118" s="297" t="s">
        <v>1426</v>
      </c>
      <c r="K118" s="297" t="s">
        <v>1426</v>
      </c>
      <c r="L118" s="297" t="s">
        <v>1426</v>
      </c>
      <c r="M118" s="297" t="s">
        <v>1425</v>
      </c>
      <c r="N118" s="297" t="s">
        <v>1425</v>
      </c>
      <c r="O118" s="297" t="s">
        <v>1426</v>
      </c>
      <c r="P118" s="394" t="s">
        <v>1425</v>
      </c>
      <c r="Q118" s="297" t="s">
        <v>1426</v>
      </c>
      <c r="R118" s="297" t="s">
        <v>1425</v>
      </c>
      <c r="S118" s="297" t="s">
        <v>1426</v>
      </c>
      <c r="T118" s="297" t="s">
        <v>1425</v>
      </c>
      <c r="U118" s="297" t="s">
        <v>1425</v>
      </c>
      <c r="V118" s="46" t="s">
        <v>1425</v>
      </c>
    </row>
    <row r="119" spans="1:22" x14ac:dyDescent="0.2">
      <c r="A119">
        <v>286294</v>
      </c>
      <c r="B119" s="399" t="s">
        <v>286</v>
      </c>
      <c r="C119" s="297">
        <v>23</v>
      </c>
      <c r="D119" s="394">
        <v>43890</v>
      </c>
      <c r="E119" s="297" t="s">
        <v>1425</v>
      </c>
      <c r="F119" s="394">
        <v>43830</v>
      </c>
      <c r="G119" s="297" t="s">
        <v>1426</v>
      </c>
      <c r="H119" s="297" t="s">
        <v>1426</v>
      </c>
      <c r="I119" s="297" t="s">
        <v>1426</v>
      </c>
      <c r="J119" s="297" t="s">
        <v>1426</v>
      </c>
      <c r="K119" s="297" t="s">
        <v>1426</v>
      </c>
      <c r="L119" s="297" t="s">
        <v>1426</v>
      </c>
      <c r="M119" s="297" t="s">
        <v>1425</v>
      </c>
      <c r="N119" s="297" t="s">
        <v>1425</v>
      </c>
      <c r="O119" s="297" t="s">
        <v>1425</v>
      </c>
      <c r="P119" s="394" t="s">
        <v>1425</v>
      </c>
      <c r="Q119" s="297" t="s">
        <v>1425</v>
      </c>
      <c r="R119" s="297" t="s">
        <v>1425</v>
      </c>
      <c r="S119" s="297" t="s">
        <v>1425</v>
      </c>
      <c r="T119" s="297" t="s">
        <v>1425</v>
      </c>
      <c r="U119" s="297" t="s">
        <v>1425</v>
      </c>
      <c r="V119" s="46" t="s">
        <v>1425</v>
      </c>
    </row>
    <row r="120" spans="1:22" x14ac:dyDescent="0.2">
      <c r="A120">
        <v>287656</v>
      </c>
      <c r="B120" s="399" t="s">
        <v>287</v>
      </c>
      <c r="C120" s="297">
        <v>22</v>
      </c>
      <c r="D120" s="394">
        <v>43890</v>
      </c>
      <c r="E120" s="297" t="s">
        <v>1426</v>
      </c>
      <c r="F120" s="394">
        <v>43830</v>
      </c>
      <c r="G120" s="297" t="s">
        <v>1426</v>
      </c>
      <c r="H120" s="297" t="s">
        <v>1426</v>
      </c>
      <c r="I120" s="297" t="s">
        <v>1426</v>
      </c>
      <c r="J120" s="297" t="s">
        <v>1426</v>
      </c>
      <c r="K120" s="297" t="s">
        <v>1426</v>
      </c>
      <c r="L120" s="297" t="s">
        <v>1426</v>
      </c>
      <c r="M120" s="297" t="s">
        <v>1426</v>
      </c>
      <c r="N120" s="297" t="s">
        <v>1426</v>
      </c>
      <c r="O120" s="297" t="s">
        <v>1426</v>
      </c>
      <c r="P120" s="394" t="s">
        <v>1426</v>
      </c>
      <c r="Q120" s="297" t="s">
        <v>1426</v>
      </c>
      <c r="R120" s="297" t="s">
        <v>1426</v>
      </c>
      <c r="S120" s="297" t="s">
        <v>1425</v>
      </c>
      <c r="T120" s="297" t="s">
        <v>1425</v>
      </c>
      <c r="U120" s="297" t="s">
        <v>1425</v>
      </c>
      <c r="V120" s="46" t="s">
        <v>1426</v>
      </c>
    </row>
    <row r="121" spans="1:22" x14ac:dyDescent="0.2">
      <c r="A121">
        <v>290072</v>
      </c>
      <c r="B121" s="399" t="s">
        <v>288</v>
      </c>
      <c r="C121" s="297">
        <v>20</v>
      </c>
      <c r="D121" s="394">
        <v>43890</v>
      </c>
      <c r="E121" s="297" t="s">
        <v>1426</v>
      </c>
      <c r="F121" s="394">
        <v>43830</v>
      </c>
      <c r="G121" s="297" t="s">
        <v>1425</v>
      </c>
      <c r="H121" s="297" t="s">
        <v>1425</v>
      </c>
      <c r="I121" s="297" t="s">
        <v>1426</v>
      </c>
      <c r="J121" s="297" t="s">
        <v>1425</v>
      </c>
      <c r="K121" s="297" t="s">
        <v>1425</v>
      </c>
      <c r="L121" s="297" t="s">
        <v>1425</v>
      </c>
      <c r="M121" s="297" t="s">
        <v>1425</v>
      </c>
      <c r="N121" s="297" t="s">
        <v>1425</v>
      </c>
      <c r="O121" s="297" t="s">
        <v>1425</v>
      </c>
      <c r="P121" s="394" t="s">
        <v>1425</v>
      </c>
      <c r="Q121" s="297" t="s">
        <v>1425</v>
      </c>
      <c r="R121" s="297" t="s">
        <v>1425</v>
      </c>
      <c r="S121" s="297" t="s">
        <v>1425</v>
      </c>
      <c r="T121" s="297" t="s">
        <v>1425</v>
      </c>
      <c r="U121" s="297" t="s">
        <v>1425</v>
      </c>
      <c r="V121" s="46" t="s">
        <v>1425</v>
      </c>
    </row>
    <row r="122" spans="1:22" x14ac:dyDescent="0.2">
      <c r="A122">
        <v>291906</v>
      </c>
      <c r="B122" s="399" t="s">
        <v>74</v>
      </c>
      <c r="C122" s="297">
        <v>23</v>
      </c>
      <c r="D122" s="394">
        <v>43890</v>
      </c>
      <c r="E122" s="297" t="s">
        <v>1425</v>
      </c>
      <c r="F122" s="394">
        <v>43830</v>
      </c>
      <c r="G122" s="297" t="s">
        <v>1426</v>
      </c>
      <c r="H122" s="297" t="s">
        <v>1426</v>
      </c>
      <c r="I122" s="297" t="s">
        <v>1426</v>
      </c>
      <c r="J122" s="297" t="s">
        <v>1426</v>
      </c>
      <c r="K122" s="297" t="s">
        <v>1426</v>
      </c>
      <c r="L122" s="297" t="s">
        <v>1426</v>
      </c>
      <c r="M122" s="297" t="s">
        <v>1426</v>
      </c>
      <c r="N122" s="297" t="s">
        <v>1426</v>
      </c>
      <c r="O122" s="297" t="s">
        <v>1426</v>
      </c>
      <c r="P122" s="394" t="s">
        <v>1426</v>
      </c>
      <c r="Q122" s="297" t="s">
        <v>1426</v>
      </c>
      <c r="R122" s="297" t="s">
        <v>1426</v>
      </c>
      <c r="S122" s="297" t="s">
        <v>1426</v>
      </c>
      <c r="T122" s="297" t="s">
        <v>1426</v>
      </c>
      <c r="U122" s="395" t="s">
        <v>1425</v>
      </c>
      <c r="V122" s="46" t="s">
        <v>1426</v>
      </c>
    </row>
    <row r="123" spans="1:22" x14ac:dyDescent="0.2">
      <c r="A123">
        <v>292193</v>
      </c>
      <c r="B123" s="399" t="s">
        <v>291</v>
      </c>
      <c r="C123" s="297">
        <v>21</v>
      </c>
      <c r="D123" s="394">
        <v>43890</v>
      </c>
      <c r="E123" s="297" t="s">
        <v>1426</v>
      </c>
      <c r="F123" s="394">
        <v>43830</v>
      </c>
      <c r="G123" s="297" t="s">
        <v>1426</v>
      </c>
      <c r="H123" s="297" t="s">
        <v>1426</v>
      </c>
      <c r="I123" s="297" t="s">
        <v>1426</v>
      </c>
      <c r="J123" s="297" t="s">
        <v>1426</v>
      </c>
      <c r="K123" s="297" t="s">
        <v>1426</v>
      </c>
      <c r="L123" s="297" t="s">
        <v>1426</v>
      </c>
      <c r="M123" s="297" t="s">
        <v>1425</v>
      </c>
      <c r="N123" s="297" t="s">
        <v>1425</v>
      </c>
      <c r="O123" s="297" t="s">
        <v>1426</v>
      </c>
      <c r="P123" s="394" t="s">
        <v>1425</v>
      </c>
      <c r="Q123" s="297" t="s">
        <v>1425</v>
      </c>
      <c r="R123" s="297" t="s">
        <v>1425</v>
      </c>
      <c r="S123" s="297" t="s">
        <v>1426</v>
      </c>
      <c r="T123" s="297" t="s">
        <v>1425</v>
      </c>
      <c r="U123" s="395" t="s">
        <v>1425</v>
      </c>
      <c r="V123" s="46" t="s">
        <v>1425</v>
      </c>
    </row>
    <row r="124" spans="1:22" x14ac:dyDescent="0.2">
      <c r="A124">
        <v>294322</v>
      </c>
      <c r="B124" s="399" t="s">
        <v>292</v>
      </c>
      <c r="C124" s="297">
        <v>23</v>
      </c>
      <c r="D124" s="394">
        <v>43890</v>
      </c>
      <c r="E124" s="297" t="s">
        <v>1425</v>
      </c>
      <c r="F124" s="394">
        <v>43830</v>
      </c>
      <c r="G124" s="297" t="s">
        <v>1426</v>
      </c>
      <c r="H124" s="297" t="s">
        <v>1426</v>
      </c>
      <c r="I124" s="297" t="s">
        <v>1426</v>
      </c>
      <c r="J124" s="297" t="s">
        <v>1426</v>
      </c>
      <c r="K124" s="297" t="s">
        <v>1426</v>
      </c>
      <c r="L124" s="297" t="s">
        <v>1426</v>
      </c>
      <c r="M124" s="297" t="s">
        <v>1425</v>
      </c>
      <c r="N124" s="297" t="s">
        <v>1425</v>
      </c>
      <c r="O124" s="297" t="s">
        <v>1426</v>
      </c>
      <c r="P124" s="394" t="s">
        <v>1425</v>
      </c>
      <c r="Q124" s="297" t="s">
        <v>1425</v>
      </c>
      <c r="R124" s="297" t="s">
        <v>1425</v>
      </c>
      <c r="S124" s="297" t="s">
        <v>1426</v>
      </c>
      <c r="T124" s="297" t="s">
        <v>1426</v>
      </c>
      <c r="U124" s="297" t="s">
        <v>1425</v>
      </c>
      <c r="V124" s="46" t="s">
        <v>1426</v>
      </c>
    </row>
    <row r="125" spans="1:22" x14ac:dyDescent="0.2">
      <c r="A125">
        <v>294918</v>
      </c>
      <c r="B125" s="399" t="s">
        <v>293</v>
      </c>
      <c r="C125" s="297"/>
      <c r="D125" s="394"/>
      <c r="E125" s="297"/>
      <c r="F125" s="394"/>
      <c r="G125" s="297" t="s">
        <v>1426</v>
      </c>
      <c r="H125" s="297" t="s">
        <v>1426</v>
      </c>
      <c r="I125" s="297" t="s">
        <v>1426</v>
      </c>
      <c r="J125" s="297" t="s">
        <v>1426</v>
      </c>
      <c r="K125" s="297" t="s">
        <v>1426</v>
      </c>
      <c r="L125" s="297" t="s">
        <v>1426</v>
      </c>
      <c r="M125" s="297" t="s">
        <v>1426</v>
      </c>
      <c r="N125" s="297" t="s">
        <v>1426</v>
      </c>
      <c r="O125" s="297" t="s">
        <v>1426</v>
      </c>
      <c r="P125" s="394" t="s">
        <v>1426</v>
      </c>
      <c r="Q125" s="297" t="s">
        <v>1426</v>
      </c>
      <c r="R125" s="297" t="s">
        <v>1426</v>
      </c>
      <c r="S125" s="297" t="s">
        <v>1426</v>
      </c>
      <c r="T125" s="297" t="s">
        <v>1425</v>
      </c>
      <c r="U125" s="297" t="s">
        <v>1425</v>
      </c>
      <c r="V125" s="46" t="s">
        <v>1426</v>
      </c>
    </row>
    <row r="126" spans="1:22" x14ac:dyDescent="0.2">
      <c r="A126">
        <v>295857</v>
      </c>
      <c r="B126" s="399" t="s">
        <v>294</v>
      </c>
      <c r="C126" s="297">
        <v>24</v>
      </c>
      <c r="D126" s="394">
        <v>43890</v>
      </c>
      <c r="E126" s="297" t="s">
        <v>1426</v>
      </c>
      <c r="F126" s="394">
        <v>43830</v>
      </c>
      <c r="G126" s="297" t="s">
        <v>1426</v>
      </c>
      <c r="H126" s="297" t="s">
        <v>1426</v>
      </c>
      <c r="I126" s="297" t="s">
        <v>1426</v>
      </c>
      <c r="J126" s="297" t="s">
        <v>1426</v>
      </c>
      <c r="K126" s="297" t="s">
        <v>1426</v>
      </c>
      <c r="L126" s="297" t="s">
        <v>1426</v>
      </c>
      <c r="M126" s="297" t="s">
        <v>1426</v>
      </c>
      <c r="N126" s="297" t="s">
        <v>1426</v>
      </c>
      <c r="O126" s="297" t="s">
        <v>1426</v>
      </c>
      <c r="P126" s="394" t="s">
        <v>1426</v>
      </c>
      <c r="Q126" s="297" t="s">
        <v>1426</v>
      </c>
      <c r="R126" s="297" t="s">
        <v>1426</v>
      </c>
      <c r="S126" s="297" t="s">
        <v>1426</v>
      </c>
      <c r="T126" s="297" t="s">
        <v>1425</v>
      </c>
      <c r="U126" s="297" t="s">
        <v>1425</v>
      </c>
      <c r="V126" s="46" t="s">
        <v>1426</v>
      </c>
    </row>
    <row r="127" spans="1:22" x14ac:dyDescent="0.2">
      <c r="A127">
        <v>296327</v>
      </c>
      <c r="B127" s="399" t="s">
        <v>295</v>
      </c>
      <c r="C127" s="297">
        <v>27</v>
      </c>
      <c r="D127" s="394">
        <v>43890</v>
      </c>
      <c r="E127" s="297" t="s">
        <v>1425</v>
      </c>
      <c r="F127" s="394">
        <v>43830</v>
      </c>
      <c r="G127" s="297" t="s">
        <v>1426</v>
      </c>
      <c r="H127" s="297" t="s">
        <v>1426</v>
      </c>
      <c r="I127" s="297" t="s">
        <v>1426</v>
      </c>
      <c r="J127" s="297" t="s">
        <v>1426</v>
      </c>
      <c r="K127" s="297" t="s">
        <v>1426</v>
      </c>
      <c r="L127" s="297" t="s">
        <v>1426</v>
      </c>
      <c r="M127" s="297" t="s">
        <v>1425</v>
      </c>
      <c r="N127" s="297" t="s">
        <v>1425</v>
      </c>
      <c r="O127" s="297" t="s">
        <v>1426</v>
      </c>
      <c r="P127" s="394" t="s">
        <v>1426</v>
      </c>
      <c r="Q127" s="297" t="s">
        <v>1426</v>
      </c>
      <c r="R127" s="297" t="s">
        <v>1425</v>
      </c>
      <c r="S127" s="297" t="s">
        <v>1425</v>
      </c>
      <c r="T127" s="297" t="s">
        <v>1425</v>
      </c>
      <c r="U127" s="297" t="s">
        <v>1425</v>
      </c>
      <c r="V127" s="46" t="s">
        <v>1425</v>
      </c>
    </row>
    <row r="128" spans="1:22" x14ac:dyDescent="0.2">
      <c r="A128">
        <v>296749</v>
      </c>
      <c r="B128" s="399" t="s">
        <v>296</v>
      </c>
      <c r="C128" s="297">
        <v>22</v>
      </c>
      <c r="D128" s="394">
        <v>43890</v>
      </c>
      <c r="E128" s="297" t="s">
        <v>1426</v>
      </c>
      <c r="F128" s="394">
        <v>43830</v>
      </c>
      <c r="G128" s="297" t="s">
        <v>1426</v>
      </c>
      <c r="H128" s="297" t="s">
        <v>1426</v>
      </c>
      <c r="I128" s="297" t="s">
        <v>1426</v>
      </c>
      <c r="J128" s="297" t="s">
        <v>1426</v>
      </c>
      <c r="K128" s="297" t="s">
        <v>1426</v>
      </c>
      <c r="L128" s="297" t="s">
        <v>1426</v>
      </c>
      <c r="M128" s="297" t="s">
        <v>1426</v>
      </c>
      <c r="N128" s="297" t="s">
        <v>1426</v>
      </c>
      <c r="O128" s="297" t="s">
        <v>1426</v>
      </c>
      <c r="P128" s="394" t="s">
        <v>1426</v>
      </c>
      <c r="Q128" s="297" t="s">
        <v>1426</v>
      </c>
      <c r="R128" s="297" t="s">
        <v>1426</v>
      </c>
      <c r="S128" s="297" t="s">
        <v>1426</v>
      </c>
      <c r="T128" s="297" t="s">
        <v>1425</v>
      </c>
      <c r="U128" s="297" t="s">
        <v>1426</v>
      </c>
      <c r="V128" s="46" t="s">
        <v>1426</v>
      </c>
    </row>
    <row r="129" spans="1:22" x14ac:dyDescent="0.2">
      <c r="A129">
        <v>300996</v>
      </c>
      <c r="B129" s="399" t="s">
        <v>1328</v>
      </c>
      <c r="C129" s="297">
        <v>23</v>
      </c>
      <c r="D129" s="394">
        <v>43890</v>
      </c>
      <c r="E129" s="297" t="s">
        <v>1426</v>
      </c>
      <c r="F129" s="394">
        <v>43830</v>
      </c>
      <c r="G129" s="297" t="s">
        <v>1426</v>
      </c>
      <c r="H129" s="297" t="s">
        <v>1426</v>
      </c>
      <c r="I129" s="297" t="s">
        <v>1426</v>
      </c>
      <c r="J129" s="297" t="s">
        <v>1426</v>
      </c>
      <c r="K129" s="297" t="s">
        <v>1426</v>
      </c>
      <c r="L129" s="297" t="s">
        <v>1426</v>
      </c>
      <c r="M129" s="297" t="s">
        <v>1426</v>
      </c>
      <c r="N129" s="297" t="s">
        <v>1425</v>
      </c>
      <c r="O129" s="297" t="s">
        <v>1425</v>
      </c>
      <c r="P129" s="394" t="s">
        <v>1425</v>
      </c>
      <c r="Q129" s="297" t="s">
        <v>1425</v>
      </c>
      <c r="R129" s="297" t="s">
        <v>1425</v>
      </c>
      <c r="S129" s="297" t="s">
        <v>1425</v>
      </c>
      <c r="T129" s="297" t="s">
        <v>1426</v>
      </c>
      <c r="U129" s="297" t="s">
        <v>1425</v>
      </c>
      <c r="V129" s="46" t="s">
        <v>1426</v>
      </c>
    </row>
    <row r="130" spans="1:22" x14ac:dyDescent="0.2">
      <c r="A130">
        <v>301580</v>
      </c>
      <c r="B130" s="399" t="s">
        <v>297</v>
      </c>
      <c r="C130" s="297">
        <v>23</v>
      </c>
      <c r="D130" s="394">
        <v>43890</v>
      </c>
      <c r="E130" s="297" t="s">
        <v>1425</v>
      </c>
      <c r="F130" s="394">
        <v>43830</v>
      </c>
      <c r="G130" s="297" t="s">
        <v>1426</v>
      </c>
      <c r="H130" s="297" t="s">
        <v>1426</v>
      </c>
      <c r="I130" s="297" t="s">
        <v>1426</v>
      </c>
      <c r="J130" s="297" t="s">
        <v>1426</v>
      </c>
      <c r="K130" s="297" t="s">
        <v>1426</v>
      </c>
      <c r="L130" s="297" t="s">
        <v>1426</v>
      </c>
      <c r="M130" s="297" t="s">
        <v>1425</v>
      </c>
      <c r="N130" s="297" t="s">
        <v>1425</v>
      </c>
      <c r="O130" s="297" t="s">
        <v>1426</v>
      </c>
      <c r="P130" s="394" t="s">
        <v>1425</v>
      </c>
      <c r="Q130" s="297" t="s">
        <v>1425</v>
      </c>
      <c r="R130" s="297" t="s">
        <v>1425</v>
      </c>
      <c r="S130" s="297" t="s">
        <v>1426</v>
      </c>
      <c r="T130" s="297" t="s">
        <v>1425</v>
      </c>
      <c r="U130" s="297" t="s">
        <v>1425</v>
      </c>
      <c r="V130" s="46" t="s">
        <v>1425</v>
      </c>
    </row>
    <row r="131" spans="1:22" x14ac:dyDescent="0.2">
      <c r="A131">
        <v>302760</v>
      </c>
      <c r="B131" s="399" t="s">
        <v>1455</v>
      </c>
      <c r="C131" s="297">
        <v>24</v>
      </c>
      <c r="D131" s="394">
        <v>43890</v>
      </c>
      <c r="E131" s="297" t="s">
        <v>1425</v>
      </c>
      <c r="F131" s="394">
        <v>43830</v>
      </c>
      <c r="G131" s="297" t="s">
        <v>1426</v>
      </c>
      <c r="H131" s="297" t="s">
        <v>1426</v>
      </c>
      <c r="I131" s="297" t="s">
        <v>1426</v>
      </c>
      <c r="J131" s="297" t="s">
        <v>1426</v>
      </c>
      <c r="K131" s="297" t="s">
        <v>1426</v>
      </c>
      <c r="L131" s="297" t="s">
        <v>1426</v>
      </c>
      <c r="M131" s="297" t="s">
        <v>1426</v>
      </c>
      <c r="N131" s="297" t="s">
        <v>1425</v>
      </c>
      <c r="O131" s="297" t="s">
        <v>1425</v>
      </c>
      <c r="P131" s="394" t="s">
        <v>1425</v>
      </c>
      <c r="Q131" s="297" t="s">
        <v>1425</v>
      </c>
      <c r="R131" s="297" t="s">
        <v>1425</v>
      </c>
      <c r="S131" s="297" t="s">
        <v>1425</v>
      </c>
      <c r="T131" s="297" t="s">
        <v>1426</v>
      </c>
      <c r="U131" s="297" t="s">
        <v>1425</v>
      </c>
      <c r="V131" s="46" t="s">
        <v>1426</v>
      </c>
    </row>
    <row r="132" spans="1:22" x14ac:dyDescent="0.2">
      <c r="A132">
        <v>303230</v>
      </c>
      <c r="B132" s="399" t="s">
        <v>298</v>
      </c>
      <c r="C132" s="297"/>
      <c r="D132" s="394"/>
      <c r="E132" s="297" t="s">
        <v>1425</v>
      </c>
      <c r="F132" s="394">
        <v>43555</v>
      </c>
      <c r="G132" s="297" t="s">
        <v>1426</v>
      </c>
      <c r="H132" s="297" t="s">
        <v>1426</v>
      </c>
      <c r="I132" s="297" t="s">
        <v>1426</v>
      </c>
      <c r="J132" s="297" t="s">
        <v>1426</v>
      </c>
      <c r="K132" s="297" t="s">
        <v>1426</v>
      </c>
      <c r="L132" s="297" t="s">
        <v>1426</v>
      </c>
      <c r="M132" s="297" t="s">
        <v>1426</v>
      </c>
      <c r="N132" s="297" t="s">
        <v>1426</v>
      </c>
      <c r="O132" s="297" t="s">
        <v>1426</v>
      </c>
      <c r="P132" s="394" t="s">
        <v>1426</v>
      </c>
      <c r="Q132" s="297" t="s">
        <v>1426</v>
      </c>
      <c r="R132" s="297" t="s">
        <v>1425</v>
      </c>
      <c r="S132" s="297" t="s">
        <v>1425</v>
      </c>
      <c r="T132" s="297" t="s">
        <v>1426</v>
      </c>
      <c r="U132" s="297" t="s">
        <v>1426</v>
      </c>
      <c r="V132" s="46" t="s">
        <v>1426</v>
      </c>
    </row>
    <row r="133" spans="1:22" x14ac:dyDescent="0.2">
      <c r="A133">
        <v>303701</v>
      </c>
      <c r="B133" s="399" t="s">
        <v>299</v>
      </c>
      <c r="C133" s="297">
        <v>20</v>
      </c>
      <c r="D133" s="394">
        <v>43890</v>
      </c>
      <c r="E133" s="297" t="s">
        <v>1425</v>
      </c>
      <c r="F133" s="394">
        <v>43830</v>
      </c>
      <c r="G133" s="297" t="s">
        <v>1426</v>
      </c>
      <c r="H133" s="297" t="s">
        <v>1426</v>
      </c>
      <c r="I133" s="297" t="s">
        <v>1426</v>
      </c>
      <c r="J133" s="297" t="s">
        <v>1426</v>
      </c>
      <c r="K133" s="297" t="s">
        <v>1426</v>
      </c>
      <c r="L133" s="297" t="s">
        <v>1426</v>
      </c>
      <c r="M133" s="297" t="s">
        <v>1426</v>
      </c>
      <c r="N133" s="297" t="s">
        <v>1426</v>
      </c>
      <c r="O133" s="297" t="s">
        <v>1425</v>
      </c>
      <c r="P133" s="394" t="s">
        <v>1425</v>
      </c>
      <c r="Q133" s="297" t="s">
        <v>1426</v>
      </c>
      <c r="R133" s="297" t="s">
        <v>1425</v>
      </c>
      <c r="S133" s="297" t="s">
        <v>1426</v>
      </c>
      <c r="T133" s="297" t="s">
        <v>1426</v>
      </c>
      <c r="U133" s="297" t="s">
        <v>1425</v>
      </c>
      <c r="V133" s="46" t="s">
        <v>1426</v>
      </c>
    </row>
    <row r="134" spans="1:22" x14ac:dyDescent="0.2">
      <c r="A134">
        <v>304659</v>
      </c>
      <c r="B134" s="399" t="s">
        <v>1329</v>
      </c>
      <c r="C134" s="297">
        <v>24</v>
      </c>
      <c r="D134" s="394">
        <v>43890</v>
      </c>
      <c r="E134" s="297" t="s">
        <v>1425</v>
      </c>
      <c r="F134" s="394">
        <v>43830</v>
      </c>
      <c r="G134" s="297" t="s">
        <v>1426</v>
      </c>
      <c r="H134" s="297" t="s">
        <v>1426</v>
      </c>
      <c r="I134" s="297" t="s">
        <v>1426</v>
      </c>
      <c r="J134" s="297" t="s">
        <v>1425</v>
      </c>
      <c r="K134" s="297" t="s">
        <v>1425</v>
      </c>
      <c r="L134" s="297" t="s">
        <v>1425</v>
      </c>
      <c r="M134" s="297" t="s">
        <v>1425</v>
      </c>
      <c r="N134" s="297" t="s">
        <v>1425</v>
      </c>
      <c r="O134" s="297" t="s">
        <v>1425</v>
      </c>
      <c r="P134" s="394" t="s">
        <v>1425</v>
      </c>
      <c r="Q134" s="297" t="s">
        <v>1425</v>
      </c>
      <c r="R134" s="297" t="s">
        <v>1425</v>
      </c>
      <c r="S134" s="297" t="s">
        <v>1425</v>
      </c>
      <c r="T134" s="297" t="s">
        <v>1425</v>
      </c>
      <c r="U134" s="297" t="s">
        <v>1425</v>
      </c>
      <c r="V134" s="46" t="s">
        <v>1425</v>
      </c>
    </row>
    <row r="135" spans="1:22" x14ac:dyDescent="0.2">
      <c r="A135">
        <v>305003</v>
      </c>
      <c r="B135" s="399" t="s">
        <v>301</v>
      </c>
      <c r="C135" s="297">
        <v>34</v>
      </c>
      <c r="D135" s="394">
        <v>43890</v>
      </c>
      <c r="E135" s="297" t="s">
        <v>1425</v>
      </c>
      <c r="F135" s="394">
        <v>43830</v>
      </c>
      <c r="G135" s="297" t="s">
        <v>1426</v>
      </c>
      <c r="H135" s="297" t="s">
        <v>1426</v>
      </c>
      <c r="I135" s="297" t="s">
        <v>1426</v>
      </c>
      <c r="J135" s="297" t="s">
        <v>1426</v>
      </c>
      <c r="K135" s="297" t="s">
        <v>1426</v>
      </c>
      <c r="L135" s="297" t="s">
        <v>1426</v>
      </c>
      <c r="M135" s="297" t="s">
        <v>1426</v>
      </c>
      <c r="N135" s="297" t="s">
        <v>1426</v>
      </c>
      <c r="O135" s="297" t="s">
        <v>1426</v>
      </c>
      <c r="P135" s="394" t="s">
        <v>1426</v>
      </c>
      <c r="Q135" s="297" t="s">
        <v>1426</v>
      </c>
      <c r="R135" s="297" t="s">
        <v>1425</v>
      </c>
      <c r="S135" s="297" t="s">
        <v>1425</v>
      </c>
      <c r="T135" s="297" t="s">
        <v>1426</v>
      </c>
      <c r="U135" s="297" t="s">
        <v>1426</v>
      </c>
      <c r="V135" s="46" t="s">
        <v>1426</v>
      </c>
    </row>
    <row r="136" spans="1:22" x14ac:dyDescent="0.2">
      <c r="A136">
        <v>305185</v>
      </c>
      <c r="B136" s="399" t="s">
        <v>302</v>
      </c>
      <c r="C136" s="297">
        <v>20</v>
      </c>
      <c r="D136" s="394">
        <v>43861</v>
      </c>
      <c r="E136" s="297"/>
      <c r="F136" s="394"/>
      <c r="G136" s="297" t="s">
        <v>1426</v>
      </c>
      <c r="H136" s="297" t="s">
        <v>1426</v>
      </c>
      <c r="I136" s="297" t="s">
        <v>1426</v>
      </c>
      <c r="J136" s="297" t="s">
        <v>1426</v>
      </c>
      <c r="K136" s="297" t="s">
        <v>1426</v>
      </c>
      <c r="L136" s="297" t="s">
        <v>1426</v>
      </c>
      <c r="M136" s="297" t="s">
        <v>1425</v>
      </c>
      <c r="N136" s="297" t="s">
        <v>1425</v>
      </c>
      <c r="O136" s="297" t="s">
        <v>1425</v>
      </c>
      <c r="P136" s="394" t="s">
        <v>1425</v>
      </c>
      <c r="Q136" s="297" t="s">
        <v>1425</v>
      </c>
      <c r="R136" s="297" t="s">
        <v>1425</v>
      </c>
      <c r="S136" s="297" t="s">
        <v>1425</v>
      </c>
      <c r="T136" s="297" t="s">
        <v>1425</v>
      </c>
      <c r="U136" s="297" t="s">
        <v>1425</v>
      </c>
      <c r="V136" s="46" t="s">
        <v>1426</v>
      </c>
    </row>
    <row r="137" spans="1:22" x14ac:dyDescent="0.2">
      <c r="A137">
        <v>305243</v>
      </c>
      <c r="B137" s="399" t="s">
        <v>629</v>
      </c>
      <c r="C137" s="297">
        <v>24</v>
      </c>
      <c r="D137" s="394">
        <v>43890</v>
      </c>
      <c r="E137" s="297" t="s">
        <v>1426</v>
      </c>
      <c r="F137" s="394">
        <v>43830</v>
      </c>
      <c r="G137" s="297" t="s">
        <v>1427</v>
      </c>
      <c r="H137" s="297" t="s">
        <v>1427</v>
      </c>
      <c r="I137" s="297" t="s">
        <v>1427</v>
      </c>
      <c r="J137" s="297" t="s">
        <v>1427</v>
      </c>
      <c r="K137" s="297" t="s">
        <v>1427</v>
      </c>
      <c r="L137" s="297" t="s">
        <v>1427</v>
      </c>
      <c r="M137" s="297" t="s">
        <v>1427</v>
      </c>
      <c r="N137" s="297" t="s">
        <v>1427</v>
      </c>
      <c r="O137" s="297" t="s">
        <v>1427</v>
      </c>
      <c r="P137" s="394" t="s">
        <v>1427</v>
      </c>
      <c r="Q137" s="297" t="s">
        <v>1427</v>
      </c>
      <c r="R137" s="297" t="s">
        <v>1427</v>
      </c>
      <c r="S137" s="297" t="s">
        <v>1427</v>
      </c>
      <c r="T137" s="297" t="s">
        <v>1427</v>
      </c>
      <c r="U137" s="297" t="s">
        <v>1427</v>
      </c>
      <c r="V137" s="46" t="s">
        <v>1427</v>
      </c>
    </row>
    <row r="138" spans="1:22" x14ac:dyDescent="0.2">
      <c r="A138">
        <v>307306</v>
      </c>
      <c r="B138" s="399" t="s">
        <v>303</v>
      </c>
      <c r="C138" s="297">
        <v>21</v>
      </c>
      <c r="D138" s="394">
        <v>43890</v>
      </c>
      <c r="E138" s="297" t="s">
        <v>1425</v>
      </c>
      <c r="F138" s="394">
        <v>43830</v>
      </c>
      <c r="G138" s="297" t="s">
        <v>1426</v>
      </c>
      <c r="H138" s="297" t="s">
        <v>1426</v>
      </c>
      <c r="I138" s="297" t="s">
        <v>1426</v>
      </c>
      <c r="J138" s="297" t="s">
        <v>1426</v>
      </c>
      <c r="K138" s="297" t="s">
        <v>1426</v>
      </c>
      <c r="L138" s="297" t="s">
        <v>1426</v>
      </c>
      <c r="M138" s="297" t="s">
        <v>1425</v>
      </c>
      <c r="N138" s="297" t="s">
        <v>1425</v>
      </c>
      <c r="O138" s="297" t="s">
        <v>1425</v>
      </c>
      <c r="P138" s="394" t="s">
        <v>1425</v>
      </c>
      <c r="Q138" s="297" t="s">
        <v>1425</v>
      </c>
      <c r="R138" s="297" t="s">
        <v>1425</v>
      </c>
      <c r="S138" s="297" t="s">
        <v>1425</v>
      </c>
      <c r="T138" s="297" t="s">
        <v>1425</v>
      </c>
      <c r="U138" s="395" t="s">
        <v>1425</v>
      </c>
      <c r="V138" s="46" t="s">
        <v>1426</v>
      </c>
    </row>
    <row r="139" spans="1:22" x14ac:dyDescent="0.2">
      <c r="A139">
        <v>308908</v>
      </c>
      <c r="B139" s="399" t="s">
        <v>612</v>
      </c>
      <c r="C139" s="297">
        <v>21</v>
      </c>
      <c r="D139" s="394">
        <v>43890</v>
      </c>
      <c r="E139" s="297" t="s">
        <v>1425</v>
      </c>
      <c r="F139" s="394">
        <v>43830</v>
      </c>
      <c r="G139" s="297" t="s">
        <v>1426</v>
      </c>
      <c r="H139" s="297" t="s">
        <v>1426</v>
      </c>
      <c r="I139" s="297" t="s">
        <v>1426</v>
      </c>
      <c r="J139" s="297" t="s">
        <v>1426</v>
      </c>
      <c r="K139" s="297" t="s">
        <v>1426</v>
      </c>
      <c r="L139" s="297" t="s">
        <v>1426</v>
      </c>
      <c r="M139" s="297" t="s">
        <v>1426</v>
      </c>
      <c r="N139" s="297" t="s">
        <v>1426</v>
      </c>
      <c r="O139" s="297" t="s">
        <v>1426</v>
      </c>
      <c r="P139" s="394" t="s">
        <v>1426</v>
      </c>
      <c r="Q139" s="297" t="s">
        <v>1426</v>
      </c>
      <c r="R139" s="297" t="s">
        <v>1425</v>
      </c>
      <c r="S139" s="297" t="s">
        <v>1425</v>
      </c>
      <c r="T139" s="297" t="s">
        <v>1425</v>
      </c>
      <c r="U139" s="297" t="s">
        <v>1425</v>
      </c>
      <c r="V139" s="46" t="s">
        <v>1425</v>
      </c>
    </row>
    <row r="140" spans="1:22" x14ac:dyDescent="0.2">
      <c r="A140">
        <v>309492</v>
      </c>
      <c r="B140" s="399" t="s">
        <v>613</v>
      </c>
      <c r="C140" s="297">
        <v>20</v>
      </c>
      <c r="D140" s="394">
        <v>43890</v>
      </c>
      <c r="E140" s="297" t="s">
        <v>1426</v>
      </c>
      <c r="F140" s="394">
        <v>43830</v>
      </c>
      <c r="G140" s="297" t="s">
        <v>1426</v>
      </c>
      <c r="H140" s="297" t="s">
        <v>1426</v>
      </c>
      <c r="I140" s="297" t="s">
        <v>1426</v>
      </c>
      <c r="J140" s="297" t="s">
        <v>1426</v>
      </c>
      <c r="K140" s="297" t="s">
        <v>1426</v>
      </c>
      <c r="L140" s="297" t="s">
        <v>1426</v>
      </c>
      <c r="M140" s="297" t="s">
        <v>1426</v>
      </c>
      <c r="N140" s="297" t="s">
        <v>1426</v>
      </c>
      <c r="O140" s="297" t="s">
        <v>1426</v>
      </c>
      <c r="P140" s="394" t="s">
        <v>1426</v>
      </c>
      <c r="Q140" s="297" t="s">
        <v>1426</v>
      </c>
      <c r="R140" s="297" t="s">
        <v>1426</v>
      </c>
      <c r="S140" s="297" t="s">
        <v>1426</v>
      </c>
      <c r="T140" s="297" t="s">
        <v>1426</v>
      </c>
      <c r="U140" s="297" t="s">
        <v>1426</v>
      </c>
      <c r="V140" s="46" t="s">
        <v>1426</v>
      </c>
    </row>
    <row r="141" spans="1:22" x14ac:dyDescent="0.2">
      <c r="A141">
        <v>313320</v>
      </c>
      <c r="B141" s="399" t="s">
        <v>1456</v>
      </c>
      <c r="C141" s="297">
        <v>26</v>
      </c>
      <c r="D141" s="394">
        <v>43890</v>
      </c>
      <c r="E141" s="297" t="s">
        <v>1425</v>
      </c>
      <c r="F141" s="394">
        <v>43830</v>
      </c>
      <c r="G141" s="297" t="s">
        <v>1426</v>
      </c>
      <c r="H141" s="297" t="s">
        <v>1426</v>
      </c>
      <c r="I141" s="297" t="s">
        <v>1426</v>
      </c>
      <c r="J141" s="297" t="s">
        <v>1426</v>
      </c>
      <c r="K141" s="297" t="s">
        <v>1426</v>
      </c>
      <c r="L141" s="297" t="s">
        <v>1426</v>
      </c>
      <c r="M141" s="297" t="s">
        <v>1425</v>
      </c>
      <c r="N141" s="297" t="s">
        <v>1425</v>
      </c>
      <c r="O141" s="297" t="s">
        <v>1425</v>
      </c>
      <c r="P141" s="394" t="s">
        <v>1425</v>
      </c>
      <c r="Q141" s="297" t="s">
        <v>1425</v>
      </c>
      <c r="R141" s="297" t="s">
        <v>1425</v>
      </c>
      <c r="S141" s="297" t="s">
        <v>1425</v>
      </c>
      <c r="T141" s="297" t="s">
        <v>1425</v>
      </c>
      <c r="U141" s="297" t="s">
        <v>1425</v>
      </c>
      <c r="V141" s="46" t="s">
        <v>1425</v>
      </c>
    </row>
    <row r="142" spans="1:22" x14ac:dyDescent="0.2">
      <c r="A142">
        <v>313742</v>
      </c>
      <c r="B142" s="399" t="s">
        <v>306</v>
      </c>
      <c r="C142" s="297">
        <v>21</v>
      </c>
      <c r="D142" s="394">
        <v>43890</v>
      </c>
      <c r="E142" s="297" t="s">
        <v>1425</v>
      </c>
      <c r="F142" s="394">
        <v>43830</v>
      </c>
      <c r="G142" s="297" t="s">
        <v>1426</v>
      </c>
      <c r="H142" s="297" t="s">
        <v>1426</v>
      </c>
      <c r="I142" s="297" t="s">
        <v>1426</v>
      </c>
      <c r="J142" s="297" t="s">
        <v>1426</v>
      </c>
      <c r="K142" s="297" t="s">
        <v>1426</v>
      </c>
      <c r="L142" s="297" t="s">
        <v>1426</v>
      </c>
      <c r="M142" s="297" t="s">
        <v>1426</v>
      </c>
      <c r="N142" s="297" t="s">
        <v>1426</v>
      </c>
      <c r="O142" s="297" t="s">
        <v>1426</v>
      </c>
      <c r="P142" s="394" t="s">
        <v>1426</v>
      </c>
      <c r="Q142" s="297" t="s">
        <v>1426</v>
      </c>
      <c r="R142" s="297" t="s">
        <v>1426</v>
      </c>
      <c r="S142" s="297" t="s">
        <v>1426</v>
      </c>
      <c r="T142" s="297" t="s">
        <v>1426</v>
      </c>
      <c r="U142" s="297" t="s">
        <v>1426</v>
      </c>
      <c r="V142" s="46" t="s">
        <v>1425</v>
      </c>
    </row>
    <row r="143" spans="1:22" x14ac:dyDescent="0.2">
      <c r="A143">
        <v>314682</v>
      </c>
      <c r="B143" s="399" t="s">
        <v>591</v>
      </c>
      <c r="C143" s="297">
        <v>21</v>
      </c>
      <c r="D143" s="394">
        <v>43890</v>
      </c>
      <c r="E143" s="297" t="s">
        <v>1425</v>
      </c>
      <c r="F143" s="394">
        <v>43830</v>
      </c>
      <c r="G143" s="297" t="s">
        <v>1426</v>
      </c>
      <c r="H143" s="297" t="s">
        <v>1426</v>
      </c>
      <c r="I143" s="297" t="s">
        <v>1426</v>
      </c>
      <c r="J143" s="297" t="s">
        <v>1426</v>
      </c>
      <c r="K143" s="297" t="s">
        <v>1426</v>
      </c>
      <c r="L143" s="297" t="s">
        <v>1426</v>
      </c>
      <c r="M143" s="297" t="s">
        <v>1426</v>
      </c>
      <c r="N143" s="297" t="s">
        <v>1426</v>
      </c>
      <c r="O143" s="297" t="s">
        <v>1426</v>
      </c>
      <c r="P143" s="394" t="s">
        <v>1426</v>
      </c>
      <c r="Q143" s="297" t="s">
        <v>1426</v>
      </c>
      <c r="R143" s="297" t="s">
        <v>1426</v>
      </c>
      <c r="S143" s="297" t="s">
        <v>1426</v>
      </c>
      <c r="T143" s="297" t="s">
        <v>1425</v>
      </c>
      <c r="U143" s="297" t="s">
        <v>1425</v>
      </c>
      <c r="V143" s="46" t="s">
        <v>1426</v>
      </c>
    </row>
    <row r="144" spans="1:22" x14ac:dyDescent="0.2">
      <c r="A144">
        <v>316752</v>
      </c>
      <c r="B144" s="399" t="s">
        <v>307</v>
      </c>
      <c r="C144" s="297"/>
      <c r="D144" s="394"/>
      <c r="E144" s="297" t="s">
        <v>1425</v>
      </c>
      <c r="F144" s="394">
        <v>43830</v>
      </c>
      <c r="G144" s="297" t="s">
        <v>1426</v>
      </c>
      <c r="H144" s="297" t="s">
        <v>1426</v>
      </c>
      <c r="I144" s="297" t="s">
        <v>1426</v>
      </c>
      <c r="J144" s="297" t="s">
        <v>1426</v>
      </c>
      <c r="K144" s="297" t="s">
        <v>1426</v>
      </c>
      <c r="L144" s="297" t="s">
        <v>1426</v>
      </c>
      <c r="M144" s="297" t="s">
        <v>1426</v>
      </c>
      <c r="N144" s="297" t="s">
        <v>1425</v>
      </c>
      <c r="O144" s="297" t="s">
        <v>1425</v>
      </c>
      <c r="P144" s="394" t="s">
        <v>1425</v>
      </c>
      <c r="Q144" s="297" t="s">
        <v>1425</v>
      </c>
      <c r="R144" s="297" t="s">
        <v>1425</v>
      </c>
      <c r="S144" s="297" t="s">
        <v>1425</v>
      </c>
      <c r="T144" s="297" t="s">
        <v>1425</v>
      </c>
      <c r="U144" s="297" t="s">
        <v>1425</v>
      </c>
      <c r="V144" s="46" t="s">
        <v>1426</v>
      </c>
    </row>
    <row r="145" spans="1:22" x14ac:dyDescent="0.2">
      <c r="A145">
        <v>317040</v>
      </c>
      <c r="B145" s="399" t="s">
        <v>308</v>
      </c>
      <c r="C145" s="297">
        <v>26</v>
      </c>
      <c r="D145" s="394">
        <v>43890</v>
      </c>
      <c r="E145" s="297" t="s">
        <v>1425</v>
      </c>
      <c r="F145" s="394">
        <v>43830</v>
      </c>
      <c r="G145" s="297" t="s">
        <v>1426</v>
      </c>
      <c r="H145" s="297" t="s">
        <v>1426</v>
      </c>
      <c r="I145" s="297" t="s">
        <v>1426</v>
      </c>
      <c r="J145" s="297" t="s">
        <v>1426</v>
      </c>
      <c r="K145" s="297" t="s">
        <v>1426</v>
      </c>
      <c r="L145" s="297" t="s">
        <v>1426</v>
      </c>
      <c r="M145" s="297" t="s">
        <v>1425</v>
      </c>
      <c r="N145" s="297" t="s">
        <v>1425</v>
      </c>
      <c r="O145" s="297" t="s">
        <v>1426</v>
      </c>
      <c r="P145" s="394" t="s">
        <v>1425</v>
      </c>
      <c r="Q145" s="297" t="s">
        <v>1425</v>
      </c>
      <c r="R145" s="297" t="s">
        <v>1425</v>
      </c>
      <c r="S145" s="297" t="s">
        <v>1426</v>
      </c>
      <c r="T145" s="297" t="s">
        <v>1426</v>
      </c>
      <c r="U145" s="297" t="s">
        <v>1425</v>
      </c>
      <c r="V145" s="46" t="s">
        <v>1426</v>
      </c>
    </row>
    <row r="146" spans="1:22" x14ac:dyDescent="0.2">
      <c r="A146">
        <v>318469</v>
      </c>
      <c r="B146" s="399" t="s">
        <v>309</v>
      </c>
      <c r="C146" s="297">
        <v>25</v>
      </c>
      <c r="D146" s="394">
        <v>43890</v>
      </c>
      <c r="E146" s="297" t="s">
        <v>1425</v>
      </c>
      <c r="F146" s="394">
        <v>43830</v>
      </c>
      <c r="G146" s="297" t="s">
        <v>1426</v>
      </c>
      <c r="H146" s="297" t="s">
        <v>1426</v>
      </c>
      <c r="I146" s="297" t="s">
        <v>1426</v>
      </c>
      <c r="J146" s="297" t="s">
        <v>1426</v>
      </c>
      <c r="K146" s="297" t="s">
        <v>1426</v>
      </c>
      <c r="L146" s="297" t="s">
        <v>1426</v>
      </c>
      <c r="M146" s="297" t="s">
        <v>1425</v>
      </c>
      <c r="N146" s="297" t="s">
        <v>1425</v>
      </c>
      <c r="O146" s="297" t="s">
        <v>1426</v>
      </c>
      <c r="P146" s="394" t="s">
        <v>1425</v>
      </c>
      <c r="Q146" s="297" t="s">
        <v>1425</v>
      </c>
      <c r="R146" s="297" t="s">
        <v>1425</v>
      </c>
      <c r="S146" s="297" t="s">
        <v>1426</v>
      </c>
      <c r="T146" s="297" t="s">
        <v>1425</v>
      </c>
      <c r="U146" s="297" t="s">
        <v>1425</v>
      </c>
      <c r="V146" s="46" t="s">
        <v>1425</v>
      </c>
    </row>
    <row r="147" spans="1:22" x14ac:dyDescent="0.2">
      <c r="A147">
        <v>320176</v>
      </c>
      <c r="B147" s="399" t="s">
        <v>630</v>
      </c>
      <c r="C147" s="297">
        <v>18</v>
      </c>
      <c r="D147" s="394">
        <v>43890</v>
      </c>
      <c r="E147" s="297" t="s">
        <v>1425</v>
      </c>
      <c r="F147" s="394">
        <v>43830</v>
      </c>
      <c r="G147" s="297" t="s">
        <v>1426</v>
      </c>
      <c r="H147" s="297" t="s">
        <v>1426</v>
      </c>
      <c r="I147" s="297" t="s">
        <v>1426</v>
      </c>
      <c r="J147" s="297" t="s">
        <v>1426</v>
      </c>
      <c r="K147" s="297" t="s">
        <v>1426</v>
      </c>
      <c r="L147" s="297" t="s">
        <v>1426</v>
      </c>
      <c r="M147" s="297" t="s">
        <v>1426</v>
      </c>
      <c r="N147" s="297" t="s">
        <v>1426</v>
      </c>
      <c r="O147" s="297" t="s">
        <v>1426</v>
      </c>
      <c r="P147" s="394" t="s">
        <v>1426</v>
      </c>
      <c r="Q147" s="297" t="s">
        <v>1426</v>
      </c>
      <c r="R147" s="297" t="s">
        <v>1426</v>
      </c>
      <c r="S147" s="297" t="s">
        <v>1426</v>
      </c>
      <c r="T147" s="297" t="s">
        <v>1425</v>
      </c>
      <c r="U147" s="297" t="s">
        <v>1425</v>
      </c>
      <c r="V147" s="46" t="s">
        <v>1425</v>
      </c>
    </row>
    <row r="148" spans="1:22" x14ac:dyDescent="0.2">
      <c r="A148">
        <v>320358</v>
      </c>
      <c r="B148" s="399" t="s">
        <v>1330</v>
      </c>
      <c r="C148" s="297">
        <v>22</v>
      </c>
      <c r="D148" s="394">
        <v>43890</v>
      </c>
      <c r="E148" s="297" t="s">
        <v>1426</v>
      </c>
      <c r="F148" s="394">
        <v>43830</v>
      </c>
      <c r="G148" s="297" t="s">
        <v>1426</v>
      </c>
      <c r="H148" s="297" t="s">
        <v>1426</v>
      </c>
      <c r="I148" s="297" t="s">
        <v>1426</v>
      </c>
      <c r="J148" s="297" t="s">
        <v>1426</v>
      </c>
      <c r="K148" s="297" t="s">
        <v>1426</v>
      </c>
      <c r="L148" s="297" t="s">
        <v>1426</v>
      </c>
      <c r="M148" s="297" t="s">
        <v>1426</v>
      </c>
      <c r="N148" s="297" t="s">
        <v>1425</v>
      </c>
      <c r="O148" s="297" t="s">
        <v>1425</v>
      </c>
      <c r="P148" s="394" t="s">
        <v>1425</v>
      </c>
      <c r="Q148" s="297" t="s">
        <v>1425</v>
      </c>
      <c r="R148" s="297" t="s">
        <v>1425</v>
      </c>
      <c r="S148" s="297" t="s">
        <v>1425</v>
      </c>
      <c r="T148" s="297" t="s">
        <v>1426</v>
      </c>
      <c r="U148" s="297" t="s">
        <v>1425</v>
      </c>
      <c r="V148" s="46" t="s">
        <v>1426</v>
      </c>
    </row>
    <row r="149" spans="1:22" x14ac:dyDescent="0.2">
      <c r="A149">
        <v>320762</v>
      </c>
      <c r="B149" s="399" t="s">
        <v>310</v>
      </c>
      <c r="C149" s="297">
        <v>22</v>
      </c>
      <c r="D149" s="394">
        <v>43890</v>
      </c>
      <c r="E149" s="297" t="s">
        <v>1425</v>
      </c>
      <c r="F149" s="394">
        <v>43830</v>
      </c>
      <c r="G149" s="297" t="s">
        <v>1426</v>
      </c>
      <c r="H149" s="297" t="s">
        <v>1426</v>
      </c>
      <c r="I149" s="297" t="s">
        <v>1426</v>
      </c>
      <c r="J149" s="297" t="s">
        <v>1426</v>
      </c>
      <c r="K149" s="297" t="s">
        <v>1426</v>
      </c>
      <c r="L149" s="297" t="s">
        <v>1426</v>
      </c>
      <c r="M149" s="297" t="s">
        <v>1426</v>
      </c>
      <c r="N149" s="297" t="s">
        <v>1426</v>
      </c>
      <c r="O149" s="297" t="s">
        <v>1426</v>
      </c>
      <c r="P149" s="394" t="s">
        <v>1426</v>
      </c>
      <c r="Q149" s="297" t="s">
        <v>1426</v>
      </c>
      <c r="R149" s="297" t="s">
        <v>1425</v>
      </c>
      <c r="S149" s="297" t="s">
        <v>1426</v>
      </c>
      <c r="T149" s="297" t="s">
        <v>1425</v>
      </c>
      <c r="U149" s="297" t="s">
        <v>1425</v>
      </c>
      <c r="V149" s="46" t="s">
        <v>1426</v>
      </c>
    </row>
    <row r="150" spans="1:22" x14ac:dyDescent="0.2">
      <c r="A150">
        <v>322479</v>
      </c>
      <c r="B150" s="399" t="s">
        <v>311</v>
      </c>
      <c r="C150" s="297">
        <v>21</v>
      </c>
      <c r="D150" s="394">
        <v>43890</v>
      </c>
      <c r="E150" s="297" t="s">
        <v>1425</v>
      </c>
      <c r="F150" s="394">
        <v>43830</v>
      </c>
      <c r="G150" s="297" t="s">
        <v>1426</v>
      </c>
      <c r="H150" s="297" t="s">
        <v>1426</v>
      </c>
      <c r="I150" s="297" t="s">
        <v>1426</v>
      </c>
      <c r="J150" s="297" t="s">
        <v>1426</v>
      </c>
      <c r="K150" s="297" t="s">
        <v>1426</v>
      </c>
      <c r="L150" s="297" t="s">
        <v>1425</v>
      </c>
      <c r="M150" s="297" t="s">
        <v>1425</v>
      </c>
      <c r="N150" s="297" t="s">
        <v>1425</v>
      </c>
      <c r="O150" s="297" t="s">
        <v>1425</v>
      </c>
      <c r="P150" s="394" t="s">
        <v>1425</v>
      </c>
      <c r="Q150" s="297" t="s">
        <v>1425</v>
      </c>
      <c r="R150" s="297" t="s">
        <v>1425</v>
      </c>
      <c r="S150" s="297" t="s">
        <v>1425</v>
      </c>
      <c r="T150" s="297" t="s">
        <v>1425</v>
      </c>
      <c r="U150" s="297" t="s">
        <v>1425</v>
      </c>
      <c r="V150" s="46" t="s">
        <v>1425</v>
      </c>
    </row>
    <row r="151" spans="1:22" x14ac:dyDescent="0.2">
      <c r="A151">
        <v>324665</v>
      </c>
      <c r="B151" s="399" t="s">
        <v>312</v>
      </c>
      <c r="C151" s="297">
        <v>21</v>
      </c>
      <c r="D151" s="394">
        <v>43890</v>
      </c>
      <c r="E151" s="297" t="s">
        <v>1425</v>
      </c>
      <c r="F151" s="394">
        <v>43830</v>
      </c>
      <c r="G151" s="297" t="s">
        <v>1426</v>
      </c>
      <c r="H151" s="297" t="s">
        <v>1426</v>
      </c>
      <c r="I151" s="297" t="s">
        <v>1426</v>
      </c>
      <c r="J151" s="297" t="s">
        <v>1426</v>
      </c>
      <c r="K151" s="297" t="s">
        <v>1426</v>
      </c>
      <c r="L151" s="297" t="s">
        <v>1426</v>
      </c>
      <c r="M151" s="297" t="s">
        <v>1425</v>
      </c>
      <c r="N151" s="297" t="s">
        <v>1425</v>
      </c>
      <c r="O151" s="297" t="s">
        <v>1426</v>
      </c>
      <c r="P151" s="394" t="s">
        <v>1425</v>
      </c>
      <c r="Q151" s="297" t="s">
        <v>1425</v>
      </c>
      <c r="R151" s="297" t="s">
        <v>1425</v>
      </c>
      <c r="S151" s="297" t="s">
        <v>1425</v>
      </c>
      <c r="T151" s="297" t="s">
        <v>1425</v>
      </c>
      <c r="U151" s="297" t="s">
        <v>1425</v>
      </c>
      <c r="V151" s="46" t="s">
        <v>1425</v>
      </c>
    </row>
    <row r="152" spans="1:22" x14ac:dyDescent="0.2">
      <c r="A152">
        <v>328021</v>
      </c>
      <c r="B152" s="399" t="s">
        <v>314</v>
      </c>
      <c r="C152" s="297">
        <v>23</v>
      </c>
      <c r="D152" s="394">
        <v>43890</v>
      </c>
      <c r="E152" s="297" t="s">
        <v>1425</v>
      </c>
      <c r="F152" s="394">
        <v>43830</v>
      </c>
      <c r="G152" s="297" t="s">
        <v>1426</v>
      </c>
      <c r="H152" s="297" t="s">
        <v>1426</v>
      </c>
      <c r="I152" s="297" t="s">
        <v>1426</v>
      </c>
      <c r="J152" s="297" t="s">
        <v>1426</v>
      </c>
      <c r="K152" s="297" t="s">
        <v>1426</v>
      </c>
      <c r="L152" s="297" t="s">
        <v>1426</v>
      </c>
      <c r="M152" s="297" t="s">
        <v>1425</v>
      </c>
      <c r="N152" s="297" t="s">
        <v>1426</v>
      </c>
      <c r="O152" s="297" t="s">
        <v>1426</v>
      </c>
      <c r="P152" s="394" t="s">
        <v>1426</v>
      </c>
      <c r="Q152" s="297" t="s">
        <v>1426</v>
      </c>
      <c r="R152" s="297" t="s">
        <v>1425</v>
      </c>
      <c r="S152" s="297" t="s">
        <v>1425</v>
      </c>
      <c r="T152" s="297" t="s">
        <v>1425</v>
      </c>
      <c r="U152" s="297" t="s">
        <v>1425</v>
      </c>
      <c r="V152" s="46" t="s">
        <v>1426</v>
      </c>
    </row>
    <row r="153" spans="1:22" x14ac:dyDescent="0.2">
      <c r="A153">
        <v>330746</v>
      </c>
      <c r="B153" s="399" t="s">
        <v>316</v>
      </c>
      <c r="C153" s="297"/>
      <c r="D153" s="394"/>
      <c r="E153" s="297" t="s">
        <v>1425</v>
      </c>
      <c r="F153" s="394">
        <v>43830</v>
      </c>
      <c r="G153" s="297" t="s">
        <v>1426</v>
      </c>
      <c r="H153" s="297" t="s">
        <v>1426</v>
      </c>
      <c r="I153" s="297" t="s">
        <v>1426</v>
      </c>
      <c r="J153" s="297" t="s">
        <v>1426</v>
      </c>
      <c r="K153" s="297" t="s">
        <v>1426</v>
      </c>
      <c r="L153" s="297" t="s">
        <v>1426</v>
      </c>
      <c r="M153" s="297" t="s">
        <v>1426</v>
      </c>
      <c r="N153" s="297" t="s">
        <v>1426</v>
      </c>
      <c r="O153" s="297" t="s">
        <v>1426</v>
      </c>
      <c r="P153" s="394" t="s">
        <v>1426</v>
      </c>
      <c r="Q153" s="297" t="s">
        <v>1426</v>
      </c>
      <c r="R153" s="297" t="s">
        <v>1426</v>
      </c>
      <c r="S153" s="297" t="s">
        <v>1426</v>
      </c>
      <c r="T153" s="297" t="s">
        <v>1425</v>
      </c>
      <c r="U153" s="297" t="s">
        <v>1425</v>
      </c>
      <c r="V153" s="46" t="s">
        <v>1426</v>
      </c>
    </row>
    <row r="154" spans="1:22" x14ac:dyDescent="0.2">
      <c r="A154">
        <v>331686</v>
      </c>
      <c r="B154" s="399" t="s">
        <v>317</v>
      </c>
      <c r="C154" s="297">
        <v>21</v>
      </c>
      <c r="D154" s="394">
        <v>43890</v>
      </c>
      <c r="E154" s="297" t="s">
        <v>1425</v>
      </c>
      <c r="F154" s="394">
        <v>43830</v>
      </c>
      <c r="G154" s="297" t="s">
        <v>1426</v>
      </c>
      <c r="H154" s="297" t="s">
        <v>1426</v>
      </c>
      <c r="I154" s="297" t="s">
        <v>1426</v>
      </c>
      <c r="J154" s="297" t="s">
        <v>1426</v>
      </c>
      <c r="K154" s="297" t="s">
        <v>1426</v>
      </c>
      <c r="L154" s="297" t="s">
        <v>1426</v>
      </c>
      <c r="M154" s="297" t="s">
        <v>1426</v>
      </c>
      <c r="N154" s="297" t="s">
        <v>1426</v>
      </c>
      <c r="O154" s="297" t="s">
        <v>1426</v>
      </c>
      <c r="P154" s="394" t="s">
        <v>1426</v>
      </c>
      <c r="Q154" s="297" t="s">
        <v>1426</v>
      </c>
      <c r="R154" s="297" t="s">
        <v>1426</v>
      </c>
      <c r="S154" s="297" t="s">
        <v>1426</v>
      </c>
      <c r="T154" s="297" t="s">
        <v>1425</v>
      </c>
      <c r="U154" s="297" t="s">
        <v>1425</v>
      </c>
      <c r="V154" s="46" t="s">
        <v>1426</v>
      </c>
    </row>
    <row r="155" spans="1:22" x14ac:dyDescent="0.2">
      <c r="A155">
        <v>331983</v>
      </c>
      <c r="B155" s="399" t="s">
        <v>318</v>
      </c>
      <c r="C155" s="297"/>
      <c r="D155" s="394"/>
      <c r="E155" s="297" t="s">
        <v>1425</v>
      </c>
      <c r="F155" s="394">
        <v>43830</v>
      </c>
      <c r="G155" s="297" t="s">
        <v>1426</v>
      </c>
      <c r="H155" s="297" t="s">
        <v>1426</v>
      </c>
      <c r="I155" s="297" t="s">
        <v>1426</v>
      </c>
      <c r="J155" s="297" t="s">
        <v>1426</v>
      </c>
      <c r="K155" s="297" t="s">
        <v>1426</v>
      </c>
      <c r="L155" s="297" t="s">
        <v>1426</v>
      </c>
      <c r="M155" s="297" t="s">
        <v>1425</v>
      </c>
      <c r="N155" s="297" t="s">
        <v>1425</v>
      </c>
      <c r="O155" s="297" t="s">
        <v>1426</v>
      </c>
      <c r="P155" s="394" t="s">
        <v>1425</v>
      </c>
      <c r="Q155" s="297" t="s">
        <v>1425</v>
      </c>
      <c r="R155" s="297" t="s">
        <v>1425</v>
      </c>
      <c r="S155" s="297" t="s">
        <v>1426</v>
      </c>
      <c r="T155" s="297" t="s">
        <v>1425</v>
      </c>
      <c r="U155" s="297" t="s">
        <v>1425</v>
      </c>
      <c r="V155" s="46" t="s">
        <v>1425</v>
      </c>
    </row>
    <row r="156" spans="1:22" x14ac:dyDescent="0.2">
      <c r="A156">
        <v>332156</v>
      </c>
      <c r="B156" s="399" t="s">
        <v>319</v>
      </c>
      <c r="C156" s="297">
        <v>19</v>
      </c>
      <c r="D156" s="394">
        <v>43890</v>
      </c>
      <c r="E156" s="297" t="s">
        <v>1425</v>
      </c>
      <c r="F156" s="394">
        <v>43830</v>
      </c>
      <c r="G156" s="297" t="s">
        <v>1426</v>
      </c>
      <c r="H156" s="297" t="s">
        <v>1426</v>
      </c>
      <c r="I156" s="297" t="s">
        <v>1426</v>
      </c>
      <c r="J156" s="297" t="s">
        <v>1426</v>
      </c>
      <c r="K156" s="297" t="s">
        <v>1426</v>
      </c>
      <c r="L156" s="297" t="s">
        <v>1426</v>
      </c>
      <c r="M156" s="297" t="s">
        <v>1426</v>
      </c>
      <c r="N156" s="297" t="s">
        <v>1426</v>
      </c>
      <c r="O156" s="297" t="s">
        <v>1426</v>
      </c>
      <c r="P156" s="394" t="s">
        <v>1426</v>
      </c>
      <c r="Q156" s="297" t="s">
        <v>1426</v>
      </c>
      <c r="R156" s="297" t="s">
        <v>1426</v>
      </c>
      <c r="S156" s="297" t="s">
        <v>1426</v>
      </c>
      <c r="T156" s="297" t="s">
        <v>1426</v>
      </c>
      <c r="U156" s="297" t="s">
        <v>1425</v>
      </c>
      <c r="V156" s="46" t="s">
        <v>1425</v>
      </c>
    </row>
    <row r="157" spans="1:22" x14ac:dyDescent="0.2">
      <c r="A157">
        <v>334409</v>
      </c>
      <c r="B157" s="399" t="s">
        <v>1332</v>
      </c>
      <c r="C157" s="297">
        <v>27</v>
      </c>
      <c r="D157" s="394">
        <v>43890</v>
      </c>
      <c r="E157" s="297" t="s">
        <v>1425</v>
      </c>
      <c r="F157" s="394">
        <v>43830</v>
      </c>
      <c r="G157" s="297" t="s">
        <v>1426</v>
      </c>
      <c r="H157" s="297" t="s">
        <v>1426</v>
      </c>
      <c r="I157" s="297" t="s">
        <v>1426</v>
      </c>
      <c r="J157" s="297" t="s">
        <v>1425</v>
      </c>
      <c r="K157" s="297" t="s">
        <v>1425</v>
      </c>
      <c r="L157" s="297" t="s">
        <v>1425</v>
      </c>
      <c r="M157" s="297" t="s">
        <v>1425</v>
      </c>
      <c r="N157" s="297" t="s">
        <v>1425</v>
      </c>
      <c r="O157" s="297" t="s">
        <v>1425</v>
      </c>
      <c r="P157" s="394" t="s">
        <v>1425</v>
      </c>
      <c r="Q157" s="297" t="s">
        <v>1425</v>
      </c>
      <c r="R157" s="297" t="s">
        <v>1425</v>
      </c>
      <c r="S157" s="297" t="s">
        <v>1425</v>
      </c>
      <c r="T157" s="297" t="s">
        <v>1425</v>
      </c>
      <c r="U157" s="297" t="s">
        <v>1425</v>
      </c>
      <c r="V157" s="46" t="s">
        <v>1425</v>
      </c>
    </row>
    <row r="158" spans="1:22" x14ac:dyDescent="0.2">
      <c r="A158">
        <v>336115</v>
      </c>
      <c r="B158" s="399" t="s">
        <v>321</v>
      </c>
      <c r="C158" s="297"/>
      <c r="D158" s="394"/>
      <c r="E158" s="297" t="s">
        <v>1425</v>
      </c>
      <c r="F158" s="394">
        <v>43830</v>
      </c>
      <c r="G158" s="297" t="s">
        <v>1427</v>
      </c>
      <c r="H158" s="297" t="s">
        <v>1427</v>
      </c>
      <c r="I158" s="297" t="s">
        <v>1427</v>
      </c>
      <c r="J158" s="297" t="s">
        <v>1427</v>
      </c>
      <c r="K158" s="297" t="s">
        <v>1427</v>
      </c>
      <c r="L158" s="297" t="s">
        <v>1427</v>
      </c>
      <c r="M158" s="297" t="s">
        <v>1427</v>
      </c>
      <c r="N158" s="297" t="s">
        <v>1427</v>
      </c>
      <c r="O158" s="297" t="s">
        <v>1427</v>
      </c>
      <c r="P158" s="394" t="s">
        <v>1427</v>
      </c>
      <c r="Q158" s="297" t="s">
        <v>1427</v>
      </c>
      <c r="R158" s="297" t="s">
        <v>1427</v>
      </c>
      <c r="S158" s="297" t="s">
        <v>1427</v>
      </c>
      <c r="T158" s="297" t="s">
        <v>1427</v>
      </c>
      <c r="U158" s="297" t="s">
        <v>1427</v>
      </c>
      <c r="V158" s="46" t="s">
        <v>1427</v>
      </c>
    </row>
    <row r="159" spans="1:22" x14ac:dyDescent="0.2">
      <c r="A159">
        <v>336826</v>
      </c>
      <c r="B159" s="399" t="s">
        <v>322</v>
      </c>
      <c r="C159" s="297">
        <v>21</v>
      </c>
      <c r="D159" s="394">
        <v>43890</v>
      </c>
      <c r="E159" s="297" t="s">
        <v>1426</v>
      </c>
      <c r="F159" s="394">
        <v>43830</v>
      </c>
      <c r="G159" s="297" t="s">
        <v>1426</v>
      </c>
      <c r="H159" s="297" t="s">
        <v>1426</v>
      </c>
      <c r="I159" s="297" t="s">
        <v>1426</v>
      </c>
      <c r="J159" s="297" t="s">
        <v>1426</v>
      </c>
      <c r="K159" s="297" t="s">
        <v>1426</v>
      </c>
      <c r="L159" s="297" t="s">
        <v>1426</v>
      </c>
      <c r="M159" s="297" t="s">
        <v>1426</v>
      </c>
      <c r="N159" s="297" t="s">
        <v>1425</v>
      </c>
      <c r="O159" s="297" t="s">
        <v>1425</v>
      </c>
      <c r="P159" s="394" t="s">
        <v>1425</v>
      </c>
      <c r="Q159" s="297" t="s">
        <v>1425</v>
      </c>
      <c r="R159" s="297" t="s">
        <v>1425</v>
      </c>
      <c r="S159" s="297" t="s">
        <v>1425</v>
      </c>
      <c r="T159" s="297" t="s">
        <v>1426</v>
      </c>
      <c r="U159" s="297" t="s">
        <v>1425</v>
      </c>
      <c r="V159" s="46" t="s">
        <v>1426</v>
      </c>
    </row>
    <row r="160" spans="1:22" x14ac:dyDescent="0.2">
      <c r="A160">
        <v>338590</v>
      </c>
      <c r="B160" s="399" t="s">
        <v>1457</v>
      </c>
      <c r="C160" s="297">
        <v>34</v>
      </c>
      <c r="D160" s="394">
        <v>43890</v>
      </c>
      <c r="E160" s="297" t="s">
        <v>1425</v>
      </c>
      <c r="F160" s="394">
        <v>43830</v>
      </c>
      <c r="G160" s="297" t="s">
        <v>1426</v>
      </c>
      <c r="H160" s="297" t="s">
        <v>1426</v>
      </c>
      <c r="I160" s="297" t="s">
        <v>1426</v>
      </c>
      <c r="J160" s="297" t="s">
        <v>1426</v>
      </c>
      <c r="K160" s="297" t="s">
        <v>1426</v>
      </c>
      <c r="L160" s="297" t="s">
        <v>1426</v>
      </c>
      <c r="M160" s="297" t="s">
        <v>1426</v>
      </c>
      <c r="N160" s="297" t="s">
        <v>1425</v>
      </c>
      <c r="O160" s="297" t="s">
        <v>1425</v>
      </c>
      <c r="P160" s="394" t="s">
        <v>1425</v>
      </c>
      <c r="Q160" s="297" t="s">
        <v>1425</v>
      </c>
      <c r="R160" s="297" t="s">
        <v>1425</v>
      </c>
      <c r="S160" s="297" t="s">
        <v>1425</v>
      </c>
      <c r="T160" s="297" t="s">
        <v>1426</v>
      </c>
      <c r="U160" s="297" t="s">
        <v>1425</v>
      </c>
      <c r="V160" s="46" t="s">
        <v>1426</v>
      </c>
    </row>
    <row r="161" spans="1:22" x14ac:dyDescent="0.2">
      <c r="A161">
        <v>339184</v>
      </c>
      <c r="B161" s="399" t="s">
        <v>592</v>
      </c>
      <c r="C161" s="297">
        <v>20</v>
      </c>
      <c r="D161" s="394">
        <v>43890</v>
      </c>
      <c r="E161" s="297" t="s">
        <v>1425</v>
      </c>
      <c r="F161" s="394">
        <v>43830</v>
      </c>
      <c r="G161" s="297" t="s">
        <v>1426</v>
      </c>
      <c r="H161" s="297" t="s">
        <v>1426</v>
      </c>
      <c r="I161" s="297" t="s">
        <v>1426</v>
      </c>
      <c r="J161" s="297" t="s">
        <v>1426</v>
      </c>
      <c r="K161" s="297" t="s">
        <v>1426</v>
      </c>
      <c r="L161" s="297" t="s">
        <v>1426</v>
      </c>
      <c r="M161" s="297" t="s">
        <v>1426</v>
      </c>
      <c r="N161" s="297" t="s">
        <v>1426</v>
      </c>
      <c r="O161" s="297" t="s">
        <v>1426</v>
      </c>
      <c r="P161" s="394" t="s">
        <v>1426</v>
      </c>
      <c r="Q161" s="297" t="s">
        <v>1426</v>
      </c>
      <c r="R161" s="297" t="s">
        <v>1426</v>
      </c>
      <c r="S161" s="297" t="s">
        <v>1426</v>
      </c>
      <c r="T161" s="297" t="s">
        <v>1426</v>
      </c>
      <c r="U161" s="297" t="s">
        <v>1425</v>
      </c>
      <c r="V161" s="46" t="s">
        <v>1426</v>
      </c>
    </row>
    <row r="162" spans="1:22" x14ac:dyDescent="0.2">
      <c r="A162">
        <v>339473</v>
      </c>
      <c r="B162" s="399" t="s">
        <v>614</v>
      </c>
      <c r="C162" s="297">
        <v>24</v>
      </c>
      <c r="D162" s="394">
        <v>43890</v>
      </c>
      <c r="E162" s="297" t="s">
        <v>1425</v>
      </c>
      <c r="F162" s="394">
        <v>43830</v>
      </c>
      <c r="G162" s="297" t="s">
        <v>1426</v>
      </c>
      <c r="H162" s="297" t="s">
        <v>1426</v>
      </c>
      <c r="I162" s="297" t="s">
        <v>1426</v>
      </c>
      <c r="J162" s="297" t="s">
        <v>1426</v>
      </c>
      <c r="K162" s="297" t="s">
        <v>1426</v>
      </c>
      <c r="L162" s="297" t="s">
        <v>1426</v>
      </c>
      <c r="M162" s="297" t="s">
        <v>1426</v>
      </c>
      <c r="N162" s="297" t="s">
        <v>1425</v>
      </c>
      <c r="O162" s="297" t="s">
        <v>1426</v>
      </c>
      <c r="P162" s="394" t="s">
        <v>1426</v>
      </c>
      <c r="Q162" s="297" t="s">
        <v>1425</v>
      </c>
      <c r="R162" s="297" t="s">
        <v>1425</v>
      </c>
      <c r="S162" s="297" t="s">
        <v>1425</v>
      </c>
      <c r="T162" s="297" t="s">
        <v>1425</v>
      </c>
      <c r="U162" s="297" t="s">
        <v>1425</v>
      </c>
      <c r="V162" s="46" t="s">
        <v>1425</v>
      </c>
    </row>
    <row r="163" spans="1:22" x14ac:dyDescent="0.2">
      <c r="A163">
        <v>341362</v>
      </c>
      <c r="B163" s="399" t="s">
        <v>323</v>
      </c>
      <c r="C163" s="297">
        <v>28</v>
      </c>
      <c r="D163" s="394">
        <v>43890</v>
      </c>
      <c r="E163" s="297" t="s">
        <v>1425</v>
      </c>
      <c r="F163" s="394">
        <v>43830</v>
      </c>
      <c r="G163" s="297" t="s">
        <v>1426</v>
      </c>
      <c r="H163" s="297" t="s">
        <v>1426</v>
      </c>
      <c r="I163" s="297" t="s">
        <v>1426</v>
      </c>
      <c r="J163" s="297" t="s">
        <v>1426</v>
      </c>
      <c r="K163" s="297" t="s">
        <v>1426</v>
      </c>
      <c r="L163" s="297" t="s">
        <v>1426</v>
      </c>
      <c r="M163" s="297" t="s">
        <v>1425</v>
      </c>
      <c r="N163" s="297" t="s">
        <v>1425</v>
      </c>
      <c r="O163" s="297" t="s">
        <v>1425</v>
      </c>
      <c r="P163" s="394" t="s">
        <v>1425</v>
      </c>
      <c r="Q163" s="297" t="s">
        <v>1425</v>
      </c>
      <c r="R163" s="297" t="s">
        <v>1425</v>
      </c>
      <c r="S163" s="297" t="s">
        <v>1425</v>
      </c>
      <c r="T163" s="297" t="s">
        <v>1425</v>
      </c>
      <c r="U163" s="297" t="s">
        <v>1425</v>
      </c>
      <c r="V163" s="46" t="s">
        <v>1426</v>
      </c>
    </row>
    <row r="164" spans="1:22" x14ac:dyDescent="0.2">
      <c r="A164">
        <v>344739</v>
      </c>
      <c r="B164" s="399" t="s">
        <v>615</v>
      </c>
      <c r="C164" s="297">
        <v>21</v>
      </c>
      <c r="D164" s="394">
        <v>43890</v>
      </c>
      <c r="E164" s="297" t="s">
        <v>1426</v>
      </c>
      <c r="F164" s="394">
        <v>43830</v>
      </c>
      <c r="G164" s="297" t="s">
        <v>1425</v>
      </c>
      <c r="H164" s="297" t="s">
        <v>1426</v>
      </c>
      <c r="I164" s="297" t="s">
        <v>1426</v>
      </c>
      <c r="J164" s="297" t="s">
        <v>1426</v>
      </c>
      <c r="K164" s="297" t="s">
        <v>1426</v>
      </c>
      <c r="L164" s="297" t="s">
        <v>1426</v>
      </c>
      <c r="M164" s="297" t="s">
        <v>1426</v>
      </c>
      <c r="N164" s="297" t="s">
        <v>1426</v>
      </c>
      <c r="O164" s="297" t="s">
        <v>1426</v>
      </c>
      <c r="P164" s="394" t="s">
        <v>1426</v>
      </c>
      <c r="Q164" s="297" t="s">
        <v>1426</v>
      </c>
      <c r="R164" s="297" t="s">
        <v>1426</v>
      </c>
      <c r="S164" s="297" t="s">
        <v>1426</v>
      </c>
      <c r="T164" s="297" t="s">
        <v>1425</v>
      </c>
      <c r="U164" s="297" t="s">
        <v>1425</v>
      </c>
      <c r="V164" s="46" t="s">
        <v>1425</v>
      </c>
    </row>
    <row r="165" spans="1:22" x14ac:dyDescent="0.2">
      <c r="A165">
        <v>349150</v>
      </c>
      <c r="B165" s="399" t="s">
        <v>1458</v>
      </c>
      <c r="C165" s="297">
        <v>25</v>
      </c>
      <c r="D165" s="394">
        <v>43890</v>
      </c>
      <c r="E165" s="297" t="s">
        <v>1425</v>
      </c>
      <c r="F165" s="394">
        <v>43830</v>
      </c>
      <c r="G165" s="297" t="s">
        <v>1426</v>
      </c>
      <c r="H165" s="297" t="s">
        <v>1426</v>
      </c>
      <c r="I165" s="297" t="s">
        <v>1426</v>
      </c>
      <c r="J165" s="297" t="s">
        <v>1426</v>
      </c>
      <c r="K165" s="297" t="s">
        <v>1426</v>
      </c>
      <c r="L165" s="297" t="s">
        <v>1426</v>
      </c>
      <c r="M165" s="297" t="s">
        <v>1425</v>
      </c>
      <c r="N165" s="297" t="s">
        <v>1425</v>
      </c>
      <c r="O165" s="297" t="s">
        <v>1425</v>
      </c>
      <c r="P165" s="394" t="s">
        <v>1425</v>
      </c>
      <c r="Q165" s="297" t="s">
        <v>1425</v>
      </c>
      <c r="R165" s="297" t="s">
        <v>1425</v>
      </c>
      <c r="S165" s="297" t="s">
        <v>1425</v>
      </c>
      <c r="T165" s="297" t="s">
        <v>1425</v>
      </c>
      <c r="U165" s="297" t="s">
        <v>1425</v>
      </c>
      <c r="V165" s="46" t="s">
        <v>1426</v>
      </c>
    </row>
    <row r="166" spans="1:22" x14ac:dyDescent="0.2">
      <c r="A166">
        <v>350512</v>
      </c>
      <c r="B166" s="399" t="s">
        <v>593</v>
      </c>
      <c r="C166" s="297">
        <v>22</v>
      </c>
      <c r="D166" s="394">
        <v>43890</v>
      </c>
      <c r="E166" s="297" t="s">
        <v>1426</v>
      </c>
      <c r="F166" s="394">
        <v>43830</v>
      </c>
      <c r="G166" s="297" t="s">
        <v>1426</v>
      </c>
      <c r="H166" s="297" t="s">
        <v>1426</v>
      </c>
      <c r="I166" s="297" t="s">
        <v>1426</v>
      </c>
      <c r="J166" s="297" t="s">
        <v>1426</v>
      </c>
      <c r="K166" s="297" t="s">
        <v>1426</v>
      </c>
      <c r="L166" s="297" t="s">
        <v>1426</v>
      </c>
      <c r="M166" s="297" t="s">
        <v>1426</v>
      </c>
      <c r="N166" s="297" t="s">
        <v>1426</v>
      </c>
      <c r="O166" s="297" t="s">
        <v>1426</v>
      </c>
      <c r="P166" s="394" t="s">
        <v>1426</v>
      </c>
      <c r="Q166" s="297" t="s">
        <v>1426</v>
      </c>
      <c r="R166" s="297" t="s">
        <v>1426</v>
      </c>
      <c r="S166" s="297" t="s">
        <v>1426</v>
      </c>
      <c r="T166" s="297" t="s">
        <v>1425</v>
      </c>
      <c r="U166" s="297" t="s">
        <v>1425</v>
      </c>
      <c r="V166" s="46" t="s">
        <v>1426</v>
      </c>
    </row>
    <row r="167" spans="1:22" x14ac:dyDescent="0.2">
      <c r="A167">
        <v>352872</v>
      </c>
      <c r="B167" s="399" t="s">
        <v>324</v>
      </c>
      <c r="C167" s="297">
        <v>23</v>
      </c>
      <c r="D167" s="394">
        <v>43890</v>
      </c>
      <c r="E167" s="297" t="s">
        <v>1425</v>
      </c>
      <c r="F167" s="394">
        <v>43830</v>
      </c>
      <c r="G167" s="297" t="s">
        <v>1426</v>
      </c>
      <c r="H167" s="297" t="s">
        <v>1426</v>
      </c>
      <c r="I167" s="297" t="s">
        <v>1426</v>
      </c>
      <c r="J167" s="297" t="s">
        <v>1426</v>
      </c>
      <c r="K167" s="297" t="s">
        <v>1426</v>
      </c>
      <c r="L167" s="297" t="s">
        <v>1426</v>
      </c>
      <c r="M167" s="297" t="s">
        <v>1425</v>
      </c>
      <c r="N167" s="297" t="s">
        <v>1425</v>
      </c>
      <c r="O167" s="297" t="s">
        <v>1426</v>
      </c>
      <c r="P167" s="394" t="s">
        <v>1425</v>
      </c>
      <c r="Q167" s="297" t="s">
        <v>1425</v>
      </c>
      <c r="R167" s="297" t="s">
        <v>1425</v>
      </c>
      <c r="S167" s="297" t="s">
        <v>1426</v>
      </c>
      <c r="T167" s="297" t="s">
        <v>1426</v>
      </c>
      <c r="U167" s="297" t="s">
        <v>1425</v>
      </c>
      <c r="V167" s="46" t="s">
        <v>1426</v>
      </c>
    </row>
    <row r="168" spans="1:22" x14ac:dyDescent="0.2">
      <c r="A168">
        <v>354290</v>
      </c>
      <c r="B168" s="399" t="s">
        <v>325</v>
      </c>
      <c r="C168" s="297">
        <v>24</v>
      </c>
      <c r="D168" s="394">
        <v>43890</v>
      </c>
      <c r="E168" s="297" t="s">
        <v>1425</v>
      </c>
      <c r="F168" s="394">
        <v>43830</v>
      </c>
      <c r="G168" s="297" t="s">
        <v>1426</v>
      </c>
      <c r="H168" s="297" t="s">
        <v>1426</v>
      </c>
      <c r="I168" s="297" t="s">
        <v>1426</v>
      </c>
      <c r="J168" s="297" t="s">
        <v>1426</v>
      </c>
      <c r="K168" s="297" t="s">
        <v>1426</v>
      </c>
      <c r="L168" s="297" t="s">
        <v>1426</v>
      </c>
      <c r="M168" s="297" t="s">
        <v>1425</v>
      </c>
      <c r="N168" s="297" t="s">
        <v>1425</v>
      </c>
      <c r="O168" s="297" t="s">
        <v>1426</v>
      </c>
      <c r="P168" s="394" t="s">
        <v>1425</v>
      </c>
      <c r="Q168" s="297" t="s">
        <v>1425</v>
      </c>
      <c r="R168" s="297" t="s">
        <v>1425</v>
      </c>
      <c r="S168" s="297" t="s">
        <v>1426</v>
      </c>
      <c r="T168" s="297" t="s">
        <v>1425</v>
      </c>
      <c r="U168" s="297" t="s">
        <v>1425</v>
      </c>
      <c r="V168" s="46" t="s">
        <v>1425</v>
      </c>
    </row>
    <row r="169" spans="1:22" x14ac:dyDescent="0.2">
      <c r="A169">
        <v>356063</v>
      </c>
      <c r="B169" s="399" t="s">
        <v>326</v>
      </c>
      <c r="C169" s="297">
        <v>25</v>
      </c>
      <c r="D169" s="394">
        <v>43890</v>
      </c>
      <c r="E169" s="297" t="s">
        <v>1425</v>
      </c>
      <c r="F169" s="394">
        <v>43830</v>
      </c>
      <c r="G169" s="297" t="s">
        <v>1426</v>
      </c>
      <c r="H169" s="297" t="s">
        <v>1426</v>
      </c>
      <c r="I169" s="297" t="s">
        <v>1426</v>
      </c>
      <c r="J169" s="297" t="s">
        <v>1426</v>
      </c>
      <c r="K169" s="297" t="s">
        <v>1426</v>
      </c>
      <c r="L169" s="297" t="s">
        <v>1426</v>
      </c>
      <c r="M169" s="297" t="s">
        <v>1426</v>
      </c>
      <c r="N169" s="297" t="s">
        <v>1425</v>
      </c>
      <c r="O169" s="297" t="s">
        <v>1426</v>
      </c>
      <c r="P169" s="394" t="s">
        <v>1425</v>
      </c>
      <c r="Q169" s="297" t="s">
        <v>1426</v>
      </c>
      <c r="R169" s="297" t="s">
        <v>1426</v>
      </c>
      <c r="S169" s="297" t="s">
        <v>1425</v>
      </c>
      <c r="T169" s="297" t="s">
        <v>1426</v>
      </c>
      <c r="U169" s="297" t="s">
        <v>1426</v>
      </c>
      <c r="V169" s="46" t="s">
        <v>1425</v>
      </c>
    </row>
    <row r="170" spans="1:22" x14ac:dyDescent="0.2">
      <c r="A170">
        <v>357483</v>
      </c>
      <c r="B170" s="399" t="s">
        <v>327</v>
      </c>
      <c r="C170" s="297">
        <v>21</v>
      </c>
      <c r="D170" s="394">
        <v>43890</v>
      </c>
      <c r="E170" s="297" t="s">
        <v>1425</v>
      </c>
      <c r="F170" s="394">
        <v>43830</v>
      </c>
      <c r="G170" s="297" t="s">
        <v>1426</v>
      </c>
      <c r="H170" s="297" t="s">
        <v>1426</v>
      </c>
      <c r="I170" s="297" t="s">
        <v>1426</v>
      </c>
      <c r="J170" s="297" t="s">
        <v>1426</v>
      </c>
      <c r="K170" s="297" t="s">
        <v>1426</v>
      </c>
      <c r="L170" s="297" t="s">
        <v>1426</v>
      </c>
      <c r="M170" s="297" t="s">
        <v>1426</v>
      </c>
      <c r="N170" s="297" t="s">
        <v>1426</v>
      </c>
      <c r="O170" s="297" t="s">
        <v>1426</v>
      </c>
      <c r="P170" s="394" t="s">
        <v>1426</v>
      </c>
      <c r="Q170" s="297" t="s">
        <v>1426</v>
      </c>
      <c r="R170" s="297" t="s">
        <v>1425</v>
      </c>
      <c r="S170" s="297" t="s">
        <v>1426</v>
      </c>
      <c r="T170" s="297" t="s">
        <v>1425</v>
      </c>
      <c r="U170" s="297" t="s">
        <v>1425</v>
      </c>
      <c r="V170" s="46" t="s">
        <v>1425</v>
      </c>
    </row>
    <row r="171" spans="1:22" x14ac:dyDescent="0.2">
      <c r="A171">
        <v>357658</v>
      </c>
      <c r="B171" s="399" t="s">
        <v>1358</v>
      </c>
      <c r="C171" s="297">
        <v>21</v>
      </c>
      <c r="D171" s="394">
        <v>43890</v>
      </c>
      <c r="E171" s="297" t="s">
        <v>1426</v>
      </c>
      <c r="F171" s="394">
        <v>43830</v>
      </c>
      <c r="G171" s="297" t="s">
        <v>1426</v>
      </c>
      <c r="H171" s="297" t="s">
        <v>1426</v>
      </c>
      <c r="I171" s="297" t="s">
        <v>1426</v>
      </c>
      <c r="J171" s="297" t="s">
        <v>1426</v>
      </c>
      <c r="K171" s="297" t="s">
        <v>1426</v>
      </c>
      <c r="L171" s="297" t="s">
        <v>1426</v>
      </c>
      <c r="M171" s="297" t="s">
        <v>1426</v>
      </c>
      <c r="N171" s="297" t="s">
        <v>1426</v>
      </c>
      <c r="O171" s="297" t="s">
        <v>1426</v>
      </c>
      <c r="P171" s="394" t="s">
        <v>1426</v>
      </c>
      <c r="Q171" s="297" t="s">
        <v>1426</v>
      </c>
      <c r="R171" s="297" t="s">
        <v>1426</v>
      </c>
      <c r="S171" s="297" t="s">
        <v>1426</v>
      </c>
      <c r="T171" s="297" t="s">
        <v>1425</v>
      </c>
      <c r="U171" s="297" t="s">
        <v>1425</v>
      </c>
      <c r="V171" s="46" t="s">
        <v>1426</v>
      </c>
    </row>
    <row r="172" spans="1:22" x14ac:dyDescent="0.2">
      <c r="A172">
        <v>359315</v>
      </c>
      <c r="B172" s="399" t="s">
        <v>102</v>
      </c>
      <c r="C172" s="297">
        <v>22</v>
      </c>
      <c r="D172" s="394">
        <v>43890</v>
      </c>
      <c r="E172" s="297" t="s">
        <v>1426</v>
      </c>
      <c r="F172" s="394">
        <v>43830</v>
      </c>
      <c r="G172" s="297" t="s">
        <v>1426</v>
      </c>
      <c r="H172" s="297" t="s">
        <v>1426</v>
      </c>
      <c r="I172" s="297" t="s">
        <v>1426</v>
      </c>
      <c r="J172" s="297" t="s">
        <v>1426</v>
      </c>
      <c r="K172" s="297" t="s">
        <v>1426</v>
      </c>
      <c r="L172" s="297" t="s">
        <v>1426</v>
      </c>
      <c r="M172" s="297" t="s">
        <v>1426</v>
      </c>
      <c r="N172" s="297" t="s">
        <v>1426</v>
      </c>
      <c r="O172" s="297" t="s">
        <v>1426</v>
      </c>
      <c r="P172" s="394" t="s">
        <v>1426</v>
      </c>
      <c r="Q172" s="297" t="s">
        <v>1426</v>
      </c>
      <c r="R172" s="297" t="s">
        <v>1426</v>
      </c>
      <c r="S172" s="297" t="s">
        <v>1425</v>
      </c>
      <c r="T172" s="297" t="s">
        <v>1426</v>
      </c>
      <c r="U172" s="297" t="s">
        <v>1425</v>
      </c>
      <c r="V172" s="46" t="s">
        <v>1426</v>
      </c>
    </row>
    <row r="173" spans="1:22" x14ac:dyDescent="0.2">
      <c r="A173">
        <v>360495</v>
      </c>
      <c r="B173" s="399" t="s">
        <v>594</v>
      </c>
      <c r="C173" s="297">
        <v>25</v>
      </c>
      <c r="D173" s="394">
        <v>43890</v>
      </c>
      <c r="E173" s="297" t="s">
        <v>1425</v>
      </c>
      <c r="F173" s="394">
        <v>43830</v>
      </c>
      <c r="G173" s="297" t="s">
        <v>1426</v>
      </c>
      <c r="H173" s="297" t="s">
        <v>1426</v>
      </c>
      <c r="I173" s="297" t="s">
        <v>1426</v>
      </c>
      <c r="J173" s="297" t="s">
        <v>1426</v>
      </c>
      <c r="K173" s="297" t="s">
        <v>1426</v>
      </c>
      <c r="L173" s="297" t="s">
        <v>1426</v>
      </c>
      <c r="M173" s="297" t="s">
        <v>1425</v>
      </c>
      <c r="N173" s="297" t="s">
        <v>1425</v>
      </c>
      <c r="O173" s="297" t="s">
        <v>1426</v>
      </c>
      <c r="P173" s="394" t="s">
        <v>1425</v>
      </c>
      <c r="Q173" s="297" t="s">
        <v>1425</v>
      </c>
      <c r="R173" s="297" t="s">
        <v>1425</v>
      </c>
      <c r="S173" s="297" t="s">
        <v>1425</v>
      </c>
      <c r="T173" s="297" t="s">
        <v>1425</v>
      </c>
      <c r="U173" s="297" t="s">
        <v>1425</v>
      </c>
      <c r="V173" s="46" t="s">
        <v>1425</v>
      </c>
    </row>
    <row r="174" spans="1:22" x14ac:dyDescent="0.2">
      <c r="A174">
        <v>362020</v>
      </c>
      <c r="B174" s="399" t="s">
        <v>328</v>
      </c>
      <c r="C174" s="297">
        <v>22</v>
      </c>
      <c r="D174" s="394">
        <v>43890</v>
      </c>
      <c r="E174" s="297" t="s">
        <v>1426</v>
      </c>
      <c r="F174" s="394">
        <v>43830</v>
      </c>
      <c r="G174" s="297" t="s">
        <v>1426</v>
      </c>
      <c r="H174" s="297" t="s">
        <v>1426</v>
      </c>
      <c r="I174" s="297" t="s">
        <v>1426</v>
      </c>
      <c r="J174" s="297" t="s">
        <v>1426</v>
      </c>
      <c r="K174" s="297" t="s">
        <v>1426</v>
      </c>
      <c r="L174" s="297" t="s">
        <v>1426</v>
      </c>
      <c r="M174" s="297" t="s">
        <v>1426</v>
      </c>
      <c r="N174" s="297" t="s">
        <v>1426</v>
      </c>
      <c r="O174" s="297" t="s">
        <v>1426</v>
      </c>
      <c r="P174" s="394" t="s">
        <v>1426</v>
      </c>
      <c r="Q174" s="297" t="s">
        <v>1426</v>
      </c>
      <c r="R174" s="297" t="s">
        <v>1426</v>
      </c>
      <c r="S174" s="297" t="s">
        <v>1425</v>
      </c>
      <c r="T174" s="297" t="s">
        <v>1425</v>
      </c>
      <c r="U174" s="297" t="s">
        <v>1425</v>
      </c>
      <c r="V174" s="46" t="s">
        <v>1426</v>
      </c>
    </row>
    <row r="175" spans="1:22" x14ac:dyDescent="0.2">
      <c r="A175">
        <v>362327</v>
      </c>
      <c r="B175" s="399" t="s">
        <v>329</v>
      </c>
      <c r="C175" s="297">
        <v>27</v>
      </c>
      <c r="D175" s="394">
        <v>43890</v>
      </c>
      <c r="E175" s="297" t="s">
        <v>1425</v>
      </c>
      <c r="F175" s="394">
        <v>43830</v>
      </c>
      <c r="G175" s="297" t="s">
        <v>1426</v>
      </c>
      <c r="H175" s="297" t="s">
        <v>1426</v>
      </c>
      <c r="I175" s="297" t="s">
        <v>1426</v>
      </c>
      <c r="J175" s="297" t="s">
        <v>1426</v>
      </c>
      <c r="K175" s="297" t="s">
        <v>1426</v>
      </c>
      <c r="L175" s="297" t="s">
        <v>1426</v>
      </c>
      <c r="M175" s="297" t="s">
        <v>1425</v>
      </c>
      <c r="N175" s="297" t="s">
        <v>1425</v>
      </c>
      <c r="O175" s="297" t="s">
        <v>1426</v>
      </c>
      <c r="P175" s="394" t="s">
        <v>1425</v>
      </c>
      <c r="Q175" s="297" t="s">
        <v>1426</v>
      </c>
      <c r="R175" s="297" t="s">
        <v>1425</v>
      </c>
      <c r="S175" s="297" t="s">
        <v>1426</v>
      </c>
      <c r="T175" s="297" t="s">
        <v>1425</v>
      </c>
      <c r="U175" s="297" t="s">
        <v>1425</v>
      </c>
      <c r="V175" s="46" t="s">
        <v>1425</v>
      </c>
    </row>
    <row r="176" spans="1:22" x14ac:dyDescent="0.2">
      <c r="A176">
        <v>364158</v>
      </c>
      <c r="B176" s="399" t="s">
        <v>330</v>
      </c>
      <c r="C176" s="297">
        <v>30</v>
      </c>
      <c r="D176" s="394">
        <v>43890</v>
      </c>
      <c r="E176" s="297" t="s">
        <v>1426</v>
      </c>
      <c r="F176" s="394">
        <v>43830</v>
      </c>
      <c r="G176" s="297" t="s">
        <v>1426</v>
      </c>
      <c r="H176" s="297" t="s">
        <v>1426</v>
      </c>
      <c r="I176" s="297" t="s">
        <v>1426</v>
      </c>
      <c r="J176" s="297" t="s">
        <v>1426</v>
      </c>
      <c r="K176" s="297" t="s">
        <v>1426</v>
      </c>
      <c r="L176" s="297" t="s">
        <v>1425</v>
      </c>
      <c r="M176" s="297" t="s">
        <v>1425</v>
      </c>
      <c r="N176" s="297" t="s">
        <v>1425</v>
      </c>
      <c r="O176" s="297" t="s">
        <v>1425</v>
      </c>
      <c r="P176" s="394" t="s">
        <v>1425</v>
      </c>
      <c r="Q176" s="297" t="s">
        <v>1425</v>
      </c>
      <c r="R176" s="297" t="s">
        <v>1425</v>
      </c>
      <c r="S176" s="297" t="s">
        <v>1425</v>
      </c>
      <c r="T176" s="297" t="s">
        <v>1425</v>
      </c>
      <c r="U176" s="297" t="s">
        <v>1425</v>
      </c>
      <c r="V176" s="46" t="s">
        <v>1425</v>
      </c>
    </row>
    <row r="177" spans="1:22" x14ac:dyDescent="0.2">
      <c r="A177">
        <v>365981</v>
      </c>
      <c r="B177" s="399" t="s">
        <v>331</v>
      </c>
      <c r="C177" s="297">
        <v>24</v>
      </c>
      <c r="D177" s="394">
        <v>43890</v>
      </c>
      <c r="E177" s="297" t="s">
        <v>1426</v>
      </c>
      <c r="F177" s="394">
        <v>43830</v>
      </c>
      <c r="G177" s="297" t="s">
        <v>1426</v>
      </c>
      <c r="H177" s="297" t="s">
        <v>1426</v>
      </c>
      <c r="I177" s="297" t="s">
        <v>1426</v>
      </c>
      <c r="J177" s="297" t="s">
        <v>1426</v>
      </c>
      <c r="K177" s="297" t="s">
        <v>1426</v>
      </c>
      <c r="L177" s="297" t="s">
        <v>1426</v>
      </c>
      <c r="M177" s="297" t="s">
        <v>1425</v>
      </c>
      <c r="N177" s="297" t="s">
        <v>1425</v>
      </c>
      <c r="O177" s="297" t="s">
        <v>1426</v>
      </c>
      <c r="P177" s="394" t="s">
        <v>1425</v>
      </c>
      <c r="Q177" s="297" t="s">
        <v>1425</v>
      </c>
      <c r="R177" s="297" t="s">
        <v>1425</v>
      </c>
      <c r="S177" s="297" t="s">
        <v>1426</v>
      </c>
      <c r="T177" s="297" t="s">
        <v>1426</v>
      </c>
      <c r="U177" s="297" t="s">
        <v>1425</v>
      </c>
      <c r="V177" s="46" t="s">
        <v>1426</v>
      </c>
    </row>
    <row r="178" spans="1:22" x14ac:dyDescent="0.2">
      <c r="A178">
        <v>367698</v>
      </c>
      <c r="B178" s="399" t="s">
        <v>1376</v>
      </c>
      <c r="C178" s="297">
        <v>19</v>
      </c>
      <c r="D178" s="394">
        <v>43890</v>
      </c>
      <c r="E178" s="297" t="s">
        <v>1426</v>
      </c>
      <c r="F178" s="394">
        <v>43830</v>
      </c>
      <c r="G178" s="297" t="s">
        <v>1427</v>
      </c>
      <c r="H178" s="297" t="s">
        <v>1427</v>
      </c>
      <c r="I178" s="297" t="s">
        <v>1427</v>
      </c>
      <c r="J178" s="297" t="s">
        <v>1427</v>
      </c>
      <c r="K178" s="297" t="s">
        <v>1427</v>
      </c>
      <c r="L178" s="297" t="s">
        <v>1427</v>
      </c>
      <c r="M178" s="297" t="s">
        <v>1427</v>
      </c>
      <c r="N178" s="297" t="s">
        <v>1427</v>
      </c>
      <c r="O178" s="297" t="s">
        <v>1427</v>
      </c>
      <c r="P178" s="394" t="s">
        <v>1427</v>
      </c>
      <c r="Q178" s="297" t="s">
        <v>1427</v>
      </c>
      <c r="R178" s="297" t="s">
        <v>1427</v>
      </c>
      <c r="S178" s="297" t="s">
        <v>1427</v>
      </c>
      <c r="T178" s="297" t="s">
        <v>1427</v>
      </c>
      <c r="U178" s="297" t="s">
        <v>1427</v>
      </c>
      <c r="V178" s="46" t="s">
        <v>1427</v>
      </c>
    </row>
    <row r="179" spans="1:22" x14ac:dyDescent="0.2">
      <c r="A179">
        <v>367813</v>
      </c>
      <c r="B179" s="399" t="s">
        <v>332</v>
      </c>
      <c r="C179" s="297">
        <v>22</v>
      </c>
      <c r="D179" s="394">
        <v>43890</v>
      </c>
      <c r="E179" s="297" t="s">
        <v>1426</v>
      </c>
      <c r="F179" s="394">
        <v>43830</v>
      </c>
      <c r="G179" s="297" t="s">
        <v>1426</v>
      </c>
      <c r="H179" s="297" t="s">
        <v>1426</v>
      </c>
      <c r="I179" s="297" t="s">
        <v>1426</v>
      </c>
      <c r="J179" s="297" t="s">
        <v>1426</v>
      </c>
      <c r="K179" s="297" t="s">
        <v>1426</v>
      </c>
      <c r="L179" s="297" t="s">
        <v>1426</v>
      </c>
      <c r="M179" s="297" t="s">
        <v>1425</v>
      </c>
      <c r="N179" s="297" t="s">
        <v>1425</v>
      </c>
      <c r="O179" s="297" t="s">
        <v>1426</v>
      </c>
      <c r="P179" s="394" t="s">
        <v>1425</v>
      </c>
      <c r="Q179" s="297" t="s">
        <v>1425</v>
      </c>
      <c r="R179" s="297" t="s">
        <v>1425</v>
      </c>
      <c r="S179" s="297" t="s">
        <v>1426</v>
      </c>
      <c r="T179" s="297" t="s">
        <v>1425</v>
      </c>
      <c r="U179" s="297" t="s">
        <v>1425</v>
      </c>
      <c r="V179" s="46" t="s">
        <v>1425</v>
      </c>
    </row>
    <row r="180" spans="1:22" x14ac:dyDescent="0.2">
      <c r="A180">
        <v>367987</v>
      </c>
      <c r="B180" s="399" t="s">
        <v>333</v>
      </c>
      <c r="C180" s="297">
        <v>31</v>
      </c>
      <c r="D180" s="394">
        <v>43890</v>
      </c>
      <c r="E180" s="297" t="s">
        <v>1425</v>
      </c>
      <c r="F180" s="394">
        <v>43830</v>
      </c>
      <c r="G180" s="297" t="s">
        <v>1426</v>
      </c>
      <c r="H180" s="297" t="s">
        <v>1426</v>
      </c>
      <c r="I180" s="297" t="s">
        <v>1426</v>
      </c>
      <c r="J180" s="297" t="s">
        <v>1426</v>
      </c>
      <c r="K180" s="297" t="s">
        <v>1426</v>
      </c>
      <c r="L180" s="297" t="s">
        <v>1426</v>
      </c>
      <c r="M180" s="297" t="s">
        <v>1425</v>
      </c>
      <c r="N180" s="297" t="s">
        <v>1425</v>
      </c>
      <c r="O180" s="297" t="s">
        <v>1426</v>
      </c>
      <c r="P180" s="394" t="s">
        <v>1425</v>
      </c>
      <c r="Q180" s="297" t="s">
        <v>1426</v>
      </c>
      <c r="R180" s="297" t="s">
        <v>1426</v>
      </c>
      <c r="S180" s="297" t="s">
        <v>1425</v>
      </c>
      <c r="T180" s="297" t="s">
        <v>1426</v>
      </c>
      <c r="U180" s="297" t="s">
        <v>1425</v>
      </c>
      <c r="V180" s="46" t="s">
        <v>1425</v>
      </c>
    </row>
    <row r="181" spans="1:22" x14ac:dyDescent="0.2">
      <c r="A181">
        <v>368407</v>
      </c>
      <c r="B181" s="399" t="s">
        <v>334</v>
      </c>
      <c r="C181" s="297">
        <v>33</v>
      </c>
      <c r="D181" s="394">
        <v>43890</v>
      </c>
      <c r="E181" s="297" t="s">
        <v>1425</v>
      </c>
      <c r="F181" s="394">
        <v>43830</v>
      </c>
      <c r="G181" s="297" t="s">
        <v>1426</v>
      </c>
      <c r="H181" s="297" t="s">
        <v>1426</v>
      </c>
      <c r="I181" s="297" t="s">
        <v>1426</v>
      </c>
      <c r="J181" s="297" t="s">
        <v>1426</v>
      </c>
      <c r="K181" s="297" t="s">
        <v>1426</v>
      </c>
      <c r="L181" s="297" t="s">
        <v>1426</v>
      </c>
      <c r="M181" s="297" t="s">
        <v>1426</v>
      </c>
      <c r="N181" s="297" t="s">
        <v>1425</v>
      </c>
      <c r="O181" s="297" t="s">
        <v>1425</v>
      </c>
      <c r="P181" s="394" t="s">
        <v>1425</v>
      </c>
      <c r="Q181" s="297" t="s">
        <v>1425</v>
      </c>
      <c r="R181" s="297" t="s">
        <v>1425</v>
      </c>
      <c r="S181" s="297" t="s">
        <v>1425</v>
      </c>
      <c r="T181" s="297" t="s">
        <v>1425</v>
      </c>
      <c r="U181" s="297" t="s">
        <v>1425</v>
      </c>
      <c r="V181" s="46" t="s">
        <v>1426</v>
      </c>
    </row>
    <row r="182" spans="1:22" x14ac:dyDescent="0.2">
      <c r="A182">
        <v>374421</v>
      </c>
      <c r="B182" s="399" t="s">
        <v>1459</v>
      </c>
      <c r="C182" s="297">
        <v>27</v>
      </c>
      <c r="D182" s="394">
        <v>43890</v>
      </c>
      <c r="E182" s="297" t="s">
        <v>1426</v>
      </c>
      <c r="F182" s="394">
        <v>43830</v>
      </c>
      <c r="G182" s="297" t="s">
        <v>1426</v>
      </c>
      <c r="H182" s="297" t="s">
        <v>1426</v>
      </c>
      <c r="I182" s="297" t="s">
        <v>1426</v>
      </c>
      <c r="J182" s="297" t="s">
        <v>1426</v>
      </c>
      <c r="K182" s="297" t="s">
        <v>1426</v>
      </c>
      <c r="L182" s="297" t="s">
        <v>1426</v>
      </c>
      <c r="M182" s="297" t="s">
        <v>1426</v>
      </c>
      <c r="N182" s="297" t="s">
        <v>1425</v>
      </c>
      <c r="O182" s="297" t="s">
        <v>1425</v>
      </c>
      <c r="P182" s="394" t="s">
        <v>1425</v>
      </c>
      <c r="Q182" s="297" t="s">
        <v>1425</v>
      </c>
      <c r="R182" s="297" t="s">
        <v>1425</v>
      </c>
      <c r="S182" s="297" t="s">
        <v>1425</v>
      </c>
      <c r="T182" s="297" t="s">
        <v>1426</v>
      </c>
      <c r="U182" s="297" t="s">
        <v>1425</v>
      </c>
      <c r="V182" s="46" t="s">
        <v>1426</v>
      </c>
    </row>
    <row r="183" spans="1:22" x14ac:dyDescent="0.2">
      <c r="A183">
        <v>377432</v>
      </c>
      <c r="B183" s="399" t="s">
        <v>336</v>
      </c>
      <c r="C183" s="297">
        <v>27</v>
      </c>
      <c r="D183" s="394">
        <v>43890</v>
      </c>
      <c r="E183" s="297" t="s">
        <v>1425</v>
      </c>
      <c r="F183" s="394">
        <v>43830</v>
      </c>
      <c r="G183" s="297" t="s">
        <v>1426</v>
      </c>
      <c r="H183" s="297" t="s">
        <v>1426</v>
      </c>
      <c r="I183" s="297" t="s">
        <v>1426</v>
      </c>
      <c r="J183" s="297" t="s">
        <v>1426</v>
      </c>
      <c r="K183" s="297" t="s">
        <v>1426</v>
      </c>
      <c r="L183" s="297" t="s">
        <v>1426</v>
      </c>
      <c r="M183" s="297" t="s">
        <v>1425</v>
      </c>
      <c r="N183" s="297" t="s">
        <v>1425</v>
      </c>
      <c r="O183" s="297" t="s">
        <v>1426</v>
      </c>
      <c r="P183" s="394" t="s">
        <v>1425</v>
      </c>
      <c r="Q183" s="297" t="s">
        <v>1425</v>
      </c>
      <c r="R183" s="297" t="s">
        <v>1425</v>
      </c>
      <c r="S183" s="297" t="s">
        <v>1426</v>
      </c>
      <c r="T183" s="297" t="s">
        <v>1425</v>
      </c>
      <c r="U183" s="297" t="s">
        <v>1425</v>
      </c>
      <c r="V183" s="46" t="s">
        <v>1425</v>
      </c>
    </row>
    <row r="184" spans="1:22" x14ac:dyDescent="0.2">
      <c r="A184">
        <v>384107</v>
      </c>
      <c r="B184" s="399" t="s">
        <v>338</v>
      </c>
      <c r="C184" s="297">
        <v>24</v>
      </c>
      <c r="D184" s="394">
        <v>43890</v>
      </c>
      <c r="E184" s="297" t="s">
        <v>1426</v>
      </c>
      <c r="F184" s="394">
        <v>43830</v>
      </c>
      <c r="G184" s="297" t="s">
        <v>1425</v>
      </c>
      <c r="H184" s="297" t="s">
        <v>1425</v>
      </c>
      <c r="I184" s="297" t="s">
        <v>1425</v>
      </c>
      <c r="J184" s="297" t="s">
        <v>1426</v>
      </c>
      <c r="K184" s="297" t="s">
        <v>1426</v>
      </c>
      <c r="L184" s="297" t="s">
        <v>1425</v>
      </c>
      <c r="M184" s="297" t="s">
        <v>1425</v>
      </c>
      <c r="N184" s="297" t="s">
        <v>1425</v>
      </c>
      <c r="O184" s="297" t="s">
        <v>1425</v>
      </c>
      <c r="P184" s="394" t="s">
        <v>1425</v>
      </c>
      <c r="Q184" s="297" t="s">
        <v>1425</v>
      </c>
      <c r="R184" s="297" t="s">
        <v>1425</v>
      </c>
      <c r="S184" s="297" t="s">
        <v>1425</v>
      </c>
      <c r="T184" s="297" t="s">
        <v>1425</v>
      </c>
      <c r="U184" s="297" t="s">
        <v>1425</v>
      </c>
      <c r="V184" s="46" t="s">
        <v>1425</v>
      </c>
    </row>
    <row r="185" spans="1:22" x14ac:dyDescent="0.2">
      <c r="A185">
        <v>384511</v>
      </c>
      <c r="B185" s="399" t="s">
        <v>339</v>
      </c>
      <c r="C185" s="297">
        <v>21</v>
      </c>
      <c r="D185" s="394">
        <v>43890</v>
      </c>
      <c r="E185" s="297" t="s">
        <v>1425</v>
      </c>
      <c r="F185" s="394">
        <v>43830</v>
      </c>
      <c r="G185" s="297" t="s">
        <v>1426</v>
      </c>
      <c r="H185" s="297" t="s">
        <v>1426</v>
      </c>
      <c r="I185" s="297" t="s">
        <v>1426</v>
      </c>
      <c r="J185" s="297" t="s">
        <v>1426</v>
      </c>
      <c r="K185" s="297" t="s">
        <v>1426</v>
      </c>
      <c r="L185" s="297" t="s">
        <v>1425</v>
      </c>
      <c r="M185" s="297" t="s">
        <v>1425</v>
      </c>
      <c r="N185" s="297" t="s">
        <v>1425</v>
      </c>
      <c r="O185" s="297" t="s">
        <v>1425</v>
      </c>
      <c r="P185" s="394" t="s">
        <v>1425</v>
      </c>
      <c r="Q185" s="297" t="s">
        <v>1425</v>
      </c>
      <c r="R185" s="297" t="s">
        <v>1425</v>
      </c>
      <c r="S185" s="297" t="s">
        <v>1425</v>
      </c>
      <c r="T185" s="297" t="s">
        <v>1425</v>
      </c>
      <c r="U185" s="297" t="s">
        <v>1425</v>
      </c>
      <c r="V185" s="46" t="s">
        <v>1425</v>
      </c>
    </row>
    <row r="186" spans="1:22" x14ac:dyDescent="0.2">
      <c r="A186">
        <v>384750</v>
      </c>
      <c r="B186" s="399" t="s">
        <v>616</v>
      </c>
      <c r="C186" s="297"/>
      <c r="D186" s="394"/>
      <c r="E186" s="297" t="s">
        <v>1425</v>
      </c>
      <c r="F186" s="394">
        <v>43830</v>
      </c>
      <c r="G186" s="297" t="s">
        <v>1426</v>
      </c>
      <c r="H186" s="297" t="s">
        <v>1426</v>
      </c>
      <c r="I186" s="297" t="s">
        <v>1426</v>
      </c>
      <c r="J186" s="297" t="s">
        <v>1426</v>
      </c>
      <c r="K186" s="297" t="s">
        <v>1426</v>
      </c>
      <c r="L186" s="297" t="s">
        <v>1426</v>
      </c>
      <c r="M186" s="297" t="s">
        <v>1426</v>
      </c>
      <c r="N186" s="297" t="s">
        <v>1426</v>
      </c>
      <c r="O186" s="297" t="s">
        <v>1426</v>
      </c>
      <c r="P186" s="394" t="s">
        <v>1426</v>
      </c>
      <c r="Q186" s="297" t="s">
        <v>1426</v>
      </c>
      <c r="R186" s="297" t="s">
        <v>1426</v>
      </c>
      <c r="S186" s="297" t="s">
        <v>1425</v>
      </c>
      <c r="T186" s="297" t="s">
        <v>1425</v>
      </c>
      <c r="U186" s="297" t="s">
        <v>1425</v>
      </c>
      <c r="V186" s="46" t="s">
        <v>1426</v>
      </c>
    </row>
    <row r="187" spans="1:22" x14ac:dyDescent="0.2">
      <c r="A187">
        <v>385401</v>
      </c>
      <c r="B187" s="399" t="s">
        <v>341</v>
      </c>
      <c r="C187" s="297">
        <v>25</v>
      </c>
      <c r="D187" s="394">
        <v>43890</v>
      </c>
      <c r="E187" s="297" t="s">
        <v>1425</v>
      </c>
      <c r="F187" s="394">
        <v>43830</v>
      </c>
      <c r="G187" s="297" t="s">
        <v>1426</v>
      </c>
      <c r="H187" s="297" t="s">
        <v>1426</v>
      </c>
      <c r="I187" s="297" t="s">
        <v>1426</v>
      </c>
      <c r="J187" s="297" t="s">
        <v>1426</v>
      </c>
      <c r="K187" s="297" t="s">
        <v>1426</v>
      </c>
      <c r="L187" s="297" t="s">
        <v>1426</v>
      </c>
      <c r="M187" s="297" t="s">
        <v>1425</v>
      </c>
      <c r="N187" s="297" t="s">
        <v>1425</v>
      </c>
      <c r="O187" s="297" t="s">
        <v>1426</v>
      </c>
      <c r="P187" s="394" t="s">
        <v>1425</v>
      </c>
      <c r="Q187" s="297" t="s">
        <v>1425</v>
      </c>
      <c r="R187" s="297" t="s">
        <v>1425</v>
      </c>
      <c r="S187" s="297" t="s">
        <v>1425</v>
      </c>
      <c r="T187" s="297" t="s">
        <v>1425</v>
      </c>
      <c r="U187" s="297" t="s">
        <v>1425</v>
      </c>
      <c r="V187" s="46" t="s">
        <v>1425</v>
      </c>
    </row>
    <row r="188" spans="1:22" x14ac:dyDescent="0.2">
      <c r="A188">
        <v>386870</v>
      </c>
      <c r="B188" s="399" t="s">
        <v>342</v>
      </c>
      <c r="C188" s="297"/>
      <c r="D188" s="394"/>
      <c r="E188" s="297" t="s">
        <v>1425</v>
      </c>
      <c r="F188" s="394">
        <v>43830</v>
      </c>
      <c r="G188" s="297" t="s">
        <v>1426</v>
      </c>
      <c r="H188" s="297" t="s">
        <v>1426</v>
      </c>
      <c r="I188" s="297" t="s">
        <v>1426</v>
      </c>
      <c r="J188" s="297" t="s">
        <v>1426</v>
      </c>
      <c r="K188" s="297" t="s">
        <v>1426</v>
      </c>
      <c r="L188" s="297" t="s">
        <v>1426</v>
      </c>
      <c r="M188" s="297" t="s">
        <v>1426</v>
      </c>
      <c r="N188" s="297" t="s">
        <v>1426</v>
      </c>
      <c r="O188" s="297" t="s">
        <v>1426</v>
      </c>
      <c r="P188" s="394" t="s">
        <v>1426</v>
      </c>
      <c r="Q188" s="297" t="s">
        <v>1426</v>
      </c>
      <c r="R188" s="297" t="s">
        <v>1426</v>
      </c>
      <c r="S188" s="297" t="s">
        <v>1426</v>
      </c>
      <c r="T188" s="297" t="s">
        <v>1425</v>
      </c>
      <c r="U188" s="297" t="s">
        <v>1425</v>
      </c>
      <c r="V188" s="46" t="s">
        <v>1425</v>
      </c>
    </row>
    <row r="189" spans="1:22" x14ac:dyDescent="0.2">
      <c r="A189">
        <v>388298</v>
      </c>
      <c r="B189" s="399" t="s">
        <v>344</v>
      </c>
      <c r="C189" s="297">
        <v>22</v>
      </c>
      <c r="D189" s="394">
        <v>43890</v>
      </c>
      <c r="E189" s="297" t="s">
        <v>1425</v>
      </c>
      <c r="F189" s="394">
        <v>43830</v>
      </c>
      <c r="G189" s="297" t="s">
        <v>1426</v>
      </c>
      <c r="H189" s="297" t="s">
        <v>1426</v>
      </c>
      <c r="I189" s="297" t="s">
        <v>1426</v>
      </c>
      <c r="J189" s="297" t="s">
        <v>1426</v>
      </c>
      <c r="K189" s="297" t="s">
        <v>1426</v>
      </c>
      <c r="L189" s="297" t="s">
        <v>1426</v>
      </c>
      <c r="M189" s="297" t="s">
        <v>1425</v>
      </c>
      <c r="N189" s="297" t="s">
        <v>1425</v>
      </c>
      <c r="O189" s="297" t="s">
        <v>1426</v>
      </c>
      <c r="P189" s="394" t="s">
        <v>1425</v>
      </c>
      <c r="Q189" s="297" t="s">
        <v>1425</v>
      </c>
      <c r="R189" s="297" t="s">
        <v>1425</v>
      </c>
      <c r="S189" s="297" t="s">
        <v>1425</v>
      </c>
      <c r="T189" s="297" t="s">
        <v>1425</v>
      </c>
      <c r="U189" s="297" t="s">
        <v>1425</v>
      </c>
      <c r="V189" s="46" t="s">
        <v>1426</v>
      </c>
    </row>
    <row r="190" spans="1:22" x14ac:dyDescent="0.2">
      <c r="A190">
        <v>389239</v>
      </c>
      <c r="B190" s="399" t="s">
        <v>1377</v>
      </c>
      <c r="C190" s="297">
        <v>31</v>
      </c>
      <c r="D190" s="394">
        <v>43890</v>
      </c>
      <c r="E190" s="297" t="s">
        <v>1425</v>
      </c>
      <c r="F190" s="394">
        <v>43830</v>
      </c>
      <c r="G190" s="297" t="s">
        <v>1425</v>
      </c>
      <c r="H190" s="297" t="s">
        <v>1425</v>
      </c>
      <c r="I190" s="297" t="s">
        <v>1425</v>
      </c>
      <c r="J190" s="297" t="s">
        <v>1426</v>
      </c>
      <c r="K190" s="297" t="s">
        <v>1426</v>
      </c>
      <c r="L190" s="297" t="s">
        <v>1425</v>
      </c>
      <c r="M190" s="297" t="s">
        <v>1425</v>
      </c>
      <c r="N190" s="297" t="s">
        <v>1425</v>
      </c>
      <c r="O190" s="297" t="s">
        <v>1425</v>
      </c>
      <c r="P190" s="394" t="s">
        <v>1425</v>
      </c>
      <c r="Q190" s="297" t="s">
        <v>1425</v>
      </c>
      <c r="R190" s="297" t="s">
        <v>1425</v>
      </c>
      <c r="S190" s="297" t="s">
        <v>1425</v>
      </c>
      <c r="T190" s="297" t="s">
        <v>1425</v>
      </c>
      <c r="U190" s="297" t="s">
        <v>1425</v>
      </c>
      <c r="V190" s="46" t="s">
        <v>1425</v>
      </c>
    </row>
    <row r="191" spans="1:22" x14ac:dyDescent="0.2">
      <c r="A191">
        <v>391482</v>
      </c>
      <c r="B191" s="399" t="s">
        <v>345</v>
      </c>
      <c r="C191" s="297"/>
      <c r="D191" s="394"/>
      <c r="E191" s="297" t="s">
        <v>1425</v>
      </c>
      <c r="F191" s="394">
        <v>43830</v>
      </c>
      <c r="G191" s="297" t="s">
        <v>1426</v>
      </c>
      <c r="H191" s="297" t="s">
        <v>1426</v>
      </c>
      <c r="I191" s="297" t="s">
        <v>1426</v>
      </c>
      <c r="J191" s="297" t="s">
        <v>1426</v>
      </c>
      <c r="K191" s="297" t="s">
        <v>1426</v>
      </c>
      <c r="L191" s="297" t="s">
        <v>1426</v>
      </c>
      <c r="M191" s="297" t="s">
        <v>1426</v>
      </c>
      <c r="N191" s="297" t="s">
        <v>1426</v>
      </c>
      <c r="O191" s="297" t="s">
        <v>1426</v>
      </c>
      <c r="P191" s="394" t="s">
        <v>1426</v>
      </c>
      <c r="Q191" s="297" t="s">
        <v>1426</v>
      </c>
      <c r="R191" s="297" t="s">
        <v>1426</v>
      </c>
      <c r="S191" s="297" t="s">
        <v>1426</v>
      </c>
      <c r="T191" s="297" t="s">
        <v>1425</v>
      </c>
      <c r="U191" s="297" t="s">
        <v>1425</v>
      </c>
      <c r="V191" s="46" t="s">
        <v>1426</v>
      </c>
    </row>
    <row r="192" spans="1:22" x14ac:dyDescent="0.2">
      <c r="A192">
        <v>391896</v>
      </c>
      <c r="B192" s="399" t="s">
        <v>1460</v>
      </c>
      <c r="C192" s="297">
        <v>28</v>
      </c>
      <c r="D192" s="394">
        <v>43890</v>
      </c>
      <c r="E192" s="297" t="s">
        <v>1425</v>
      </c>
      <c r="F192" s="394">
        <v>43830</v>
      </c>
      <c r="G192" s="297" t="s">
        <v>1426</v>
      </c>
      <c r="H192" s="297" t="s">
        <v>1426</v>
      </c>
      <c r="I192" s="297" t="s">
        <v>1426</v>
      </c>
      <c r="J192" s="297" t="s">
        <v>1426</v>
      </c>
      <c r="K192" s="297" t="s">
        <v>1426</v>
      </c>
      <c r="L192" s="297" t="s">
        <v>1426</v>
      </c>
      <c r="M192" s="297" t="s">
        <v>1426</v>
      </c>
      <c r="N192" s="297" t="s">
        <v>1425</v>
      </c>
      <c r="O192" s="297" t="s">
        <v>1425</v>
      </c>
      <c r="P192" s="394" t="s">
        <v>1425</v>
      </c>
      <c r="Q192" s="297" t="s">
        <v>1425</v>
      </c>
      <c r="R192" s="297" t="s">
        <v>1425</v>
      </c>
      <c r="S192" s="297" t="s">
        <v>1425</v>
      </c>
      <c r="T192" s="297" t="s">
        <v>1426</v>
      </c>
      <c r="U192" s="297" t="s">
        <v>1425</v>
      </c>
      <c r="V192" s="46" t="s">
        <v>1426</v>
      </c>
    </row>
    <row r="193" spans="1:22" x14ac:dyDescent="0.2">
      <c r="A193">
        <v>393314</v>
      </c>
      <c r="B193" s="399" t="s">
        <v>346</v>
      </c>
      <c r="C193" s="297">
        <v>20</v>
      </c>
      <c r="D193" s="394">
        <v>43890</v>
      </c>
      <c r="E193" s="297" t="s">
        <v>1426</v>
      </c>
      <c r="F193" s="394">
        <v>43830</v>
      </c>
      <c r="G193" s="297" t="s">
        <v>1426</v>
      </c>
      <c r="H193" s="297" t="s">
        <v>1426</v>
      </c>
      <c r="I193" s="297" t="s">
        <v>1426</v>
      </c>
      <c r="J193" s="297" t="s">
        <v>1426</v>
      </c>
      <c r="K193" s="297" t="s">
        <v>1426</v>
      </c>
      <c r="L193" s="297" t="s">
        <v>1426</v>
      </c>
      <c r="M193" s="297" t="s">
        <v>1426</v>
      </c>
      <c r="N193" s="297" t="s">
        <v>1426</v>
      </c>
      <c r="O193" s="297" t="s">
        <v>1426</v>
      </c>
      <c r="P193" s="394" t="s">
        <v>1426</v>
      </c>
      <c r="Q193" s="297" t="s">
        <v>1426</v>
      </c>
      <c r="R193" s="297" t="s">
        <v>1426</v>
      </c>
      <c r="S193" s="297" t="s">
        <v>1426</v>
      </c>
      <c r="T193" s="297" t="s">
        <v>1425</v>
      </c>
      <c r="U193" s="297" t="s">
        <v>1425</v>
      </c>
      <c r="V193" s="46" t="s">
        <v>1425</v>
      </c>
    </row>
    <row r="194" spans="1:22" x14ac:dyDescent="0.2">
      <c r="A194">
        <v>393488</v>
      </c>
      <c r="B194" s="399" t="s">
        <v>1361</v>
      </c>
      <c r="C194" s="297">
        <v>21</v>
      </c>
      <c r="D194" s="394">
        <v>43890</v>
      </c>
      <c r="E194" s="297" t="s">
        <v>1426</v>
      </c>
      <c r="F194" s="394">
        <v>43830</v>
      </c>
      <c r="G194" s="297" t="s">
        <v>1426</v>
      </c>
      <c r="H194" s="297" t="s">
        <v>1426</v>
      </c>
      <c r="I194" s="297" t="s">
        <v>1426</v>
      </c>
      <c r="J194" s="297" t="s">
        <v>1426</v>
      </c>
      <c r="K194" s="297" t="s">
        <v>1426</v>
      </c>
      <c r="L194" s="297" t="s">
        <v>1426</v>
      </c>
      <c r="M194" s="297" t="s">
        <v>1426</v>
      </c>
      <c r="N194" s="297" t="s">
        <v>1426</v>
      </c>
      <c r="O194" s="297" t="s">
        <v>1426</v>
      </c>
      <c r="P194" s="394" t="s">
        <v>1426</v>
      </c>
      <c r="Q194" s="297" t="s">
        <v>1426</v>
      </c>
      <c r="R194" s="297" t="s">
        <v>1426</v>
      </c>
      <c r="S194" s="297" t="s">
        <v>1426</v>
      </c>
      <c r="T194" s="297" t="s">
        <v>1425</v>
      </c>
      <c r="U194" s="297" t="s">
        <v>1425</v>
      </c>
      <c r="V194" s="46" t="s">
        <v>1426</v>
      </c>
    </row>
    <row r="195" spans="1:22" x14ac:dyDescent="0.2">
      <c r="A195">
        <v>395434</v>
      </c>
      <c r="B195" s="399" t="s">
        <v>347</v>
      </c>
      <c r="C195" s="297">
        <v>26</v>
      </c>
      <c r="D195" s="394">
        <v>43890</v>
      </c>
      <c r="E195" s="297" t="s">
        <v>1425</v>
      </c>
      <c r="F195" s="394">
        <v>43830</v>
      </c>
      <c r="G195" s="297" t="s">
        <v>1426</v>
      </c>
      <c r="H195" s="297" t="s">
        <v>1426</v>
      </c>
      <c r="I195" s="297" t="s">
        <v>1426</v>
      </c>
      <c r="J195" s="297" t="s">
        <v>1426</v>
      </c>
      <c r="K195" s="297" t="s">
        <v>1425</v>
      </c>
      <c r="L195" s="297" t="s">
        <v>1425</v>
      </c>
      <c r="M195" s="297" t="s">
        <v>1425</v>
      </c>
      <c r="N195" s="297" t="s">
        <v>1425</v>
      </c>
      <c r="O195" s="297" t="s">
        <v>1425</v>
      </c>
      <c r="P195" s="394" t="s">
        <v>1425</v>
      </c>
      <c r="Q195" s="297" t="s">
        <v>1425</v>
      </c>
      <c r="R195" s="297" t="s">
        <v>1425</v>
      </c>
      <c r="S195" s="297" t="s">
        <v>1425</v>
      </c>
      <c r="T195" s="297" t="s">
        <v>1425</v>
      </c>
      <c r="U195" s="297" t="s">
        <v>1425</v>
      </c>
      <c r="V195" s="46" t="s">
        <v>1425</v>
      </c>
    </row>
    <row r="196" spans="1:22" x14ac:dyDescent="0.2">
      <c r="A196">
        <v>401695</v>
      </c>
      <c r="B196" s="399" t="s">
        <v>1334</v>
      </c>
      <c r="C196" s="297">
        <v>18</v>
      </c>
      <c r="D196" s="394">
        <v>43890</v>
      </c>
      <c r="E196" s="297" t="s">
        <v>1426</v>
      </c>
      <c r="F196" s="394">
        <v>43830</v>
      </c>
      <c r="G196" s="297" t="s">
        <v>1427</v>
      </c>
      <c r="H196" s="297" t="s">
        <v>1427</v>
      </c>
      <c r="I196" s="297" t="s">
        <v>1427</v>
      </c>
      <c r="J196" s="297" t="s">
        <v>1427</v>
      </c>
      <c r="K196" s="297" t="s">
        <v>1427</v>
      </c>
      <c r="L196" s="297" t="s">
        <v>1427</v>
      </c>
      <c r="M196" s="297" t="s">
        <v>1427</v>
      </c>
      <c r="N196" s="297" t="s">
        <v>1427</v>
      </c>
      <c r="O196" s="297" t="s">
        <v>1427</v>
      </c>
      <c r="P196" s="394" t="s">
        <v>1427</v>
      </c>
      <c r="Q196" s="297" t="s">
        <v>1427</v>
      </c>
      <c r="R196" s="297" t="s">
        <v>1427</v>
      </c>
      <c r="S196" s="297" t="s">
        <v>1427</v>
      </c>
      <c r="T196" s="297" t="s">
        <v>1427</v>
      </c>
      <c r="U196" s="297" t="s">
        <v>1427</v>
      </c>
      <c r="V196" s="46" t="s">
        <v>1427</v>
      </c>
    </row>
    <row r="197" spans="1:22" x14ac:dyDescent="0.2">
      <c r="A197">
        <v>401810</v>
      </c>
      <c r="B197" s="399" t="s">
        <v>348</v>
      </c>
      <c r="C197" s="297">
        <v>23</v>
      </c>
      <c r="D197" s="394">
        <v>43890</v>
      </c>
      <c r="E197" s="297" t="s">
        <v>1425</v>
      </c>
      <c r="F197" s="394">
        <v>43830</v>
      </c>
      <c r="G197" s="297" t="s">
        <v>1426</v>
      </c>
      <c r="H197" s="297" t="s">
        <v>1426</v>
      </c>
      <c r="I197" s="297" t="s">
        <v>1426</v>
      </c>
      <c r="J197" s="297" t="s">
        <v>1426</v>
      </c>
      <c r="K197" s="297" t="s">
        <v>1426</v>
      </c>
      <c r="L197" s="297" t="s">
        <v>1426</v>
      </c>
      <c r="M197" s="297" t="s">
        <v>1425</v>
      </c>
      <c r="N197" s="297" t="s">
        <v>1425</v>
      </c>
      <c r="O197" s="297" t="s">
        <v>1426</v>
      </c>
      <c r="P197" s="394" t="s">
        <v>1425</v>
      </c>
      <c r="Q197" s="297" t="s">
        <v>1425</v>
      </c>
      <c r="R197" s="297" t="s">
        <v>1425</v>
      </c>
      <c r="S197" s="297" t="s">
        <v>1426</v>
      </c>
      <c r="T197" s="297" t="s">
        <v>1426</v>
      </c>
      <c r="U197" s="297" t="s">
        <v>1425</v>
      </c>
      <c r="V197" s="46" t="s">
        <v>1426</v>
      </c>
    </row>
    <row r="198" spans="1:22" x14ac:dyDescent="0.2">
      <c r="A198">
        <v>403642</v>
      </c>
      <c r="B198" s="399" t="s">
        <v>349</v>
      </c>
      <c r="C198" s="297"/>
      <c r="D198" s="394"/>
      <c r="E198" s="297" t="s">
        <v>1425</v>
      </c>
      <c r="F198" s="394">
        <v>43830</v>
      </c>
      <c r="G198" s="297" t="s">
        <v>1426</v>
      </c>
      <c r="H198" s="297" t="s">
        <v>1426</v>
      </c>
      <c r="I198" s="297" t="s">
        <v>1426</v>
      </c>
      <c r="J198" s="297" t="s">
        <v>1426</v>
      </c>
      <c r="K198" s="297" t="s">
        <v>1426</v>
      </c>
      <c r="L198" s="297" t="s">
        <v>1426</v>
      </c>
      <c r="M198" s="297" t="s">
        <v>1425</v>
      </c>
      <c r="N198" s="297" t="s">
        <v>1425</v>
      </c>
      <c r="O198" s="297" t="s">
        <v>1426</v>
      </c>
      <c r="P198" s="394" t="s">
        <v>1425</v>
      </c>
      <c r="Q198" s="297" t="s">
        <v>1425</v>
      </c>
      <c r="R198" s="297" t="s">
        <v>1425</v>
      </c>
      <c r="S198" s="297" t="s">
        <v>1426</v>
      </c>
      <c r="T198" s="297" t="s">
        <v>1425</v>
      </c>
      <c r="U198" s="297" t="s">
        <v>1425</v>
      </c>
      <c r="V198" s="46" t="s">
        <v>1425</v>
      </c>
    </row>
    <row r="199" spans="1:22" x14ac:dyDescent="0.2">
      <c r="A199">
        <v>404236</v>
      </c>
      <c r="B199" s="399" t="s">
        <v>351</v>
      </c>
      <c r="C199" s="297">
        <v>28</v>
      </c>
      <c r="D199" s="394">
        <v>43890</v>
      </c>
      <c r="E199" s="297" t="s">
        <v>1425</v>
      </c>
      <c r="F199" s="394">
        <v>43830</v>
      </c>
      <c r="G199" s="297" t="s">
        <v>1426</v>
      </c>
      <c r="H199" s="297" t="s">
        <v>1426</v>
      </c>
      <c r="I199" s="297" t="s">
        <v>1426</v>
      </c>
      <c r="J199" s="297" t="s">
        <v>1426</v>
      </c>
      <c r="K199" s="297" t="s">
        <v>1426</v>
      </c>
      <c r="L199" s="297" t="s">
        <v>1426</v>
      </c>
      <c r="M199" s="297" t="s">
        <v>1426</v>
      </c>
      <c r="N199" s="297" t="s">
        <v>1425</v>
      </c>
      <c r="O199" s="297" t="s">
        <v>1425</v>
      </c>
      <c r="P199" s="394" t="s">
        <v>1425</v>
      </c>
      <c r="Q199" s="297" t="s">
        <v>1425</v>
      </c>
      <c r="R199" s="297" t="s">
        <v>1425</v>
      </c>
      <c r="S199" s="297" t="s">
        <v>1425</v>
      </c>
      <c r="T199" s="297" t="s">
        <v>1425</v>
      </c>
      <c r="U199" s="297" t="s">
        <v>1425</v>
      </c>
      <c r="V199" s="46" t="s">
        <v>1426</v>
      </c>
    </row>
    <row r="200" spans="1:22" x14ac:dyDescent="0.2">
      <c r="A200">
        <v>405704</v>
      </c>
      <c r="B200" s="399" t="s">
        <v>352</v>
      </c>
      <c r="C200" s="297"/>
      <c r="D200" s="394"/>
      <c r="E200" s="297" t="s">
        <v>1425</v>
      </c>
      <c r="F200" s="394">
        <v>43830</v>
      </c>
      <c r="G200" s="297" t="s">
        <v>1426</v>
      </c>
      <c r="H200" s="297" t="s">
        <v>1426</v>
      </c>
      <c r="I200" s="297" t="s">
        <v>1425</v>
      </c>
      <c r="J200" s="297" t="s">
        <v>1426</v>
      </c>
      <c r="K200" s="297" t="s">
        <v>1426</v>
      </c>
      <c r="L200" s="297" t="s">
        <v>1426</v>
      </c>
      <c r="M200" s="297" t="s">
        <v>1426</v>
      </c>
      <c r="N200" s="297" t="s">
        <v>1426</v>
      </c>
      <c r="O200" s="297" t="s">
        <v>1426</v>
      </c>
      <c r="P200" s="394" t="s">
        <v>1426</v>
      </c>
      <c r="Q200" s="297" t="s">
        <v>1426</v>
      </c>
      <c r="R200" s="297" t="s">
        <v>1426</v>
      </c>
      <c r="S200" s="297" t="s">
        <v>1426</v>
      </c>
      <c r="T200" s="297" t="s">
        <v>1425</v>
      </c>
      <c r="U200" s="297" t="s">
        <v>1425</v>
      </c>
      <c r="V200" s="46" t="s">
        <v>1426</v>
      </c>
    </row>
    <row r="201" spans="1:22" x14ac:dyDescent="0.2">
      <c r="A201">
        <v>407064</v>
      </c>
      <c r="B201" s="399" t="s">
        <v>1378</v>
      </c>
      <c r="C201" s="297">
        <v>23</v>
      </c>
      <c r="D201" s="394">
        <v>43890</v>
      </c>
      <c r="E201" s="297" t="s">
        <v>1425</v>
      </c>
      <c r="F201" s="394">
        <v>43830</v>
      </c>
      <c r="G201" s="297" t="s">
        <v>1426</v>
      </c>
      <c r="H201" s="297" t="s">
        <v>1426</v>
      </c>
      <c r="I201" s="297" t="s">
        <v>1426</v>
      </c>
      <c r="J201" s="297" t="s">
        <v>1426</v>
      </c>
      <c r="K201" s="297" t="s">
        <v>1426</v>
      </c>
      <c r="L201" s="297" t="s">
        <v>1426</v>
      </c>
      <c r="M201" s="297" t="s">
        <v>1426</v>
      </c>
      <c r="N201" s="297" t="s">
        <v>1426</v>
      </c>
      <c r="O201" s="297" t="s">
        <v>1426</v>
      </c>
      <c r="P201" s="394" t="s">
        <v>1426</v>
      </c>
      <c r="Q201" s="297" t="s">
        <v>1426</v>
      </c>
      <c r="R201" s="297" t="s">
        <v>1426</v>
      </c>
      <c r="S201" s="297" t="s">
        <v>1426</v>
      </c>
      <c r="T201" s="297" t="s">
        <v>1425</v>
      </c>
      <c r="U201" s="297" t="s">
        <v>1425</v>
      </c>
      <c r="V201" s="46" t="s">
        <v>1426</v>
      </c>
    </row>
    <row r="202" spans="1:22" x14ac:dyDescent="0.2">
      <c r="A202">
        <v>407775</v>
      </c>
      <c r="B202" s="399" t="s">
        <v>1379</v>
      </c>
      <c r="C202" s="297">
        <v>23</v>
      </c>
      <c r="D202" s="394">
        <v>43890</v>
      </c>
      <c r="E202" s="297" t="s">
        <v>1425</v>
      </c>
      <c r="F202" s="394">
        <v>43830</v>
      </c>
      <c r="G202" s="297" t="s">
        <v>1427</v>
      </c>
      <c r="H202" s="297" t="s">
        <v>1427</v>
      </c>
      <c r="I202" s="297" t="s">
        <v>1427</v>
      </c>
      <c r="J202" s="297" t="s">
        <v>1427</v>
      </c>
      <c r="K202" s="297" t="s">
        <v>1427</v>
      </c>
      <c r="L202" s="297" t="s">
        <v>1427</v>
      </c>
      <c r="M202" s="297" t="s">
        <v>1427</v>
      </c>
      <c r="N202" s="297" t="s">
        <v>1427</v>
      </c>
      <c r="O202" s="297" t="s">
        <v>1427</v>
      </c>
      <c r="P202" s="394" t="s">
        <v>1427</v>
      </c>
      <c r="Q202" s="297" t="s">
        <v>1427</v>
      </c>
      <c r="R202" s="297" t="s">
        <v>1427</v>
      </c>
      <c r="S202" s="297" t="s">
        <v>1427</v>
      </c>
      <c r="T202" s="297" t="s">
        <v>1427</v>
      </c>
      <c r="U202" s="297" t="s">
        <v>1427</v>
      </c>
      <c r="V202" s="46" t="s">
        <v>1427</v>
      </c>
    </row>
    <row r="203" spans="1:22" x14ac:dyDescent="0.2">
      <c r="A203">
        <v>408062</v>
      </c>
      <c r="B203" s="399" t="s">
        <v>337</v>
      </c>
      <c r="C203" s="297">
        <v>24</v>
      </c>
      <c r="D203" s="394">
        <v>43890</v>
      </c>
      <c r="E203" s="297" t="s">
        <v>1425</v>
      </c>
      <c r="F203" s="394">
        <v>43830</v>
      </c>
      <c r="G203" s="297" t="s">
        <v>1426</v>
      </c>
      <c r="H203" s="297" t="s">
        <v>1426</v>
      </c>
      <c r="I203" s="297" t="s">
        <v>1426</v>
      </c>
      <c r="J203" s="297" t="s">
        <v>1426</v>
      </c>
      <c r="K203" s="297" t="s">
        <v>1426</v>
      </c>
      <c r="L203" s="297" t="s">
        <v>1426</v>
      </c>
      <c r="M203" s="297" t="s">
        <v>1426</v>
      </c>
      <c r="N203" s="297" t="s">
        <v>1426</v>
      </c>
      <c r="O203" s="297" t="s">
        <v>1426</v>
      </c>
      <c r="P203" s="394" t="s">
        <v>1425</v>
      </c>
      <c r="Q203" s="297" t="s">
        <v>1425</v>
      </c>
      <c r="R203" s="297" t="s">
        <v>1425</v>
      </c>
      <c r="S203" s="297" t="s">
        <v>1425</v>
      </c>
      <c r="T203" s="297" t="s">
        <v>1425</v>
      </c>
      <c r="U203" s="297" t="s">
        <v>1425</v>
      </c>
      <c r="V203" s="46" t="s">
        <v>1425</v>
      </c>
    </row>
    <row r="204" spans="1:22" x14ac:dyDescent="0.2">
      <c r="A204">
        <v>408484</v>
      </c>
      <c r="B204" s="399" t="s">
        <v>353</v>
      </c>
      <c r="C204" s="297">
        <v>21</v>
      </c>
      <c r="D204" s="394">
        <v>43890</v>
      </c>
      <c r="E204" s="297" t="s">
        <v>1425</v>
      </c>
      <c r="F204" s="394">
        <v>43830</v>
      </c>
      <c r="G204" s="297" t="s">
        <v>1426</v>
      </c>
      <c r="H204" s="297" t="s">
        <v>1426</v>
      </c>
      <c r="I204" s="297" t="s">
        <v>1426</v>
      </c>
      <c r="J204" s="297" t="s">
        <v>1426</v>
      </c>
      <c r="K204" s="297" t="s">
        <v>1426</v>
      </c>
      <c r="L204" s="297" t="s">
        <v>1426</v>
      </c>
      <c r="M204" s="297" t="s">
        <v>1426</v>
      </c>
      <c r="N204" s="297" t="s">
        <v>1425</v>
      </c>
      <c r="O204" s="297" t="s">
        <v>1425</v>
      </c>
      <c r="P204" s="394" t="s">
        <v>1425</v>
      </c>
      <c r="Q204" s="297" t="s">
        <v>1425</v>
      </c>
      <c r="R204" s="297" t="s">
        <v>1425</v>
      </c>
      <c r="S204" s="297" t="s">
        <v>1425</v>
      </c>
      <c r="T204" s="297" t="s">
        <v>1426</v>
      </c>
      <c r="U204" s="297" t="s">
        <v>1425</v>
      </c>
      <c r="V204" s="46" t="s">
        <v>1426</v>
      </c>
    </row>
    <row r="205" spans="1:22" x14ac:dyDescent="0.2">
      <c r="A205">
        <v>408898</v>
      </c>
      <c r="B205" s="399" t="s">
        <v>631</v>
      </c>
      <c r="C205" s="297">
        <v>25</v>
      </c>
      <c r="D205" s="394">
        <v>43890</v>
      </c>
      <c r="E205" s="297" t="s">
        <v>1425</v>
      </c>
      <c r="F205" s="394">
        <v>43830</v>
      </c>
      <c r="G205" s="297" t="s">
        <v>1426</v>
      </c>
      <c r="H205" s="297" t="s">
        <v>1426</v>
      </c>
      <c r="I205" s="297" t="s">
        <v>1426</v>
      </c>
      <c r="J205" s="297" t="s">
        <v>1426</v>
      </c>
      <c r="K205" s="297" t="s">
        <v>1426</v>
      </c>
      <c r="L205" s="297" t="s">
        <v>1426</v>
      </c>
      <c r="M205" s="297" t="s">
        <v>1425</v>
      </c>
      <c r="N205" s="297" t="s">
        <v>1425</v>
      </c>
      <c r="O205" s="297" t="s">
        <v>1425</v>
      </c>
      <c r="P205" s="394" t="s">
        <v>1425</v>
      </c>
      <c r="Q205" s="297" t="s">
        <v>1425</v>
      </c>
      <c r="R205" s="297" t="s">
        <v>1425</v>
      </c>
      <c r="S205" s="297" t="s">
        <v>1425</v>
      </c>
      <c r="T205" s="297" t="s">
        <v>1425</v>
      </c>
      <c r="U205" s="297" t="s">
        <v>1425</v>
      </c>
      <c r="V205" s="46" t="s">
        <v>1426</v>
      </c>
    </row>
    <row r="206" spans="1:22" x14ac:dyDescent="0.2">
      <c r="A206">
        <v>410258</v>
      </c>
      <c r="B206" s="399" t="s">
        <v>1461</v>
      </c>
      <c r="C206" s="297">
        <v>26</v>
      </c>
      <c r="D206" s="394">
        <v>43890</v>
      </c>
      <c r="E206" s="297" t="s">
        <v>1425</v>
      </c>
      <c r="F206" s="394">
        <v>43830</v>
      </c>
      <c r="G206" s="297" t="s">
        <v>1426</v>
      </c>
      <c r="H206" s="297" t="s">
        <v>1426</v>
      </c>
      <c r="I206" s="297" t="s">
        <v>1426</v>
      </c>
      <c r="J206" s="297" t="s">
        <v>1426</v>
      </c>
      <c r="K206" s="297" t="s">
        <v>1426</v>
      </c>
      <c r="L206" s="297" t="s">
        <v>1426</v>
      </c>
      <c r="M206" s="297" t="s">
        <v>1426</v>
      </c>
      <c r="N206" s="297" t="s">
        <v>1425</v>
      </c>
      <c r="O206" s="297" t="s">
        <v>1425</v>
      </c>
      <c r="P206" s="394" t="s">
        <v>1425</v>
      </c>
      <c r="Q206" s="297" t="s">
        <v>1425</v>
      </c>
      <c r="R206" s="297" t="s">
        <v>1425</v>
      </c>
      <c r="S206" s="297" t="s">
        <v>1425</v>
      </c>
      <c r="T206" s="297" t="s">
        <v>1425</v>
      </c>
      <c r="U206" s="297" t="s">
        <v>1425</v>
      </c>
      <c r="V206" s="46" t="s">
        <v>1426</v>
      </c>
    </row>
    <row r="207" spans="1:22" x14ac:dyDescent="0.2">
      <c r="A207">
        <v>416867</v>
      </c>
      <c r="B207" s="399" t="s">
        <v>354</v>
      </c>
      <c r="C207" s="297">
        <v>24</v>
      </c>
      <c r="D207" s="394">
        <v>43890</v>
      </c>
      <c r="E207" s="297" t="s">
        <v>1425</v>
      </c>
      <c r="F207" s="394">
        <v>43830</v>
      </c>
      <c r="G207" s="297" t="s">
        <v>1426</v>
      </c>
      <c r="H207" s="297" t="s">
        <v>1426</v>
      </c>
      <c r="I207" s="297" t="s">
        <v>1426</v>
      </c>
      <c r="J207" s="297" t="s">
        <v>1426</v>
      </c>
      <c r="K207" s="297" t="s">
        <v>1426</v>
      </c>
      <c r="L207" s="297" t="s">
        <v>1426</v>
      </c>
      <c r="M207" s="297" t="s">
        <v>1426</v>
      </c>
      <c r="N207" s="297" t="s">
        <v>1426</v>
      </c>
      <c r="O207" s="297" t="s">
        <v>1426</v>
      </c>
      <c r="P207" s="394" t="s">
        <v>1426</v>
      </c>
      <c r="Q207" s="297" t="s">
        <v>1426</v>
      </c>
      <c r="R207" s="297" t="s">
        <v>1426</v>
      </c>
      <c r="S207" s="297" t="s">
        <v>1426</v>
      </c>
      <c r="T207" s="297" t="s">
        <v>1425</v>
      </c>
      <c r="U207" s="297" t="s">
        <v>1425</v>
      </c>
      <c r="V207" s="46" t="s">
        <v>1426</v>
      </c>
    </row>
    <row r="208" spans="1:22" x14ac:dyDescent="0.2">
      <c r="A208">
        <v>416982</v>
      </c>
      <c r="B208" s="399" t="s">
        <v>355</v>
      </c>
      <c r="C208" s="297">
        <v>29</v>
      </c>
      <c r="D208" s="394">
        <v>43890</v>
      </c>
      <c r="E208" s="297" t="s">
        <v>1426</v>
      </c>
      <c r="F208" s="394">
        <v>43830</v>
      </c>
      <c r="G208" s="297" t="s">
        <v>1425</v>
      </c>
      <c r="H208" s="297" t="s">
        <v>1425</v>
      </c>
      <c r="I208" s="297" t="s">
        <v>1426</v>
      </c>
      <c r="J208" s="297" t="s">
        <v>1426</v>
      </c>
      <c r="K208" s="297" t="s">
        <v>1426</v>
      </c>
      <c r="L208" s="297" t="s">
        <v>1426</v>
      </c>
      <c r="M208" s="297" t="s">
        <v>1426</v>
      </c>
      <c r="N208" s="297" t="s">
        <v>1426</v>
      </c>
      <c r="O208" s="297" t="s">
        <v>1426</v>
      </c>
      <c r="P208" s="394" t="s">
        <v>1426</v>
      </c>
      <c r="Q208" s="297" t="s">
        <v>1426</v>
      </c>
      <c r="R208" s="297" t="s">
        <v>1426</v>
      </c>
      <c r="S208" s="297" t="s">
        <v>1426</v>
      </c>
      <c r="T208" s="297" t="s">
        <v>1426</v>
      </c>
      <c r="U208" s="297" t="s">
        <v>1426</v>
      </c>
      <c r="V208" s="46" t="s">
        <v>1425</v>
      </c>
    </row>
    <row r="209" spans="1:22" x14ac:dyDescent="0.2">
      <c r="A209">
        <v>418699</v>
      </c>
      <c r="B209" s="399" t="s">
        <v>595</v>
      </c>
      <c r="C209" s="297"/>
      <c r="D209" s="394"/>
      <c r="E209" s="297" t="s">
        <v>1425</v>
      </c>
      <c r="F209" s="394">
        <v>43830</v>
      </c>
      <c r="G209" s="297" t="s">
        <v>1426</v>
      </c>
      <c r="H209" s="297" t="s">
        <v>1426</v>
      </c>
      <c r="I209" s="297" t="s">
        <v>1426</v>
      </c>
      <c r="J209" s="297" t="s">
        <v>1426</v>
      </c>
      <c r="K209" s="297" t="s">
        <v>1426</v>
      </c>
      <c r="L209" s="297" t="s">
        <v>1426</v>
      </c>
      <c r="M209" s="297" t="s">
        <v>1426</v>
      </c>
      <c r="N209" s="297" t="s">
        <v>1426</v>
      </c>
      <c r="O209" s="297" t="s">
        <v>1426</v>
      </c>
      <c r="P209" s="394" t="s">
        <v>1426</v>
      </c>
      <c r="Q209" s="297" t="s">
        <v>1426</v>
      </c>
      <c r="R209" s="297" t="s">
        <v>1426</v>
      </c>
      <c r="S209" s="297" t="s">
        <v>1426</v>
      </c>
      <c r="T209" s="297" t="s">
        <v>1425</v>
      </c>
      <c r="U209" s="297" t="s">
        <v>1425</v>
      </c>
      <c r="V209" s="46" t="s">
        <v>1425</v>
      </c>
    </row>
    <row r="210" spans="1:22" x14ac:dyDescent="0.2">
      <c r="A210">
        <v>419101</v>
      </c>
      <c r="B210" s="399" t="s">
        <v>357</v>
      </c>
      <c r="C210" s="297">
        <v>27</v>
      </c>
      <c r="D210" s="394">
        <v>43890</v>
      </c>
      <c r="E210" s="297" t="s">
        <v>1425</v>
      </c>
      <c r="F210" s="394">
        <v>43830</v>
      </c>
      <c r="G210" s="297" t="s">
        <v>1426</v>
      </c>
      <c r="H210" s="297" t="s">
        <v>1426</v>
      </c>
      <c r="I210" s="297" t="s">
        <v>1426</v>
      </c>
      <c r="J210" s="297" t="s">
        <v>1426</v>
      </c>
      <c r="K210" s="297" t="s">
        <v>1426</v>
      </c>
      <c r="L210" s="297" t="s">
        <v>1426</v>
      </c>
      <c r="M210" s="297" t="s">
        <v>1425</v>
      </c>
      <c r="N210" s="297" t="s">
        <v>1426</v>
      </c>
      <c r="O210" s="297" t="s">
        <v>1426</v>
      </c>
      <c r="P210" s="394" t="s">
        <v>1426</v>
      </c>
      <c r="Q210" s="297" t="s">
        <v>1426</v>
      </c>
      <c r="R210" s="297" t="s">
        <v>1426</v>
      </c>
      <c r="S210" s="297" t="s">
        <v>1426</v>
      </c>
      <c r="T210" s="297" t="s">
        <v>1426</v>
      </c>
      <c r="U210" s="297" t="s">
        <v>1425</v>
      </c>
      <c r="V210" s="46" t="s">
        <v>1425</v>
      </c>
    </row>
    <row r="211" spans="1:22" x14ac:dyDescent="0.2">
      <c r="A211">
        <v>420463</v>
      </c>
      <c r="B211" s="399" t="s">
        <v>358</v>
      </c>
      <c r="C211" s="297">
        <v>23</v>
      </c>
      <c r="D211" s="394">
        <v>43890</v>
      </c>
      <c r="E211" s="297" t="s">
        <v>1425</v>
      </c>
      <c r="F211" s="394">
        <v>43830</v>
      </c>
      <c r="G211" s="297" t="s">
        <v>1426</v>
      </c>
      <c r="H211" s="297" t="s">
        <v>1426</v>
      </c>
      <c r="I211" s="297" t="s">
        <v>1426</v>
      </c>
      <c r="J211" s="297" t="s">
        <v>1426</v>
      </c>
      <c r="K211" s="297" t="s">
        <v>1426</v>
      </c>
      <c r="L211" s="297" t="s">
        <v>1426</v>
      </c>
      <c r="M211" s="297" t="s">
        <v>1426</v>
      </c>
      <c r="N211" s="297" t="s">
        <v>1426</v>
      </c>
      <c r="O211" s="297" t="s">
        <v>1426</v>
      </c>
      <c r="P211" s="394" t="s">
        <v>1426</v>
      </c>
      <c r="Q211" s="297" t="s">
        <v>1426</v>
      </c>
      <c r="R211" s="297" t="s">
        <v>1426</v>
      </c>
      <c r="S211" s="297" t="s">
        <v>1425</v>
      </c>
      <c r="T211" s="297" t="s">
        <v>1426</v>
      </c>
      <c r="U211" s="297" t="s">
        <v>1425</v>
      </c>
      <c r="V211" s="46" t="s">
        <v>1425</v>
      </c>
    </row>
    <row r="212" spans="1:22" x14ac:dyDescent="0.2">
      <c r="A212">
        <v>420646</v>
      </c>
      <c r="B212" s="399" t="s">
        <v>359</v>
      </c>
      <c r="C212" s="297"/>
      <c r="D212" s="394"/>
      <c r="E212" s="297"/>
      <c r="F212" s="394"/>
      <c r="G212" s="297" t="s">
        <v>1426</v>
      </c>
      <c r="H212" s="297" t="s">
        <v>1426</v>
      </c>
      <c r="I212" s="297" t="s">
        <v>1426</v>
      </c>
      <c r="J212" s="297" t="s">
        <v>1426</v>
      </c>
      <c r="K212" s="297" t="s">
        <v>1426</v>
      </c>
      <c r="L212" s="297" t="s">
        <v>1426</v>
      </c>
      <c r="M212" s="297" t="s">
        <v>1426</v>
      </c>
      <c r="N212" s="297" t="s">
        <v>1425</v>
      </c>
      <c r="O212" s="297" t="s">
        <v>1426</v>
      </c>
      <c r="P212" s="394" t="s">
        <v>1425</v>
      </c>
      <c r="Q212" s="297" t="s">
        <v>1425</v>
      </c>
      <c r="R212" s="297" t="s">
        <v>1426</v>
      </c>
      <c r="S212" s="297" t="s">
        <v>1425</v>
      </c>
      <c r="T212" s="297" t="s">
        <v>1425</v>
      </c>
      <c r="U212" s="297" t="s">
        <v>1425</v>
      </c>
      <c r="V212" s="46" t="s">
        <v>1425</v>
      </c>
    </row>
    <row r="213" spans="1:22" x14ac:dyDescent="0.2">
      <c r="A213">
        <v>422709</v>
      </c>
      <c r="B213" s="399" t="s">
        <v>360</v>
      </c>
      <c r="C213" s="297">
        <v>21</v>
      </c>
      <c r="D213" s="394">
        <v>43890</v>
      </c>
      <c r="E213" s="297" t="s">
        <v>1426</v>
      </c>
      <c r="F213" s="394">
        <v>43830</v>
      </c>
      <c r="G213" s="297" t="s">
        <v>1426</v>
      </c>
      <c r="H213" s="297" t="s">
        <v>1426</v>
      </c>
      <c r="I213" s="297" t="s">
        <v>1426</v>
      </c>
      <c r="J213" s="297" t="s">
        <v>1426</v>
      </c>
      <c r="K213" s="297" t="s">
        <v>1426</v>
      </c>
      <c r="L213" s="297" t="s">
        <v>1426</v>
      </c>
      <c r="M213" s="297" t="s">
        <v>1426</v>
      </c>
      <c r="N213" s="297" t="s">
        <v>1426</v>
      </c>
      <c r="O213" s="297" t="s">
        <v>1426</v>
      </c>
      <c r="P213" s="394" t="s">
        <v>1426</v>
      </c>
      <c r="Q213" s="297" t="s">
        <v>1426</v>
      </c>
      <c r="R213" s="297" t="s">
        <v>1426</v>
      </c>
      <c r="S213" s="297" t="s">
        <v>1426</v>
      </c>
      <c r="T213" s="297" t="s">
        <v>1425</v>
      </c>
      <c r="U213" s="297" t="s">
        <v>1425</v>
      </c>
      <c r="V213" s="46" t="s">
        <v>1425</v>
      </c>
    </row>
    <row r="214" spans="1:22" x14ac:dyDescent="0.2">
      <c r="A214">
        <v>425067</v>
      </c>
      <c r="B214" s="399" t="s">
        <v>1400</v>
      </c>
      <c r="C214" s="297">
        <v>27</v>
      </c>
      <c r="D214" s="394">
        <v>43890</v>
      </c>
      <c r="E214" s="297" t="s">
        <v>1425</v>
      </c>
      <c r="F214" s="394">
        <v>43830</v>
      </c>
      <c r="G214" s="297" t="s">
        <v>1425</v>
      </c>
      <c r="H214" s="297" t="s">
        <v>1425</v>
      </c>
      <c r="I214" s="297" t="s">
        <v>1425</v>
      </c>
      <c r="J214" s="297" t="s">
        <v>1426</v>
      </c>
      <c r="K214" s="297" t="s">
        <v>1426</v>
      </c>
      <c r="L214" s="297" t="s">
        <v>1425</v>
      </c>
      <c r="M214" s="297" t="s">
        <v>1425</v>
      </c>
      <c r="N214" s="297" t="s">
        <v>1425</v>
      </c>
      <c r="O214" s="297" t="s">
        <v>1425</v>
      </c>
      <c r="P214" s="394" t="s">
        <v>1425</v>
      </c>
      <c r="Q214" s="297" t="s">
        <v>1425</v>
      </c>
      <c r="R214" s="297" t="s">
        <v>1425</v>
      </c>
      <c r="S214" s="297" t="s">
        <v>1425</v>
      </c>
      <c r="T214" s="297" t="s">
        <v>1425</v>
      </c>
      <c r="U214" s="297" t="s">
        <v>1425</v>
      </c>
      <c r="V214" s="46" t="s">
        <v>1425</v>
      </c>
    </row>
    <row r="215" spans="1:22" x14ac:dyDescent="0.2">
      <c r="A215">
        <v>427310</v>
      </c>
      <c r="B215" s="399" t="s">
        <v>361</v>
      </c>
      <c r="C215" s="297"/>
      <c r="D215" s="394"/>
      <c r="E215" s="297" t="s">
        <v>1425</v>
      </c>
      <c r="F215" s="394">
        <v>43830</v>
      </c>
      <c r="G215" s="297" t="s">
        <v>1426</v>
      </c>
      <c r="H215" s="297" t="s">
        <v>1426</v>
      </c>
      <c r="I215" s="297" t="s">
        <v>1426</v>
      </c>
      <c r="J215" s="297" t="s">
        <v>1426</v>
      </c>
      <c r="K215" s="297" t="s">
        <v>1426</v>
      </c>
      <c r="L215" s="297" t="s">
        <v>1426</v>
      </c>
      <c r="M215" s="297" t="s">
        <v>1426</v>
      </c>
      <c r="N215" s="297" t="s">
        <v>1426</v>
      </c>
      <c r="O215" s="297" t="s">
        <v>1426</v>
      </c>
      <c r="P215" s="394" t="s">
        <v>1426</v>
      </c>
      <c r="Q215" s="297" t="s">
        <v>1426</v>
      </c>
      <c r="R215" s="297" t="s">
        <v>1426</v>
      </c>
      <c r="S215" s="297" t="s">
        <v>1426</v>
      </c>
      <c r="T215" s="297" t="s">
        <v>1425</v>
      </c>
      <c r="U215" s="297" t="s">
        <v>1425</v>
      </c>
      <c r="V215" s="46" t="s">
        <v>1426</v>
      </c>
    </row>
    <row r="216" spans="1:22" x14ac:dyDescent="0.2">
      <c r="A216">
        <v>429316</v>
      </c>
      <c r="B216" s="399" t="s">
        <v>1363</v>
      </c>
      <c r="C216" s="297">
        <v>25</v>
      </c>
      <c r="D216" s="394">
        <v>43890</v>
      </c>
      <c r="E216" s="297" t="s">
        <v>1426</v>
      </c>
      <c r="F216" s="394">
        <v>43830</v>
      </c>
      <c r="G216" s="297" t="s">
        <v>1426</v>
      </c>
      <c r="H216" s="297" t="s">
        <v>1426</v>
      </c>
      <c r="I216" s="297" t="s">
        <v>1426</v>
      </c>
      <c r="J216" s="297" t="s">
        <v>1426</v>
      </c>
      <c r="K216" s="297" t="s">
        <v>1426</v>
      </c>
      <c r="L216" s="297" t="s">
        <v>1426</v>
      </c>
      <c r="M216" s="297" t="s">
        <v>1426</v>
      </c>
      <c r="N216" s="297" t="s">
        <v>1426</v>
      </c>
      <c r="O216" s="297" t="s">
        <v>1426</v>
      </c>
      <c r="P216" s="394" t="s">
        <v>1426</v>
      </c>
      <c r="Q216" s="297" t="s">
        <v>1426</v>
      </c>
      <c r="R216" s="297" t="s">
        <v>1426</v>
      </c>
      <c r="S216" s="297" t="s">
        <v>1426</v>
      </c>
      <c r="T216" s="297" t="s">
        <v>1425</v>
      </c>
      <c r="U216" s="297" t="s">
        <v>1425</v>
      </c>
      <c r="V216" s="46" t="s">
        <v>1426</v>
      </c>
    </row>
    <row r="217" spans="1:22" x14ac:dyDescent="0.2">
      <c r="A217">
        <v>430975</v>
      </c>
      <c r="B217" s="399" t="s">
        <v>362</v>
      </c>
      <c r="C217" s="297">
        <v>21</v>
      </c>
      <c r="D217" s="394">
        <v>43890</v>
      </c>
      <c r="E217" s="297" t="s">
        <v>1425</v>
      </c>
      <c r="F217" s="394">
        <v>43830</v>
      </c>
      <c r="G217" s="297" t="s">
        <v>1426</v>
      </c>
      <c r="H217" s="297" t="s">
        <v>1426</v>
      </c>
      <c r="I217" s="297" t="s">
        <v>1426</v>
      </c>
      <c r="J217" s="297" t="s">
        <v>1426</v>
      </c>
      <c r="K217" s="297" t="s">
        <v>1426</v>
      </c>
      <c r="L217" s="297" t="s">
        <v>1426</v>
      </c>
      <c r="M217" s="297" t="s">
        <v>1426</v>
      </c>
      <c r="N217" s="297" t="s">
        <v>1426</v>
      </c>
      <c r="O217" s="297" t="s">
        <v>1426</v>
      </c>
      <c r="P217" s="394" t="s">
        <v>1426</v>
      </c>
      <c r="Q217" s="297" t="s">
        <v>1426</v>
      </c>
      <c r="R217" s="297" t="s">
        <v>1426</v>
      </c>
      <c r="S217" s="297" t="s">
        <v>1425</v>
      </c>
      <c r="T217" s="297" t="s">
        <v>1425</v>
      </c>
      <c r="U217" s="297" t="s">
        <v>1425</v>
      </c>
      <c r="V217" s="46" t="s">
        <v>1426</v>
      </c>
    </row>
    <row r="218" spans="1:22" x14ac:dyDescent="0.2">
      <c r="A218">
        <v>433862</v>
      </c>
      <c r="B218" s="399" t="s">
        <v>363</v>
      </c>
      <c r="C218" s="297">
        <v>34</v>
      </c>
      <c r="D218" s="394">
        <v>43890</v>
      </c>
      <c r="E218" s="297" t="s">
        <v>1425</v>
      </c>
      <c r="F218" s="394">
        <v>43830</v>
      </c>
      <c r="G218" s="297" t="s">
        <v>1426</v>
      </c>
      <c r="H218" s="297" t="s">
        <v>1426</v>
      </c>
      <c r="I218" s="297" t="s">
        <v>1426</v>
      </c>
      <c r="J218" s="297" t="s">
        <v>1426</v>
      </c>
      <c r="K218" s="297" t="s">
        <v>1426</v>
      </c>
      <c r="L218" s="297" t="s">
        <v>1426</v>
      </c>
      <c r="M218" s="297" t="s">
        <v>1425</v>
      </c>
      <c r="N218" s="297" t="s">
        <v>1425</v>
      </c>
      <c r="O218" s="297" t="s">
        <v>1425</v>
      </c>
      <c r="P218" s="394" t="s">
        <v>1425</v>
      </c>
      <c r="Q218" s="297" t="s">
        <v>1425</v>
      </c>
      <c r="R218" s="297" t="s">
        <v>1425</v>
      </c>
      <c r="S218" s="297" t="s">
        <v>1425</v>
      </c>
      <c r="T218" s="297" t="s">
        <v>1425</v>
      </c>
      <c r="U218" s="297" t="s">
        <v>1425</v>
      </c>
      <c r="V218" s="46" t="s">
        <v>1425</v>
      </c>
    </row>
    <row r="219" spans="1:22" x14ac:dyDescent="0.2">
      <c r="A219">
        <v>434274</v>
      </c>
      <c r="B219" s="399" t="s">
        <v>364</v>
      </c>
      <c r="C219" s="297">
        <v>28</v>
      </c>
      <c r="D219" s="394">
        <v>43890</v>
      </c>
      <c r="E219" s="297" t="s">
        <v>1425</v>
      </c>
      <c r="F219" s="394">
        <v>43830</v>
      </c>
      <c r="G219" s="297" t="s">
        <v>1426</v>
      </c>
      <c r="H219" s="297" t="s">
        <v>1426</v>
      </c>
      <c r="I219" s="297" t="s">
        <v>1426</v>
      </c>
      <c r="J219" s="297" t="s">
        <v>1426</v>
      </c>
      <c r="K219" s="297" t="s">
        <v>1426</v>
      </c>
      <c r="L219" s="297" t="s">
        <v>1426</v>
      </c>
      <c r="M219" s="297" t="s">
        <v>1425</v>
      </c>
      <c r="N219" s="297" t="s">
        <v>1425</v>
      </c>
      <c r="O219" s="297" t="s">
        <v>1426</v>
      </c>
      <c r="P219" s="394" t="s">
        <v>1425</v>
      </c>
      <c r="Q219" s="297" t="s">
        <v>1425</v>
      </c>
      <c r="R219" s="297" t="s">
        <v>1425</v>
      </c>
      <c r="S219" s="297" t="s">
        <v>1425</v>
      </c>
      <c r="T219" s="297" t="s">
        <v>1425</v>
      </c>
      <c r="U219" s="297" t="s">
        <v>1425</v>
      </c>
      <c r="V219" s="46" t="s">
        <v>1425</v>
      </c>
    </row>
    <row r="220" spans="1:22" x14ac:dyDescent="0.2">
      <c r="A220">
        <v>439471</v>
      </c>
      <c r="B220" s="399" t="s">
        <v>119</v>
      </c>
      <c r="C220" s="297">
        <v>20</v>
      </c>
      <c r="D220" s="394">
        <v>43890</v>
      </c>
      <c r="E220" s="297" t="s">
        <v>1426</v>
      </c>
      <c r="F220" s="394">
        <v>43830</v>
      </c>
      <c r="G220" s="297" t="s">
        <v>1426</v>
      </c>
      <c r="H220" s="297" t="s">
        <v>1426</v>
      </c>
      <c r="I220" s="297" t="s">
        <v>1426</v>
      </c>
      <c r="J220" s="297" t="s">
        <v>1426</v>
      </c>
      <c r="K220" s="297" t="s">
        <v>1426</v>
      </c>
      <c r="L220" s="297" t="s">
        <v>1426</v>
      </c>
      <c r="M220" s="297" t="s">
        <v>1425</v>
      </c>
      <c r="N220" s="297" t="s">
        <v>1425</v>
      </c>
      <c r="O220" s="297" t="s">
        <v>1426</v>
      </c>
      <c r="P220" s="394" t="s">
        <v>1425</v>
      </c>
      <c r="Q220" s="297" t="s">
        <v>1425</v>
      </c>
      <c r="R220" s="297" t="s">
        <v>1425</v>
      </c>
      <c r="S220" s="297" t="s">
        <v>1426</v>
      </c>
      <c r="T220" s="297" t="s">
        <v>1425</v>
      </c>
      <c r="U220" s="297" t="s">
        <v>1425</v>
      </c>
      <c r="V220" s="46" t="s">
        <v>1425</v>
      </c>
    </row>
    <row r="221" spans="1:22" x14ac:dyDescent="0.2">
      <c r="A221">
        <v>440065</v>
      </c>
      <c r="B221" s="399" t="s">
        <v>365</v>
      </c>
      <c r="C221" s="297">
        <v>23</v>
      </c>
      <c r="D221" s="394">
        <v>43890</v>
      </c>
      <c r="E221" s="297" t="s">
        <v>1425</v>
      </c>
      <c r="F221" s="394">
        <v>43830</v>
      </c>
      <c r="G221" s="297" t="s">
        <v>1426</v>
      </c>
      <c r="H221" s="297" t="s">
        <v>1426</v>
      </c>
      <c r="I221" s="297" t="s">
        <v>1426</v>
      </c>
      <c r="J221" s="297" t="s">
        <v>1426</v>
      </c>
      <c r="K221" s="297" t="s">
        <v>1426</v>
      </c>
      <c r="L221" s="297" t="s">
        <v>1426</v>
      </c>
      <c r="M221" s="297" t="s">
        <v>1426</v>
      </c>
      <c r="N221" s="297" t="s">
        <v>1425</v>
      </c>
      <c r="O221" s="297" t="s">
        <v>1425</v>
      </c>
      <c r="P221" s="394" t="s">
        <v>1425</v>
      </c>
      <c r="Q221" s="297" t="s">
        <v>1425</v>
      </c>
      <c r="R221" s="297" t="s">
        <v>1425</v>
      </c>
      <c r="S221" s="297" t="s">
        <v>1425</v>
      </c>
      <c r="T221" s="297" t="s">
        <v>1425</v>
      </c>
      <c r="U221" s="297" t="s">
        <v>1425</v>
      </c>
      <c r="V221" s="46" t="s">
        <v>1426</v>
      </c>
    </row>
    <row r="222" spans="1:22" x14ac:dyDescent="0.2">
      <c r="A222">
        <v>442483</v>
      </c>
      <c r="B222" s="399" t="s">
        <v>366</v>
      </c>
      <c r="C222" s="297">
        <v>31</v>
      </c>
      <c r="D222" s="394">
        <v>43890</v>
      </c>
      <c r="E222" s="297" t="s">
        <v>1425</v>
      </c>
      <c r="F222" s="394">
        <v>43830</v>
      </c>
      <c r="G222" s="297" t="s">
        <v>1426</v>
      </c>
      <c r="H222" s="297" t="s">
        <v>1426</v>
      </c>
      <c r="I222" s="297" t="s">
        <v>1426</v>
      </c>
      <c r="J222" s="297" t="s">
        <v>1426</v>
      </c>
      <c r="K222" s="297" t="s">
        <v>1426</v>
      </c>
      <c r="L222" s="297" t="s">
        <v>1426</v>
      </c>
      <c r="M222" s="297" t="s">
        <v>1426</v>
      </c>
      <c r="N222" s="297" t="s">
        <v>1426</v>
      </c>
      <c r="O222" s="297" t="s">
        <v>1426</v>
      </c>
      <c r="P222" s="394" t="s">
        <v>1425</v>
      </c>
      <c r="Q222" s="297" t="s">
        <v>1426</v>
      </c>
      <c r="R222" s="297" t="s">
        <v>1425</v>
      </c>
      <c r="S222" s="297" t="s">
        <v>1425</v>
      </c>
      <c r="T222" s="297" t="s">
        <v>1425</v>
      </c>
      <c r="U222" s="297" t="s">
        <v>1425</v>
      </c>
      <c r="V222" s="46" t="s">
        <v>1425</v>
      </c>
    </row>
    <row r="223" spans="1:22" x14ac:dyDescent="0.2">
      <c r="A223">
        <v>442897</v>
      </c>
      <c r="B223" s="399" t="s">
        <v>368</v>
      </c>
      <c r="C223" s="297"/>
      <c r="D223" s="394"/>
      <c r="E223" s="297"/>
      <c r="F223" s="394"/>
      <c r="G223" s="297" t="s">
        <v>1426</v>
      </c>
      <c r="H223" s="297" t="s">
        <v>1426</v>
      </c>
      <c r="I223" s="297" t="s">
        <v>1426</v>
      </c>
      <c r="J223" s="297" t="s">
        <v>1426</v>
      </c>
      <c r="K223" s="297" t="s">
        <v>1426</v>
      </c>
      <c r="L223" s="297" t="s">
        <v>1426</v>
      </c>
      <c r="M223" s="297" t="s">
        <v>1426</v>
      </c>
      <c r="N223" s="297" t="s">
        <v>1426</v>
      </c>
      <c r="O223" s="297" t="s">
        <v>1426</v>
      </c>
      <c r="P223" s="394" t="s">
        <v>1426</v>
      </c>
      <c r="Q223" s="297" t="s">
        <v>1426</v>
      </c>
      <c r="R223" s="297" t="s">
        <v>1426</v>
      </c>
      <c r="S223" s="297" t="s">
        <v>1426</v>
      </c>
      <c r="T223" s="297" t="s">
        <v>1425</v>
      </c>
      <c r="U223" s="297" t="s">
        <v>1425</v>
      </c>
      <c r="V223" s="46" t="s">
        <v>1426</v>
      </c>
    </row>
    <row r="224" spans="1:22" x14ac:dyDescent="0.2">
      <c r="A224">
        <v>443721</v>
      </c>
      <c r="B224" s="399" t="s">
        <v>369</v>
      </c>
      <c r="C224" s="297"/>
      <c r="D224" s="394"/>
      <c r="E224" s="297" t="s">
        <v>1425</v>
      </c>
      <c r="F224" s="394">
        <v>43465</v>
      </c>
      <c r="G224" s="297" t="s">
        <v>1425</v>
      </c>
      <c r="H224" s="297" t="s">
        <v>1425</v>
      </c>
      <c r="I224" s="297" t="s">
        <v>1425</v>
      </c>
      <c r="J224" s="297" t="s">
        <v>1426</v>
      </c>
      <c r="K224" s="297" t="s">
        <v>1426</v>
      </c>
      <c r="L224" s="297" t="s">
        <v>1426</v>
      </c>
      <c r="M224" s="297" t="s">
        <v>1426</v>
      </c>
      <c r="N224" s="297" t="s">
        <v>1426</v>
      </c>
      <c r="O224" s="297" t="s">
        <v>1426</v>
      </c>
      <c r="P224" s="394" t="s">
        <v>1426</v>
      </c>
      <c r="Q224" s="297" t="s">
        <v>1426</v>
      </c>
      <c r="R224" s="297" t="s">
        <v>1426</v>
      </c>
      <c r="S224" s="297" t="s">
        <v>1426</v>
      </c>
      <c r="T224" s="297" t="s">
        <v>1426</v>
      </c>
      <c r="U224" s="297" t="s">
        <v>1426</v>
      </c>
      <c r="V224" s="46" t="s">
        <v>1426</v>
      </c>
    </row>
    <row r="225" spans="1:22" x14ac:dyDescent="0.2">
      <c r="A225">
        <v>443895</v>
      </c>
      <c r="B225" s="399" t="s">
        <v>596</v>
      </c>
      <c r="C225" s="297">
        <v>30</v>
      </c>
      <c r="D225" s="394">
        <v>43890</v>
      </c>
      <c r="E225" s="297" t="s">
        <v>1425</v>
      </c>
      <c r="F225" s="394">
        <v>43830</v>
      </c>
      <c r="G225" s="297" t="s">
        <v>1426</v>
      </c>
      <c r="H225" s="297" t="s">
        <v>1426</v>
      </c>
      <c r="I225" s="297" t="s">
        <v>1426</v>
      </c>
      <c r="J225" s="297" t="s">
        <v>1426</v>
      </c>
      <c r="K225" s="297" t="s">
        <v>1426</v>
      </c>
      <c r="L225" s="297" t="s">
        <v>1426</v>
      </c>
      <c r="M225" s="297" t="s">
        <v>1426</v>
      </c>
      <c r="N225" s="297" t="s">
        <v>1426</v>
      </c>
      <c r="O225" s="297" t="s">
        <v>1426</v>
      </c>
      <c r="P225" s="394" t="s">
        <v>1426</v>
      </c>
      <c r="Q225" s="297" t="s">
        <v>1426</v>
      </c>
      <c r="R225" s="297" t="s">
        <v>1426</v>
      </c>
      <c r="S225" s="297" t="s">
        <v>1426</v>
      </c>
      <c r="T225" s="297" t="s">
        <v>1425</v>
      </c>
      <c r="U225" s="297" t="s">
        <v>1425</v>
      </c>
      <c r="V225" s="46" t="s">
        <v>1425</v>
      </c>
    </row>
    <row r="226" spans="1:22" x14ac:dyDescent="0.2">
      <c r="A226">
        <v>444315</v>
      </c>
      <c r="B226" s="399" t="s">
        <v>1335</v>
      </c>
      <c r="C226" s="297"/>
      <c r="D226" s="394"/>
      <c r="E226" s="297" t="s">
        <v>1425</v>
      </c>
      <c r="F226" s="394">
        <v>43830</v>
      </c>
      <c r="G226" s="297" t="s">
        <v>1426</v>
      </c>
      <c r="H226" s="297" t="s">
        <v>1426</v>
      </c>
      <c r="I226" s="297" t="s">
        <v>1426</v>
      </c>
      <c r="J226" s="297" t="s">
        <v>1426</v>
      </c>
      <c r="K226" s="297" t="s">
        <v>1426</v>
      </c>
      <c r="L226" s="297" t="s">
        <v>1426</v>
      </c>
      <c r="M226" s="297" t="s">
        <v>1426</v>
      </c>
      <c r="N226" s="297" t="s">
        <v>1425</v>
      </c>
      <c r="O226" s="297" t="s">
        <v>1425</v>
      </c>
      <c r="P226" s="394" t="s">
        <v>1425</v>
      </c>
      <c r="Q226" s="297" t="s">
        <v>1425</v>
      </c>
      <c r="R226" s="297" t="s">
        <v>1425</v>
      </c>
      <c r="S226" s="297" t="s">
        <v>1425</v>
      </c>
      <c r="T226" s="297" t="s">
        <v>1426</v>
      </c>
      <c r="U226" s="297" t="s">
        <v>1425</v>
      </c>
      <c r="V226" s="46" t="s">
        <v>1426</v>
      </c>
    </row>
    <row r="227" spans="1:22" x14ac:dyDescent="0.2">
      <c r="A227">
        <v>446088</v>
      </c>
      <c r="B227" s="399" t="s">
        <v>1462</v>
      </c>
      <c r="C227" s="297">
        <v>23</v>
      </c>
      <c r="D227" s="394">
        <v>43890</v>
      </c>
      <c r="E227" s="297" t="s">
        <v>1426</v>
      </c>
      <c r="F227" s="394">
        <v>43830</v>
      </c>
      <c r="G227" s="297" t="s">
        <v>1426</v>
      </c>
      <c r="H227" s="297" t="s">
        <v>1426</v>
      </c>
      <c r="I227" s="297" t="s">
        <v>1426</v>
      </c>
      <c r="J227" s="297" t="s">
        <v>1426</v>
      </c>
      <c r="K227" s="297" t="s">
        <v>1426</v>
      </c>
      <c r="L227" s="297" t="s">
        <v>1426</v>
      </c>
      <c r="M227" s="297" t="s">
        <v>1426</v>
      </c>
      <c r="N227" s="297" t="s">
        <v>1425</v>
      </c>
      <c r="O227" s="297" t="s">
        <v>1425</v>
      </c>
      <c r="P227" s="394" t="s">
        <v>1425</v>
      </c>
      <c r="Q227" s="297" t="s">
        <v>1425</v>
      </c>
      <c r="R227" s="297" t="s">
        <v>1425</v>
      </c>
      <c r="S227" s="297" t="s">
        <v>1425</v>
      </c>
      <c r="T227" s="297" t="s">
        <v>1426</v>
      </c>
      <c r="U227" s="297" t="s">
        <v>1425</v>
      </c>
      <c r="V227" s="46" t="s">
        <v>1426</v>
      </c>
    </row>
    <row r="228" spans="1:22" x14ac:dyDescent="0.2">
      <c r="A228">
        <v>447086</v>
      </c>
      <c r="B228" s="399" t="s">
        <v>370</v>
      </c>
      <c r="C228" s="297"/>
      <c r="D228" s="394"/>
      <c r="E228" s="297" t="s">
        <v>1425</v>
      </c>
      <c r="F228" s="394">
        <v>43830</v>
      </c>
      <c r="G228" s="297" t="s">
        <v>1426</v>
      </c>
      <c r="H228" s="297" t="s">
        <v>1426</v>
      </c>
      <c r="I228" s="297" t="s">
        <v>1426</v>
      </c>
      <c r="J228" s="297" t="s">
        <v>1426</v>
      </c>
      <c r="K228" s="297" t="s">
        <v>1426</v>
      </c>
      <c r="L228" s="297" t="s">
        <v>1426</v>
      </c>
      <c r="M228" s="297" t="s">
        <v>1425</v>
      </c>
      <c r="N228" s="297" t="s">
        <v>1425</v>
      </c>
      <c r="O228" s="297" t="s">
        <v>1426</v>
      </c>
      <c r="P228" s="394" t="s">
        <v>1425</v>
      </c>
      <c r="Q228" s="297" t="s">
        <v>1426</v>
      </c>
      <c r="R228" s="297" t="s">
        <v>1425</v>
      </c>
      <c r="S228" s="297" t="s">
        <v>1426</v>
      </c>
      <c r="T228" s="297" t="s">
        <v>1425</v>
      </c>
      <c r="U228" s="297" t="s">
        <v>1425</v>
      </c>
      <c r="V228" s="46" t="s">
        <v>1426</v>
      </c>
    </row>
    <row r="229" spans="1:22" x14ac:dyDescent="0.2">
      <c r="A229">
        <v>449090</v>
      </c>
      <c r="B229" s="399" t="s">
        <v>372</v>
      </c>
      <c r="C229" s="297">
        <v>34</v>
      </c>
      <c r="D229" s="394">
        <v>43890</v>
      </c>
      <c r="E229" s="297" t="s">
        <v>1425</v>
      </c>
      <c r="F229" s="394">
        <v>43830</v>
      </c>
      <c r="G229" s="297" t="s">
        <v>1426</v>
      </c>
      <c r="H229" s="297" t="s">
        <v>1426</v>
      </c>
      <c r="I229" s="297" t="s">
        <v>1426</v>
      </c>
      <c r="J229" s="297" t="s">
        <v>1426</v>
      </c>
      <c r="K229" s="297" t="s">
        <v>1426</v>
      </c>
      <c r="L229" s="297" t="s">
        <v>1426</v>
      </c>
      <c r="M229" s="297" t="s">
        <v>1425</v>
      </c>
      <c r="N229" s="297" t="s">
        <v>1425</v>
      </c>
      <c r="O229" s="297" t="s">
        <v>1426</v>
      </c>
      <c r="P229" s="394" t="s">
        <v>1425</v>
      </c>
      <c r="Q229" s="297" t="s">
        <v>1425</v>
      </c>
      <c r="R229" s="297" t="s">
        <v>1425</v>
      </c>
      <c r="S229" s="297" t="s">
        <v>1426</v>
      </c>
      <c r="T229" s="297" t="s">
        <v>1425</v>
      </c>
      <c r="U229" s="297" t="s">
        <v>1425</v>
      </c>
      <c r="V229" s="46" t="s">
        <v>1425</v>
      </c>
    </row>
    <row r="230" spans="1:22" x14ac:dyDescent="0.2">
      <c r="A230">
        <v>450981</v>
      </c>
      <c r="B230" s="399" t="s">
        <v>373</v>
      </c>
      <c r="C230" s="297">
        <v>22</v>
      </c>
      <c r="D230" s="394">
        <v>43890</v>
      </c>
      <c r="E230" s="297" t="s">
        <v>1425</v>
      </c>
      <c r="F230" s="394">
        <v>43830</v>
      </c>
      <c r="G230" s="297" t="s">
        <v>1426</v>
      </c>
      <c r="H230" s="297" t="s">
        <v>1426</v>
      </c>
      <c r="I230" s="297" t="s">
        <v>1426</v>
      </c>
      <c r="J230" s="297" t="s">
        <v>1426</v>
      </c>
      <c r="K230" s="297" t="s">
        <v>1426</v>
      </c>
      <c r="L230" s="297" t="s">
        <v>1426</v>
      </c>
      <c r="M230" s="297" t="s">
        <v>1426</v>
      </c>
      <c r="N230" s="297" t="s">
        <v>1426</v>
      </c>
      <c r="O230" s="297" t="s">
        <v>1426</v>
      </c>
      <c r="P230" s="394" t="s">
        <v>1426</v>
      </c>
      <c r="Q230" s="297" t="s">
        <v>1426</v>
      </c>
      <c r="R230" s="297" t="s">
        <v>1426</v>
      </c>
      <c r="S230" s="297" t="s">
        <v>1426</v>
      </c>
      <c r="T230" s="297" t="s">
        <v>1426</v>
      </c>
      <c r="U230" s="297" t="s">
        <v>1425</v>
      </c>
      <c r="V230" s="46" t="s">
        <v>1425</v>
      </c>
    </row>
    <row r="231" spans="1:22" x14ac:dyDescent="0.2">
      <c r="A231">
        <v>456475</v>
      </c>
      <c r="B231" s="399" t="s">
        <v>374</v>
      </c>
      <c r="C231" s="297">
        <v>23</v>
      </c>
      <c r="D231" s="394">
        <v>43890</v>
      </c>
      <c r="E231" s="297" t="s">
        <v>1426</v>
      </c>
      <c r="F231" s="394">
        <v>43830</v>
      </c>
      <c r="G231" s="297" t="s">
        <v>1426</v>
      </c>
      <c r="H231" s="297" t="s">
        <v>1426</v>
      </c>
      <c r="I231" s="297" t="s">
        <v>1426</v>
      </c>
      <c r="J231" s="297" t="s">
        <v>1426</v>
      </c>
      <c r="K231" s="297" t="s">
        <v>1426</v>
      </c>
      <c r="L231" s="297" t="s">
        <v>1426</v>
      </c>
      <c r="M231" s="297" t="s">
        <v>1425</v>
      </c>
      <c r="N231" s="297" t="s">
        <v>1425</v>
      </c>
      <c r="O231" s="297" t="s">
        <v>1426</v>
      </c>
      <c r="P231" s="394" t="s">
        <v>1425</v>
      </c>
      <c r="Q231" s="297" t="s">
        <v>1425</v>
      </c>
      <c r="R231" s="297" t="s">
        <v>1425</v>
      </c>
      <c r="S231" s="297" t="s">
        <v>1425</v>
      </c>
      <c r="T231" s="297" t="s">
        <v>1425</v>
      </c>
      <c r="U231" s="297" t="s">
        <v>1425</v>
      </c>
      <c r="V231" s="46" t="s">
        <v>1425</v>
      </c>
    </row>
    <row r="232" spans="1:22" x14ac:dyDescent="0.2">
      <c r="A232">
        <v>459891</v>
      </c>
      <c r="B232" s="399" t="s">
        <v>1380</v>
      </c>
      <c r="C232" s="297">
        <v>26</v>
      </c>
      <c r="D232" s="394">
        <v>43890</v>
      </c>
      <c r="E232" s="297" t="s">
        <v>1425</v>
      </c>
      <c r="F232" s="394">
        <v>43830</v>
      </c>
      <c r="G232" s="297" t="s">
        <v>1426</v>
      </c>
      <c r="H232" s="297" t="s">
        <v>1426</v>
      </c>
      <c r="I232" s="297" t="s">
        <v>1426</v>
      </c>
      <c r="J232" s="297" t="s">
        <v>1426</v>
      </c>
      <c r="K232" s="297" t="s">
        <v>1426</v>
      </c>
      <c r="L232" s="297" t="s">
        <v>1426</v>
      </c>
      <c r="M232" s="297" t="s">
        <v>1426</v>
      </c>
      <c r="N232" s="297" t="s">
        <v>1426</v>
      </c>
      <c r="O232" s="297" t="s">
        <v>1426</v>
      </c>
      <c r="P232" s="394" t="s">
        <v>1426</v>
      </c>
      <c r="Q232" s="297" t="s">
        <v>1426</v>
      </c>
      <c r="R232" s="297" t="s">
        <v>1426</v>
      </c>
      <c r="S232" s="297" t="s">
        <v>1426</v>
      </c>
      <c r="T232" s="297" t="s">
        <v>1425</v>
      </c>
      <c r="U232" s="297" t="s">
        <v>1425</v>
      </c>
      <c r="V232" s="46" t="s">
        <v>1426</v>
      </c>
    </row>
    <row r="233" spans="1:22" x14ac:dyDescent="0.2">
      <c r="A233">
        <v>460899</v>
      </c>
      <c r="B233" s="399" t="s">
        <v>1539</v>
      </c>
      <c r="C233" s="297"/>
      <c r="D233" s="394"/>
      <c r="E233" s="297"/>
      <c r="F233" s="394"/>
      <c r="G233" s="297" t="s">
        <v>1425</v>
      </c>
      <c r="H233" s="297" t="s">
        <v>1425</v>
      </c>
      <c r="I233" s="297" t="s">
        <v>1425</v>
      </c>
      <c r="J233" s="297" t="s">
        <v>1426</v>
      </c>
      <c r="K233" s="297" t="s">
        <v>1426</v>
      </c>
      <c r="L233" s="297" t="s">
        <v>1425</v>
      </c>
      <c r="M233" s="297" t="s">
        <v>1425</v>
      </c>
      <c r="N233" s="297" t="s">
        <v>1425</v>
      </c>
      <c r="O233" s="297" t="s">
        <v>1425</v>
      </c>
      <c r="P233" s="394" t="s">
        <v>1425</v>
      </c>
      <c r="Q233" s="297" t="s">
        <v>1425</v>
      </c>
      <c r="R233" s="297" t="s">
        <v>1425</v>
      </c>
      <c r="S233" s="297" t="s">
        <v>1425</v>
      </c>
      <c r="T233" s="297" t="s">
        <v>1425</v>
      </c>
      <c r="U233" s="297" t="s">
        <v>1425</v>
      </c>
      <c r="V233" s="46" t="s">
        <v>1425</v>
      </c>
    </row>
    <row r="234" spans="1:22" x14ac:dyDescent="0.2">
      <c r="A234">
        <v>463141</v>
      </c>
      <c r="B234" s="399" t="s">
        <v>375</v>
      </c>
      <c r="C234" s="297">
        <v>22</v>
      </c>
      <c r="D234" s="394">
        <v>43890</v>
      </c>
      <c r="E234" s="297" t="s">
        <v>1426</v>
      </c>
      <c r="F234" s="394">
        <v>43830</v>
      </c>
      <c r="G234" s="297" t="s">
        <v>1426</v>
      </c>
      <c r="H234" s="297" t="s">
        <v>1426</v>
      </c>
      <c r="I234" s="297" t="s">
        <v>1426</v>
      </c>
      <c r="J234" s="297" t="s">
        <v>1426</v>
      </c>
      <c r="K234" s="297" t="s">
        <v>1426</v>
      </c>
      <c r="L234" s="297" t="s">
        <v>1426</v>
      </c>
      <c r="M234" s="297" t="s">
        <v>1426</v>
      </c>
      <c r="N234" s="297" t="s">
        <v>1426</v>
      </c>
      <c r="O234" s="297" t="s">
        <v>1426</v>
      </c>
      <c r="P234" s="394" t="s">
        <v>1426</v>
      </c>
      <c r="Q234" s="297" t="s">
        <v>1426</v>
      </c>
      <c r="R234" s="297" t="s">
        <v>1426</v>
      </c>
      <c r="S234" s="297" t="s">
        <v>1426</v>
      </c>
      <c r="T234" s="297" t="s">
        <v>1425</v>
      </c>
      <c r="U234" s="297" t="s">
        <v>1425</v>
      </c>
      <c r="V234" s="46" t="s">
        <v>1426</v>
      </c>
    </row>
    <row r="235" spans="1:22" x14ac:dyDescent="0.2">
      <c r="A235">
        <v>465147</v>
      </c>
      <c r="B235" s="399" t="s">
        <v>1381</v>
      </c>
      <c r="C235" s="297">
        <v>25</v>
      </c>
      <c r="D235" s="394">
        <v>43890</v>
      </c>
      <c r="E235" s="297" t="s">
        <v>1425</v>
      </c>
      <c r="F235" s="394">
        <v>43830</v>
      </c>
      <c r="G235" s="297" t="s">
        <v>1426</v>
      </c>
      <c r="H235" s="297" t="s">
        <v>1426</v>
      </c>
      <c r="I235" s="297" t="s">
        <v>1426</v>
      </c>
      <c r="J235" s="297" t="s">
        <v>1426</v>
      </c>
      <c r="K235" s="297" t="s">
        <v>1426</v>
      </c>
      <c r="L235" s="297" t="s">
        <v>1426</v>
      </c>
      <c r="M235" s="297" t="s">
        <v>1425</v>
      </c>
      <c r="N235" s="297" t="s">
        <v>1425</v>
      </c>
      <c r="O235" s="297" t="s">
        <v>1425</v>
      </c>
      <c r="P235" s="394" t="s">
        <v>1425</v>
      </c>
      <c r="Q235" s="297" t="s">
        <v>1425</v>
      </c>
      <c r="R235" s="297" t="s">
        <v>1425</v>
      </c>
      <c r="S235" s="297" t="s">
        <v>1425</v>
      </c>
      <c r="T235" s="297" t="s">
        <v>1425</v>
      </c>
      <c r="U235" s="297" t="s">
        <v>1425</v>
      </c>
      <c r="V235" s="46" t="s">
        <v>1425</v>
      </c>
    </row>
    <row r="236" spans="1:22" x14ac:dyDescent="0.2">
      <c r="A236">
        <v>465914</v>
      </c>
      <c r="B236" s="399" t="s">
        <v>617</v>
      </c>
      <c r="C236" s="297">
        <v>21</v>
      </c>
      <c r="D236" s="394">
        <v>43890</v>
      </c>
      <c r="E236" s="297" t="s">
        <v>1426</v>
      </c>
      <c r="F236" s="394">
        <v>43830</v>
      </c>
      <c r="G236" s="297" t="s">
        <v>1426</v>
      </c>
      <c r="H236" s="297" t="s">
        <v>1426</v>
      </c>
      <c r="I236" s="297" t="s">
        <v>1426</v>
      </c>
      <c r="J236" s="297" t="s">
        <v>1426</v>
      </c>
      <c r="K236" s="297" t="s">
        <v>1426</v>
      </c>
      <c r="L236" s="297" t="s">
        <v>1426</v>
      </c>
      <c r="M236" s="297" t="s">
        <v>1426</v>
      </c>
      <c r="N236" s="297" t="s">
        <v>1426</v>
      </c>
      <c r="O236" s="297" t="s">
        <v>1426</v>
      </c>
      <c r="P236" s="394" t="s">
        <v>1426</v>
      </c>
      <c r="Q236" s="297" t="s">
        <v>1426</v>
      </c>
      <c r="R236" s="297" t="s">
        <v>1426</v>
      </c>
      <c r="S236" s="297" t="s">
        <v>1425</v>
      </c>
      <c r="T236" s="297" t="s">
        <v>1425</v>
      </c>
      <c r="U236" s="297" t="s">
        <v>1425</v>
      </c>
      <c r="V236" s="46" t="s">
        <v>1426</v>
      </c>
    </row>
    <row r="237" spans="1:22" x14ac:dyDescent="0.2">
      <c r="A237">
        <v>469692</v>
      </c>
      <c r="B237" s="399" t="s">
        <v>376</v>
      </c>
      <c r="C237" s="297">
        <v>32</v>
      </c>
      <c r="D237" s="394">
        <v>43890</v>
      </c>
      <c r="E237" s="297" t="s">
        <v>1425</v>
      </c>
      <c r="F237" s="394">
        <v>43830</v>
      </c>
      <c r="G237" s="297" t="s">
        <v>1426</v>
      </c>
      <c r="H237" s="297" t="s">
        <v>1426</v>
      </c>
      <c r="I237" s="297" t="s">
        <v>1426</v>
      </c>
      <c r="J237" s="297" t="s">
        <v>1426</v>
      </c>
      <c r="K237" s="297" t="s">
        <v>1426</v>
      </c>
      <c r="L237" s="297" t="s">
        <v>1426</v>
      </c>
      <c r="M237" s="297" t="s">
        <v>1425</v>
      </c>
      <c r="N237" s="297" t="s">
        <v>1425</v>
      </c>
      <c r="O237" s="297" t="s">
        <v>1425</v>
      </c>
      <c r="P237" s="394" t="s">
        <v>1425</v>
      </c>
      <c r="Q237" s="297" t="s">
        <v>1425</v>
      </c>
      <c r="R237" s="297" t="s">
        <v>1425</v>
      </c>
      <c r="S237" s="297" t="s">
        <v>1425</v>
      </c>
      <c r="T237" s="297" t="s">
        <v>1425</v>
      </c>
      <c r="U237" s="297" t="s">
        <v>1425</v>
      </c>
      <c r="V237" s="46" t="s">
        <v>1425</v>
      </c>
    </row>
    <row r="238" spans="1:22" x14ac:dyDescent="0.2">
      <c r="A238">
        <v>469817</v>
      </c>
      <c r="B238" s="399" t="s">
        <v>377</v>
      </c>
      <c r="C238" s="297"/>
      <c r="D238" s="394"/>
      <c r="E238" s="297" t="s">
        <v>1425</v>
      </c>
      <c r="F238" s="394">
        <v>43738</v>
      </c>
      <c r="G238" s="297" t="s">
        <v>1426</v>
      </c>
      <c r="H238" s="297" t="s">
        <v>1426</v>
      </c>
      <c r="I238" s="297" t="s">
        <v>1426</v>
      </c>
      <c r="J238" s="297" t="s">
        <v>1426</v>
      </c>
      <c r="K238" s="297" t="s">
        <v>1426</v>
      </c>
      <c r="L238" s="297" t="s">
        <v>1426</v>
      </c>
      <c r="M238" s="297" t="s">
        <v>1425</v>
      </c>
      <c r="N238" s="297" t="s">
        <v>1425</v>
      </c>
      <c r="O238" s="297" t="s">
        <v>1426</v>
      </c>
      <c r="P238" s="394" t="s">
        <v>1425</v>
      </c>
      <c r="Q238" s="297" t="s">
        <v>1425</v>
      </c>
      <c r="R238" s="297" t="s">
        <v>1425</v>
      </c>
      <c r="S238" s="297" t="s">
        <v>1426</v>
      </c>
      <c r="T238" s="297" t="s">
        <v>1425</v>
      </c>
      <c r="U238" s="297" t="s">
        <v>1425</v>
      </c>
      <c r="V238" s="46" t="s">
        <v>1425</v>
      </c>
    </row>
    <row r="239" spans="1:22" x14ac:dyDescent="0.2">
      <c r="A239">
        <v>470104</v>
      </c>
      <c r="B239" s="399" t="s">
        <v>378</v>
      </c>
      <c r="C239" s="297">
        <v>24</v>
      </c>
      <c r="D239" s="394">
        <v>43890</v>
      </c>
      <c r="E239" s="297" t="s">
        <v>1425</v>
      </c>
      <c r="F239" s="394">
        <v>43830</v>
      </c>
      <c r="G239" s="297" t="s">
        <v>1426</v>
      </c>
      <c r="H239" s="297" t="s">
        <v>1426</v>
      </c>
      <c r="I239" s="297" t="s">
        <v>1425</v>
      </c>
      <c r="J239" s="297" t="s">
        <v>1426</v>
      </c>
      <c r="K239" s="297" t="s">
        <v>1426</v>
      </c>
      <c r="L239" s="297" t="s">
        <v>1426</v>
      </c>
      <c r="M239" s="297" t="s">
        <v>1425</v>
      </c>
      <c r="N239" s="297" t="s">
        <v>1425</v>
      </c>
      <c r="O239" s="297" t="s">
        <v>1426</v>
      </c>
      <c r="P239" s="394" t="s">
        <v>1425</v>
      </c>
      <c r="Q239" s="297" t="s">
        <v>1425</v>
      </c>
      <c r="R239" s="297" t="s">
        <v>1425</v>
      </c>
      <c r="S239" s="297" t="s">
        <v>1425</v>
      </c>
      <c r="T239" s="297" t="s">
        <v>1425</v>
      </c>
      <c r="U239" s="297" t="s">
        <v>1425</v>
      </c>
      <c r="V239" s="46" t="s">
        <v>1425</v>
      </c>
    </row>
    <row r="240" spans="1:22" x14ac:dyDescent="0.2">
      <c r="A240">
        <v>473470</v>
      </c>
      <c r="B240" s="399" t="s">
        <v>379</v>
      </c>
      <c r="C240" s="297">
        <v>22</v>
      </c>
      <c r="D240" s="394">
        <v>43890</v>
      </c>
      <c r="E240" s="297" t="s">
        <v>1425</v>
      </c>
      <c r="F240" s="394">
        <v>43830</v>
      </c>
      <c r="G240" s="297" t="s">
        <v>1426</v>
      </c>
      <c r="H240" s="297" t="s">
        <v>1426</v>
      </c>
      <c r="I240" s="297" t="s">
        <v>1426</v>
      </c>
      <c r="J240" s="297" t="s">
        <v>1426</v>
      </c>
      <c r="K240" s="297" t="s">
        <v>1426</v>
      </c>
      <c r="L240" s="297" t="s">
        <v>1426</v>
      </c>
      <c r="M240" s="297" t="s">
        <v>1425</v>
      </c>
      <c r="N240" s="297" t="s">
        <v>1425</v>
      </c>
      <c r="O240" s="297" t="s">
        <v>1426</v>
      </c>
      <c r="P240" s="394" t="s">
        <v>1425</v>
      </c>
      <c r="Q240" s="297" t="s">
        <v>1425</v>
      </c>
      <c r="R240" s="297" t="s">
        <v>1425</v>
      </c>
      <c r="S240" s="297" t="s">
        <v>1426</v>
      </c>
      <c r="T240" s="297" t="s">
        <v>1426</v>
      </c>
      <c r="U240" s="297" t="s">
        <v>1425</v>
      </c>
      <c r="V240" s="46" t="s">
        <v>1426</v>
      </c>
    </row>
    <row r="241" spans="1:22" x14ac:dyDescent="0.2">
      <c r="A241">
        <v>475301</v>
      </c>
      <c r="B241" s="399" t="s">
        <v>380</v>
      </c>
      <c r="C241" s="297">
        <v>21</v>
      </c>
      <c r="D241" s="394">
        <v>43890</v>
      </c>
      <c r="E241" s="297" t="s">
        <v>1426</v>
      </c>
      <c r="F241" s="394">
        <v>43830</v>
      </c>
      <c r="G241" s="297" t="s">
        <v>1426</v>
      </c>
      <c r="H241" s="297" t="s">
        <v>1426</v>
      </c>
      <c r="I241" s="297" t="s">
        <v>1426</v>
      </c>
      <c r="J241" s="297" t="s">
        <v>1426</v>
      </c>
      <c r="K241" s="297" t="s">
        <v>1426</v>
      </c>
      <c r="L241" s="297" t="s">
        <v>1426</v>
      </c>
      <c r="M241" s="297" t="s">
        <v>1425</v>
      </c>
      <c r="N241" s="297" t="s">
        <v>1425</v>
      </c>
      <c r="O241" s="297" t="s">
        <v>1426</v>
      </c>
      <c r="P241" s="394" t="s">
        <v>1425</v>
      </c>
      <c r="Q241" s="297" t="s">
        <v>1425</v>
      </c>
      <c r="R241" s="297" t="s">
        <v>1425</v>
      </c>
      <c r="S241" s="297" t="s">
        <v>1426</v>
      </c>
      <c r="T241" s="297" t="s">
        <v>1425</v>
      </c>
      <c r="U241" s="297" t="s">
        <v>1425</v>
      </c>
      <c r="V241" s="46" t="s">
        <v>1425</v>
      </c>
    </row>
    <row r="242" spans="1:22" x14ac:dyDescent="0.2">
      <c r="A242">
        <v>475897</v>
      </c>
      <c r="B242" s="399" t="s">
        <v>381</v>
      </c>
      <c r="C242" s="297">
        <v>24</v>
      </c>
      <c r="D242" s="394">
        <v>43890</v>
      </c>
      <c r="E242" s="297" t="s">
        <v>1426</v>
      </c>
      <c r="F242" s="394">
        <v>43830</v>
      </c>
      <c r="G242" s="297" t="s">
        <v>1426</v>
      </c>
      <c r="H242" s="297" t="s">
        <v>1426</v>
      </c>
      <c r="I242" s="297" t="s">
        <v>1426</v>
      </c>
      <c r="J242" s="297" t="s">
        <v>1426</v>
      </c>
      <c r="K242" s="297" t="s">
        <v>1426</v>
      </c>
      <c r="L242" s="297" t="s">
        <v>1426</v>
      </c>
      <c r="M242" s="297" t="s">
        <v>1426</v>
      </c>
      <c r="N242" s="297" t="s">
        <v>1425</v>
      </c>
      <c r="O242" s="297" t="s">
        <v>1425</v>
      </c>
      <c r="P242" s="394" t="s">
        <v>1425</v>
      </c>
      <c r="Q242" s="297" t="s">
        <v>1425</v>
      </c>
      <c r="R242" s="297" t="s">
        <v>1425</v>
      </c>
      <c r="S242" s="297" t="s">
        <v>1425</v>
      </c>
      <c r="T242" s="297" t="s">
        <v>1425</v>
      </c>
      <c r="U242" s="297" t="s">
        <v>1425</v>
      </c>
      <c r="V242" s="46" t="s">
        <v>1426</v>
      </c>
    </row>
    <row r="243" spans="1:22" x14ac:dyDescent="0.2">
      <c r="A243">
        <v>477729</v>
      </c>
      <c r="B243" s="399" t="s">
        <v>1336</v>
      </c>
      <c r="C243" s="297">
        <v>25</v>
      </c>
      <c r="D243" s="394">
        <v>43890</v>
      </c>
      <c r="E243" s="297" t="s">
        <v>1425</v>
      </c>
      <c r="F243" s="394">
        <v>43830</v>
      </c>
      <c r="G243" s="297" t="s">
        <v>1426</v>
      </c>
      <c r="H243" s="297" t="s">
        <v>1426</v>
      </c>
      <c r="I243" s="297" t="s">
        <v>1426</v>
      </c>
      <c r="J243" s="297" t="s">
        <v>1425</v>
      </c>
      <c r="K243" s="297" t="s">
        <v>1425</v>
      </c>
      <c r="L243" s="297" t="s">
        <v>1425</v>
      </c>
      <c r="M243" s="297" t="s">
        <v>1425</v>
      </c>
      <c r="N243" s="297" t="s">
        <v>1425</v>
      </c>
      <c r="O243" s="297" t="s">
        <v>1425</v>
      </c>
      <c r="P243" s="394" t="s">
        <v>1425</v>
      </c>
      <c r="Q243" s="297" t="s">
        <v>1425</v>
      </c>
      <c r="R243" s="297" t="s">
        <v>1425</v>
      </c>
      <c r="S243" s="297" t="s">
        <v>1425</v>
      </c>
      <c r="T243" s="297" t="s">
        <v>1425</v>
      </c>
      <c r="U243" s="297" t="s">
        <v>1425</v>
      </c>
      <c r="V243" s="46" t="s">
        <v>1425</v>
      </c>
    </row>
    <row r="244" spans="1:22" x14ac:dyDescent="0.2">
      <c r="A244">
        <v>478313</v>
      </c>
      <c r="B244" s="399" t="s">
        <v>382</v>
      </c>
      <c r="C244" s="297">
        <v>20</v>
      </c>
      <c r="D244" s="394">
        <v>43890</v>
      </c>
      <c r="E244" s="297" t="s">
        <v>1425</v>
      </c>
      <c r="F244" s="394">
        <v>43830</v>
      </c>
      <c r="G244" s="297" t="s">
        <v>1426</v>
      </c>
      <c r="H244" s="297" t="s">
        <v>1426</v>
      </c>
      <c r="I244" s="297" t="s">
        <v>1426</v>
      </c>
      <c r="J244" s="297" t="s">
        <v>1426</v>
      </c>
      <c r="K244" s="297" t="s">
        <v>1426</v>
      </c>
      <c r="L244" s="297" t="s">
        <v>1426</v>
      </c>
      <c r="M244" s="297" t="s">
        <v>1426</v>
      </c>
      <c r="N244" s="297" t="s">
        <v>1426</v>
      </c>
      <c r="O244" s="297" t="s">
        <v>1426</v>
      </c>
      <c r="P244" s="394" t="s">
        <v>1426</v>
      </c>
      <c r="Q244" s="297" t="s">
        <v>1426</v>
      </c>
      <c r="R244" s="297" t="s">
        <v>1426</v>
      </c>
      <c r="S244" s="297" t="s">
        <v>1426</v>
      </c>
      <c r="T244" s="297" t="s">
        <v>1426</v>
      </c>
      <c r="U244" s="297" t="s">
        <v>1425</v>
      </c>
      <c r="V244" s="46" t="s">
        <v>1426</v>
      </c>
    </row>
    <row r="245" spans="1:22" x14ac:dyDescent="0.2">
      <c r="A245">
        <v>479550</v>
      </c>
      <c r="B245" s="399" t="s">
        <v>384</v>
      </c>
      <c r="C245" s="297">
        <v>22</v>
      </c>
      <c r="D245" s="394">
        <v>43890</v>
      </c>
      <c r="E245" s="297" t="s">
        <v>1426</v>
      </c>
      <c r="F245" s="394">
        <v>43830</v>
      </c>
      <c r="G245" s="297" t="s">
        <v>1425</v>
      </c>
      <c r="H245" s="297" t="s">
        <v>1425</v>
      </c>
      <c r="I245" s="297" t="s">
        <v>1426</v>
      </c>
      <c r="J245" s="297" t="s">
        <v>1426</v>
      </c>
      <c r="K245" s="297" t="s">
        <v>1426</v>
      </c>
      <c r="L245" s="297" t="s">
        <v>1426</v>
      </c>
      <c r="M245" s="297" t="s">
        <v>1426</v>
      </c>
      <c r="N245" s="297" t="s">
        <v>1426</v>
      </c>
      <c r="O245" s="297" t="s">
        <v>1426</v>
      </c>
      <c r="P245" s="394" t="s">
        <v>1425</v>
      </c>
      <c r="Q245" s="297" t="s">
        <v>1426</v>
      </c>
      <c r="R245" s="297" t="s">
        <v>1425</v>
      </c>
      <c r="S245" s="297" t="s">
        <v>1425</v>
      </c>
      <c r="T245" s="297" t="s">
        <v>1425</v>
      </c>
      <c r="U245" s="297" t="s">
        <v>1425</v>
      </c>
      <c r="V245" s="46" t="s">
        <v>1425</v>
      </c>
    </row>
    <row r="246" spans="1:22" x14ac:dyDescent="0.2">
      <c r="A246">
        <v>479725</v>
      </c>
      <c r="B246" s="399" t="s">
        <v>160</v>
      </c>
      <c r="C246" s="297">
        <v>21</v>
      </c>
      <c r="D246" s="394">
        <v>43890</v>
      </c>
      <c r="E246" s="297" t="s">
        <v>1426</v>
      </c>
      <c r="F246" s="394">
        <v>43830</v>
      </c>
      <c r="G246" s="297" t="s">
        <v>1426</v>
      </c>
      <c r="H246" s="297" t="s">
        <v>1426</v>
      </c>
      <c r="I246" s="297" t="s">
        <v>1426</v>
      </c>
      <c r="J246" s="297" t="s">
        <v>1426</v>
      </c>
      <c r="K246" s="297" t="s">
        <v>1426</v>
      </c>
      <c r="L246" s="297" t="s">
        <v>1426</v>
      </c>
      <c r="M246" s="297" t="s">
        <v>1426</v>
      </c>
      <c r="N246" s="297" t="s">
        <v>1426</v>
      </c>
      <c r="O246" s="297" t="s">
        <v>1426</v>
      </c>
      <c r="P246" s="394" t="s">
        <v>1426</v>
      </c>
      <c r="Q246" s="297" t="s">
        <v>1426</v>
      </c>
      <c r="R246" s="297" t="s">
        <v>1426</v>
      </c>
      <c r="S246" s="297" t="s">
        <v>1426</v>
      </c>
      <c r="T246" s="297" t="s">
        <v>1425</v>
      </c>
      <c r="U246" s="297" t="s">
        <v>1425</v>
      </c>
      <c r="V246" s="46" t="s">
        <v>1425</v>
      </c>
    </row>
    <row r="247" spans="1:22" x14ac:dyDescent="0.2">
      <c r="A247">
        <v>479840</v>
      </c>
      <c r="B247" s="399" t="s">
        <v>385</v>
      </c>
      <c r="C247" s="297">
        <v>23</v>
      </c>
      <c r="D247" s="394">
        <v>43890</v>
      </c>
      <c r="E247" s="297" t="s">
        <v>1425</v>
      </c>
      <c r="F247" s="394">
        <v>43830</v>
      </c>
      <c r="G247" s="297" t="s">
        <v>1426</v>
      </c>
      <c r="H247" s="297" t="s">
        <v>1426</v>
      </c>
      <c r="I247" s="297" t="s">
        <v>1426</v>
      </c>
      <c r="J247" s="297" t="s">
        <v>1426</v>
      </c>
      <c r="K247" s="297" t="s">
        <v>1426</v>
      </c>
      <c r="L247" s="297" t="s">
        <v>1426</v>
      </c>
      <c r="M247" s="297" t="s">
        <v>1425</v>
      </c>
      <c r="N247" s="297" t="s">
        <v>1425</v>
      </c>
      <c r="O247" s="297" t="s">
        <v>1426</v>
      </c>
      <c r="P247" s="394" t="s">
        <v>1425</v>
      </c>
      <c r="Q247" s="297" t="s">
        <v>1425</v>
      </c>
      <c r="R247" s="297" t="s">
        <v>1425</v>
      </c>
      <c r="S247" s="297" t="s">
        <v>1425</v>
      </c>
      <c r="T247" s="297" t="s">
        <v>1425</v>
      </c>
      <c r="U247" s="297" t="s">
        <v>1425</v>
      </c>
      <c r="V247" s="46" t="s">
        <v>1425</v>
      </c>
    </row>
    <row r="248" spans="1:22" x14ac:dyDescent="0.2">
      <c r="A248">
        <v>480145</v>
      </c>
      <c r="B248" s="399" t="s">
        <v>386</v>
      </c>
      <c r="C248" s="297"/>
      <c r="D248" s="394"/>
      <c r="E248" s="297" t="s">
        <v>1425</v>
      </c>
      <c r="F248" s="394">
        <v>43830</v>
      </c>
      <c r="G248" s="297" t="s">
        <v>1426</v>
      </c>
      <c r="H248" s="297" t="s">
        <v>1426</v>
      </c>
      <c r="I248" s="297" t="s">
        <v>1426</v>
      </c>
      <c r="J248" s="297" t="s">
        <v>1426</v>
      </c>
      <c r="K248" s="297" t="s">
        <v>1426</v>
      </c>
      <c r="L248" s="297" t="s">
        <v>1426</v>
      </c>
      <c r="M248" s="297" t="s">
        <v>1426</v>
      </c>
      <c r="N248" s="297" t="s">
        <v>1425</v>
      </c>
      <c r="O248" s="297" t="s">
        <v>1425</v>
      </c>
      <c r="P248" s="394" t="s">
        <v>1425</v>
      </c>
      <c r="Q248" s="297" t="s">
        <v>1425</v>
      </c>
      <c r="R248" s="297" t="s">
        <v>1425</v>
      </c>
      <c r="S248" s="297" t="s">
        <v>1425</v>
      </c>
      <c r="T248" s="297" t="s">
        <v>1426</v>
      </c>
      <c r="U248" s="297" t="s">
        <v>1425</v>
      </c>
      <c r="V248" s="46" t="s">
        <v>1426</v>
      </c>
    </row>
    <row r="249" spans="1:22" x14ac:dyDescent="0.2">
      <c r="A249">
        <v>481911</v>
      </c>
      <c r="B249" s="399" t="s">
        <v>1463</v>
      </c>
      <c r="C249" s="297">
        <v>32</v>
      </c>
      <c r="D249" s="394">
        <v>43890</v>
      </c>
      <c r="E249" s="297" t="s">
        <v>1425</v>
      </c>
      <c r="F249" s="394">
        <v>43830</v>
      </c>
      <c r="G249" s="297" t="s">
        <v>1426</v>
      </c>
      <c r="H249" s="297" t="s">
        <v>1426</v>
      </c>
      <c r="I249" s="297" t="s">
        <v>1426</v>
      </c>
      <c r="J249" s="297" t="s">
        <v>1426</v>
      </c>
      <c r="K249" s="297" t="s">
        <v>1426</v>
      </c>
      <c r="L249" s="297" t="s">
        <v>1426</v>
      </c>
      <c r="M249" s="297" t="s">
        <v>1426</v>
      </c>
      <c r="N249" s="297" t="s">
        <v>1425</v>
      </c>
      <c r="O249" s="297" t="s">
        <v>1425</v>
      </c>
      <c r="P249" s="394" t="s">
        <v>1425</v>
      </c>
      <c r="Q249" s="297" t="s">
        <v>1425</v>
      </c>
      <c r="R249" s="297" t="s">
        <v>1425</v>
      </c>
      <c r="S249" s="297" t="s">
        <v>1425</v>
      </c>
      <c r="T249" s="297" t="s">
        <v>1426</v>
      </c>
      <c r="U249" s="297" t="s">
        <v>1425</v>
      </c>
      <c r="V249" s="46" t="s">
        <v>1426</v>
      </c>
    </row>
    <row r="250" spans="1:22" x14ac:dyDescent="0.2">
      <c r="A250">
        <v>484923</v>
      </c>
      <c r="B250" s="399" t="s">
        <v>387</v>
      </c>
      <c r="C250" s="297">
        <v>22</v>
      </c>
      <c r="D250" s="394">
        <v>43890</v>
      </c>
      <c r="E250" s="297" t="s">
        <v>1426</v>
      </c>
      <c r="F250" s="394">
        <v>43830</v>
      </c>
      <c r="G250" s="297" t="s">
        <v>1426</v>
      </c>
      <c r="H250" s="297" t="s">
        <v>1426</v>
      </c>
      <c r="I250" s="297" t="s">
        <v>1426</v>
      </c>
      <c r="J250" s="297" t="s">
        <v>1426</v>
      </c>
      <c r="K250" s="297" t="s">
        <v>1426</v>
      </c>
      <c r="L250" s="297" t="s">
        <v>1426</v>
      </c>
      <c r="M250" s="297" t="s">
        <v>1425</v>
      </c>
      <c r="N250" s="297" t="s">
        <v>1425</v>
      </c>
      <c r="O250" s="297" t="s">
        <v>1426</v>
      </c>
      <c r="P250" s="394" t="s">
        <v>1425</v>
      </c>
      <c r="Q250" s="297" t="s">
        <v>1425</v>
      </c>
      <c r="R250" s="297" t="s">
        <v>1425</v>
      </c>
      <c r="S250" s="297" t="s">
        <v>1426</v>
      </c>
      <c r="T250" s="297" t="s">
        <v>1425</v>
      </c>
      <c r="U250" s="297" t="s">
        <v>1425</v>
      </c>
      <c r="V250" s="46" t="s">
        <v>1425</v>
      </c>
    </row>
    <row r="251" spans="1:22" x14ac:dyDescent="0.2">
      <c r="A251">
        <v>484980</v>
      </c>
      <c r="B251" s="399" t="s">
        <v>388</v>
      </c>
      <c r="C251" s="297">
        <v>20</v>
      </c>
      <c r="D251" s="394">
        <v>43890</v>
      </c>
      <c r="E251" s="297" t="s">
        <v>1426</v>
      </c>
      <c r="F251" s="394">
        <v>43830</v>
      </c>
      <c r="G251" s="297" t="s">
        <v>1426</v>
      </c>
      <c r="H251" s="297" t="s">
        <v>1426</v>
      </c>
      <c r="I251" s="297" t="s">
        <v>1426</v>
      </c>
      <c r="J251" s="297" t="s">
        <v>1426</v>
      </c>
      <c r="K251" s="297" t="s">
        <v>1426</v>
      </c>
      <c r="L251" s="297" t="s">
        <v>1426</v>
      </c>
      <c r="M251" s="297" t="s">
        <v>1426</v>
      </c>
      <c r="N251" s="297" t="s">
        <v>1426</v>
      </c>
      <c r="O251" s="297" t="s">
        <v>1426</v>
      </c>
      <c r="P251" s="394" t="s">
        <v>1426</v>
      </c>
      <c r="Q251" s="297" t="s">
        <v>1426</v>
      </c>
      <c r="R251" s="297" t="s">
        <v>1426</v>
      </c>
      <c r="S251" s="297" t="s">
        <v>1426</v>
      </c>
      <c r="T251" s="297" t="s">
        <v>1425</v>
      </c>
      <c r="U251" s="297" t="s">
        <v>1425</v>
      </c>
      <c r="V251" s="46" t="s">
        <v>1425</v>
      </c>
    </row>
    <row r="252" spans="1:22" x14ac:dyDescent="0.2">
      <c r="A252">
        <v>487108</v>
      </c>
      <c r="B252" s="399" t="s">
        <v>389</v>
      </c>
      <c r="C252" s="297">
        <v>20</v>
      </c>
      <c r="D252" s="394">
        <v>43890</v>
      </c>
      <c r="E252" s="297" t="s">
        <v>1425</v>
      </c>
      <c r="F252" s="394">
        <v>43830</v>
      </c>
      <c r="G252" s="297" t="s">
        <v>1426</v>
      </c>
      <c r="H252" s="297" t="s">
        <v>1426</v>
      </c>
      <c r="I252" s="297" t="s">
        <v>1426</v>
      </c>
      <c r="J252" s="297" t="s">
        <v>1426</v>
      </c>
      <c r="K252" s="297" t="s">
        <v>1426</v>
      </c>
      <c r="L252" s="297" t="s">
        <v>1426</v>
      </c>
      <c r="M252" s="297" t="s">
        <v>1425</v>
      </c>
      <c r="N252" s="297" t="s">
        <v>1426</v>
      </c>
      <c r="O252" s="297" t="s">
        <v>1426</v>
      </c>
      <c r="P252" s="394" t="s">
        <v>1426</v>
      </c>
      <c r="Q252" s="297" t="s">
        <v>1426</v>
      </c>
      <c r="R252" s="297" t="s">
        <v>1425</v>
      </c>
      <c r="S252" s="297" t="s">
        <v>1425</v>
      </c>
      <c r="T252" s="297" t="s">
        <v>1425</v>
      </c>
      <c r="U252" s="297" t="s">
        <v>1425</v>
      </c>
      <c r="V252" s="46" t="s">
        <v>1426</v>
      </c>
    </row>
    <row r="253" spans="1:22" x14ac:dyDescent="0.2">
      <c r="A253">
        <v>488932</v>
      </c>
      <c r="B253" s="399" t="s">
        <v>390</v>
      </c>
      <c r="C253" s="297">
        <v>22</v>
      </c>
      <c r="D253" s="394">
        <v>43890</v>
      </c>
      <c r="E253" s="297" t="s">
        <v>1425</v>
      </c>
      <c r="F253" s="394">
        <v>43830</v>
      </c>
      <c r="G253" s="297" t="s">
        <v>1426</v>
      </c>
      <c r="H253" s="297" t="s">
        <v>1426</v>
      </c>
      <c r="I253" s="297" t="s">
        <v>1426</v>
      </c>
      <c r="J253" s="297" t="s">
        <v>1426</v>
      </c>
      <c r="K253" s="297" t="s">
        <v>1426</v>
      </c>
      <c r="L253" s="297" t="s">
        <v>1426</v>
      </c>
      <c r="M253" s="297" t="s">
        <v>1426</v>
      </c>
      <c r="N253" s="297" t="s">
        <v>1426</v>
      </c>
      <c r="O253" s="297" t="s">
        <v>1426</v>
      </c>
      <c r="P253" s="394" t="s">
        <v>1426</v>
      </c>
      <c r="Q253" s="297" t="s">
        <v>1426</v>
      </c>
      <c r="R253" s="297" t="s">
        <v>1425</v>
      </c>
      <c r="S253" s="297" t="s">
        <v>1425</v>
      </c>
      <c r="T253" s="297" t="s">
        <v>1426</v>
      </c>
      <c r="U253" s="297" t="s">
        <v>1426</v>
      </c>
      <c r="V253" s="46" t="s">
        <v>1426</v>
      </c>
    </row>
    <row r="254" spans="1:22" x14ac:dyDescent="0.2">
      <c r="A254">
        <v>490292</v>
      </c>
      <c r="B254" s="399" t="s">
        <v>391</v>
      </c>
      <c r="C254" s="297">
        <v>21</v>
      </c>
      <c r="D254" s="394">
        <v>43890</v>
      </c>
      <c r="E254" s="297" t="s">
        <v>1426</v>
      </c>
      <c r="F254" s="394">
        <v>43830</v>
      </c>
      <c r="G254" s="297" t="s">
        <v>1426</v>
      </c>
      <c r="H254" s="297" t="s">
        <v>1426</v>
      </c>
      <c r="I254" s="297" t="s">
        <v>1426</v>
      </c>
      <c r="J254" s="297" t="s">
        <v>1426</v>
      </c>
      <c r="K254" s="297" t="s">
        <v>1426</v>
      </c>
      <c r="L254" s="297" t="s">
        <v>1426</v>
      </c>
      <c r="M254" s="297" t="s">
        <v>1426</v>
      </c>
      <c r="N254" s="297" t="s">
        <v>1426</v>
      </c>
      <c r="O254" s="297" t="s">
        <v>1426</v>
      </c>
      <c r="P254" s="394" t="s">
        <v>1426</v>
      </c>
      <c r="Q254" s="297" t="s">
        <v>1426</v>
      </c>
      <c r="R254" s="297" t="s">
        <v>1426</v>
      </c>
      <c r="S254" s="297" t="s">
        <v>1426</v>
      </c>
      <c r="T254" s="297" t="s">
        <v>1426</v>
      </c>
      <c r="U254" s="297" t="s">
        <v>1425</v>
      </c>
      <c r="V254" s="46" t="s">
        <v>1426</v>
      </c>
    </row>
    <row r="255" spans="1:22" x14ac:dyDescent="0.2">
      <c r="A255">
        <v>492306</v>
      </c>
      <c r="B255" s="399" t="s">
        <v>392</v>
      </c>
      <c r="C255" s="297">
        <v>23</v>
      </c>
      <c r="D255" s="394">
        <v>43890</v>
      </c>
      <c r="E255" s="297" t="s">
        <v>1425</v>
      </c>
      <c r="F255" s="394">
        <v>43830</v>
      </c>
      <c r="G255" s="297" t="s">
        <v>1426</v>
      </c>
      <c r="H255" s="297" t="s">
        <v>1426</v>
      </c>
      <c r="I255" s="297" t="s">
        <v>1426</v>
      </c>
      <c r="J255" s="297" t="s">
        <v>1426</v>
      </c>
      <c r="K255" s="297" t="s">
        <v>1426</v>
      </c>
      <c r="L255" s="297" t="s">
        <v>1426</v>
      </c>
      <c r="M255" s="297" t="s">
        <v>1425</v>
      </c>
      <c r="N255" s="297" t="s">
        <v>1425</v>
      </c>
      <c r="O255" s="297" t="s">
        <v>1426</v>
      </c>
      <c r="P255" s="394" t="s">
        <v>1425</v>
      </c>
      <c r="Q255" s="297" t="s">
        <v>1425</v>
      </c>
      <c r="R255" s="297" t="s">
        <v>1425</v>
      </c>
      <c r="S255" s="297" t="s">
        <v>1425</v>
      </c>
      <c r="T255" s="297" t="s">
        <v>1425</v>
      </c>
      <c r="U255" s="297" t="s">
        <v>1425</v>
      </c>
      <c r="V255" s="46" t="s">
        <v>1425</v>
      </c>
    </row>
    <row r="256" spans="1:22" x14ac:dyDescent="0.2">
      <c r="A256">
        <v>494427</v>
      </c>
      <c r="B256" s="399" t="s">
        <v>1464</v>
      </c>
      <c r="C256" s="297">
        <v>24</v>
      </c>
      <c r="D256" s="394">
        <v>43890</v>
      </c>
      <c r="E256" s="297" t="s">
        <v>1425</v>
      </c>
      <c r="F256" s="394">
        <v>43830</v>
      </c>
      <c r="G256" s="297" t="s">
        <v>1426</v>
      </c>
      <c r="H256" s="297" t="s">
        <v>1426</v>
      </c>
      <c r="I256" s="297" t="s">
        <v>1426</v>
      </c>
      <c r="J256" s="297" t="s">
        <v>1426</v>
      </c>
      <c r="K256" s="297" t="s">
        <v>1426</v>
      </c>
      <c r="L256" s="297" t="s">
        <v>1426</v>
      </c>
      <c r="M256" s="297" t="s">
        <v>1425</v>
      </c>
      <c r="N256" s="297" t="s">
        <v>1425</v>
      </c>
      <c r="O256" s="297" t="s">
        <v>1425</v>
      </c>
      <c r="P256" s="394" t="s">
        <v>1425</v>
      </c>
      <c r="Q256" s="297" t="s">
        <v>1425</v>
      </c>
      <c r="R256" s="297" t="s">
        <v>1425</v>
      </c>
      <c r="S256" s="297" t="s">
        <v>1425</v>
      </c>
      <c r="T256" s="297" t="s">
        <v>1425</v>
      </c>
      <c r="U256" s="297" t="s">
        <v>1425</v>
      </c>
      <c r="V256" s="46" t="s">
        <v>1425</v>
      </c>
    </row>
    <row r="257" spans="1:22" x14ac:dyDescent="0.2">
      <c r="A257">
        <v>496497</v>
      </c>
      <c r="B257" s="399" t="s">
        <v>618</v>
      </c>
      <c r="C257" s="297"/>
      <c r="D257" s="394"/>
      <c r="E257" s="297" t="s">
        <v>1425</v>
      </c>
      <c r="F257" s="394">
        <v>43465</v>
      </c>
      <c r="G257" s="297" t="s">
        <v>1426</v>
      </c>
      <c r="H257" s="297" t="s">
        <v>1426</v>
      </c>
      <c r="I257" s="297" t="s">
        <v>1425</v>
      </c>
      <c r="J257" s="297" t="s">
        <v>1426</v>
      </c>
      <c r="K257" s="297" t="s">
        <v>1426</v>
      </c>
      <c r="L257" s="297" t="s">
        <v>1426</v>
      </c>
      <c r="M257" s="297" t="s">
        <v>1426</v>
      </c>
      <c r="N257" s="297" t="s">
        <v>1426</v>
      </c>
      <c r="O257" s="297" t="s">
        <v>1426</v>
      </c>
      <c r="P257" s="394" t="s">
        <v>1426</v>
      </c>
      <c r="Q257" s="297" t="s">
        <v>1426</v>
      </c>
      <c r="R257" s="297" t="s">
        <v>1426</v>
      </c>
      <c r="S257" s="297" t="s">
        <v>1426</v>
      </c>
      <c r="T257" s="297" t="s">
        <v>1426</v>
      </c>
      <c r="U257" s="297" t="s">
        <v>1426</v>
      </c>
      <c r="V257" s="46" t="s">
        <v>1425</v>
      </c>
    </row>
    <row r="258" spans="1:22" x14ac:dyDescent="0.2">
      <c r="A258">
        <v>496729</v>
      </c>
      <c r="B258" s="399" t="s">
        <v>1382</v>
      </c>
      <c r="C258" s="297">
        <v>22</v>
      </c>
      <c r="D258" s="394">
        <v>43890</v>
      </c>
      <c r="E258" s="297" t="s">
        <v>1426</v>
      </c>
      <c r="F258" s="394">
        <v>43830</v>
      </c>
      <c r="G258" s="297" t="s">
        <v>1425</v>
      </c>
      <c r="H258" s="297" t="s">
        <v>1425</v>
      </c>
      <c r="I258" s="297" t="s">
        <v>1425</v>
      </c>
      <c r="J258" s="297" t="s">
        <v>1426</v>
      </c>
      <c r="K258" s="297" t="s">
        <v>1426</v>
      </c>
      <c r="L258" s="297" t="s">
        <v>1425</v>
      </c>
      <c r="M258" s="297" t="s">
        <v>1425</v>
      </c>
      <c r="N258" s="297" t="s">
        <v>1425</v>
      </c>
      <c r="O258" s="297" t="s">
        <v>1425</v>
      </c>
      <c r="P258" s="394" t="s">
        <v>1425</v>
      </c>
      <c r="Q258" s="297" t="s">
        <v>1425</v>
      </c>
      <c r="R258" s="297" t="s">
        <v>1425</v>
      </c>
      <c r="S258" s="297" t="s">
        <v>1425</v>
      </c>
      <c r="T258" s="297" t="s">
        <v>1425</v>
      </c>
      <c r="U258" s="297" t="s">
        <v>1425</v>
      </c>
      <c r="V258" s="46" t="s">
        <v>1425</v>
      </c>
    </row>
    <row r="259" spans="1:22" x14ac:dyDescent="0.2">
      <c r="A259">
        <v>498972</v>
      </c>
      <c r="B259" s="399" t="s">
        <v>393</v>
      </c>
      <c r="C259" s="297">
        <v>22</v>
      </c>
      <c r="D259" s="394">
        <v>43890</v>
      </c>
      <c r="E259" s="297" t="s">
        <v>1426</v>
      </c>
      <c r="F259" s="394">
        <v>43830</v>
      </c>
      <c r="G259" s="297" t="s">
        <v>1426</v>
      </c>
      <c r="H259" s="297" t="s">
        <v>1426</v>
      </c>
      <c r="I259" s="297" t="s">
        <v>1426</v>
      </c>
      <c r="J259" s="297" t="s">
        <v>1426</v>
      </c>
      <c r="K259" s="297" t="s">
        <v>1426</v>
      </c>
      <c r="L259" s="297" t="s">
        <v>1426</v>
      </c>
      <c r="M259" s="297" t="s">
        <v>1426</v>
      </c>
      <c r="N259" s="297" t="s">
        <v>1426</v>
      </c>
      <c r="O259" s="297" t="s">
        <v>1426</v>
      </c>
      <c r="P259" s="394" t="s">
        <v>1426</v>
      </c>
      <c r="Q259" s="297" t="s">
        <v>1426</v>
      </c>
      <c r="R259" s="297" t="s">
        <v>1426</v>
      </c>
      <c r="S259" s="297" t="s">
        <v>1426</v>
      </c>
      <c r="T259" s="297" t="s">
        <v>1425</v>
      </c>
      <c r="U259" s="297" t="s">
        <v>1425</v>
      </c>
      <c r="V259" s="46" t="s">
        <v>1426</v>
      </c>
    </row>
    <row r="260" spans="1:22" x14ac:dyDescent="0.2">
      <c r="A260">
        <v>500976</v>
      </c>
      <c r="B260" s="399" t="s">
        <v>1383</v>
      </c>
      <c r="C260" s="297">
        <v>28</v>
      </c>
      <c r="D260" s="394">
        <v>43830</v>
      </c>
      <c r="E260" s="297" t="s">
        <v>1425</v>
      </c>
      <c r="F260" s="394">
        <v>43738</v>
      </c>
      <c r="G260" s="297" t="s">
        <v>1426</v>
      </c>
      <c r="H260" s="297" t="s">
        <v>1426</v>
      </c>
      <c r="I260" s="297" t="s">
        <v>1426</v>
      </c>
      <c r="J260" s="297" t="s">
        <v>1426</v>
      </c>
      <c r="K260" s="297" t="s">
        <v>1426</v>
      </c>
      <c r="L260" s="297" t="s">
        <v>1426</v>
      </c>
      <c r="M260" s="297" t="s">
        <v>1426</v>
      </c>
      <c r="N260" s="297" t="s">
        <v>1426</v>
      </c>
      <c r="O260" s="297" t="s">
        <v>1426</v>
      </c>
      <c r="P260" s="394" t="s">
        <v>1426</v>
      </c>
      <c r="Q260" s="297" t="s">
        <v>1425</v>
      </c>
      <c r="R260" s="297" t="s">
        <v>1426</v>
      </c>
      <c r="S260" s="297" t="s">
        <v>1425</v>
      </c>
      <c r="T260" s="297" t="s">
        <v>1426</v>
      </c>
      <c r="U260" s="297" t="s">
        <v>1425</v>
      </c>
      <c r="V260" s="46" t="s">
        <v>1425</v>
      </c>
    </row>
    <row r="261" spans="1:22" x14ac:dyDescent="0.2">
      <c r="A261">
        <v>501981</v>
      </c>
      <c r="B261" s="399" t="s">
        <v>394</v>
      </c>
      <c r="C261" s="297"/>
      <c r="D261" s="394"/>
      <c r="E261" s="297" t="s">
        <v>1425</v>
      </c>
      <c r="F261" s="394">
        <v>43646</v>
      </c>
      <c r="G261" s="297" t="s">
        <v>1426</v>
      </c>
      <c r="H261" s="297" t="s">
        <v>1426</v>
      </c>
      <c r="I261" s="297" t="s">
        <v>1426</v>
      </c>
      <c r="J261" s="297" t="s">
        <v>1426</v>
      </c>
      <c r="K261" s="297" t="s">
        <v>1426</v>
      </c>
      <c r="L261" s="297" t="s">
        <v>1426</v>
      </c>
      <c r="M261" s="297" t="s">
        <v>1425</v>
      </c>
      <c r="N261" s="297" t="s">
        <v>1425</v>
      </c>
      <c r="O261" s="297" t="s">
        <v>1426</v>
      </c>
      <c r="P261" s="394" t="s">
        <v>1426</v>
      </c>
      <c r="Q261" s="297" t="s">
        <v>1426</v>
      </c>
      <c r="R261" s="297" t="s">
        <v>1425</v>
      </c>
      <c r="S261" s="297" t="s">
        <v>1425</v>
      </c>
      <c r="T261" s="297" t="s">
        <v>1425</v>
      </c>
      <c r="U261" s="297" t="s">
        <v>1425</v>
      </c>
      <c r="V261" s="46" t="s">
        <v>1425</v>
      </c>
    </row>
    <row r="262" spans="1:22" x14ac:dyDescent="0.2">
      <c r="A262">
        <v>502633</v>
      </c>
      <c r="B262" s="399" t="s">
        <v>395</v>
      </c>
      <c r="C262" s="297"/>
      <c r="D262" s="394"/>
      <c r="E262" s="297" t="s">
        <v>1425</v>
      </c>
      <c r="F262" s="394">
        <v>43830</v>
      </c>
      <c r="G262" s="297" t="s">
        <v>1426</v>
      </c>
      <c r="H262" s="297" t="s">
        <v>1426</v>
      </c>
      <c r="I262" s="297" t="s">
        <v>1426</v>
      </c>
      <c r="J262" s="297" t="s">
        <v>1426</v>
      </c>
      <c r="K262" s="297" t="s">
        <v>1426</v>
      </c>
      <c r="L262" s="297" t="s">
        <v>1426</v>
      </c>
      <c r="M262" s="297" t="s">
        <v>1426</v>
      </c>
      <c r="N262" s="297" t="s">
        <v>1426</v>
      </c>
      <c r="O262" s="297" t="s">
        <v>1426</v>
      </c>
      <c r="P262" s="394" t="s">
        <v>1426</v>
      </c>
      <c r="Q262" s="297" t="s">
        <v>1426</v>
      </c>
      <c r="R262" s="297" t="s">
        <v>1426</v>
      </c>
      <c r="S262" s="297" t="s">
        <v>1425</v>
      </c>
      <c r="T262" s="297" t="s">
        <v>1425</v>
      </c>
      <c r="U262" s="297" t="s">
        <v>1425</v>
      </c>
      <c r="V262" s="46" t="s">
        <v>1426</v>
      </c>
    </row>
    <row r="263" spans="1:22" x14ac:dyDescent="0.2">
      <c r="A263">
        <v>502922</v>
      </c>
      <c r="B263" s="399" t="s">
        <v>396</v>
      </c>
      <c r="C263" s="297">
        <v>33</v>
      </c>
      <c r="D263" s="394">
        <v>43890</v>
      </c>
      <c r="E263" s="297" t="s">
        <v>1425</v>
      </c>
      <c r="F263" s="394">
        <v>43830</v>
      </c>
      <c r="G263" s="297" t="s">
        <v>1426</v>
      </c>
      <c r="H263" s="297" t="s">
        <v>1426</v>
      </c>
      <c r="I263" s="297" t="s">
        <v>1426</v>
      </c>
      <c r="J263" s="297" t="s">
        <v>1426</v>
      </c>
      <c r="K263" s="297" t="s">
        <v>1426</v>
      </c>
      <c r="L263" s="297" t="s">
        <v>1426</v>
      </c>
      <c r="M263" s="297" t="s">
        <v>1426</v>
      </c>
      <c r="N263" s="297" t="s">
        <v>1426</v>
      </c>
      <c r="O263" s="297" t="s">
        <v>1426</v>
      </c>
      <c r="P263" s="394" t="s">
        <v>1426</v>
      </c>
      <c r="Q263" s="297" t="s">
        <v>1426</v>
      </c>
      <c r="R263" s="297" t="s">
        <v>1425</v>
      </c>
      <c r="S263" s="297" t="s">
        <v>1425</v>
      </c>
      <c r="T263" s="297" t="s">
        <v>1425</v>
      </c>
      <c r="U263" s="297" t="s">
        <v>1425</v>
      </c>
      <c r="V263" s="46" t="s">
        <v>1425</v>
      </c>
    </row>
    <row r="264" spans="1:22" x14ac:dyDescent="0.2">
      <c r="A264">
        <v>504100</v>
      </c>
      <c r="B264" s="399" t="s">
        <v>397</v>
      </c>
      <c r="C264" s="297">
        <v>23</v>
      </c>
      <c r="D264" s="394">
        <v>43890</v>
      </c>
      <c r="E264" s="297" t="s">
        <v>1426</v>
      </c>
      <c r="F264" s="394">
        <v>43830</v>
      </c>
      <c r="G264" s="297" t="s">
        <v>1426</v>
      </c>
      <c r="H264" s="297" t="s">
        <v>1426</v>
      </c>
      <c r="I264" s="297" t="s">
        <v>1426</v>
      </c>
      <c r="J264" s="297" t="s">
        <v>1426</v>
      </c>
      <c r="K264" s="297" t="s">
        <v>1426</v>
      </c>
      <c r="L264" s="297" t="s">
        <v>1426</v>
      </c>
      <c r="M264" s="297" t="s">
        <v>1426</v>
      </c>
      <c r="N264" s="297" t="s">
        <v>1426</v>
      </c>
      <c r="O264" s="297" t="s">
        <v>1426</v>
      </c>
      <c r="P264" s="394" t="s">
        <v>1426</v>
      </c>
      <c r="Q264" s="297" t="s">
        <v>1426</v>
      </c>
      <c r="R264" s="297" t="s">
        <v>1426</v>
      </c>
      <c r="S264" s="297" t="s">
        <v>1425</v>
      </c>
      <c r="T264" s="297" t="s">
        <v>1425</v>
      </c>
      <c r="U264" s="297" t="s">
        <v>1425</v>
      </c>
      <c r="V264" s="46" t="s">
        <v>1426</v>
      </c>
    </row>
    <row r="265" spans="1:22" x14ac:dyDescent="0.2">
      <c r="A265">
        <v>505586</v>
      </c>
      <c r="B265" s="399" t="s">
        <v>398</v>
      </c>
      <c r="C265" s="297">
        <v>27</v>
      </c>
      <c r="D265" s="394">
        <v>43890</v>
      </c>
      <c r="E265" s="297" t="s">
        <v>1425</v>
      </c>
      <c r="F265" s="394">
        <v>43830</v>
      </c>
      <c r="G265" s="297" t="s">
        <v>1426</v>
      </c>
      <c r="H265" s="297" t="s">
        <v>1426</v>
      </c>
      <c r="I265" s="297" t="s">
        <v>1426</v>
      </c>
      <c r="J265" s="297" t="s">
        <v>1426</v>
      </c>
      <c r="K265" s="297" t="s">
        <v>1426</v>
      </c>
      <c r="L265" s="297" t="s">
        <v>1426</v>
      </c>
      <c r="M265" s="297" t="s">
        <v>1426</v>
      </c>
      <c r="N265" s="297" t="s">
        <v>1426</v>
      </c>
      <c r="O265" s="297" t="s">
        <v>1426</v>
      </c>
      <c r="P265" s="394" t="s">
        <v>1426</v>
      </c>
      <c r="Q265" s="297" t="s">
        <v>1426</v>
      </c>
      <c r="R265" s="297" t="s">
        <v>1425</v>
      </c>
      <c r="S265" s="297" t="s">
        <v>1425</v>
      </c>
      <c r="T265" s="297" t="s">
        <v>1425</v>
      </c>
      <c r="U265" s="297" t="s">
        <v>1425</v>
      </c>
      <c r="V265" s="46" t="s">
        <v>1425</v>
      </c>
    </row>
    <row r="266" spans="1:22" x14ac:dyDescent="0.2">
      <c r="A266">
        <v>511139</v>
      </c>
      <c r="B266" s="399" t="s">
        <v>399</v>
      </c>
      <c r="C266" s="297">
        <v>23</v>
      </c>
      <c r="D266" s="394">
        <v>43890</v>
      </c>
      <c r="E266" s="297" t="s">
        <v>1425</v>
      </c>
      <c r="F266" s="394">
        <v>43830</v>
      </c>
      <c r="G266" s="297" t="s">
        <v>1426</v>
      </c>
      <c r="H266" s="297" t="s">
        <v>1426</v>
      </c>
      <c r="I266" s="297" t="s">
        <v>1426</v>
      </c>
      <c r="J266" s="297" t="s">
        <v>1426</v>
      </c>
      <c r="K266" s="297" t="s">
        <v>1426</v>
      </c>
      <c r="L266" s="297" t="s">
        <v>1426</v>
      </c>
      <c r="M266" s="297" t="s">
        <v>1425</v>
      </c>
      <c r="N266" s="297" t="s">
        <v>1425</v>
      </c>
      <c r="O266" s="297" t="s">
        <v>1426</v>
      </c>
      <c r="P266" s="394" t="s">
        <v>1425</v>
      </c>
      <c r="Q266" s="297" t="s">
        <v>1425</v>
      </c>
      <c r="R266" s="297" t="s">
        <v>1425</v>
      </c>
      <c r="S266" s="297" t="s">
        <v>1426</v>
      </c>
      <c r="T266" s="297" t="s">
        <v>1425</v>
      </c>
      <c r="U266" s="297" t="s">
        <v>1425</v>
      </c>
      <c r="V266" s="46" t="s">
        <v>1425</v>
      </c>
    </row>
    <row r="267" spans="1:22" x14ac:dyDescent="0.2">
      <c r="A267">
        <v>515554</v>
      </c>
      <c r="B267" s="399" t="s">
        <v>340</v>
      </c>
      <c r="C267" s="297">
        <v>22</v>
      </c>
      <c r="D267" s="394">
        <v>43890</v>
      </c>
      <c r="E267" s="297" t="s">
        <v>1426</v>
      </c>
      <c r="F267" s="394">
        <v>43830</v>
      </c>
      <c r="G267" s="297" t="s">
        <v>1426</v>
      </c>
      <c r="H267" s="297" t="s">
        <v>1426</v>
      </c>
      <c r="I267" s="297" t="s">
        <v>1426</v>
      </c>
      <c r="J267" s="297" t="s">
        <v>1425</v>
      </c>
      <c r="K267" s="297" t="s">
        <v>1425</v>
      </c>
      <c r="L267" s="297" t="s">
        <v>1425</v>
      </c>
      <c r="M267" s="297" t="s">
        <v>1425</v>
      </c>
      <c r="N267" s="297" t="s">
        <v>1425</v>
      </c>
      <c r="O267" s="297" t="s">
        <v>1425</v>
      </c>
      <c r="P267" s="394" t="s">
        <v>1425</v>
      </c>
      <c r="Q267" s="297" t="s">
        <v>1425</v>
      </c>
      <c r="R267" s="297" t="s">
        <v>1425</v>
      </c>
      <c r="S267" s="297" t="s">
        <v>1425</v>
      </c>
      <c r="T267" s="297" t="s">
        <v>1425</v>
      </c>
      <c r="U267" s="297" t="s">
        <v>1425</v>
      </c>
      <c r="V267" s="46" t="s">
        <v>1425</v>
      </c>
    </row>
    <row r="268" spans="1:22" x14ac:dyDescent="0.2">
      <c r="A268">
        <v>515676</v>
      </c>
      <c r="B268" s="399" t="s">
        <v>400</v>
      </c>
      <c r="C268" s="297">
        <v>23</v>
      </c>
      <c r="D268" s="394">
        <v>43890</v>
      </c>
      <c r="E268" s="297" t="s">
        <v>1425</v>
      </c>
      <c r="F268" s="394">
        <v>43830</v>
      </c>
      <c r="G268" s="297" t="s">
        <v>1426</v>
      </c>
      <c r="H268" s="297" t="s">
        <v>1426</v>
      </c>
      <c r="I268" s="297" t="s">
        <v>1426</v>
      </c>
      <c r="J268" s="297" t="s">
        <v>1426</v>
      </c>
      <c r="K268" s="297" t="s">
        <v>1426</v>
      </c>
      <c r="L268" s="297" t="s">
        <v>1426</v>
      </c>
      <c r="M268" s="297" t="s">
        <v>1426</v>
      </c>
      <c r="N268" s="297" t="s">
        <v>1425</v>
      </c>
      <c r="O268" s="297" t="s">
        <v>1426</v>
      </c>
      <c r="P268" s="394" t="s">
        <v>1425</v>
      </c>
      <c r="Q268" s="297" t="s">
        <v>1425</v>
      </c>
      <c r="R268" s="297" t="s">
        <v>1426</v>
      </c>
      <c r="S268" s="297" t="s">
        <v>1425</v>
      </c>
      <c r="T268" s="297" t="s">
        <v>1425</v>
      </c>
      <c r="U268" s="297" t="s">
        <v>1425</v>
      </c>
      <c r="V268" s="46" t="s">
        <v>1425</v>
      </c>
    </row>
    <row r="269" spans="1:22" x14ac:dyDescent="0.2">
      <c r="A269">
        <v>515973</v>
      </c>
      <c r="B269" s="399" t="s">
        <v>1337</v>
      </c>
      <c r="C269" s="297"/>
      <c r="D269" s="394"/>
      <c r="E269" s="297" t="s">
        <v>1425</v>
      </c>
      <c r="F269" s="394">
        <v>43830</v>
      </c>
      <c r="G269" s="297" t="s">
        <v>1426</v>
      </c>
      <c r="H269" s="297" t="s">
        <v>1426</v>
      </c>
      <c r="I269" s="297" t="s">
        <v>1426</v>
      </c>
      <c r="J269" s="297" t="s">
        <v>1426</v>
      </c>
      <c r="K269" s="297" t="s">
        <v>1426</v>
      </c>
      <c r="L269" s="297" t="s">
        <v>1426</v>
      </c>
      <c r="M269" s="297" t="s">
        <v>1426</v>
      </c>
      <c r="N269" s="297" t="s">
        <v>1425</v>
      </c>
      <c r="O269" s="297" t="s">
        <v>1425</v>
      </c>
      <c r="P269" s="394" t="s">
        <v>1425</v>
      </c>
      <c r="Q269" s="297" t="s">
        <v>1425</v>
      </c>
      <c r="R269" s="297" t="s">
        <v>1425</v>
      </c>
      <c r="S269" s="297" t="s">
        <v>1425</v>
      </c>
      <c r="T269" s="297" t="s">
        <v>1426</v>
      </c>
      <c r="U269" s="297" t="s">
        <v>1425</v>
      </c>
      <c r="V269" s="46" t="s">
        <v>1426</v>
      </c>
    </row>
    <row r="270" spans="1:22" x14ac:dyDescent="0.2">
      <c r="A270">
        <v>517508</v>
      </c>
      <c r="B270" s="399" t="s">
        <v>401</v>
      </c>
      <c r="C270" s="297">
        <v>27</v>
      </c>
      <c r="D270" s="394">
        <v>43890</v>
      </c>
      <c r="E270" s="297" t="s">
        <v>1426</v>
      </c>
      <c r="F270" s="394">
        <v>43830</v>
      </c>
      <c r="G270" s="297" t="s">
        <v>1426</v>
      </c>
      <c r="H270" s="297" t="s">
        <v>1426</v>
      </c>
      <c r="I270" s="297" t="s">
        <v>1426</v>
      </c>
      <c r="J270" s="297" t="s">
        <v>1426</v>
      </c>
      <c r="K270" s="297" t="s">
        <v>1426</v>
      </c>
      <c r="L270" s="297" t="s">
        <v>1426</v>
      </c>
      <c r="M270" s="297" t="s">
        <v>1425</v>
      </c>
      <c r="N270" s="297" t="s">
        <v>1425</v>
      </c>
      <c r="O270" s="297" t="s">
        <v>1426</v>
      </c>
      <c r="P270" s="394" t="s">
        <v>1425</v>
      </c>
      <c r="Q270" s="297" t="s">
        <v>1426</v>
      </c>
      <c r="R270" s="297" t="s">
        <v>1425</v>
      </c>
      <c r="S270" s="297" t="s">
        <v>1426</v>
      </c>
      <c r="T270" s="297" t="s">
        <v>1425</v>
      </c>
      <c r="U270" s="297" t="s">
        <v>1425</v>
      </c>
      <c r="V270" s="46" t="s">
        <v>1425</v>
      </c>
    </row>
    <row r="271" spans="1:22" x14ac:dyDescent="0.2">
      <c r="A271">
        <v>517748</v>
      </c>
      <c r="B271" s="399" t="s">
        <v>1465</v>
      </c>
      <c r="C271" s="297">
        <v>35</v>
      </c>
      <c r="D271" s="394">
        <v>43890</v>
      </c>
      <c r="E271" s="297" t="s">
        <v>1425</v>
      </c>
      <c r="F271" s="394">
        <v>43830</v>
      </c>
      <c r="G271" s="297" t="s">
        <v>1426</v>
      </c>
      <c r="H271" s="297" t="s">
        <v>1426</v>
      </c>
      <c r="I271" s="297" t="s">
        <v>1426</v>
      </c>
      <c r="J271" s="297" t="s">
        <v>1426</v>
      </c>
      <c r="K271" s="297" t="s">
        <v>1426</v>
      </c>
      <c r="L271" s="297" t="s">
        <v>1426</v>
      </c>
      <c r="M271" s="297" t="s">
        <v>1426</v>
      </c>
      <c r="N271" s="297" t="s">
        <v>1425</v>
      </c>
      <c r="O271" s="297" t="s">
        <v>1425</v>
      </c>
      <c r="P271" s="394" t="s">
        <v>1425</v>
      </c>
      <c r="Q271" s="297" t="s">
        <v>1425</v>
      </c>
      <c r="R271" s="297" t="s">
        <v>1425</v>
      </c>
      <c r="S271" s="297" t="s">
        <v>1425</v>
      </c>
      <c r="T271" s="297" t="s">
        <v>1425</v>
      </c>
      <c r="U271" s="297" t="s">
        <v>1425</v>
      </c>
      <c r="V271" s="46" t="s">
        <v>1426</v>
      </c>
    </row>
    <row r="272" spans="1:22" x14ac:dyDescent="0.2">
      <c r="A272">
        <v>520692</v>
      </c>
      <c r="B272" s="399" t="s">
        <v>402</v>
      </c>
      <c r="C272" s="297">
        <v>22</v>
      </c>
      <c r="D272" s="394">
        <v>43890</v>
      </c>
      <c r="E272" s="297" t="s">
        <v>1425</v>
      </c>
      <c r="F272" s="394">
        <v>43830</v>
      </c>
      <c r="G272" s="297" t="s">
        <v>1426</v>
      </c>
      <c r="H272" s="297" t="s">
        <v>1426</v>
      </c>
      <c r="I272" s="297" t="s">
        <v>1426</v>
      </c>
      <c r="J272" s="297" t="s">
        <v>1426</v>
      </c>
      <c r="K272" s="297" t="s">
        <v>1426</v>
      </c>
      <c r="L272" s="297" t="s">
        <v>1426</v>
      </c>
      <c r="M272" s="297" t="s">
        <v>1425</v>
      </c>
      <c r="N272" s="297" t="s">
        <v>1425</v>
      </c>
      <c r="O272" s="297" t="s">
        <v>1425</v>
      </c>
      <c r="P272" s="394" t="s">
        <v>1425</v>
      </c>
      <c r="Q272" s="297" t="s">
        <v>1425</v>
      </c>
      <c r="R272" s="297" t="s">
        <v>1425</v>
      </c>
      <c r="S272" s="297" t="s">
        <v>1425</v>
      </c>
      <c r="T272" s="297" t="s">
        <v>1425</v>
      </c>
      <c r="U272" s="297" t="s">
        <v>1425</v>
      </c>
      <c r="V272" s="46" t="s">
        <v>1426</v>
      </c>
    </row>
    <row r="273" spans="1:22" x14ac:dyDescent="0.2">
      <c r="A273">
        <v>520759</v>
      </c>
      <c r="B273" s="399" t="s">
        <v>403</v>
      </c>
      <c r="C273" s="297">
        <v>23</v>
      </c>
      <c r="D273" s="394">
        <v>43890</v>
      </c>
      <c r="E273" s="297" t="s">
        <v>1425</v>
      </c>
      <c r="F273" s="394">
        <v>43830</v>
      </c>
      <c r="G273" s="297" t="s">
        <v>1426</v>
      </c>
      <c r="H273" s="297" t="s">
        <v>1426</v>
      </c>
      <c r="I273" s="297" t="s">
        <v>1426</v>
      </c>
      <c r="J273" s="297" t="s">
        <v>1426</v>
      </c>
      <c r="K273" s="297" t="s">
        <v>1426</v>
      </c>
      <c r="L273" s="297" t="s">
        <v>1426</v>
      </c>
      <c r="M273" s="297" t="s">
        <v>1425</v>
      </c>
      <c r="N273" s="297" t="s">
        <v>1425</v>
      </c>
      <c r="O273" s="297" t="s">
        <v>1426</v>
      </c>
      <c r="P273" s="394" t="s">
        <v>1425</v>
      </c>
      <c r="Q273" s="297" t="s">
        <v>1425</v>
      </c>
      <c r="R273" s="297" t="s">
        <v>1425</v>
      </c>
      <c r="S273" s="297" t="s">
        <v>1426</v>
      </c>
      <c r="T273" s="297" t="s">
        <v>1425</v>
      </c>
      <c r="U273" s="297" t="s">
        <v>1425</v>
      </c>
      <c r="V273" s="46" t="s">
        <v>1425</v>
      </c>
    </row>
    <row r="274" spans="1:22" x14ac:dyDescent="0.2">
      <c r="A274">
        <v>521104</v>
      </c>
      <c r="B274" s="399" t="s">
        <v>632</v>
      </c>
      <c r="C274" s="297">
        <v>21</v>
      </c>
      <c r="D274" s="394">
        <v>43890</v>
      </c>
      <c r="E274" s="297" t="s">
        <v>1426</v>
      </c>
      <c r="F274" s="394">
        <v>43830</v>
      </c>
      <c r="G274" s="297" t="s">
        <v>1426</v>
      </c>
      <c r="H274" s="297" t="s">
        <v>1426</v>
      </c>
      <c r="I274" s="297" t="s">
        <v>1426</v>
      </c>
      <c r="J274" s="297" t="s">
        <v>1426</v>
      </c>
      <c r="K274" s="297" t="s">
        <v>1426</v>
      </c>
      <c r="L274" s="297" t="s">
        <v>1426</v>
      </c>
      <c r="M274" s="297" t="s">
        <v>1425</v>
      </c>
      <c r="N274" s="297" t="s">
        <v>1425</v>
      </c>
      <c r="O274" s="297" t="s">
        <v>1426</v>
      </c>
      <c r="P274" s="394" t="s">
        <v>1426</v>
      </c>
      <c r="Q274" s="297" t="s">
        <v>1426</v>
      </c>
      <c r="R274" s="297" t="s">
        <v>1425</v>
      </c>
      <c r="S274" s="297" t="s">
        <v>1426</v>
      </c>
      <c r="T274" s="297" t="s">
        <v>1425</v>
      </c>
      <c r="U274" s="297" t="s">
        <v>1425</v>
      </c>
      <c r="V274" s="46" t="s">
        <v>1425</v>
      </c>
    </row>
    <row r="275" spans="1:22" x14ac:dyDescent="0.2">
      <c r="A275">
        <v>523050</v>
      </c>
      <c r="B275" s="399" t="s">
        <v>1338</v>
      </c>
      <c r="C275" s="297">
        <v>22</v>
      </c>
      <c r="D275" s="394">
        <v>43890</v>
      </c>
      <c r="E275" s="297" t="s">
        <v>1425</v>
      </c>
      <c r="F275" s="394">
        <v>43830</v>
      </c>
      <c r="G275" s="297" t="s">
        <v>1427</v>
      </c>
      <c r="H275" s="297" t="s">
        <v>1427</v>
      </c>
      <c r="I275" s="297" t="s">
        <v>1427</v>
      </c>
      <c r="J275" s="297" t="s">
        <v>1427</v>
      </c>
      <c r="K275" s="297" t="s">
        <v>1427</v>
      </c>
      <c r="L275" s="297" t="s">
        <v>1427</v>
      </c>
      <c r="M275" s="297" t="s">
        <v>1427</v>
      </c>
      <c r="N275" s="297" t="s">
        <v>1427</v>
      </c>
      <c r="O275" s="297" t="s">
        <v>1427</v>
      </c>
      <c r="P275" s="394" t="s">
        <v>1427</v>
      </c>
      <c r="Q275" s="297" t="s">
        <v>1427</v>
      </c>
      <c r="R275" s="297" t="s">
        <v>1427</v>
      </c>
      <c r="S275" s="297" t="s">
        <v>1427</v>
      </c>
      <c r="T275" s="297" t="s">
        <v>1427</v>
      </c>
      <c r="U275" s="297" t="s">
        <v>1427</v>
      </c>
      <c r="V275" s="46" t="s">
        <v>1427</v>
      </c>
    </row>
    <row r="276" spans="1:22" x14ac:dyDescent="0.2">
      <c r="A276">
        <v>524702</v>
      </c>
      <c r="B276" s="399" t="s">
        <v>404</v>
      </c>
      <c r="C276" s="297"/>
      <c r="D276" s="394"/>
      <c r="E276" s="297" t="s">
        <v>1425</v>
      </c>
      <c r="F276" s="394">
        <v>43830</v>
      </c>
      <c r="G276" s="297" t="s">
        <v>1426</v>
      </c>
      <c r="H276" s="297" t="s">
        <v>1426</v>
      </c>
      <c r="I276" s="297" t="s">
        <v>1426</v>
      </c>
      <c r="J276" s="297" t="s">
        <v>1426</v>
      </c>
      <c r="K276" s="297" t="s">
        <v>1426</v>
      </c>
      <c r="L276" s="297" t="s">
        <v>1426</v>
      </c>
      <c r="M276" s="297" t="s">
        <v>1426</v>
      </c>
      <c r="N276" s="297" t="s">
        <v>1426</v>
      </c>
      <c r="O276" s="297" t="s">
        <v>1426</v>
      </c>
      <c r="P276" s="394" t="s">
        <v>1426</v>
      </c>
      <c r="Q276" s="297" t="s">
        <v>1426</v>
      </c>
      <c r="R276" s="297" t="s">
        <v>1426</v>
      </c>
      <c r="S276" s="297" t="s">
        <v>1425</v>
      </c>
      <c r="T276" s="297" t="s">
        <v>1425</v>
      </c>
      <c r="U276" s="297" t="s">
        <v>1425</v>
      </c>
      <c r="V276" s="46" t="s">
        <v>1426</v>
      </c>
    </row>
    <row r="277" spans="1:22" x14ac:dyDescent="0.2">
      <c r="A277">
        <v>528133</v>
      </c>
      <c r="B277" s="399" t="s">
        <v>405</v>
      </c>
      <c r="C277" s="297">
        <v>20</v>
      </c>
      <c r="D277" s="394">
        <v>43890</v>
      </c>
      <c r="E277" s="297" t="s">
        <v>1426</v>
      </c>
      <c r="F277" s="394">
        <v>43830</v>
      </c>
      <c r="G277" s="297" t="s">
        <v>1426</v>
      </c>
      <c r="H277" s="297" t="s">
        <v>1426</v>
      </c>
      <c r="I277" s="297" t="s">
        <v>1426</v>
      </c>
      <c r="J277" s="297" t="s">
        <v>1426</v>
      </c>
      <c r="K277" s="297" t="s">
        <v>1426</v>
      </c>
      <c r="L277" s="297" t="s">
        <v>1426</v>
      </c>
      <c r="M277" s="297" t="s">
        <v>1426</v>
      </c>
      <c r="N277" s="297" t="s">
        <v>1425</v>
      </c>
      <c r="O277" s="297" t="s">
        <v>1426</v>
      </c>
      <c r="P277" s="394" t="s">
        <v>1425</v>
      </c>
      <c r="Q277" s="297" t="s">
        <v>1425</v>
      </c>
      <c r="R277" s="297" t="s">
        <v>1426</v>
      </c>
      <c r="S277" s="297" t="s">
        <v>1426</v>
      </c>
      <c r="T277" s="297" t="s">
        <v>1425</v>
      </c>
      <c r="U277" s="297" t="s">
        <v>1425</v>
      </c>
      <c r="V277" s="46" t="s">
        <v>1426</v>
      </c>
    </row>
    <row r="278" spans="1:22" x14ac:dyDescent="0.2">
      <c r="A278">
        <v>529016</v>
      </c>
      <c r="B278" s="399" t="s">
        <v>406</v>
      </c>
      <c r="C278" s="297">
        <v>21</v>
      </c>
      <c r="D278" s="394">
        <v>43890</v>
      </c>
      <c r="E278" s="297" t="s">
        <v>1425</v>
      </c>
      <c r="F278" s="394">
        <v>43830</v>
      </c>
      <c r="G278" s="297" t="s">
        <v>1425</v>
      </c>
      <c r="H278" s="297" t="s">
        <v>1425</v>
      </c>
      <c r="I278" s="297" t="s">
        <v>1426</v>
      </c>
      <c r="J278" s="297" t="s">
        <v>1426</v>
      </c>
      <c r="K278" s="297" t="s">
        <v>1426</v>
      </c>
      <c r="L278" s="297" t="s">
        <v>1425</v>
      </c>
      <c r="M278" s="297" t="s">
        <v>1425</v>
      </c>
      <c r="N278" s="297" t="s">
        <v>1425</v>
      </c>
      <c r="O278" s="297" t="s">
        <v>1425</v>
      </c>
      <c r="P278" s="394" t="s">
        <v>1425</v>
      </c>
      <c r="Q278" s="297" t="s">
        <v>1425</v>
      </c>
      <c r="R278" s="297" t="s">
        <v>1425</v>
      </c>
      <c r="S278" s="297" t="s">
        <v>1425</v>
      </c>
      <c r="T278" s="297" t="s">
        <v>1425</v>
      </c>
      <c r="U278" s="297" t="s">
        <v>1425</v>
      </c>
      <c r="V278" s="46" t="s">
        <v>1425</v>
      </c>
    </row>
    <row r="279" spans="1:22" x14ac:dyDescent="0.2">
      <c r="A279">
        <v>532558</v>
      </c>
      <c r="B279" s="399" t="s">
        <v>1384</v>
      </c>
      <c r="C279" s="297">
        <v>37</v>
      </c>
      <c r="D279" s="394">
        <v>43890</v>
      </c>
      <c r="E279" s="297" t="s">
        <v>1425</v>
      </c>
      <c r="F279" s="394">
        <v>43830</v>
      </c>
      <c r="G279" s="297" t="s">
        <v>1425</v>
      </c>
      <c r="H279" s="297" t="s">
        <v>1425</v>
      </c>
      <c r="I279" s="297" t="s">
        <v>1425</v>
      </c>
      <c r="J279" s="297" t="s">
        <v>1426</v>
      </c>
      <c r="K279" s="297" t="s">
        <v>1426</v>
      </c>
      <c r="L279" s="297" t="s">
        <v>1425</v>
      </c>
      <c r="M279" s="297" t="s">
        <v>1425</v>
      </c>
      <c r="N279" s="297" t="s">
        <v>1425</v>
      </c>
      <c r="O279" s="297" t="s">
        <v>1425</v>
      </c>
      <c r="P279" s="394" t="s">
        <v>1425</v>
      </c>
      <c r="Q279" s="297" t="s">
        <v>1425</v>
      </c>
      <c r="R279" s="297" t="s">
        <v>1425</v>
      </c>
      <c r="S279" s="297" t="s">
        <v>1425</v>
      </c>
      <c r="T279" s="297" t="s">
        <v>1425</v>
      </c>
      <c r="U279" s="297" t="s">
        <v>1425</v>
      </c>
      <c r="V279" s="46" t="s">
        <v>1425</v>
      </c>
    </row>
    <row r="280" spans="1:22" x14ac:dyDescent="0.2">
      <c r="A280">
        <v>534800</v>
      </c>
      <c r="B280" s="399" t="s">
        <v>407</v>
      </c>
      <c r="C280" s="297"/>
      <c r="D280" s="394"/>
      <c r="E280" s="297" t="s">
        <v>1425</v>
      </c>
      <c r="F280" s="394">
        <v>43830</v>
      </c>
      <c r="G280" s="297" t="s">
        <v>1426</v>
      </c>
      <c r="H280" s="297" t="s">
        <v>1426</v>
      </c>
      <c r="I280" s="297" t="s">
        <v>1426</v>
      </c>
      <c r="J280" s="297" t="s">
        <v>1426</v>
      </c>
      <c r="K280" s="297" t="s">
        <v>1426</v>
      </c>
      <c r="L280" s="297" t="s">
        <v>1426</v>
      </c>
      <c r="M280" s="297" t="s">
        <v>1426</v>
      </c>
      <c r="N280" s="297" t="s">
        <v>1426</v>
      </c>
      <c r="O280" s="297" t="s">
        <v>1426</v>
      </c>
      <c r="P280" s="394" t="s">
        <v>1426</v>
      </c>
      <c r="Q280" s="297" t="s">
        <v>1426</v>
      </c>
      <c r="R280" s="297" t="s">
        <v>1426</v>
      </c>
      <c r="S280" s="297" t="s">
        <v>1426</v>
      </c>
      <c r="T280" s="297" t="s">
        <v>1425</v>
      </c>
      <c r="U280" s="297" t="s">
        <v>1425</v>
      </c>
      <c r="V280" s="46" t="s">
        <v>1426</v>
      </c>
    </row>
    <row r="281" spans="1:22" x14ac:dyDescent="0.2">
      <c r="A281">
        <v>536276</v>
      </c>
      <c r="B281" s="399" t="s">
        <v>408</v>
      </c>
      <c r="C281" s="297"/>
      <c r="D281" s="394"/>
      <c r="E281" s="297" t="s">
        <v>1425</v>
      </c>
      <c r="F281" s="394">
        <v>43830</v>
      </c>
      <c r="G281" s="297" t="s">
        <v>1426</v>
      </c>
      <c r="H281" s="297" t="s">
        <v>1426</v>
      </c>
      <c r="I281" s="297" t="s">
        <v>1426</v>
      </c>
      <c r="J281" s="297" t="s">
        <v>1426</v>
      </c>
      <c r="K281" s="297" t="s">
        <v>1426</v>
      </c>
      <c r="L281" s="297" t="s">
        <v>1426</v>
      </c>
      <c r="M281" s="297" t="s">
        <v>1426</v>
      </c>
      <c r="N281" s="297" t="s">
        <v>1426</v>
      </c>
      <c r="O281" s="297" t="s">
        <v>1426</v>
      </c>
      <c r="P281" s="394" t="s">
        <v>1425</v>
      </c>
      <c r="Q281" s="297" t="s">
        <v>1426</v>
      </c>
      <c r="R281" s="297" t="s">
        <v>1425</v>
      </c>
      <c r="S281" s="297" t="s">
        <v>1425</v>
      </c>
      <c r="T281" s="297" t="s">
        <v>1425</v>
      </c>
      <c r="U281" s="297" t="s">
        <v>1425</v>
      </c>
      <c r="V281" s="46" t="s">
        <v>1425</v>
      </c>
    </row>
    <row r="282" spans="1:22" x14ac:dyDescent="0.2">
      <c r="A282">
        <v>536806</v>
      </c>
      <c r="B282" s="399" t="s">
        <v>1466</v>
      </c>
      <c r="C282" s="297">
        <v>32</v>
      </c>
      <c r="D282" s="394">
        <v>43890</v>
      </c>
      <c r="E282" s="297" t="s">
        <v>1425</v>
      </c>
      <c r="F282" s="394">
        <v>43830</v>
      </c>
      <c r="G282" s="297" t="s">
        <v>1427</v>
      </c>
      <c r="H282" s="297" t="s">
        <v>1427</v>
      </c>
      <c r="I282" s="297" t="s">
        <v>1427</v>
      </c>
      <c r="J282" s="297" t="s">
        <v>1427</v>
      </c>
      <c r="K282" s="297" t="s">
        <v>1427</v>
      </c>
      <c r="L282" s="297" t="s">
        <v>1427</v>
      </c>
      <c r="M282" s="297" t="s">
        <v>1427</v>
      </c>
      <c r="N282" s="297" t="s">
        <v>1427</v>
      </c>
      <c r="O282" s="297" t="s">
        <v>1427</v>
      </c>
      <c r="P282" s="394" t="s">
        <v>1427</v>
      </c>
      <c r="Q282" s="297" t="s">
        <v>1427</v>
      </c>
      <c r="R282" s="297" t="s">
        <v>1427</v>
      </c>
      <c r="S282" s="297" t="s">
        <v>1427</v>
      </c>
      <c r="T282" s="297" t="s">
        <v>1427</v>
      </c>
      <c r="U282" s="297" t="s">
        <v>1427</v>
      </c>
      <c r="V282" s="46" t="s">
        <v>1427</v>
      </c>
    </row>
    <row r="283" spans="1:22" x14ac:dyDescent="0.2">
      <c r="A283">
        <v>537639</v>
      </c>
      <c r="B283" s="399" t="s">
        <v>633</v>
      </c>
      <c r="C283" s="297"/>
      <c r="D283" s="394"/>
      <c r="E283" s="297" t="s">
        <v>1425</v>
      </c>
      <c r="F283" s="394">
        <v>43830</v>
      </c>
      <c r="G283" s="297" t="s">
        <v>1426</v>
      </c>
      <c r="H283" s="297" t="s">
        <v>1426</v>
      </c>
      <c r="I283" s="297" t="s">
        <v>1426</v>
      </c>
      <c r="J283" s="297" t="s">
        <v>1426</v>
      </c>
      <c r="K283" s="297" t="s">
        <v>1426</v>
      </c>
      <c r="L283" s="297" t="s">
        <v>1426</v>
      </c>
      <c r="M283" s="297" t="s">
        <v>1426</v>
      </c>
      <c r="N283" s="297" t="s">
        <v>1426</v>
      </c>
      <c r="O283" s="297" t="s">
        <v>1426</v>
      </c>
      <c r="P283" s="394" t="s">
        <v>1425</v>
      </c>
      <c r="Q283" s="297" t="s">
        <v>1426</v>
      </c>
      <c r="R283" s="297" t="s">
        <v>1425</v>
      </c>
      <c r="S283" s="297" t="s">
        <v>1425</v>
      </c>
      <c r="T283" s="297" t="s">
        <v>1426</v>
      </c>
      <c r="U283" s="297" t="s">
        <v>1425</v>
      </c>
      <c r="V283" s="46" t="s">
        <v>1425</v>
      </c>
    </row>
    <row r="284" spans="1:22" x14ac:dyDescent="0.2">
      <c r="A284">
        <v>538462</v>
      </c>
      <c r="B284" s="399" t="s">
        <v>409</v>
      </c>
      <c r="C284" s="297">
        <v>21</v>
      </c>
      <c r="D284" s="394">
        <v>43890</v>
      </c>
      <c r="E284" s="297" t="s">
        <v>1425</v>
      </c>
      <c r="F284" s="394">
        <v>43830</v>
      </c>
      <c r="G284" s="297" t="s">
        <v>1426</v>
      </c>
      <c r="H284" s="297" t="s">
        <v>1426</v>
      </c>
      <c r="I284" s="297" t="s">
        <v>1426</v>
      </c>
      <c r="J284" s="297" t="s">
        <v>1426</v>
      </c>
      <c r="K284" s="297" t="s">
        <v>1426</v>
      </c>
      <c r="L284" s="297" t="s">
        <v>1426</v>
      </c>
      <c r="M284" s="297" t="s">
        <v>1425</v>
      </c>
      <c r="N284" s="297" t="s">
        <v>1425</v>
      </c>
      <c r="O284" s="297" t="s">
        <v>1425</v>
      </c>
      <c r="P284" s="394" t="s">
        <v>1425</v>
      </c>
      <c r="Q284" s="297" t="s">
        <v>1425</v>
      </c>
      <c r="R284" s="297" t="s">
        <v>1425</v>
      </c>
      <c r="S284" s="297" t="s">
        <v>1425</v>
      </c>
      <c r="T284" s="297" t="s">
        <v>1425</v>
      </c>
      <c r="U284" s="297" t="s">
        <v>1425</v>
      </c>
      <c r="V284" s="46" t="s">
        <v>1426</v>
      </c>
    </row>
    <row r="285" spans="1:22" x14ac:dyDescent="0.2">
      <c r="A285">
        <v>538751</v>
      </c>
      <c r="B285" s="399" t="s">
        <v>410</v>
      </c>
      <c r="C285" s="297">
        <v>24</v>
      </c>
      <c r="D285" s="394">
        <v>43890</v>
      </c>
      <c r="E285" s="297" t="s">
        <v>1425</v>
      </c>
      <c r="F285" s="394">
        <v>43830</v>
      </c>
      <c r="G285" s="297" t="s">
        <v>1426</v>
      </c>
      <c r="H285" s="297" t="s">
        <v>1426</v>
      </c>
      <c r="I285" s="297" t="s">
        <v>1426</v>
      </c>
      <c r="J285" s="297" t="s">
        <v>1426</v>
      </c>
      <c r="K285" s="297" t="s">
        <v>1425</v>
      </c>
      <c r="L285" s="297" t="s">
        <v>1425</v>
      </c>
      <c r="M285" s="297" t="s">
        <v>1425</v>
      </c>
      <c r="N285" s="297" t="s">
        <v>1425</v>
      </c>
      <c r="O285" s="297" t="s">
        <v>1425</v>
      </c>
      <c r="P285" s="394" t="s">
        <v>1425</v>
      </c>
      <c r="Q285" s="297" t="s">
        <v>1425</v>
      </c>
      <c r="R285" s="297" t="s">
        <v>1425</v>
      </c>
      <c r="S285" s="297" t="s">
        <v>1425</v>
      </c>
      <c r="T285" s="297" t="s">
        <v>1425</v>
      </c>
      <c r="U285" s="297" t="s">
        <v>1425</v>
      </c>
      <c r="V285" s="46" t="s">
        <v>1425</v>
      </c>
    </row>
    <row r="286" spans="1:22" x14ac:dyDescent="0.2">
      <c r="A286">
        <v>541235</v>
      </c>
      <c r="B286" s="399" t="s">
        <v>411</v>
      </c>
      <c r="C286" s="297">
        <v>23</v>
      </c>
      <c r="D286" s="394">
        <v>43890</v>
      </c>
      <c r="E286" s="297" t="s">
        <v>1426</v>
      </c>
      <c r="F286" s="394">
        <v>43830</v>
      </c>
      <c r="G286" s="297" t="s">
        <v>1426</v>
      </c>
      <c r="H286" s="297" t="s">
        <v>1426</v>
      </c>
      <c r="I286" s="297" t="s">
        <v>1426</v>
      </c>
      <c r="J286" s="297" t="s">
        <v>1426</v>
      </c>
      <c r="K286" s="297" t="s">
        <v>1426</v>
      </c>
      <c r="L286" s="297" t="s">
        <v>1426</v>
      </c>
      <c r="M286" s="297" t="s">
        <v>1426</v>
      </c>
      <c r="N286" s="297" t="s">
        <v>1426</v>
      </c>
      <c r="O286" s="297" t="s">
        <v>1426</v>
      </c>
      <c r="P286" s="394" t="s">
        <v>1426</v>
      </c>
      <c r="Q286" s="297" t="s">
        <v>1426</v>
      </c>
      <c r="R286" s="297" t="s">
        <v>1426</v>
      </c>
      <c r="S286" s="297" t="s">
        <v>1426</v>
      </c>
      <c r="T286" s="297" t="s">
        <v>1426</v>
      </c>
      <c r="U286" s="297" t="s">
        <v>1426</v>
      </c>
      <c r="V286" s="46" t="s">
        <v>1426</v>
      </c>
    </row>
    <row r="287" spans="1:22" x14ac:dyDescent="0.2">
      <c r="A287">
        <v>545426</v>
      </c>
      <c r="B287" s="399" t="s">
        <v>412</v>
      </c>
      <c r="C287" s="297">
        <v>24</v>
      </c>
      <c r="D287" s="394">
        <v>43890</v>
      </c>
      <c r="E287" s="297" t="s">
        <v>1425</v>
      </c>
      <c r="F287" s="394">
        <v>43830</v>
      </c>
      <c r="G287" s="297" t="s">
        <v>1426</v>
      </c>
      <c r="H287" s="297" t="s">
        <v>1426</v>
      </c>
      <c r="I287" s="297" t="s">
        <v>1426</v>
      </c>
      <c r="J287" s="297" t="s">
        <v>1426</v>
      </c>
      <c r="K287" s="297" t="s">
        <v>1426</v>
      </c>
      <c r="L287" s="297" t="s">
        <v>1426</v>
      </c>
      <c r="M287" s="297" t="s">
        <v>1425</v>
      </c>
      <c r="N287" s="297" t="s">
        <v>1425</v>
      </c>
      <c r="O287" s="297" t="s">
        <v>1426</v>
      </c>
      <c r="P287" s="394" t="s">
        <v>1425</v>
      </c>
      <c r="Q287" s="297" t="s">
        <v>1425</v>
      </c>
      <c r="R287" s="297" t="s">
        <v>1425</v>
      </c>
      <c r="S287" s="297" t="s">
        <v>1426</v>
      </c>
      <c r="T287" s="297" t="s">
        <v>1425</v>
      </c>
      <c r="U287" s="297" t="s">
        <v>1425</v>
      </c>
      <c r="V287" s="46" t="s">
        <v>1425</v>
      </c>
    </row>
    <row r="288" spans="1:22" x14ac:dyDescent="0.2">
      <c r="A288">
        <v>545541</v>
      </c>
      <c r="B288" s="399" t="s">
        <v>413</v>
      </c>
      <c r="C288" s="297"/>
      <c r="D288" s="394"/>
      <c r="E288" s="297" t="s">
        <v>1425</v>
      </c>
      <c r="F288" s="394">
        <v>43008</v>
      </c>
      <c r="G288" s="297" t="s">
        <v>1426</v>
      </c>
      <c r="H288" s="297" t="s">
        <v>1425</v>
      </c>
      <c r="I288" s="297" t="s">
        <v>1425</v>
      </c>
      <c r="J288" s="297" t="s">
        <v>1426</v>
      </c>
      <c r="K288" s="297" t="s">
        <v>1426</v>
      </c>
      <c r="L288" s="297" t="s">
        <v>1426</v>
      </c>
      <c r="M288" s="297" t="s">
        <v>1425</v>
      </c>
      <c r="N288" s="297" t="s">
        <v>1425</v>
      </c>
      <c r="O288" s="297" t="s">
        <v>1425</v>
      </c>
      <c r="P288" s="394" t="s">
        <v>1425</v>
      </c>
      <c r="Q288" s="297" t="s">
        <v>1425</v>
      </c>
      <c r="R288" s="297" t="s">
        <v>1425</v>
      </c>
      <c r="S288" s="297" t="s">
        <v>1425</v>
      </c>
      <c r="T288" s="297" t="s">
        <v>1425</v>
      </c>
      <c r="U288" s="297" t="s">
        <v>1425</v>
      </c>
      <c r="V288" s="46" t="s">
        <v>1426</v>
      </c>
    </row>
    <row r="289" spans="1:22" x14ac:dyDescent="0.2">
      <c r="A289">
        <v>546960</v>
      </c>
      <c r="B289" s="399" t="s">
        <v>415</v>
      </c>
      <c r="C289" s="297">
        <v>22</v>
      </c>
      <c r="D289" s="394">
        <v>43890</v>
      </c>
      <c r="E289" s="297" t="s">
        <v>1425</v>
      </c>
      <c r="F289" s="394">
        <v>43830</v>
      </c>
      <c r="G289" s="297" t="s">
        <v>1426</v>
      </c>
      <c r="H289" s="297" t="s">
        <v>1426</v>
      </c>
      <c r="I289" s="297" t="s">
        <v>1426</v>
      </c>
      <c r="J289" s="297" t="s">
        <v>1426</v>
      </c>
      <c r="K289" s="297" t="s">
        <v>1426</v>
      </c>
      <c r="L289" s="297" t="s">
        <v>1426</v>
      </c>
      <c r="M289" s="297" t="s">
        <v>1425</v>
      </c>
      <c r="N289" s="297" t="s">
        <v>1425</v>
      </c>
      <c r="O289" s="297" t="s">
        <v>1426</v>
      </c>
      <c r="P289" s="394" t="s">
        <v>1425</v>
      </c>
      <c r="Q289" s="297" t="s">
        <v>1425</v>
      </c>
      <c r="R289" s="297" t="s">
        <v>1425</v>
      </c>
      <c r="S289" s="297" t="s">
        <v>1426</v>
      </c>
      <c r="T289" s="297" t="s">
        <v>1425</v>
      </c>
      <c r="U289" s="297" t="s">
        <v>1425</v>
      </c>
      <c r="V289" s="46" t="s">
        <v>1425</v>
      </c>
    </row>
    <row r="290" spans="1:22" x14ac:dyDescent="0.2">
      <c r="A290">
        <v>551507</v>
      </c>
      <c r="B290" s="399" t="s">
        <v>416</v>
      </c>
      <c r="C290" s="297">
        <v>24</v>
      </c>
      <c r="D290" s="394">
        <v>43890</v>
      </c>
      <c r="E290" s="297" t="s">
        <v>1425</v>
      </c>
      <c r="F290" s="394">
        <v>43830</v>
      </c>
      <c r="G290" s="297" t="s">
        <v>1426</v>
      </c>
      <c r="H290" s="297" t="s">
        <v>1426</v>
      </c>
      <c r="I290" s="297" t="s">
        <v>1425</v>
      </c>
      <c r="J290" s="297" t="s">
        <v>1426</v>
      </c>
      <c r="K290" s="297" t="s">
        <v>1426</v>
      </c>
      <c r="L290" s="297" t="s">
        <v>1426</v>
      </c>
      <c r="M290" s="297" t="s">
        <v>1425</v>
      </c>
      <c r="N290" s="297" t="s">
        <v>1425</v>
      </c>
      <c r="O290" s="297" t="s">
        <v>1426</v>
      </c>
      <c r="P290" s="394" t="s">
        <v>1425</v>
      </c>
      <c r="Q290" s="297" t="s">
        <v>1425</v>
      </c>
      <c r="R290" s="297" t="s">
        <v>1425</v>
      </c>
      <c r="S290" s="297" t="s">
        <v>1425</v>
      </c>
      <c r="T290" s="297" t="s">
        <v>1425</v>
      </c>
      <c r="U290" s="297" t="s">
        <v>1425</v>
      </c>
      <c r="V290" s="46" t="s">
        <v>1425</v>
      </c>
    </row>
    <row r="291" spans="1:22" x14ac:dyDescent="0.2">
      <c r="A291">
        <v>551804</v>
      </c>
      <c r="B291" s="399" t="s">
        <v>417</v>
      </c>
      <c r="C291" s="297"/>
      <c r="D291" s="394"/>
      <c r="E291" s="297" t="s">
        <v>1425</v>
      </c>
      <c r="F291" s="394">
        <v>43465</v>
      </c>
      <c r="G291" s="297" t="s">
        <v>1427</v>
      </c>
      <c r="H291" s="297" t="s">
        <v>1427</v>
      </c>
      <c r="I291" s="297" t="s">
        <v>1427</v>
      </c>
      <c r="J291" s="297" t="s">
        <v>1427</v>
      </c>
      <c r="K291" s="297" t="s">
        <v>1427</v>
      </c>
      <c r="L291" s="297" t="s">
        <v>1427</v>
      </c>
      <c r="M291" s="297" t="s">
        <v>1427</v>
      </c>
      <c r="N291" s="297" t="s">
        <v>1427</v>
      </c>
      <c r="O291" s="297" t="s">
        <v>1427</v>
      </c>
      <c r="P291" s="394" t="s">
        <v>1427</v>
      </c>
      <c r="Q291" s="297" t="s">
        <v>1427</v>
      </c>
      <c r="R291" s="297" t="s">
        <v>1427</v>
      </c>
      <c r="S291" s="297" t="s">
        <v>1427</v>
      </c>
      <c r="T291" s="297" t="s">
        <v>1427</v>
      </c>
      <c r="U291" s="297" t="s">
        <v>1427</v>
      </c>
      <c r="V291" s="46" t="s">
        <v>1427</v>
      </c>
    </row>
    <row r="292" spans="1:22" x14ac:dyDescent="0.2">
      <c r="A292">
        <v>553578</v>
      </c>
      <c r="B292" s="399" t="s">
        <v>1339</v>
      </c>
      <c r="C292" s="297">
        <v>22</v>
      </c>
      <c r="D292" s="394">
        <v>43890</v>
      </c>
      <c r="E292" s="297" t="s">
        <v>1425</v>
      </c>
      <c r="F292" s="394">
        <v>43830</v>
      </c>
      <c r="G292" s="297" t="s">
        <v>1426</v>
      </c>
      <c r="H292" s="297" t="s">
        <v>1426</v>
      </c>
      <c r="I292" s="297" t="s">
        <v>1426</v>
      </c>
      <c r="J292" s="297" t="s">
        <v>1426</v>
      </c>
      <c r="K292" s="297" t="s">
        <v>1426</v>
      </c>
      <c r="L292" s="297" t="s">
        <v>1426</v>
      </c>
      <c r="M292" s="297" t="s">
        <v>1426</v>
      </c>
      <c r="N292" s="297" t="s">
        <v>1425</v>
      </c>
      <c r="O292" s="297" t="s">
        <v>1425</v>
      </c>
      <c r="P292" s="394" t="s">
        <v>1425</v>
      </c>
      <c r="Q292" s="297" t="s">
        <v>1425</v>
      </c>
      <c r="R292" s="297" t="s">
        <v>1425</v>
      </c>
      <c r="S292" s="297" t="s">
        <v>1425</v>
      </c>
      <c r="T292" s="297" t="s">
        <v>1426</v>
      </c>
      <c r="U292" s="297" t="s">
        <v>1425</v>
      </c>
      <c r="V292" s="46" t="s">
        <v>1426</v>
      </c>
    </row>
    <row r="293" spans="1:22" x14ac:dyDescent="0.2">
      <c r="A293">
        <v>554691</v>
      </c>
      <c r="B293" s="399" t="s">
        <v>634</v>
      </c>
      <c r="C293" s="297"/>
      <c r="D293" s="394"/>
      <c r="E293" s="297" t="s">
        <v>1425</v>
      </c>
      <c r="F293" s="394">
        <v>43830</v>
      </c>
      <c r="G293" s="297" t="s">
        <v>1426</v>
      </c>
      <c r="H293" s="297" t="s">
        <v>1426</v>
      </c>
      <c r="I293" s="297" t="s">
        <v>1426</v>
      </c>
      <c r="J293" s="297" t="s">
        <v>1426</v>
      </c>
      <c r="K293" s="297" t="s">
        <v>1426</v>
      </c>
      <c r="L293" s="297" t="s">
        <v>1426</v>
      </c>
      <c r="M293" s="297" t="s">
        <v>1426</v>
      </c>
      <c r="N293" s="297" t="s">
        <v>1426</v>
      </c>
      <c r="O293" s="297" t="s">
        <v>1426</v>
      </c>
      <c r="P293" s="394" t="s">
        <v>1426</v>
      </c>
      <c r="Q293" s="297" t="s">
        <v>1426</v>
      </c>
      <c r="R293" s="297" t="s">
        <v>1426</v>
      </c>
      <c r="S293" s="297" t="s">
        <v>1426</v>
      </c>
      <c r="T293" s="297" t="s">
        <v>1425</v>
      </c>
      <c r="U293" s="297" t="s">
        <v>1425</v>
      </c>
      <c r="V293" s="46" t="s">
        <v>1425</v>
      </c>
    </row>
    <row r="294" spans="1:22" x14ac:dyDescent="0.2">
      <c r="A294">
        <v>555102</v>
      </c>
      <c r="B294" s="399" t="s">
        <v>418</v>
      </c>
      <c r="C294" s="297">
        <v>28</v>
      </c>
      <c r="D294" s="394">
        <v>43890</v>
      </c>
      <c r="E294" s="297" t="s">
        <v>1425</v>
      </c>
      <c r="F294" s="394">
        <v>43830</v>
      </c>
      <c r="G294" s="297" t="s">
        <v>1426</v>
      </c>
      <c r="H294" s="297" t="s">
        <v>1426</v>
      </c>
      <c r="I294" s="297" t="s">
        <v>1426</v>
      </c>
      <c r="J294" s="297" t="s">
        <v>1426</v>
      </c>
      <c r="K294" s="297" t="s">
        <v>1426</v>
      </c>
      <c r="L294" s="297" t="s">
        <v>1426</v>
      </c>
      <c r="M294" s="297" t="s">
        <v>1426</v>
      </c>
      <c r="N294" s="297" t="s">
        <v>1426</v>
      </c>
      <c r="O294" s="297" t="s">
        <v>1426</v>
      </c>
      <c r="P294" s="394" t="s">
        <v>1426</v>
      </c>
      <c r="Q294" s="297" t="s">
        <v>1426</v>
      </c>
      <c r="R294" s="297" t="s">
        <v>1426</v>
      </c>
      <c r="S294" s="297" t="s">
        <v>1426</v>
      </c>
      <c r="T294" s="297" t="s">
        <v>1426</v>
      </c>
      <c r="U294" s="297" t="s">
        <v>1426</v>
      </c>
      <c r="V294" s="46" t="s">
        <v>1425</v>
      </c>
    </row>
    <row r="295" spans="1:22" x14ac:dyDescent="0.2">
      <c r="A295">
        <v>555466</v>
      </c>
      <c r="B295" s="399" t="s">
        <v>420</v>
      </c>
      <c r="C295" s="297">
        <v>24</v>
      </c>
      <c r="D295" s="394">
        <v>43890</v>
      </c>
      <c r="E295" s="297" t="s">
        <v>1426</v>
      </c>
      <c r="F295" s="394">
        <v>43830</v>
      </c>
      <c r="G295" s="297" t="s">
        <v>1426</v>
      </c>
      <c r="H295" s="297" t="s">
        <v>1426</v>
      </c>
      <c r="I295" s="297" t="s">
        <v>1426</v>
      </c>
      <c r="J295" s="297" t="s">
        <v>1425</v>
      </c>
      <c r="K295" s="297" t="s">
        <v>1425</v>
      </c>
      <c r="L295" s="297" t="s">
        <v>1425</v>
      </c>
      <c r="M295" s="297" t="s">
        <v>1425</v>
      </c>
      <c r="N295" s="297" t="s">
        <v>1425</v>
      </c>
      <c r="O295" s="297" t="s">
        <v>1425</v>
      </c>
      <c r="P295" s="394" t="s">
        <v>1425</v>
      </c>
      <c r="Q295" s="297" t="s">
        <v>1425</v>
      </c>
      <c r="R295" s="297" t="s">
        <v>1425</v>
      </c>
      <c r="S295" s="297" t="s">
        <v>1425</v>
      </c>
      <c r="T295" s="297" t="s">
        <v>1425</v>
      </c>
      <c r="U295" s="297" t="s">
        <v>1425</v>
      </c>
      <c r="V295" s="46" t="s">
        <v>1425</v>
      </c>
    </row>
    <row r="296" spans="1:22" x14ac:dyDescent="0.2">
      <c r="A296">
        <v>556589</v>
      </c>
      <c r="B296" s="399" t="s">
        <v>421</v>
      </c>
      <c r="C296" s="297">
        <v>24</v>
      </c>
      <c r="D296" s="394">
        <v>43890</v>
      </c>
      <c r="E296" s="297" t="s">
        <v>1425</v>
      </c>
      <c r="F296" s="394">
        <v>43830</v>
      </c>
      <c r="G296" s="297" t="s">
        <v>1426</v>
      </c>
      <c r="H296" s="297" t="s">
        <v>1426</v>
      </c>
      <c r="I296" s="297" t="s">
        <v>1426</v>
      </c>
      <c r="J296" s="297" t="s">
        <v>1426</v>
      </c>
      <c r="K296" s="297" t="s">
        <v>1426</v>
      </c>
      <c r="L296" s="297" t="s">
        <v>1426</v>
      </c>
      <c r="M296" s="297" t="s">
        <v>1425</v>
      </c>
      <c r="N296" s="297" t="s">
        <v>1425</v>
      </c>
      <c r="O296" s="297" t="s">
        <v>1426</v>
      </c>
      <c r="P296" s="394" t="s">
        <v>1425</v>
      </c>
      <c r="Q296" s="297" t="s">
        <v>1425</v>
      </c>
      <c r="R296" s="297" t="s">
        <v>1425</v>
      </c>
      <c r="S296" s="297" t="s">
        <v>1426</v>
      </c>
      <c r="T296" s="297" t="s">
        <v>1425</v>
      </c>
      <c r="U296" s="297" t="s">
        <v>1425</v>
      </c>
      <c r="V296" s="46" t="s">
        <v>1425</v>
      </c>
    </row>
    <row r="297" spans="1:22" x14ac:dyDescent="0.2">
      <c r="A297">
        <v>560599</v>
      </c>
      <c r="B297" s="399" t="s">
        <v>422</v>
      </c>
      <c r="C297" s="297"/>
      <c r="D297" s="394"/>
      <c r="E297" s="297" t="s">
        <v>1425</v>
      </c>
      <c r="F297" s="394">
        <v>43830</v>
      </c>
      <c r="G297" s="297" t="s">
        <v>1426</v>
      </c>
      <c r="H297" s="297" t="s">
        <v>1426</v>
      </c>
      <c r="I297" s="297" t="s">
        <v>1426</v>
      </c>
      <c r="J297" s="297" t="s">
        <v>1426</v>
      </c>
      <c r="K297" s="297" t="s">
        <v>1426</v>
      </c>
      <c r="L297" s="297" t="s">
        <v>1426</v>
      </c>
      <c r="M297" s="297" t="s">
        <v>1425</v>
      </c>
      <c r="N297" s="297" t="s">
        <v>1425</v>
      </c>
      <c r="O297" s="297" t="s">
        <v>1425</v>
      </c>
      <c r="P297" s="394" t="s">
        <v>1425</v>
      </c>
      <c r="Q297" s="297" t="s">
        <v>1425</v>
      </c>
      <c r="R297" s="297" t="s">
        <v>1425</v>
      </c>
      <c r="S297" s="297" t="s">
        <v>1425</v>
      </c>
      <c r="T297" s="297" t="s">
        <v>1425</v>
      </c>
      <c r="U297" s="297" t="s">
        <v>1425</v>
      </c>
      <c r="V297" s="46" t="s">
        <v>1425</v>
      </c>
    </row>
    <row r="298" spans="1:22" x14ac:dyDescent="0.2">
      <c r="A298">
        <v>562421</v>
      </c>
      <c r="B298" s="399" t="s">
        <v>423</v>
      </c>
      <c r="C298" s="297">
        <v>23</v>
      </c>
      <c r="D298" s="394">
        <v>43890</v>
      </c>
      <c r="E298" s="297" t="s">
        <v>1425</v>
      </c>
      <c r="F298" s="394">
        <v>43830</v>
      </c>
      <c r="G298" s="297" t="s">
        <v>1426</v>
      </c>
      <c r="H298" s="297" t="s">
        <v>1426</v>
      </c>
      <c r="I298" s="297" t="s">
        <v>1426</v>
      </c>
      <c r="J298" s="297" t="s">
        <v>1426</v>
      </c>
      <c r="K298" s="297" t="s">
        <v>1426</v>
      </c>
      <c r="L298" s="297" t="s">
        <v>1426</v>
      </c>
      <c r="M298" s="297" t="s">
        <v>1426</v>
      </c>
      <c r="N298" s="297" t="s">
        <v>1426</v>
      </c>
      <c r="O298" s="297" t="s">
        <v>1426</v>
      </c>
      <c r="P298" s="394" t="s">
        <v>1426</v>
      </c>
      <c r="Q298" s="297" t="s">
        <v>1426</v>
      </c>
      <c r="R298" s="297" t="s">
        <v>1426</v>
      </c>
      <c r="S298" s="297" t="s">
        <v>1426</v>
      </c>
      <c r="T298" s="297" t="s">
        <v>1426</v>
      </c>
      <c r="U298" s="297" t="s">
        <v>1425</v>
      </c>
      <c r="V298" s="46" t="s">
        <v>1425</v>
      </c>
    </row>
    <row r="299" spans="1:22" x14ac:dyDescent="0.2">
      <c r="A299">
        <v>562728</v>
      </c>
      <c r="B299" s="399" t="s">
        <v>424</v>
      </c>
      <c r="C299" s="297">
        <v>25</v>
      </c>
      <c r="D299" s="394">
        <v>43890</v>
      </c>
      <c r="E299" s="297" t="s">
        <v>1425</v>
      </c>
      <c r="F299" s="394">
        <v>43830</v>
      </c>
      <c r="G299" s="297" t="s">
        <v>1426</v>
      </c>
      <c r="H299" s="297" t="s">
        <v>1426</v>
      </c>
      <c r="I299" s="297" t="s">
        <v>1426</v>
      </c>
      <c r="J299" s="297" t="s">
        <v>1426</v>
      </c>
      <c r="K299" s="297" t="s">
        <v>1426</v>
      </c>
      <c r="L299" s="297" t="s">
        <v>1426</v>
      </c>
      <c r="M299" s="297" t="s">
        <v>1425</v>
      </c>
      <c r="N299" s="297" t="s">
        <v>1426</v>
      </c>
      <c r="O299" s="297" t="s">
        <v>1426</v>
      </c>
      <c r="P299" s="394" t="s">
        <v>1426</v>
      </c>
      <c r="Q299" s="297" t="s">
        <v>1426</v>
      </c>
      <c r="R299" s="297" t="s">
        <v>1425</v>
      </c>
      <c r="S299" s="297" t="s">
        <v>1426</v>
      </c>
      <c r="T299" s="297" t="s">
        <v>1426</v>
      </c>
      <c r="U299" s="297" t="s">
        <v>1425</v>
      </c>
      <c r="V299" s="46" t="s">
        <v>1425</v>
      </c>
    </row>
    <row r="300" spans="1:22" x14ac:dyDescent="0.2">
      <c r="A300">
        <v>563254</v>
      </c>
      <c r="B300" s="399" t="s">
        <v>619</v>
      </c>
      <c r="C300" s="297">
        <v>24</v>
      </c>
      <c r="D300" s="394">
        <v>43890</v>
      </c>
      <c r="E300" s="297" t="s">
        <v>1426</v>
      </c>
      <c r="F300" s="394">
        <v>43830</v>
      </c>
      <c r="G300" s="297" t="s">
        <v>1425</v>
      </c>
      <c r="H300" s="297" t="s">
        <v>1425</v>
      </c>
      <c r="I300" s="297" t="s">
        <v>1425</v>
      </c>
      <c r="J300" s="297" t="s">
        <v>1426</v>
      </c>
      <c r="K300" s="297" t="s">
        <v>1426</v>
      </c>
      <c r="L300" s="297" t="s">
        <v>1425</v>
      </c>
      <c r="M300" s="297" t="s">
        <v>1425</v>
      </c>
      <c r="N300" s="297" t="s">
        <v>1425</v>
      </c>
      <c r="O300" s="297" t="s">
        <v>1425</v>
      </c>
      <c r="P300" s="394" t="s">
        <v>1425</v>
      </c>
      <c r="Q300" s="297" t="s">
        <v>1425</v>
      </c>
      <c r="R300" s="297" t="s">
        <v>1425</v>
      </c>
      <c r="S300" s="297" t="s">
        <v>1425</v>
      </c>
      <c r="T300" s="297" t="s">
        <v>1425</v>
      </c>
      <c r="U300" s="297" t="s">
        <v>1425</v>
      </c>
      <c r="V300" s="46" t="s">
        <v>1425</v>
      </c>
    </row>
    <row r="301" spans="1:22" x14ac:dyDescent="0.2">
      <c r="A301">
        <v>563965</v>
      </c>
      <c r="B301" s="399" t="s">
        <v>425</v>
      </c>
      <c r="C301" s="297">
        <v>22</v>
      </c>
      <c r="D301" s="394">
        <v>43890</v>
      </c>
      <c r="E301" s="297" t="s">
        <v>1425</v>
      </c>
      <c r="F301" s="394">
        <v>43830</v>
      </c>
      <c r="G301" s="297" t="s">
        <v>1426</v>
      </c>
      <c r="H301" s="297" t="s">
        <v>1426</v>
      </c>
      <c r="I301" s="297" t="s">
        <v>1426</v>
      </c>
      <c r="J301" s="297" t="s">
        <v>1426</v>
      </c>
      <c r="K301" s="297" t="s">
        <v>1426</v>
      </c>
      <c r="L301" s="297" t="s">
        <v>1426</v>
      </c>
      <c r="M301" s="297" t="s">
        <v>1426</v>
      </c>
      <c r="N301" s="297" t="s">
        <v>1425</v>
      </c>
      <c r="O301" s="297" t="s">
        <v>1426</v>
      </c>
      <c r="P301" s="394" t="s">
        <v>1425</v>
      </c>
      <c r="Q301" s="297" t="s">
        <v>1425</v>
      </c>
      <c r="R301" s="297" t="s">
        <v>1425</v>
      </c>
      <c r="S301" s="297" t="s">
        <v>1425</v>
      </c>
      <c r="T301" s="297" t="s">
        <v>1425</v>
      </c>
      <c r="U301" s="297" t="s">
        <v>1425</v>
      </c>
      <c r="V301" s="46" t="s">
        <v>1425</v>
      </c>
    </row>
    <row r="302" spans="1:22" x14ac:dyDescent="0.2">
      <c r="A302">
        <v>564849</v>
      </c>
      <c r="B302" s="399" t="s">
        <v>1467</v>
      </c>
      <c r="C302" s="297">
        <v>21</v>
      </c>
      <c r="D302" s="394">
        <v>43890</v>
      </c>
      <c r="E302" s="297" t="s">
        <v>1425</v>
      </c>
      <c r="F302" s="394">
        <v>43830</v>
      </c>
      <c r="G302" s="297" t="s">
        <v>1426</v>
      </c>
      <c r="H302" s="297" t="s">
        <v>1426</v>
      </c>
      <c r="I302" s="297" t="s">
        <v>1426</v>
      </c>
      <c r="J302" s="297" t="s">
        <v>1426</v>
      </c>
      <c r="K302" s="297" t="s">
        <v>1426</v>
      </c>
      <c r="L302" s="297" t="s">
        <v>1426</v>
      </c>
      <c r="M302" s="297" t="s">
        <v>1425</v>
      </c>
      <c r="N302" s="297" t="s">
        <v>1425</v>
      </c>
      <c r="O302" s="297" t="s">
        <v>1425</v>
      </c>
      <c r="P302" s="394" t="s">
        <v>1425</v>
      </c>
      <c r="Q302" s="297" t="s">
        <v>1425</v>
      </c>
      <c r="R302" s="297" t="s">
        <v>1425</v>
      </c>
      <c r="S302" s="297" t="s">
        <v>1425</v>
      </c>
      <c r="T302" s="297" t="s">
        <v>1425</v>
      </c>
      <c r="U302" s="297" t="s">
        <v>1425</v>
      </c>
      <c r="V302" s="46" t="s">
        <v>1425</v>
      </c>
    </row>
    <row r="303" spans="1:22" x14ac:dyDescent="0.2">
      <c r="A303">
        <v>570044</v>
      </c>
      <c r="B303" s="399" t="s">
        <v>426</v>
      </c>
      <c r="C303" s="297">
        <v>21</v>
      </c>
      <c r="D303" s="394">
        <v>43890</v>
      </c>
      <c r="E303" s="297" t="s">
        <v>1425</v>
      </c>
      <c r="F303" s="394">
        <v>43830</v>
      </c>
      <c r="G303" s="297" t="s">
        <v>1426</v>
      </c>
      <c r="H303" s="297" t="s">
        <v>1426</v>
      </c>
      <c r="I303" s="297" t="s">
        <v>1426</v>
      </c>
      <c r="J303" s="297" t="s">
        <v>1426</v>
      </c>
      <c r="K303" s="297" t="s">
        <v>1426</v>
      </c>
      <c r="L303" s="297" t="s">
        <v>1426</v>
      </c>
      <c r="M303" s="297" t="s">
        <v>1425</v>
      </c>
      <c r="N303" s="297" t="s">
        <v>1425</v>
      </c>
      <c r="O303" s="297" t="s">
        <v>1426</v>
      </c>
      <c r="P303" s="394" t="s">
        <v>1425</v>
      </c>
      <c r="Q303" s="297" t="s">
        <v>1426</v>
      </c>
      <c r="R303" s="297" t="s">
        <v>1426</v>
      </c>
      <c r="S303" s="297" t="s">
        <v>1425</v>
      </c>
      <c r="T303" s="297" t="s">
        <v>1426</v>
      </c>
      <c r="U303" s="297" t="s">
        <v>1425</v>
      </c>
      <c r="V303" s="46" t="s">
        <v>1425</v>
      </c>
    </row>
    <row r="304" spans="1:22" x14ac:dyDescent="0.2">
      <c r="A304">
        <v>570630</v>
      </c>
      <c r="B304" s="399" t="s">
        <v>427</v>
      </c>
      <c r="C304" s="297">
        <v>20</v>
      </c>
      <c r="D304" s="394">
        <v>43890</v>
      </c>
      <c r="E304" s="297" t="s">
        <v>1426</v>
      </c>
      <c r="F304" s="394">
        <v>43830</v>
      </c>
      <c r="G304" s="297" t="s">
        <v>1426</v>
      </c>
      <c r="H304" s="297" t="s">
        <v>1426</v>
      </c>
      <c r="I304" s="297" t="s">
        <v>1426</v>
      </c>
      <c r="J304" s="297" t="s">
        <v>1426</v>
      </c>
      <c r="K304" s="297" t="s">
        <v>1426</v>
      </c>
      <c r="L304" s="297" t="s">
        <v>1426</v>
      </c>
      <c r="M304" s="297" t="s">
        <v>1426</v>
      </c>
      <c r="N304" s="297" t="s">
        <v>1426</v>
      </c>
      <c r="O304" s="297" t="s">
        <v>1426</v>
      </c>
      <c r="P304" s="394" t="s">
        <v>1426</v>
      </c>
      <c r="Q304" s="297" t="s">
        <v>1426</v>
      </c>
      <c r="R304" s="297" t="s">
        <v>1426</v>
      </c>
      <c r="S304" s="297" t="s">
        <v>1426</v>
      </c>
      <c r="T304" s="297" t="s">
        <v>1425</v>
      </c>
      <c r="U304" s="297" t="s">
        <v>1425</v>
      </c>
      <c r="V304" s="46" t="s">
        <v>1425</v>
      </c>
    </row>
    <row r="305" spans="1:22" x14ac:dyDescent="0.2">
      <c r="A305">
        <v>571695</v>
      </c>
      <c r="B305" s="399" t="s">
        <v>428</v>
      </c>
      <c r="C305" s="297">
        <v>22</v>
      </c>
      <c r="D305" s="394">
        <v>43890</v>
      </c>
      <c r="E305" s="297" t="s">
        <v>1425</v>
      </c>
      <c r="F305" s="394">
        <v>43830</v>
      </c>
      <c r="G305" s="297" t="s">
        <v>1426</v>
      </c>
      <c r="H305" s="297" t="s">
        <v>1426</v>
      </c>
      <c r="I305" s="297" t="s">
        <v>1426</v>
      </c>
      <c r="J305" s="297" t="s">
        <v>1426</v>
      </c>
      <c r="K305" s="297" t="s">
        <v>1426</v>
      </c>
      <c r="L305" s="297" t="s">
        <v>1426</v>
      </c>
      <c r="M305" s="297" t="s">
        <v>1425</v>
      </c>
      <c r="N305" s="297" t="s">
        <v>1425</v>
      </c>
      <c r="O305" s="297" t="s">
        <v>1426</v>
      </c>
      <c r="P305" s="394" t="s">
        <v>1425</v>
      </c>
      <c r="Q305" s="297" t="s">
        <v>1425</v>
      </c>
      <c r="R305" s="297" t="s">
        <v>1425</v>
      </c>
      <c r="S305" s="297" t="s">
        <v>1425</v>
      </c>
      <c r="T305" s="297" t="s">
        <v>1425</v>
      </c>
      <c r="U305" s="297" t="s">
        <v>1425</v>
      </c>
      <c r="V305" s="46" t="s">
        <v>1426</v>
      </c>
    </row>
    <row r="306" spans="1:22" x14ac:dyDescent="0.2">
      <c r="A306">
        <v>572637</v>
      </c>
      <c r="B306" s="399" t="s">
        <v>1468</v>
      </c>
      <c r="C306" s="297"/>
      <c r="D306" s="394"/>
      <c r="E306" s="297" t="s">
        <v>1425</v>
      </c>
      <c r="F306" s="394">
        <v>43830</v>
      </c>
      <c r="G306" s="297" t="s">
        <v>1427</v>
      </c>
      <c r="H306" s="297" t="s">
        <v>1427</v>
      </c>
      <c r="I306" s="297" t="s">
        <v>1427</v>
      </c>
      <c r="J306" s="297" t="s">
        <v>1427</v>
      </c>
      <c r="K306" s="297" t="s">
        <v>1427</v>
      </c>
      <c r="L306" s="297" t="s">
        <v>1427</v>
      </c>
      <c r="M306" s="297" t="s">
        <v>1427</v>
      </c>
      <c r="N306" s="297" t="s">
        <v>1427</v>
      </c>
      <c r="O306" s="297" t="s">
        <v>1427</v>
      </c>
      <c r="P306" s="394" t="s">
        <v>1427</v>
      </c>
      <c r="Q306" s="297" t="s">
        <v>1427</v>
      </c>
      <c r="R306" s="297" t="s">
        <v>1427</v>
      </c>
      <c r="S306" s="297" t="s">
        <v>1427</v>
      </c>
      <c r="T306" s="297" t="s">
        <v>1427</v>
      </c>
      <c r="U306" s="297" t="s">
        <v>1427</v>
      </c>
      <c r="V306" s="46" t="s">
        <v>1427</v>
      </c>
    </row>
    <row r="307" spans="1:22" x14ac:dyDescent="0.2">
      <c r="A307">
        <v>574293</v>
      </c>
      <c r="B307" s="399" t="s">
        <v>429</v>
      </c>
      <c r="C307" s="297"/>
      <c r="D307" s="394"/>
      <c r="E307" s="297" t="s">
        <v>1425</v>
      </c>
      <c r="F307" s="394">
        <v>43830</v>
      </c>
      <c r="G307" s="297" t="s">
        <v>1426</v>
      </c>
      <c r="H307" s="297" t="s">
        <v>1426</v>
      </c>
      <c r="I307" s="297" t="s">
        <v>1426</v>
      </c>
      <c r="J307" s="297" t="s">
        <v>1426</v>
      </c>
      <c r="K307" s="297" t="s">
        <v>1426</v>
      </c>
      <c r="L307" s="297" t="s">
        <v>1426</v>
      </c>
      <c r="M307" s="297" t="s">
        <v>1425</v>
      </c>
      <c r="N307" s="297" t="s">
        <v>1425</v>
      </c>
      <c r="O307" s="297" t="s">
        <v>1425</v>
      </c>
      <c r="P307" s="394" t="s">
        <v>1425</v>
      </c>
      <c r="Q307" s="297" t="s">
        <v>1425</v>
      </c>
      <c r="R307" s="297" t="s">
        <v>1425</v>
      </c>
      <c r="S307" s="297" t="s">
        <v>1425</v>
      </c>
      <c r="T307" s="297" t="s">
        <v>1425</v>
      </c>
      <c r="U307" s="297" t="s">
        <v>1425</v>
      </c>
      <c r="V307" s="46" t="s">
        <v>1426</v>
      </c>
    </row>
    <row r="308" spans="1:22" x14ac:dyDescent="0.2">
      <c r="A308">
        <v>574582</v>
      </c>
      <c r="B308" s="399" t="s">
        <v>430</v>
      </c>
      <c r="C308" s="297">
        <v>25</v>
      </c>
      <c r="D308" s="394">
        <v>43890</v>
      </c>
      <c r="E308" s="297" t="s">
        <v>1425</v>
      </c>
      <c r="F308" s="394">
        <v>43830</v>
      </c>
      <c r="G308" s="297" t="s">
        <v>1426</v>
      </c>
      <c r="H308" s="297" t="s">
        <v>1426</v>
      </c>
      <c r="I308" s="297" t="s">
        <v>1426</v>
      </c>
      <c r="J308" s="297" t="s">
        <v>1426</v>
      </c>
      <c r="K308" s="297" t="s">
        <v>1426</v>
      </c>
      <c r="L308" s="297" t="s">
        <v>1426</v>
      </c>
      <c r="M308" s="297" t="s">
        <v>1425</v>
      </c>
      <c r="N308" s="297" t="s">
        <v>1425</v>
      </c>
      <c r="O308" s="297" t="s">
        <v>1426</v>
      </c>
      <c r="P308" s="394" t="s">
        <v>1425</v>
      </c>
      <c r="Q308" s="297" t="s">
        <v>1426</v>
      </c>
      <c r="R308" s="297" t="s">
        <v>1426</v>
      </c>
      <c r="S308" s="297" t="s">
        <v>1425</v>
      </c>
      <c r="T308" s="297" t="s">
        <v>1426</v>
      </c>
      <c r="U308" s="297" t="s">
        <v>1425</v>
      </c>
      <c r="V308" s="46" t="s">
        <v>1425</v>
      </c>
    </row>
    <row r="309" spans="1:22" x14ac:dyDescent="0.2">
      <c r="A309">
        <v>577833</v>
      </c>
      <c r="B309" s="399" t="s">
        <v>431</v>
      </c>
      <c r="C309" s="297">
        <v>20</v>
      </c>
      <c r="D309" s="394">
        <v>43890</v>
      </c>
      <c r="E309" s="297" t="s">
        <v>1426</v>
      </c>
      <c r="F309" s="394">
        <v>43830</v>
      </c>
      <c r="G309" s="297" t="s">
        <v>1426</v>
      </c>
      <c r="H309" s="297" t="s">
        <v>1426</v>
      </c>
      <c r="I309" s="297" t="s">
        <v>1426</v>
      </c>
      <c r="J309" s="297" t="s">
        <v>1426</v>
      </c>
      <c r="K309" s="297" t="s">
        <v>1426</v>
      </c>
      <c r="L309" s="297" t="s">
        <v>1426</v>
      </c>
      <c r="M309" s="297" t="s">
        <v>1426</v>
      </c>
      <c r="N309" s="297" t="s">
        <v>1426</v>
      </c>
      <c r="O309" s="297" t="s">
        <v>1426</v>
      </c>
      <c r="P309" s="394" t="s">
        <v>1426</v>
      </c>
      <c r="Q309" s="297" t="s">
        <v>1426</v>
      </c>
      <c r="R309" s="297" t="s">
        <v>1426</v>
      </c>
      <c r="S309" s="297" t="s">
        <v>1426</v>
      </c>
      <c r="T309" s="297" t="s">
        <v>1425</v>
      </c>
      <c r="U309" s="297" t="s">
        <v>1425</v>
      </c>
      <c r="V309" s="46" t="s">
        <v>1426</v>
      </c>
    </row>
    <row r="310" spans="1:22" x14ac:dyDescent="0.2">
      <c r="A310">
        <v>579136</v>
      </c>
      <c r="B310" s="399" t="s">
        <v>432</v>
      </c>
      <c r="C310" s="297">
        <v>29</v>
      </c>
      <c r="D310" s="394">
        <v>43890</v>
      </c>
      <c r="E310" s="297" t="s">
        <v>1426</v>
      </c>
      <c r="F310" s="394">
        <v>43830</v>
      </c>
      <c r="G310" s="297" t="s">
        <v>1426</v>
      </c>
      <c r="H310" s="297" t="s">
        <v>1426</v>
      </c>
      <c r="I310" s="297" t="s">
        <v>1426</v>
      </c>
      <c r="J310" s="297" t="s">
        <v>1426</v>
      </c>
      <c r="K310" s="297" t="s">
        <v>1426</v>
      </c>
      <c r="L310" s="297" t="s">
        <v>1425</v>
      </c>
      <c r="M310" s="297" t="s">
        <v>1425</v>
      </c>
      <c r="N310" s="297" t="s">
        <v>1425</v>
      </c>
      <c r="O310" s="297" t="s">
        <v>1425</v>
      </c>
      <c r="P310" s="394" t="s">
        <v>1425</v>
      </c>
      <c r="Q310" s="297" t="s">
        <v>1425</v>
      </c>
      <c r="R310" s="297" t="s">
        <v>1425</v>
      </c>
      <c r="S310" s="297" t="s">
        <v>1425</v>
      </c>
      <c r="T310" s="297" t="s">
        <v>1425</v>
      </c>
      <c r="U310" s="297" t="s">
        <v>1425</v>
      </c>
      <c r="V310" s="46" t="s">
        <v>1425</v>
      </c>
    </row>
    <row r="311" spans="1:22" x14ac:dyDescent="0.2">
      <c r="A311">
        <v>581371</v>
      </c>
      <c r="B311" s="399" t="s">
        <v>118</v>
      </c>
      <c r="C311" s="297"/>
      <c r="D311" s="394"/>
      <c r="E311" s="297" t="s">
        <v>1425</v>
      </c>
      <c r="F311" s="394">
        <v>43008</v>
      </c>
      <c r="G311" s="297" t="s">
        <v>1426</v>
      </c>
      <c r="H311" s="297" t="s">
        <v>1426</v>
      </c>
      <c r="I311" s="297" t="s">
        <v>1426</v>
      </c>
      <c r="J311" s="297" t="s">
        <v>1426</v>
      </c>
      <c r="K311" s="297" t="s">
        <v>1426</v>
      </c>
      <c r="L311" s="297" t="s">
        <v>1426</v>
      </c>
      <c r="M311" s="297" t="s">
        <v>1425</v>
      </c>
      <c r="N311" s="297" t="s">
        <v>1425</v>
      </c>
      <c r="O311" s="297" t="s">
        <v>1425</v>
      </c>
      <c r="P311" s="394" t="s">
        <v>1425</v>
      </c>
      <c r="Q311" s="297" t="s">
        <v>1425</v>
      </c>
      <c r="R311" s="297" t="s">
        <v>1425</v>
      </c>
      <c r="S311" s="297" t="s">
        <v>1425</v>
      </c>
      <c r="T311" s="297" t="s">
        <v>1425</v>
      </c>
      <c r="U311" s="297" t="s">
        <v>1425</v>
      </c>
      <c r="V311" s="46" t="s">
        <v>1426</v>
      </c>
    </row>
    <row r="312" spans="1:22" x14ac:dyDescent="0.2">
      <c r="A312">
        <v>582791</v>
      </c>
      <c r="B312" s="399" t="s">
        <v>433</v>
      </c>
      <c r="C312" s="297">
        <v>24</v>
      </c>
      <c r="D312" s="394">
        <v>43890</v>
      </c>
      <c r="E312" s="297" t="s">
        <v>1425</v>
      </c>
      <c r="F312" s="394">
        <v>43830</v>
      </c>
      <c r="G312" s="297" t="s">
        <v>1426</v>
      </c>
      <c r="H312" s="297" t="s">
        <v>1426</v>
      </c>
      <c r="I312" s="297" t="s">
        <v>1426</v>
      </c>
      <c r="J312" s="297" t="s">
        <v>1426</v>
      </c>
      <c r="K312" s="297" t="s">
        <v>1426</v>
      </c>
      <c r="L312" s="297" t="s">
        <v>1426</v>
      </c>
      <c r="M312" s="297" t="s">
        <v>1425</v>
      </c>
      <c r="N312" s="297" t="s">
        <v>1425</v>
      </c>
      <c r="O312" s="297" t="s">
        <v>1426</v>
      </c>
      <c r="P312" s="394" t="s">
        <v>1425</v>
      </c>
      <c r="Q312" s="297" t="s">
        <v>1425</v>
      </c>
      <c r="R312" s="297" t="s">
        <v>1425</v>
      </c>
      <c r="S312" s="297" t="s">
        <v>1426</v>
      </c>
      <c r="T312" s="297" t="s">
        <v>1425</v>
      </c>
      <c r="U312" s="297" t="s">
        <v>1425</v>
      </c>
      <c r="V312" s="46" t="s">
        <v>1425</v>
      </c>
    </row>
    <row r="313" spans="1:22" x14ac:dyDescent="0.2">
      <c r="A313">
        <v>584912</v>
      </c>
      <c r="B313" s="399" t="s">
        <v>434</v>
      </c>
      <c r="C313" s="297">
        <v>23</v>
      </c>
      <c r="D313" s="394">
        <v>43890</v>
      </c>
      <c r="E313" s="297" t="s">
        <v>1425</v>
      </c>
      <c r="F313" s="394">
        <v>43830</v>
      </c>
      <c r="G313" s="297" t="s">
        <v>1426</v>
      </c>
      <c r="H313" s="297" t="s">
        <v>1426</v>
      </c>
      <c r="I313" s="297" t="s">
        <v>1426</v>
      </c>
      <c r="J313" s="297" t="s">
        <v>1426</v>
      </c>
      <c r="K313" s="297" t="s">
        <v>1426</v>
      </c>
      <c r="L313" s="297" t="s">
        <v>1426</v>
      </c>
      <c r="M313" s="297" t="s">
        <v>1426</v>
      </c>
      <c r="N313" s="297" t="s">
        <v>1426</v>
      </c>
      <c r="O313" s="297" t="s">
        <v>1426</v>
      </c>
      <c r="P313" s="394" t="s">
        <v>1426</v>
      </c>
      <c r="Q313" s="297" t="s">
        <v>1426</v>
      </c>
      <c r="R313" s="297" t="s">
        <v>1426</v>
      </c>
      <c r="S313" s="297" t="s">
        <v>1426</v>
      </c>
      <c r="T313" s="297" t="s">
        <v>1425</v>
      </c>
      <c r="U313" s="297" t="s">
        <v>1425</v>
      </c>
      <c r="V313" s="46" t="s">
        <v>1425</v>
      </c>
    </row>
    <row r="314" spans="1:22" x14ac:dyDescent="0.2">
      <c r="A314">
        <v>587337</v>
      </c>
      <c r="B314" s="399" t="s">
        <v>435</v>
      </c>
      <c r="C314" s="297">
        <v>21</v>
      </c>
      <c r="D314" s="394">
        <v>43890</v>
      </c>
      <c r="E314" s="297" t="s">
        <v>1426</v>
      </c>
      <c r="F314" s="394">
        <v>43830</v>
      </c>
      <c r="G314" s="297" t="s">
        <v>1426</v>
      </c>
      <c r="H314" s="297" t="s">
        <v>1426</v>
      </c>
      <c r="I314" s="297" t="s">
        <v>1426</v>
      </c>
      <c r="J314" s="297" t="s">
        <v>1426</v>
      </c>
      <c r="K314" s="297" t="s">
        <v>1426</v>
      </c>
      <c r="L314" s="297" t="s">
        <v>1426</v>
      </c>
      <c r="M314" s="297" t="s">
        <v>1425</v>
      </c>
      <c r="N314" s="297" t="s">
        <v>1425</v>
      </c>
      <c r="O314" s="297" t="s">
        <v>1426</v>
      </c>
      <c r="P314" s="394" t="s">
        <v>1425</v>
      </c>
      <c r="Q314" s="297" t="s">
        <v>1425</v>
      </c>
      <c r="R314" s="297" t="s">
        <v>1425</v>
      </c>
      <c r="S314" s="297" t="s">
        <v>1425</v>
      </c>
      <c r="T314" s="297" t="s">
        <v>1425</v>
      </c>
      <c r="U314" s="297" t="s">
        <v>1425</v>
      </c>
      <c r="V314" s="46" t="s">
        <v>1425</v>
      </c>
    </row>
    <row r="315" spans="1:22" x14ac:dyDescent="0.2">
      <c r="A315">
        <v>596429</v>
      </c>
      <c r="B315" s="399" t="s">
        <v>436</v>
      </c>
      <c r="C315" s="297">
        <v>22</v>
      </c>
      <c r="D315" s="394">
        <v>43890</v>
      </c>
      <c r="E315" s="297" t="s">
        <v>1426</v>
      </c>
      <c r="F315" s="394">
        <v>43830</v>
      </c>
      <c r="G315" s="297" t="s">
        <v>1426</v>
      </c>
      <c r="H315" s="297" t="s">
        <v>1426</v>
      </c>
      <c r="I315" s="297" t="s">
        <v>1426</v>
      </c>
      <c r="J315" s="297" t="s">
        <v>1426</v>
      </c>
      <c r="K315" s="297" t="s">
        <v>1426</v>
      </c>
      <c r="L315" s="297" t="s">
        <v>1426</v>
      </c>
      <c r="M315" s="297" t="s">
        <v>1426</v>
      </c>
      <c r="N315" s="297" t="s">
        <v>1426</v>
      </c>
      <c r="O315" s="297" t="s">
        <v>1426</v>
      </c>
      <c r="P315" s="394" t="s">
        <v>1426</v>
      </c>
      <c r="Q315" s="297" t="s">
        <v>1426</v>
      </c>
      <c r="R315" s="297" t="s">
        <v>1426</v>
      </c>
      <c r="S315" s="297" t="s">
        <v>1425</v>
      </c>
      <c r="T315" s="297" t="s">
        <v>1425</v>
      </c>
      <c r="U315" s="297" t="s">
        <v>1425</v>
      </c>
      <c r="V315" s="46" t="s">
        <v>1426</v>
      </c>
    </row>
    <row r="316" spans="1:22" x14ac:dyDescent="0.2">
      <c r="A316">
        <v>598557</v>
      </c>
      <c r="B316" s="399" t="s">
        <v>437</v>
      </c>
      <c r="C316" s="297">
        <v>22</v>
      </c>
      <c r="D316" s="394">
        <v>43890</v>
      </c>
      <c r="E316" s="297" t="s">
        <v>1425</v>
      </c>
      <c r="F316" s="394">
        <v>43830</v>
      </c>
      <c r="G316" s="297" t="s">
        <v>1426</v>
      </c>
      <c r="H316" s="297" t="s">
        <v>1426</v>
      </c>
      <c r="I316" s="297" t="s">
        <v>1426</v>
      </c>
      <c r="J316" s="297" t="s">
        <v>1426</v>
      </c>
      <c r="K316" s="297" t="s">
        <v>1426</v>
      </c>
      <c r="L316" s="297" t="s">
        <v>1426</v>
      </c>
      <c r="M316" s="297" t="s">
        <v>1425</v>
      </c>
      <c r="N316" s="297" t="s">
        <v>1425</v>
      </c>
      <c r="O316" s="297" t="s">
        <v>1426</v>
      </c>
      <c r="P316" s="394" t="s">
        <v>1426</v>
      </c>
      <c r="Q316" s="297" t="s">
        <v>1426</v>
      </c>
      <c r="R316" s="297" t="s">
        <v>1425</v>
      </c>
      <c r="S316" s="297" t="s">
        <v>1426</v>
      </c>
      <c r="T316" s="297" t="s">
        <v>1426</v>
      </c>
      <c r="U316" s="297" t="s">
        <v>1425</v>
      </c>
      <c r="V316" s="46" t="s">
        <v>1425</v>
      </c>
    </row>
    <row r="317" spans="1:22" x14ac:dyDescent="0.2">
      <c r="A317">
        <v>599795</v>
      </c>
      <c r="B317" s="399" t="s">
        <v>597</v>
      </c>
      <c r="C317" s="297">
        <v>23</v>
      </c>
      <c r="D317" s="394">
        <v>43861</v>
      </c>
      <c r="E317" s="297" t="s">
        <v>1425</v>
      </c>
      <c r="F317" s="394">
        <v>43830</v>
      </c>
      <c r="G317" s="297" t="s">
        <v>1426</v>
      </c>
      <c r="H317" s="297" t="s">
        <v>1426</v>
      </c>
      <c r="I317" s="297" t="s">
        <v>1426</v>
      </c>
      <c r="J317" s="297" t="s">
        <v>1425</v>
      </c>
      <c r="K317" s="297" t="s">
        <v>1425</v>
      </c>
      <c r="L317" s="297" t="s">
        <v>1425</v>
      </c>
      <c r="M317" s="297" t="s">
        <v>1425</v>
      </c>
      <c r="N317" s="297" t="s">
        <v>1425</v>
      </c>
      <c r="O317" s="297" t="s">
        <v>1425</v>
      </c>
      <c r="P317" s="394" t="s">
        <v>1425</v>
      </c>
      <c r="Q317" s="297" t="s">
        <v>1425</v>
      </c>
      <c r="R317" s="297" t="s">
        <v>1425</v>
      </c>
      <c r="S317" s="297" t="s">
        <v>1425</v>
      </c>
      <c r="T317" s="297" t="s">
        <v>1425</v>
      </c>
      <c r="U317" s="297" t="s">
        <v>1425</v>
      </c>
      <c r="V317" s="46" t="s">
        <v>1425</v>
      </c>
    </row>
    <row r="318" spans="1:22" x14ac:dyDescent="0.2">
      <c r="A318">
        <v>606103</v>
      </c>
      <c r="B318" s="399" t="s">
        <v>438</v>
      </c>
      <c r="C318" s="297"/>
      <c r="D318" s="394"/>
      <c r="E318" s="297" t="s">
        <v>1425</v>
      </c>
      <c r="F318" s="394">
        <v>43830</v>
      </c>
      <c r="G318" s="297" t="s">
        <v>1426</v>
      </c>
      <c r="H318" s="297" t="s">
        <v>1426</v>
      </c>
      <c r="I318" s="297" t="s">
        <v>1426</v>
      </c>
      <c r="J318" s="297" t="s">
        <v>1426</v>
      </c>
      <c r="K318" s="297" t="s">
        <v>1426</v>
      </c>
      <c r="L318" s="297" t="s">
        <v>1426</v>
      </c>
      <c r="M318" s="297" t="s">
        <v>1426</v>
      </c>
      <c r="N318" s="297" t="s">
        <v>1426</v>
      </c>
      <c r="O318" s="297" t="s">
        <v>1426</v>
      </c>
      <c r="P318" s="394" t="s">
        <v>1426</v>
      </c>
      <c r="Q318" s="297" t="s">
        <v>1426</v>
      </c>
      <c r="R318" s="297" t="s">
        <v>1426</v>
      </c>
      <c r="S318" s="297" t="s">
        <v>1426</v>
      </c>
      <c r="T318" s="297" t="s">
        <v>1426</v>
      </c>
      <c r="U318" s="297" t="s">
        <v>1426</v>
      </c>
      <c r="V318" s="46" t="s">
        <v>1426</v>
      </c>
    </row>
    <row r="319" spans="1:22" x14ac:dyDescent="0.2">
      <c r="A319">
        <v>608463</v>
      </c>
      <c r="B319" s="399" t="s">
        <v>1469</v>
      </c>
      <c r="C319" s="297">
        <v>25</v>
      </c>
      <c r="D319" s="394">
        <v>43890</v>
      </c>
      <c r="E319" s="297" t="s">
        <v>1425</v>
      </c>
      <c r="F319" s="394">
        <v>43830</v>
      </c>
      <c r="G319" s="297" t="s">
        <v>1427</v>
      </c>
      <c r="H319" s="297" t="s">
        <v>1427</v>
      </c>
      <c r="I319" s="297" t="s">
        <v>1427</v>
      </c>
      <c r="J319" s="297" t="s">
        <v>1427</v>
      </c>
      <c r="K319" s="297" t="s">
        <v>1427</v>
      </c>
      <c r="L319" s="297" t="s">
        <v>1427</v>
      </c>
      <c r="M319" s="297" t="s">
        <v>1427</v>
      </c>
      <c r="N319" s="297" t="s">
        <v>1427</v>
      </c>
      <c r="O319" s="297" t="s">
        <v>1427</v>
      </c>
      <c r="P319" s="394" t="s">
        <v>1427</v>
      </c>
      <c r="Q319" s="297" t="s">
        <v>1427</v>
      </c>
      <c r="R319" s="297" t="s">
        <v>1427</v>
      </c>
      <c r="S319" s="297" t="s">
        <v>1427</v>
      </c>
      <c r="T319" s="297" t="s">
        <v>1427</v>
      </c>
      <c r="U319" s="297" t="s">
        <v>1427</v>
      </c>
      <c r="V319" s="46" t="s">
        <v>1427</v>
      </c>
    </row>
    <row r="320" spans="1:22" x14ac:dyDescent="0.2">
      <c r="A320">
        <v>610121</v>
      </c>
      <c r="B320" s="399" t="s">
        <v>440</v>
      </c>
      <c r="C320" s="297">
        <v>21</v>
      </c>
      <c r="D320" s="394">
        <v>43830</v>
      </c>
      <c r="E320" s="297" t="s">
        <v>1425</v>
      </c>
      <c r="F320" s="394">
        <v>43830</v>
      </c>
      <c r="G320" s="297" t="s">
        <v>1426</v>
      </c>
      <c r="H320" s="297" t="s">
        <v>1426</v>
      </c>
      <c r="I320" s="297" t="s">
        <v>1426</v>
      </c>
      <c r="J320" s="297" t="s">
        <v>1426</v>
      </c>
      <c r="K320" s="297" t="s">
        <v>1426</v>
      </c>
      <c r="L320" s="297" t="s">
        <v>1426</v>
      </c>
      <c r="M320" s="297" t="s">
        <v>1425</v>
      </c>
      <c r="N320" s="297" t="s">
        <v>1425</v>
      </c>
      <c r="O320" s="297" t="s">
        <v>1425</v>
      </c>
      <c r="P320" s="394" t="s">
        <v>1425</v>
      </c>
      <c r="Q320" s="297" t="s">
        <v>1425</v>
      </c>
      <c r="R320" s="297" t="s">
        <v>1425</v>
      </c>
      <c r="S320" s="297" t="s">
        <v>1425</v>
      </c>
      <c r="T320" s="297" t="s">
        <v>1425</v>
      </c>
      <c r="U320" s="297" t="s">
        <v>1425</v>
      </c>
      <c r="V320" s="46" t="s">
        <v>1426</v>
      </c>
    </row>
    <row r="321" spans="1:22" x14ac:dyDescent="0.2">
      <c r="A321">
        <v>610410</v>
      </c>
      <c r="B321" s="399" t="s">
        <v>441</v>
      </c>
      <c r="C321" s="297">
        <v>20</v>
      </c>
      <c r="D321" s="394">
        <v>43890</v>
      </c>
      <c r="E321" s="297" t="s">
        <v>1426</v>
      </c>
      <c r="F321" s="394">
        <v>43830</v>
      </c>
      <c r="G321" s="297" t="s">
        <v>1425</v>
      </c>
      <c r="H321" s="297" t="s">
        <v>1425</v>
      </c>
      <c r="I321" s="297" t="s">
        <v>1425</v>
      </c>
      <c r="J321" s="297" t="s">
        <v>1426</v>
      </c>
      <c r="K321" s="297" t="s">
        <v>1426</v>
      </c>
      <c r="L321" s="297" t="s">
        <v>1426</v>
      </c>
      <c r="M321" s="297" t="s">
        <v>1425</v>
      </c>
      <c r="N321" s="297" t="s">
        <v>1425</v>
      </c>
      <c r="O321" s="297" t="s">
        <v>1425</v>
      </c>
      <c r="P321" s="394" t="s">
        <v>1425</v>
      </c>
      <c r="Q321" s="297" t="s">
        <v>1426</v>
      </c>
      <c r="R321" s="297" t="s">
        <v>1426</v>
      </c>
      <c r="S321" s="297" t="s">
        <v>1425</v>
      </c>
      <c r="T321" s="297" t="s">
        <v>1426</v>
      </c>
      <c r="U321" s="297" t="s">
        <v>1425</v>
      </c>
      <c r="V321" s="46" t="s">
        <v>1425</v>
      </c>
    </row>
    <row r="322" spans="1:22" x14ac:dyDescent="0.2">
      <c r="A322">
        <v>613133</v>
      </c>
      <c r="B322" s="399" t="s">
        <v>442</v>
      </c>
      <c r="C322" s="297"/>
      <c r="D322" s="394"/>
      <c r="E322" s="297" t="s">
        <v>1425</v>
      </c>
      <c r="F322" s="394">
        <v>43830</v>
      </c>
      <c r="G322" s="297" t="s">
        <v>1426</v>
      </c>
      <c r="H322" s="297" t="s">
        <v>1426</v>
      </c>
      <c r="I322" s="297" t="s">
        <v>1426</v>
      </c>
      <c r="J322" s="297" t="s">
        <v>1426</v>
      </c>
      <c r="K322" s="297" t="s">
        <v>1426</v>
      </c>
      <c r="L322" s="297" t="s">
        <v>1426</v>
      </c>
      <c r="M322" s="297" t="s">
        <v>1425</v>
      </c>
      <c r="N322" s="297" t="s">
        <v>1425</v>
      </c>
      <c r="O322" s="297" t="s">
        <v>1425</v>
      </c>
      <c r="P322" s="394" t="s">
        <v>1425</v>
      </c>
      <c r="Q322" s="297" t="s">
        <v>1425</v>
      </c>
      <c r="R322" s="297" t="s">
        <v>1425</v>
      </c>
      <c r="S322" s="297" t="s">
        <v>1426</v>
      </c>
      <c r="T322" s="297" t="s">
        <v>1425</v>
      </c>
      <c r="U322" s="297" t="s">
        <v>1425</v>
      </c>
      <c r="V322" s="46" t="s">
        <v>1426</v>
      </c>
    </row>
    <row r="323" spans="1:22" x14ac:dyDescent="0.2">
      <c r="A323">
        <v>613729</v>
      </c>
      <c r="B323" s="399" t="s">
        <v>443</v>
      </c>
      <c r="C323" s="297">
        <v>23</v>
      </c>
      <c r="D323" s="394">
        <v>43890</v>
      </c>
      <c r="E323" s="297" t="s">
        <v>1426</v>
      </c>
      <c r="F323" s="394">
        <v>43830</v>
      </c>
      <c r="G323" s="297" t="s">
        <v>1426</v>
      </c>
      <c r="H323" s="297" t="s">
        <v>1426</v>
      </c>
      <c r="I323" s="297" t="s">
        <v>1426</v>
      </c>
      <c r="J323" s="297" t="s">
        <v>1426</v>
      </c>
      <c r="K323" s="297" t="s">
        <v>1426</v>
      </c>
      <c r="L323" s="297" t="s">
        <v>1426</v>
      </c>
      <c r="M323" s="297" t="s">
        <v>1426</v>
      </c>
      <c r="N323" s="297" t="s">
        <v>1426</v>
      </c>
      <c r="O323" s="297" t="s">
        <v>1426</v>
      </c>
      <c r="P323" s="394" t="s">
        <v>1426</v>
      </c>
      <c r="Q323" s="297" t="s">
        <v>1426</v>
      </c>
      <c r="R323" s="297" t="s">
        <v>1426</v>
      </c>
      <c r="S323" s="297" t="s">
        <v>1426</v>
      </c>
      <c r="T323" s="297" t="s">
        <v>1425</v>
      </c>
      <c r="U323" s="297" t="s">
        <v>1425</v>
      </c>
      <c r="V323" s="46" t="s">
        <v>1426</v>
      </c>
    </row>
    <row r="324" spans="1:22" x14ac:dyDescent="0.2">
      <c r="A324">
        <v>614966</v>
      </c>
      <c r="B324" s="399" t="s">
        <v>150</v>
      </c>
      <c r="C324" s="297">
        <v>23</v>
      </c>
      <c r="D324" s="394">
        <v>43890</v>
      </c>
      <c r="E324" s="297" t="s">
        <v>1426</v>
      </c>
      <c r="F324" s="394">
        <v>43830</v>
      </c>
      <c r="G324" s="297" t="s">
        <v>1426</v>
      </c>
      <c r="H324" s="297" t="s">
        <v>1426</v>
      </c>
      <c r="I324" s="297" t="s">
        <v>1426</v>
      </c>
      <c r="J324" s="297" t="s">
        <v>1426</v>
      </c>
      <c r="K324" s="297" t="s">
        <v>1426</v>
      </c>
      <c r="L324" s="297" t="s">
        <v>1425</v>
      </c>
      <c r="M324" s="297" t="s">
        <v>1425</v>
      </c>
      <c r="N324" s="297" t="s">
        <v>1425</v>
      </c>
      <c r="O324" s="297" t="s">
        <v>1425</v>
      </c>
      <c r="P324" s="394" t="s">
        <v>1425</v>
      </c>
      <c r="Q324" s="297" t="s">
        <v>1425</v>
      </c>
      <c r="R324" s="297" t="s">
        <v>1425</v>
      </c>
      <c r="S324" s="297" t="s">
        <v>1425</v>
      </c>
      <c r="T324" s="297" t="s">
        <v>1425</v>
      </c>
      <c r="U324" s="297" t="s">
        <v>1425</v>
      </c>
      <c r="V324" s="46" t="s">
        <v>1425</v>
      </c>
    </row>
    <row r="325" spans="1:22" x14ac:dyDescent="0.2">
      <c r="A325">
        <v>615310</v>
      </c>
      <c r="B325" s="399" t="s">
        <v>444</v>
      </c>
      <c r="C325" s="297">
        <v>23</v>
      </c>
      <c r="D325" s="394">
        <v>43890</v>
      </c>
      <c r="E325" s="297" t="s">
        <v>1425</v>
      </c>
      <c r="F325" s="394">
        <v>43830</v>
      </c>
      <c r="G325" s="297" t="s">
        <v>1426</v>
      </c>
      <c r="H325" s="297" t="s">
        <v>1426</v>
      </c>
      <c r="I325" s="297" t="s">
        <v>1426</v>
      </c>
      <c r="J325" s="297" t="s">
        <v>1426</v>
      </c>
      <c r="K325" s="297" t="s">
        <v>1426</v>
      </c>
      <c r="L325" s="297" t="s">
        <v>1426</v>
      </c>
      <c r="M325" s="297" t="s">
        <v>1425</v>
      </c>
      <c r="N325" s="297" t="s">
        <v>1425</v>
      </c>
      <c r="O325" s="297" t="s">
        <v>1426</v>
      </c>
      <c r="P325" s="394" t="s">
        <v>1425</v>
      </c>
      <c r="Q325" s="297" t="s">
        <v>1426</v>
      </c>
      <c r="R325" s="297" t="s">
        <v>1425</v>
      </c>
      <c r="S325" s="297" t="s">
        <v>1426</v>
      </c>
      <c r="T325" s="297" t="s">
        <v>1425</v>
      </c>
      <c r="U325" s="297" t="s">
        <v>1425</v>
      </c>
      <c r="V325" s="46" t="s">
        <v>1426</v>
      </c>
    </row>
    <row r="326" spans="1:22" x14ac:dyDescent="0.2">
      <c r="A326">
        <v>616797</v>
      </c>
      <c r="B326" s="399" t="s">
        <v>445</v>
      </c>
      <c r="C326" s="297">
        <v>23</v>
      </c>
      <c r="D326" s="394">
        <v>43890</v>
      </c>
      <c r="E326" s="297" t="s">
        <v>1425</v>
      </c>
      <c r="F326" s="394">
        <v>43830</v>
      </c>
      <c r="G326" s="297" t="s">
        <v>1426</v>
      </c>
      <c r="H326" s="297" t="s">
        <v>1426</v>
      </c>
      <c r="I326" s="297" t="s">
        <v>1426</v>
      </c>
      <c r="J326" s="297" t="s">
        <v>1426</v>
      </c>
      <c r="K326" s="297" t="s">
        <v>1426</v>
      </c>
      <c r="L326" s="297" t="s">
        <v>1426</v>
      </c>
      <c r="M326" s="297" t="s">
        <v>1425</v>
      </c>
      <c r="N326" s="297" t="s">
        <v>1425</v>
      </c>
      <c r="O326" s="297" t="s">
        <v>1426</v>
      </c>
      <c r="P326" s="394" t="s">
        <v>1425</v>
      </c>
      <c r="Q326" s="297" t="s">
        <v>1425</v>
      </c>
      <c r="R326" s="297" t="s">
        <v>1425</v>
      </c>
      <c r="S326" s="297" t="s">
        <v>1426</v>
      </c>
      <c r="T326" s="297" t="s">
        <v>1426</v>
      </c>
      <c r="U326" s="297" t="s">
        <v>1425</v>
      </c>
      <c r="V326" s="46" t="s">
        <v>1426</v>
      </c>
    </row>
    <row r="327" spans="1:22" x14ac:dyDescent="0.2">
      <c r="A327">
        <v>617670</v>
      </c>
      <c r="B327" s="399" t="s">
        <v>446</v>
      </c>
      <c r="C327" s="297">
        <v>24</v>
      </c>
      <c r="D327" s="394">
        <v>43890</v>
      </c>
      <c r="E327" s="297" t="s">
        <v>1426</v>
      </c>
      <c r="F327" s="394">
        <v>43830</v>
      </c>
      <c r="G327" s="297" t="s">
        <v>1426</v>
      </c>
      <c r="H327" s="297" t="s">
        <v>1426</v>
      </c>
      <c r="I327" s="297" t="s">
        <v>1426</v>
      </c>
      <c r="J327" s="297" t="s">
        <v>1426</v>
      </c>
      <c r="K327" s="297" t="s">
        <v>1426</v>
      </c>
      <c r="L327" s="297" t="s">
        <v>1426</v>
      </c>
      <c r="M327" s="297" t="s">
        <v>1426</v>
      </c>
      <c r="N327" s="297" t="s">
        <v>1426</v>
      </c>
      <c r="O327" s="297" t="s">
        <v>1426</v>
      </c>
      <c r="P327" s="394" t="s">
        <v>1426</v>
      </c>
      <c r="Q327" s="297" t="s">
        <v>1426</v>
      </c>
      <c r="R327" s="297" t="s">
        <v>1426</v>
      </c>
      <c r="S327" s="297" t="s">
        <v>1425</v>
      </c>
      <c r="T327" s="297" t="s">
        <v>1425</v>
      </c>
      <c r="U327" s="297" t="s">
        <v>1425</v>
      </c>
      <c r="V327" s="46" t="s">
        <v>1426</v>
      </c>
    </row>
    <row r="328" spans="1:22" x14ac:dyDescent="0.2">
      <c r="A328">
        <v>621631</v>
      </c>
      <c r="B328" s="399" t="s">
        <v>447</v>
      </c>
      <c r="C328" s="297">
        <v>25</v>
      </c>
      <c r="D328" s="394">
        <v>43890</v>
      </c>
      <c r="E328" s="297" t="s">
        <v>1425</v>
      </c>
      <c r="F328" s="394">
        <v>43830</v>
      </c>
      <c r="G328" s="297" t="s">
        <v>1426</v>
      </c>
      <c r="H328" s="297" t="s">
        <v>1426</v>
      </c>
      <c r="I328" s="297" t="s">
        <v>1426</v>
      </c>
      <c r="J328" s="297" t="s">
        <v>1426</v>
      </c>
      <c r="K328" s="297" t="s">
        <v>1426</v>
      </c>
      <c r="L328" s="297" t="s">
        <v>1426</v>
      </c>
      <c r="M328" s="297" t="s">
        <v>1425</v>
      </c>
      <c r="N328" s="297" t="s">
        <v>1425</v>
      </c>
      <c r="O328" s="297" t="s">
        <v>1426</v>
      </c>
      <c r="P328" s="394" t="s">
        <v>1425</v>
      </c>
      <c r="Q328" s="297" t="s">
        <v>1426</v>
      </c>
      <c r="R328" s="297" t="s">
        <v>1426</v>
      </c>
      <c r="S328" s="297" t="s">
        <v>1425</v>
      </c>
      <c r="T328" s="297" t="s">
        <v>1426</v>
      </c>
      <c r="U328" s="297" t="s">
        <v>1425</v>
      </c>
      <c r="V328" s="46" t="s">
        <v>1425</v>
      </c>
    </row>
    <row r="329" spans="1:22" x14ac:dyDescent="0.2">
      <c r="A329">
        <v>625236</v>
      </c>
      <c r="B329" s="399" t="s">
        <v>1470</v>
      </c>
      <c r="C329" s="297">
        <v>25</v>
      </c>
      <c r="D329" s="394">
        <v>43890</v>
      </c>
      <c r="E329" s="297" t="s">
        <v>1425</v>
      </c>
      <c r="F329" s="394">
        <v>43830</v>
      </c>
      <c r="G329" s="297" t="s">
        <v>1426</v>
      </c>
      <c r="H329" s="297" t="s">
        <v>1426</v>
      </c>
      <c r="I329" s="297" t="s">
        <v>1426</v>
      </c>
      <c r="J329" s="297" t="s">
        <v>1426</v>
      </c>
      <c r="K329" s="297" t="s">
        <v>1426</v>
      </c>
      <c r="L329" s="297" t="s">
        <v>1426</v>
      </c>
      <c r="M329" s="297" t="s">
        <v>1426</v>
      </c>
      <c r="N329" s="297" t="s">
        <v>1425</v>
      </c>
      <c r="O329" s="297" t="s">
        <v>1425</v>
      </c>
      <c r="P329" s="394" t="s">
        <v>1425</v>
      </c>
      <c r="Q329" s="297" t="s">
        <v>1425</v>
      </c>
      <c r="R329" s="297" t="s">
        <v>1425</v>
      </c>
      <c r="S329" s="297" t="s">
        <v>1425</v>
      </c>
      <c r="T329" s="297" t="s">
        <v>1425</v>
      </c>
      <c r="U329" s="297" t="s">
        <v>1425</v>
      </c>
      <c r="V329" s="46" t="s">
        <v>1426</v>
      </c>
    </row>
    <row r="330" spans="1:22" x14ac:dyDescent="0.2">
      <c r="A330">
        <v>626945</v>
      </c>
      <c r="B330" s="399" t="s">
        <v>448</v>
      </c>
      <c r="C330" s="297">
        <v>23</v>
      </c>
      <c r="D330" s="394">
        <v>43890</v>
      </c>
      <c r="E330" s="297" t="s">
        <v>1426</v>
      </c>
      <c r="F330" s="394">
        <v>43830</v>
      </c>
      <c r="G330" s="297" t="s">
        <v>1426</v>
      </c>
      <c r="H330" s="297" t="s">
        <v>1426</v>
      </c>
      <c r="I330" s="297" t="s">
        <v>1426</v>
      </c>
      <c r="J330" s="297" t="s">
        <v>1426</v>
      </c>
      <c r="K330" s="297" t="s">
        <v>1426</v>
      </c>
      <c r="L330" s="297" t="s">
        <v>1425</v>
      </c>
      <c r="M330" s="297" t="s">
        <v>1425</v>
      </c>
      <c r="N330" s="297" t="s">
        <v>1425</v>
      </c>
      <c r="O330" s="297" t="s">
        <v>1425</v>
      </c>
      <c r="P330" s="394" t="s">
        <v>1425</v>
      </c>
      <c r="Q330" s="297" t="s">
        <v>1425</v>
      </c>
      <c r="R330" s="297" t="s">
        <v>1425</v>
      </c>
      <c r="S330" s="297" t="s">
        <v>1425</v>
      </c>
      <c r="T330" s="297" t="s">
        <v>1425</v>
      </c>
      <c r="U330" s="297" t="s">
        <v>1425</v>
      </c>
      <c r="V330" s="46" t="s">
        <v>1425</v>
      </c>
    </row>
    <row r="331" spans="1:22" x14ac:dyDescent="0.2">
      <c r="A331">
        <v>629543</v>
      </c>
      <c r="B331" s="399" t="s">
        <v>449</v>
      </c>
      <c r="C331" s="297">
        <v>22</v>
      </c>
      <c r="D331" s="394">
        <v>43890</v>
      </c>
      <c r="E331" s="297" t="s">
        <v>1426</v>
      </c>
      <c r="F331" s="394">
        <v>43830</v>
      </c>
      <c r="G331" s="297" t="s">
        <v>1426</v>
      </c>
      <c r="H331" s="297" t="s">
        <v>1426</v>
      </c>
      <c r="I331" s="297" t="s">
        <v>1426</v>
      </c>
      <c r="J331" s="297" t="s">
        <v>1426</v>
      </c>
      <c r="K331" s="297" t="s">
        <v>1426</v>
      </c>
      <c r="L331" s="297" t="s">
        <v>1426</v>
      </c>
      <c r="M331" s="297" t="s">
        <v>1426</v>
      </c>
      <c r="N331" s="297" t="s">
        <v>1426</v>
      </c>
      <c r="O331" s="297" t="s">
        <v>1426</v>
      </c>
      <c r="P331" s="394" t="s">
        <v>1426</v>
      </c>
      <c r="Q331" s="297" t="s">
        <v>1426</v>
      </c>
      <c r="R331" s="297" t="s">
        <v>1426</v>
      </c>
      <c r="S331" s="297" t="s">
        <v>1425</v>
      </c>
      <c r="T331" s="297" t="s">
        <v>1425</v>
      </c>
      <c r="U331" s="297" t="s">
        <v>1425</v>
      </c>
      <c r="V331" s="46" t="s">
        <v>1426</v>
      </c>
    </row>
    <row r="332" spans="1:22" x14ac:dyDescent="0.2">
      <c r="A332">
        <v>635623</v>
      </c>
      <c r="B332" s="399" t="s">
        <v>450</v>
      </c>
      <c r="C332" s="297">
        <v>22</v>
      </c>
      <c r="D332" s="394">
        <v>43890</v>
      </c>
      <c r="E332" s="297" t="s">
        <v>1426</v>
      </c>
      <c r="F332" s="394">
        <v>43830</v>
      </c>
      <c r="G332" s="297" t="s">
        <v>1426</v>
      </c>
      <c r="H332" s="297" t="s">
        <v>1426</v>
      </c>
      <c r="I332" s="297" t="s">
        <v>1426</v>
      </c>
      <c r="J332" s="297" t="s">
        <v>1425</v>
      </c>
      <c r="K332" s="297" t="s">
        <v>1425</v>
      </c>
      <c r="L332" s="297" t="s">
        <v>1425</v>
      </c>
      <c r="M332" s="297" t="s">
        <v>1425</v>
      </c>
      <c r="N332" s="297" t="s">
        <v>1425</v>
      </c>
      <c r="O332" s="297" t="s">
        <v>1425</v>
      </c>
      <c r="P332" s="394" t="s">
        <v>1425</v>
      </c>
      <c r="Q332" s="297" t="s">
        <v>1425</v>
      </c>
      <c r="R332" s="297" t="s">
        <v>1425</v>
      </c>
      <c r="S332" s="297" t="s">
        <v>1425</v>
      </c>
      <c r="T332" s="297" t="s">
        <v>1425</v>
      </c>
      <c r="U332" s="297" t="s">
        <v>1425</v>
      </c>
      <c r="V332" s="46" t="s">
        <v>1425</v>
      </c>
    </row>
    <row r="333" spans="1:22" x14ac:dyDescent="0.2">
      <c r="A333">
        <v>639633</v>
      </c>
      <c r="B333" s="399" t="s">
        <v>620</v>
      </c>
      <c r="C333" s="297"/>
      <c r="D333" s="394"/>
      <c r="E333" s="297" t="s">
        <v>1425</v>
      </c>
      <c r="F333" s="394">
        <v>43830</v>
      </c>
      <c r="G333" s="297" t="s">
        <v>1425</v>
      </c>
      <c r="H333" s="297" t="s">
        <v>1425</v>
      </c>
      <c r="I333" s="297" t="s">
        <v>1425</v>
      </c>
      <c r="J333" s="297" t="s">
        <v>1426</v>
      </c>
      <c r="K333" s="297" t="s">
        <v>1426</v>
      </c>
      <c r="L333" s="297" t="s">
        <v>1426</v>
      </c>
      <c r="M333" s="297" t="s">
        <v>1425</v>
      </c>
      <c r="N333" s="297" t="s">
        <v>1425</v>
      </c>
      <c r="O333" s="297" t="s">
        <v>1426</v>
      </c>
      <c r="P333" s="394" t="s">
        <v>1425</v>
      </c>
      <c r="Q333" s="297" t="s">
        <v>1425</v>
      </c>
      <c r="R333" s="297" t="s">
        <v>1425</v>
      </c>
      <c r="S333" s="297" t="s">
        <v>1426</v>
      </c>
      <c r="T333" s="297" t="s">
        <v>1425</v>
      </c>
      <c r="U333" s="297" t="s">
        <v>1425</v>
      </c>
      <c r="V333" s="46" t="s">
        <v>1425</v>
      </c>
    </row>
    <row r="334" spans="1:22" x14ac:dyDescent="0.2">
      <c r="A334">
        <v>642298</v>
      </c>
      <c r="B334" s="399" t="s">
        <v>451</v>
      </c>
      <c r="C334" s="297">
        <v>21</v>
      </c>
      <c r="D334" s="394">
        <v>43890</v>
      </c>
      <c r="E334" s="297" t="s">
        <v>1426</v>
      </c>
      <c r="F334" s="394">
        <v>43830</v>
      </c>
      <c r="G334" s="297" t="s">
        <v>1426</v>
      </c>
      <c r="H334" s="297" t="s">
        <v>1426</v>
      </c>
      <c r="I334" s="297" t="s">
        <v>1426</v>
      </c>
      <c r="J334" s="297" t="s">
        <v>1426</v>
      </c>
      <c r="K334" s="297" t="s">
        <v>1426</v>
      </c>
      <c r="L334" s="297" t="s">
        <v>1426</v>
      </c>
      <c r="M334" s="297" t="s">
        <v>1426</v>
      </c>
      <c r="N334" s="297" t="s">
        <v>1426</v>
      </c>
      <c r="O334" s="297" t="s">
        <v>1426</v>
      </c>
      <c r="P334" s="394" t="s">
        <v>1426</v>
      </c>
      <c r="Q334" s="297" t="s">
        <v>1426</v>
      </c>
      <c r="R334" s="297" t="s">
        <v>1426</v>
      </c>
      <c r="S334" s="297" t="s">
        <v>1426</v>
      </c>
      <c r="T334" s="297" t="s">
        <v>1425</v>
      </c>
      <c r="U334" s="297" t="s">
        <v>1425</v>
      </c>
      <c r="V334" s="46" t="s">
        <v>1426</v>
      </c>
    </row>
    <row r="335" spans="1:22" x14ac:dyDescent="0.2">
      <c r="A335">
        <v>643700</v>
      </c>
      <c r="B335" s="399" t="s">
        <v>452</v>
      </c>
      <c r="C335" s="297">
        <v>21</v>
      </c>
      <c r="D335" s="394">
        <v>43890</v>
      </c>
      <c r="E335" s="297" t="s">
        <v>1426</v>
      </c>
      <c r="F335" s="394">
        <v>43830</v>
      </c>
      <c r="G335" s="297" t="s">
        <v>1426</v>
      </c>
      <c r="H335" s="297" t="s">
        <v>1426</v>
      </c>
      <c r="I335" s="297" t="s">
        <v>1426</v>
      </c>
      <c r="J335" s="297" t="s">
        <v>1426</v>
      </c>
      <c r="K335" s="297" t="s">
        <v>1426</v>
      </c>
      <c r="L335" s="297" t="s">
        <v>1426</v>
      </c>
      <c r="M335" s="297" t="s">
        <v>1426</v>
      </c>
      <c r="N335" s="297" t="s">
        <v>1426</v>
      </c>
      <c r="O335" s="297" t="s">
        <v>1426</v>
      </c>
      <c r="P335" s="394" t="s">
        <v>1426</v>
      </c>
      <c r="Q335" s="297" t="s">
        <v>1426</v>
      </c>
      <c r="R335" s="297" t="s">
        <v>1426</v>
      </c>
      <c r="S335" s="297" t="s">
        <v>1426</v>
      </c>
      <c r="T335" s="297" t="s">
        <v>1425</v>
      </c>
      <c r="U335" s="297" t="s">
        <v>1425</v>
      </c>
      <c r="V335" s="46" t="s">
        <v>1426</v>
      </c>
    </row>
    <row r="336" spans="1:22" x14ac:dyDescent="0.2">
      <c r="A336">
        <v>644005</v>
      </c>
      <c r="B336" s="399" t="s">
        <v>453</v>
      </c>
      <c r="C336" s="297">
        <v>28</v>
      </c>
      <c r="D336" s="394">
        <v>43890</v>
      </c>
      <c r="E336" s="297" t="s">
        <v>1426</v>
      </c>
      <c r="F336" s="394">
        <v>43830</v>
      </c>
      <c r="G336" s="297" t="s">
        <v>1426</v>
      </c>
      <c r="H336" s="297" t="s">
        <v>1426</v>
      </c>
      <c r="I336" s="297" t="s">
        <v>1426</v>
      </c>
      <c r="J336" s="297" t="s">
        <v>1426</v>
      </c>
      <c r="K336" s="297" t="s">
        <v>1426</v>
      </c>
      <c r="L336" s="297" t="s">
        <v>1426</v>
      </c>
      <c r="M336" s="297" t="s">
        <v>1426</v>
      </c>
      <c r="N336" s="297" t="s">
        <v>1426</v>
      </c>
      <c r="O336" s="297" t="s">
        <v>1426</v>
      </c>
      <c r="P336" s="394" t="s">
        <v>1426</v>
      </c>
      <c r="Q336" s="297" t="s">
        <v>1426</v>
      </c>
      <c r="R336" s="297" t="s">
        <v>1426</v>
      </c>
      <c r="S336" s="297" t="s">
        <v>1425</v>
      </c>
      <c r="T336" s="297" t="s">
        <v>1425</v>
      </c>
      <c r="U336" s="297" t="s">
        <v>1425</v>
      </c>
      <c r="V336" s="46" t="s">
        <v>1426</v>
      </c>
    </row>
    <row r="337" spans="1:22" x14ac:dyDescent="0.2">
      <c r="A337">
        <v>644294</v>
      </c>
      <c r="B337" s="399" t="s">
        <v>1471</v>
      </c>
      <c r="C337" s="297">
        <v>18</v>
      </c>
      <c r="D337" s="394">
        <v>43890</v>
      </c>
      <c r="E337" s="297" t="s">
        <v>1425</v>
      </c>
      <c r="F337" s="394">
        <v>43830</v>
      </c>
      <c r="G337" s="297" t="s">
        <v>1427</v>
      </c>
      <c r="H337" s="297" t="s">
        <v>1427</v>
      </c>
      <c r="I337" s="297" t="s">
        <v>1427</v>
      </c>
      <c r="J337" s="297" t="s">
        <v>1427</v>
      </c>
      <c r="K337" s="297" t="s">
        <v>1427</v>
      </c>
      <c r="L337" s="297" t="s">
        <v>1427</v>
      </c>
      <c r="M337" s="297" t="s">
        <v>1427</v>
      </c>
      <c r="N337" s="297" t="s">
        <v>1427</v>
      </c>
      <c r="O337" s="297" t="s">
        <v>1427</v>
      </c>
      <c r="P337" s="394" t="s">
        <v>1427</v>
      </c>
      <c r="Q337" s="297" t="s">
        <v>1427</v>
      </c>
      <c r="R337" s="297" t="s">
        <v>1427</v>
      </c>
      <c r="S337" s="297" t="s">
        <v>1427</v>
      </c>
      <c r="T337" s="297" t="s">
        <v>1427</v>
      </c>
      <c r="U337" s="297" t="s">
        <v>1427</v>
      </c>
      <c r="V337" s="46" t="s">
        <v>1427</v>
      </c>
    </row>
    <row r="338" spans="1:22" x14ac:dyDescent="0.2">
      <c r="A338">
        <v>645952</v>
      </c>
      <c r="B338" s="399" t="s">
        <v>82</v>
      </c>
      <c r="C338" s="297">
        <v>20</v>
      </c>
      <c r="D338" s="394">
        <v>43890</v>
      </c>
      <c r="E338" s="297" t="s">
        <v>1426</v>
      </c>
      <c r="F338" s="394">
        <v>43830</v>
      </c>
      <c r="G338" s="297" t="s">
        <v>1426</v>
      </c>
      <c r="H338" s="297" t="s">
        <v>1426</v>
      </c>
      <c r="I338" s="297" t="s">
        <v>1426</v>
      </c>
      <c r="J338" s="297" t="s">
        <v>1426</v>
      </c>
      <c r="K338" s="297" t="s">
        <v>1426</v>
      </c>
      <c r="L338" s="297" t="s">
        <v>1426</v>
      </c>
      <c r="M338" s="297" t="s">
        <v>1425</v>
      </c>
      <c r="N338" s="297" t="s">
        <v>1425</v>
      </c>
      <c r="O338" s="297" t="s">
        <v>1425</v>
      </c>
      <c r="P338" s="394" t="s">
        <v>1425</v>
      </c>
      <c r="Q338" s="297" t="s">
        <v>1425</v>
      </c>
      <c r="R338" s="297" t="s">
        <v>1425</v>
      </c>
      <c r="S338" s="297" t="s">
        <v>1425</v>
      </c>
      <c r="T338" s="297" t="s">
        <v>1425</v>
      </c>
      <c r="U338" s="297" t="s">
        <v>1425</v>
      </c>
      <c r="V338" s="46" t="s">
        <v>1426</v>
      </c>
    </row>
    <row r="339" spans="1:22" x14ac:dyDescent="0.2">
      <c r="A339">
        <v>647669</v>
      </c>
      <c r="B339" s="399" t="s">
        <v>1340</v>
      </c>
      <c r="C339" s="297">
        <v>24</v>
      </c>
      <c r="D339" s="394">
        <v>43890</v>
      </c>
      <c r="E339" s="297" t="s">
        <v>1425</v>
      </c>
      <c r="F339" s="394">
        <v>43830</v>
      </c>
      <c r="G339" s="297" t="s">
        <v>1426</v>
      </c>
      <c r="H339" s="297" t="s">
        <v>1426</v>
      </c>
      <c r="I339" s="297" t="s">
        <v>1426</v>
      </c>
      <c r="J339" s="297" t="s">
        <v>1426</v>
      </c>
      <c r="K339" s="297" t="s">
        <v>1426</v>
      </c>
      <c r="L339" s="297" t="s">
        <v>1426</v>
      </c>
      <c r="M339" s="297" t="s">
        <v>1426</v>
      </c>
      <c r="N339" s="297" t="s">
        <v>1425</v>
      </c>
      <c r="O339" s="297" t="s">
        <v>1425</v>
      </c>
      <c r="P339" s="394" t="s">
        <v>1425</v>
      </c>
      <c r="Q339" s="297" t="s">
        <v>1425</v>
      </c>
      <c r="R339" s="297" t="s">
        <v>1425</v>
      </c>
      <c r="S339" s="297" t="s">
        <v>1425</v>
      </c>
      <c r="T339" s="297" t="s">
        <v>1426</v>
      </c>
      <c r="U339" s="297" t="s">
        <v>1425</v>
      </c>
      <c r="V339" s="46" t="s">
        <v>1426</v>
      </c>
    </row>
    <row r="340" spans="1:22" x14ac:dyDescent="0.2">
      <c r="A340">
        <v>648964</v>
      </c>
      <c r="B340" s="399" t="s">
        <v>454</v>
      </c>
      <c r="C340" s="297"/>
      <c r="D340" s="394"/>
      <c r="E340" s="297" t="s">
        <v>1425</v>
      </c>
      <c r="F340" s="394">
        <v>43830</v>
      </c>
      <c r="G340" s="297" t="s">
        <v>1426</v>
      </c>
      <c r="H340" s="297" t="s">
        <v>1426</v>
      </c>
      <c r="I340" s="297" t="s">
        <v>1425</v>
      </c>
      <c r="J340" s="297" t="s">
        <v>1426</v>
      </c>
      <c r="K340" s="297" t="s">
        <v>1426</v>
      </c>
      <c r="L340" s="297" t="s">
        <v>1426</v>
      </c>
      <c r="M340" s="297" t="s">
        <v>1425</v>
      </c>
      <c r="N340" s="297" t="s">
        <v>1425</v>
      </c>
      <c r="O340" s="297" t="s">
        <v>1425</v>
      </c>
      <c r="P340" s="394" t="s">
        <v>1425</v>
      </c>
      <c r="Q340" s="297" t="s">
        <v>1425</v>
      </c>
      <c r="R340" s="297" t="s">
        <v>1425</v>
      </c>
      <c r="S340" s="297" t="s">
        <v>1425</v>
      </c>
      <c r="T340" s="297" t="s">
        <v>1425</v>
      </c>
      <c r="U340" s="297" t="s">
        <v>1425</v>
      </c>
      <c r="V340" s="46" t="s">
        <v>1425</v>
      </c>
    </row>
    <row r="341" spans="1:22" x14ac:dyDescent="0.2">
      <c r="A341">
        <v>651679</v>
      </c>
      <c r="B341" s="399" t="s">
        <v>455</v>
      </c>
      <c r="C341" s="297"/>
      <c r="D341" s="394"/>
      <c r="E341" s="297" t="s">
        <v>1425</v>
      </c>
      <c r="F341" s="394">
        <v>43830</v>
      </c>
      <c r="G341" s="297" t="s">
        <v>1426</v>
      </c>
      <c r="H341" s="297" t="s">
        <v>1426</v>
      </c>
      <c r="I341" s="297" t="s">
        <v>1425</v>
      </c>
      <c r="J341" s="297" t="s">
        <v>1426</v>
      </c>
      <c r="K341" s="297" t="s">
        <v>1426</v>
      </c>
      <c r="L341" s="297" t="s">
        <v>1426</v>
      </c>
      <c r="M341" s="297" t="s">
        <v>1425</v>
      </c>
      <c r="N341" s="297" t="s">
        <v>1425</v>
      </c>
      <c r="O341" s="297" t="s">
        <v>1426</v>
      </c>
      <c r="P341" s="394" t="s">
        <v>1425</v>
      </c>
      <c r="Q341" s="297" t="s">
        <v>1425</v>
      </c>
      <c r="R341" s="297" t="s">
        <v>1425</v>
      </c>
      <c r="S341" s="297" t="s">
        <v>1426</v>
      </c>
      <c r="T341" s="297" t="s">
        <v>1425</v>
      </c>
      <c r="U341" s="297" t="s">
        <v>1425</v>
      </c>
      <c r="V341" s="46" t="s">
        <v>1425</v>
      </c>
    </row>
    <row r="342" spans="1:22" x14ac:dyDescent="0.2">
      <c r="A342">
        <v>652628</v>
      </c>
      <c r="B342" s="399" t="s">
        <v>456</v>
      </c>
      <c r="C342" s="297">
        <v>27</v>
      </c>
      <c r="D342" s="394">
        <v>43890</v>
      </c>
      <c r="E342" s="297" t="s">
        <v>1425</v>
      </c>
      <c r="F342" s="394">
        <v>43830</v>
      </c>
      <c r="G342" s="297" t="s">
        <v>1426</v>
      </c>
      <c r="H342" s="297" t="s">
        <v>1426</v>
      </c>
      <c r="I342" s="297" t="s">
        <v>1426</v>
      </c>
      <c r="J342" s="297" t="s">
        <v>1426</v>
      </c>
      <c r="K342" s="297" t="s">
        <v>1426</v>
      </c>
      <c r="L342" s="297" t="s">
        <v>1426</v>
      </c>
      <c r="M342" s="297" t="s">
        <v>1425</v>
      </c>
      <c r="N342" s="297" t="s">
        <v>1425</v>
      </c>
      <c r="O342" s="297" t="s">
        <v>1426</v>
      </c>
      <c r="P342" s="394" t="s">
        <v>1425</v>
      </c>
      <c r="Q342" s="297" t="s">
        <v>1425</v>
      </c>
      <c r="R342" s="297" t="s">
        <v>1425</v>
      </c>
      <c r="S342" s="297" t="s">
        <v>1426</v>
      </c>
      <c r="T342" s="297" t="s">
        <v>1426</v>
      </c>
      <c r="U342" s="297" t="s">
        <v>1425</v>
      </c>
      <c r="V342" s="46" t="s">
        <v>1426</v>
      </c>
    </row>
    <row r="343" spans="1:22" x14ac:dyDescent="0.2">
      <c r="A343">
        <v>653097</v>
      </c>
      <c r="B343" s="399" t="s">
        <v>457</v>
      </c>
      <c r="C343" s="297">
        <v>26</v>
      </c>
      <c r="D343" s="394">
        <v>43890</v>
      </c>
      <c r="E343" s="297" t="s">
        <v>1426</v>
      </c>
      <c r="F343" s="394">
        <v>43830</v>
      </c>
      <c r="G343" s="297" t="s">
        <v>1426</v>
      </c>
      <c r="H343" s="297" t="s">
        <v>1426</v>
      </c>
      <c r="I343" s="297" t="s">
        <v>1426</v>
      </c>
      <c r="J343" s="297" t="s">
        <v>1426</v>
      </c>
      <c r="K343" s="297" t="s">
        <v>1426</v>
      </c>
      <c r="L343" s="297" t="s">
        <v>1426</v>
      </c>
      <c r="M343" s="297" t="s">
        <v>1425</v>
      </c>
      <c r="N343" s="297" t="s">
        <v>1425</v>
      </c>
      <c r="O343" s="297" t="s">
        <v>1425</v>
      </c>
      <c r="P343" s="394" t="s">
        <v>1425</v>
      </c>
      <c r="Q343" s="297" t="s">
        <v>1425</v>
      </c>
      <c r="R343" s="297" t="s">
        <v>1425</v>
      </c>
      <c r="S343" s="297" t="s">
        <v>1425</v>
      </c>
      <c r="T343" s="297" t="s">
        <v>1425</v>
      </c>
      <c r="U343" s="297" t="s">
        <v>1425</v>
      </c>
      <c r="V343" s="46" t="s">
        <v>1425</v>
      </c>
    </row>
    <row r="344" spans="1:22" x14ac:dyDescent="0.2">
      <c r="A344">
        <v>654459</v>
      </c>
      <c r="B344" s="399" t="s">
        <v>458</v>
      </c>
      <c r="C344" s="297">
        <v>23</v>
      </c>
      <c r="D344" s="394">
        <v>43890</v>
      </c>
      <c r="E344" s="297" t="s">
        <v>1425</v>
      </c>
      <c r="F344" s="394">
        <v>43830</v>
      </c>
      <c r="G344" s="297" t="s">
        <v>1426</v>
      </c>
      <c r="H344" s="297" t="s">
        <v>1426</v>
      </c>
      <c r="I344" s="297" t="s">
        <v>1426</v>
      </c>
      <c r="J344" s="297" t="s">
        <v>1426</v>
      </c>
      <c r="K344" s="297" t="s">
        <v>1426</v>
      </c>
      <c r="L344" s="297" t="s">
        <v>1426</v>
      </c>
      <c r="M344" s="297" t="s">
        <v>1425</v>
      </c>
      <c r="N344" s="297" t="s">
        <v>1425</v>
      </c>
      <c r="O344" s="297" t="s">
        <v>1426</v>
      </c>
      <c r="P344" s="394" t="s">
        <v>1425</v>
      </c>
      <c r="Q344" s="297" t="s">
        <v>1425</v>
      </c>
      <c r="R344" s="297" t="s">
        <v>1425</v>
      </c>
      <c r="S344" s="297" t="s">
        <v>1426</v>
      </c>
      <c r="T344" s="297" t="s">
        <v>1425</v>
      </c>
      <c r="U344" s="297" t="s">
        <v>1425</v>
      </c>
      <c r="V344" s="46" t="s">
        <v>1425</v>
      </c>
    </row>
    <row r="345" spans="1:22" x14ac:dyDescent="0.2">
      <c r="A345">
        <v>658997</v>
      </c>
      <c r="B345" s="399" t="s">
        <v>459</v>
      </c>
      <c r="C345" s="297">
        <v>24</v>
      </c>
      <c r="D345" s="394">
        <v>43890</v>
      </c>
      <c r="E345" s="297" t="s">
        <v>1425</v>
      </c>
      <c r="F345" s="394">
        <v>43830</v>
      </c>
      <c r="G345" s="297" t="s">
        <v>1426</v>
      </c>
      <c r="H345" s="297" t="s">
        <v>1426</v>
      </c>
      <c r="I345" s="297" t="s">
        <v>1426</v>
      </c>
      <c r="J345" s="297" t="s">
        <v>1426</v>
      </c>
      <c r="K345" s="297" t="s">
        <v>1426</v>
      </c>
      <c r="L345" s="297" t="s">
        <v>1426</v>
      </c>
      <c r="M345" s="297" t="s">
        <v>1425</v>
      </c>
      <c r="N345" s="297" t="s">
        <v>1425</v>
      </c>
      <c r="O345" s="297" t="s">
        <v>1426</v>
      </c>
      <c r="P345" s="394" t="s">
        <v>1425</v>
      </c>
      <c r="Q345" s="297" t="s">
        <v>1425</v>
      </c>
      <c r="R345" s="297" t="s">
        <v>1425</v>
      </c>
      <c r="S345" s="297" t="s">
        <v>1425</v>
      </c>
      <c r="T345" s="297" t="s">
        <v>1425</v>
      </c>
      <c r="U345" s="297" t="s">
        <v>1425</v>
      </c>
      <c r="V345" s="46" t="s">
        <v>1425</v>
      </c>
    </row>
    <row r="346" spans="1:22" x14ac:dyDescent="0.2">
      <c r="A346">
        <v>660704</v>
      </c>
      <c r="B346" s="399" t="s">
        <v>460</v>
      </c>
      <c r="C346" s="297">
        <v>28</v>
      </c>
      <c r="D346" s="394">
        <v>43890</v>
      </c>
      <c r="E346" s="297" t="s">
        <v>1425</v>
      </c>
      <c r="F346" s="394">
        <v>43830</v>
      </c>
      <c r="G346" s="297" t="s">
        <v>1426</v>
      </c>
      <c r="H346" s="297" t="s">
        <v>1426</v>
      </c>
      <c r="I346" s="297" t="s">
        <v>1426</v>
      </c>
      <c r="J346" s="297" t="s">
        <v>1426</v>
      </c>
      <c r="K346" s="297" t="s">
        <v>1426</v>
      </c>
      <c r="L346" s="297" t="s">
        <v>1426</v>
      </c>
      <c r="M346" s="297" t="s">
        <v>1426</v>
      </c>
      <c r="N346" s="297" t="s">
        <v>1425</v>
      </c>
      <c r="O346" s="297" t="s">
        <v>1426</v>
      </c>
      <c r="P346" s="394" t="s">
        <v>1425</v>
      </c>
      <c r="Q346" s="297" t="s">
        <v>1426</v>
      </c>
      <c r="R346" s="297" t="s">
        <v>1425</v>
      </c>
      <c r="S346" s="297" t="s">
        <v>1425</v>
      </c>
      <c r="T346" s="297" t="s">
        <v>1426</v>
      </c>
      <c r="U346" s="297" t="s">
        <v>1426</v>
      </c>
      <c r="V346" s="46" t="s">
        <v>1426</v>
      </c>
    </row>
    <row r="347" spans="1:22" x14ac:dyDescent="0.2">
      <c r="A347">
        <v>660829</v>
      </c>
      <c r="B347" s="399" t="s">
        <v>462</v>
      </c>
      <c r="C347" s="297">
        <v>22</v>
      </c>
      <c r="D347" s="394">
        <v>43890</v>
      </c>
      <c r="E347" s="297" t="s">
        <v>1425</v>
      </c>
      <c r="F347" s="394">
        <v>43830</v>
      </c>
      <c r="G347" s="297" t="s">
        <v>1426</v>
      </c>
      <c r="H347" s="297" t="s">
        <v>1426</v>
      </c>
      <c r="I347" s="297" t="s">
        <v>1426</v>
      </c>
      <c r="J347" s="297" t="s">
        <v>1426</v>
      </c>
      <c r="K347" s="297" t="s">
        <v>1426</v>
      </c>
      <c r="L347" s="297" t="s">
        <v>1426</v>
      </c>
      <c r="M347" s="297" t="s">
        <v>1426</v>
      </c>
      <c r="N347" s="297" t="s">
        <v>1426</v>
      </c>
      <c r="O347" s="297" t="s">
        <v>1426</v>
      </c>
      <c r="P347" s="394" t="s">
        <v>1426</v>
      </c>
      <c r="Q347" s="297" t="s">
        <v>1426</v>
      </c>
      <c r="R347" s="297" t="s">
        <v>1426</v>
      </c>
      <c r="S347" s="297" t="s">
        <v>1426</v>
      </c>
      <c r="T347" s="297" t="s">
        <v>1425</v>
      </c>
      <c r="U347" s="297" t="s">
        <v>1425</v>
      </c>
      <c r="V347" s="46" t="s">
        <v>1426</v>
      </c>
    </row>
    <row r="348" spans="1:22" x14ac:dyDescent="0.2">
      <c r="A348">
        <v>661066</v>
      </c>
      <c r="B348" s="399" t="s">
        <v>1472</v>
      </c>
      <c r="C348" s="297">
        <v>30</v>
      </c>
      <c r="D348" s="394">
        <v>43890</v>
      </c>
      <c r="E348" s="297" t="s">
        <v>1425</v>
      </c>
      <c r="F348" s="394">
        <v>43830</v>
      </c>
      <c r="G348" s="297" t="s">
        <v>1426</v>
      </c>
      <c r="H348" s="297" t="s">
        <v>1426</v>
      </c>
      <c r="I348" s="297" t="s">
        <v>1426</v>
      </c>
      <c r="J348" s="297" t="s">
        <v>1426</v>
      </c>
      <c r="K348" s="297" t="s">
        <v>1425</v>
      </c>
      <c r="L348" s="297" t="s">
        <v>1426</v>
      </c>
      <c r="M348" s="297" t="s">
        <v>1426</v>
      </c>
      <c r="N348" s="297" t="s">
        <v>1425</v>
      </c>
      <c r="O348" s="297" t="s">
        <v>1425</v>
      </c>
      <c r="P348" s="394" t="s">
        <v>1425</v>
      </c>
      <c r="Q348" s="297" t="s">
        <v>1425</v>
      </c>
      <c r="R348" s="297" t="s">
        <v>1425</v>
      </c>
      <c r="S348" s="297" t="s">
        <v>1425</v>
      </c>
      <c r="T348" s="297" t="s">
        <v>1426</v>
      </c>
      <c r="U348" s="297" t="s">
        <v>1425</v>
      </c>
      <c r="V348" s="46" t="s">
        <v>1426</v>
      </c>
    </row>
    <row r="349" spans="1:22" x14ac:dyDescent="0.2">
      <c r="A349">
        <v>664482</v>
      </c>
      <c r="B349" s="399" t="s">
        <v>463</v>
      </c>
      <c r="C349" s="297">
        <v>23</v>
      </c>
      <c r="D349" s="394">
        <v>43890</v>
      </c>
      <c r="E349" s="297" t="s">
        <v>1425</v>
      </c>
      <c r="F349" s="394">
        <v>43830</v>
      </c>
      <c r="G349" s="297" t="s">
        <v>1426</v>
      </c>
      <c r="H349" s="297" t="s">
        <v>1426</v>
      </c>
      <c r="I349" s="297" t="s">
        <v>1426</v>
      </c>
      <c r="J349" s="297" t="s">
        <v>1426</v>
      </c>
      <c r="K349" s="297" t="s">
        <v>1426</v>
      </c>
      <c r="L349" s="297" t="s">
        <v>1426</v>
      </c>
      <c r="M349" s="297" t="s">
        <v>1426</v>
      </c>
      <c r="N349" s="297" t="s">
        <v>1426</v>
      </c>
      <c r="O349" s="297" t="s">
        <v>1426</v>
      </c>
      <c r="P349" s="394" t="s">
        <v>1426</v>
      </c>
      <c r="Q349" s="297" t="s">
        <v>1426</v>
      </c>
      <c r="R349" s="297" t="s">
        <v>1426</v>
      </c>
      <c r="S349" s="297" t="s">
        <v>1425</v>
      </c>
      <c r="T349" s="297" t="s">
        <v>1426</v>
      </c>
      <c r="U349" s="297" t="s">
        <v>1425</v>
      </c>
      <c r="V349" s="46" t="s">
        <v>1425</v>
      </c>
    </row>
    <row r="350" spans="1:22" x14ac:dyDescent="0.2">
      <c r="A350">
        <v>666313</v>
      </c>
      <c r="B350" s="399" t="s">
        <v>464</v>
      </c>
      <c r="C350" s="297">
        <v>29</v>
      </c>
      <c r="D350" s="394">
        <v>43890</v>
      </c>
      <c r="E350" s="297" t="s">
        <v>1425</v>
      </c>
      <c r="F350" s="394">
        <v>43830</v>
      </c>
      <c r="G350" s="297" t="s">
        <v>1426</v>
      </c>
      <c r="H350" s="297" t="s">
        <v>1426</v>
      </c>
      <c r="I350" s="297" t="s">
        <v>1426</v>
      </c>
      <c r="J350" s="297" t="s">
        <v>1426</v>
      </c>
      <c r="K350" s="297" t="s">
        <v>1426</v>
      </c>
      <c r="L350" s="297" t="s">
        <v>1426</v>
      </c>
      <c r="M350" s="297" t="s">
        <v>1426</v>
      </c>
      <c r="N350" s="297" t="s">
        <v>1426</v>
      </c>
      <c r="O350" s="297" t="s">
        <v>1426</v>
      </c>
      <c r="P350" s="394" t="s">
        <v>1426</v>
      </c>
      <c r="Q350" s="297" t="s">
        <v>1426</v>
      </c>
      <c r="R350" s="297" t="s">
        <v>1425</v>
      </c>
      <c r="S350" s="297" t="s">
        <v>1426</v>
      </c>
      <c r="T350" s="297" t="s">
        <v>1425</v>
      </c>
      <c r="U350" s="297" t="s">
        <v>1425</v>
      </c>
      <c r="V350" s="46" t="s">
        <v>1425</v>
      </c>
    </row>
    <row r="351" spans="1:22" x14ac:dyDescent="0.2">
      <c r="A351">
        <v>666370</v>
      </c>
      <c r="B351" s="399" t="s">
        <v>1341</v>
      </c>
      <c r="C351" s="297">
        <v>26</v>
      </c>
      <c r="D351" s="394">
        <v>43890</v>
      </c>
      <c r="E351" s="297" t="s">
        <v>1425</v>
      </c>
      <c r="F351" s="394">
        <v>43830</v>
      </c>
      <c r="G351" s="297" t="s">
        <v>1427</v>
      </c>
      <c r="H351" s="297" t="s">
        <v>1427</v>
      </c>
      <c r="I351" s="297" t="s">
        <v>1427</v>
      </c>
      <c r="J351" s="297" t="s">
        <v>1427</v>
      </c>
      <c r="K351" s="297" t="s">
        <v>1427</v>
      </c>
      <c r="L351" s="297" t="s">
        <v>1427</v>
      </c>
      <c r="M351" s="297" t="s">
        <v>1427</v>
      </c>
      <c r="N351" s="297" t="s">
        <v>1427</v>
      </c>
      <c r="O351" s="297" t="s">
        <v>1427</v>
      </c>
      <c r="P351" s="394" t="s">
        <v>1427</v>
      </c>
      <c r="Q351" s="297" t="s">
        <v>1427</v>
      </c>
      <c r="R351" s="297" t="s">
        <v>1427</v>
      </c>
      <c r="S351" s="297" t="s">
        <v>1427</v>
      </c>
      <c r="T351" s="297" t="s">
        <v>1427</v>
      </c>
      <c r="U351" s="297" t="s">
        <v>1427</v>
      </c>
      <c r="V351" s="46" t="s">
        <v>1427</v>
      </c>
    </row>
    <row r="352" spans="1:22" x14ac:dyDescent="0.2">
      <c r="A352">
        <v>666495</v>
      </c>
      <c r="B352" s="399" t="s">
        <v>466</v>
      </c>
      <c r="C352" s="297">
        <v>22</v>
      </c>
      <c r="D352" s="394">
        <v>43890</v>
      </c>
      <c r="E352" s="297" t="s">
        <v>1425</v>
      </c>
      <c r="F352" s="394">
        <v>43830</v>
      </c>
      <c r="G352" s="297" t="s">
        <v>1425</v>
      </c>
      <c r="H352" s="297" t="s">
        <v>1425</v>
      </c>
      <c r="I352" s="297" t="s">
        <v>1425</v>
      </c>
      <c r="J352" s="297" t="s">
        <v>1426</v>
      </c>
      <c r="K352" s="297" t="s">
        <v>1426</v>
      </c>
      <c r="L352" s="297" t="s">
        <v>1425</v>
      </c>
      <c r="M352" s="297" t="s">
        <v>1425</v>
      </c>
      <c r="N352" s="297" t="s">
        <v>1425</v>
      </c>
      <c r="O352" s="297" t="s">
        <v>1425</v>
      </c>
      <c r="P352" s="394" t="s">
        <v>1425</v>
      </c>
      <c r="Q352" s="297" t="s">
        <v>1425</v>
      </c>
      <c r="R352" s="297" t="s">
        <v>1425</v>
      </c>
      <c r="S352" s="297" t="s">
        <v>1425</v>
      </c>
      <c r="T352" s="297" t="s">
        <v>1425</v>
      </c>
      <c r="U352" s="297" t="s">
        <v>1425</v>
      </c>
      <c r="V352" s="46" t="s">
        <v>1425</v>
      </c>
    </row>
    <row r="353" spans="1:22" x14ac:dyDescent="0.2">
      <c r="A353">
        <v>668269</v>
      </c>
      <c r="B353" s="399" t="s">
        <v>467</v>
      </c>
      <c r="C353" s="297">
        <v>23</v>
      </c>
      <c r="D353" s="394">
        <v>43890</v>
      </c>
      <c r="E353" s="297" t="s">
        <v>1425</v>
      </c>
      <c r="F353" s="394">
        <v>43830</v>
      </c>
      <c r="G353" s="297" t="s">
        <v>1426</v>
      </c>
      <c r="H353" s="297" t="s">
        <v>1426</v>
      </c>
      <c r="I353" s="297" t="s">
        <v>1426</v>
      </c>
      <c r="J353" s="297" t="s">
        <v>1426</v>
      </c>
      <c r="K353" s="297" t="s">
        <v>1426</v>
      </c>
      <c r="L353" s="297" t="s">
        <v>1426</v>
      </c>
      <c r="M353" s="297" t="s">
        <v>1425</v>
      </c>
      <c r="N353" s="297" t="s">
        <v>1425</v>
      </c>
      <c r="O353" s="297" t="s">
        <v>1426</v>
      </c>
      <c r="P353" s="394" t="s">
        <v>1425</v>
      </c>
      <c r="Q353" s="297" t="s">
        <v>1426</v>
      </c>
      <c r="R353" s="297" t="s">
        <v>1426</v>
      </c>
      <c r="S353" s="297" t="s">
        <v>1425</v>
      </c>
      <c r="T353" s="297" t="s">
        <v>1426</v>
      </c>
      <c r="U353" s="297" t="s">
        <v>1425</v>
      </c>
      <c r="V353" s="46" t="s">
        <v>1425</v>
      </c>
    </row>
    <row r="354" spans="1:22" x14ac:dyDescent="0.2">
      <c r="A354">
        <v>670091</v>
      </c>
      <c r="B354" s="399" t="s">
        <v>598</v>
      </c>
      <c r="C354" s="297">
        <v>26</v>
      </c>
      <c r="D354" s="394">
        <v>43890</v>
      </c>
      <c r="E354" s="297" t="s">
        <v>1425</v>
      </c>
      <c r="F354" s="394">
        <v>43830</v>
      </c>
      <c r="G354" s="297" t="s">
        <v>1426</v>
      </c>
      <c r="H354" s="297" t="s">
        <v>1426</v>
      </c>
      <c r="I354" s="297" t="s">
        <v>1426</v>
      </c>
      <c r="J354" s="297" t="s">
        <v>1426</v>
      </c>
      <c r="K354" s="297" t="s">
        <v>1426</v>
      </c>
      <c r="L354" s="297" t="s">
        <v>1426</v>
      </c>
      <c r="M354" s="297" t="s">
        <v>1425</v>
      </c>
      <c r="N354" s="297" t="s">
        <v>1425</v>
      </c>
      <c r="O354" s="297" t="s">
        <v>1426</v>
      </c>
      <c r="P354" s="394" t="s">
        <v>1425</v>
      </c>
      <c r="Q354" s="297" t="s">
        <v>1425</v>
      </c>
      <c r="R354" s="297" t="s">
        <v>1425</v>
      </c>
      <c r="S354" s="297" t="s">
        <v>1425</v>
      </c>
      <c r="T354" s="297" t="s">
        <v>1425</v>
      </c>
      <c r="U354" s="297" t="s">
        <v>1425</v>
      </c>
      <c r="V354" s="46" t="s">
        <v>1425</v>
      </c>
    </row>
    <row r="355" spans="1:22" x14ac:dyDescent="0.2">
      <c r="A355">
        <v>671453</v>
      </c>
      <c r="B355" s="399" t="s">
        <v>468</v>
      </c>
      <c r="C355" s="297">
        <v>22</v>
      </c>
      <c r="D355" s="394">
        <v>43890</v>
      </c>
      <c r="E355" s="297" t="s">
        <v>1426</v>
      </c>
      <c r="F355" s="394">
        <v>43830</v>
      </c>
      <c r="G355" s="297" t="s">
        <v>1426</v>
      </c>
      <c r="H355" s="297" t="s">
        <v>1426</v>
      </c>
      <c r="I355" s="297" t="s">
        <v>1426</v>
      </c>
      <c r="J355" s="297" t="s">
        <v>1425</v>
      </c>
      <c r="K355" s="297" t="s">
        <v>1425</v>
      </c>
      <c r="L355" s="297" t="s">
        <v>1425</v>
      </c>
      <c r="M355" s="297" t="s">
        <v>1425</v>
      </c>
      <c r="N355" s="297" t="s">
        <v>1425</v>
      </c>
      <c r="O355" s="297" t="s">
        <v>1425</v>
      </c>
      <c r="P355" s="394" t="s">
        <v>1425</v>
      </c>
      <c r="Q355" s="297" t="s">
        <v>1425</v>
      </c>
      <c r="R355" s="297" t="s">
        <v>1425</v>
      </c>
      <c r="S355" s="297" t="s">
        <v>1425</v>
      </c>
      <c r="T355" s="297" t="s">
        <v>1425</v>
      </c>
      <c r="U355" s="297" t="s">
        <v>1425</v>
      </c>
      <c r="V355" s="46" t="s">
        <v>1425</v>
      </c>
    </row>
    <row r="356" spans="1:22" x14ac:dyDescent="0.2">
      <c r="A356">
        <v>674101</v>
      </c>
      <c r="B356" s="399" t="s">
        <v>599</v>
      </c>
      <c r="C356" s="297">
        <v>38</v>
      </c>
      <c r="D356" s="394">
        <v>43890</v>
      </c>
      <c r="E356" s="297" t="s">
        <v>1425</v>
      </c>
      <c r="F356" s="394">
        <v>43830</v>
      </c>
      <c r="G356" s="297" t="s">
        <v>1426</v>
      </c>
      <c r="H356" s="297" t="s">
        <v>1426</v>
      </c>
      <c r="I356" s="297" t="s">
        <v>1426</v>
      </c>
      <c r="J356" s="297" t="s">
        <v>1426</v>
      </c>
      <c r="K356" s="297" t="s">
        <v>1426</v>
      </c>
      <c r="L356" s="297" t="s">
        <v>1426</v>
      </c>
      <c r="M356" s="297" t="s">
        <v>1425</v>
      </c>
      <c r="N356" s="297" t="s">
        <v>1425</v>
      </c>
      <c r="O356" s="297" t="s">
        <v>1426</v>
      </c>
      <c r="P356" s="394" t="s">
        <v>1425</v>
      </c>
      <c r="Q356" s="297" t="s">
        <v>1425</v>
      </c>
      <c r="R356" s="297" t="s">
        <v>1425</v>
      </c>
      <c r="S356" s="297" t="s">
        <v>1426</v>
      </c>
      <c r="T356" s="297" t="s">
        <v>1425</v>
      </c>
      <c r="U356" s="297" t="s">
        <v>1425</v>
      </c>
      <c r="V356" s="46" t="s">
        <v>1425</v>
      </c>
    </row>
    <row r="357" spans="1:22" x14ac:dyDescent="0.2">
      <c r="A357">
        <v>677534</v>
      </c>
      <c r="B357" s="399" t="s">
        <v>469</v>
      </c>
      <c r="C357" s="297"/>
      <c r="D357" s="394"/>
      <c r="E357" s="297" t="s">
        <v>1425</v>
      </c>
      <c r="F357" s="394">
        <v>43830</v>
      </c>
      <c r="G357" s="297" t="s">
        <v>1426</v>
      </c>
      <c r="H357" s="297" t="s">
        <v>1426</v>
      </c>
      <c r="I357" s="297" t="s">
        <v>1425</v>
      </c>
      <c r="J357" s="297" t="s">
        <v>1426</v>
      </c>
      <c r="K357" s="297" t="s">
        <v>1426</v>
      </c>
      <c r="L357" s="297" t="s">
        <v>1426</v>
      </c>
      <c r="M357" s="297" t="s">
        <v>1426</v>
      </c>
      <c r="N357" s="297" t="s">
        <v>1426</v>
      </c>
      <c r="O357" s="297" t="s">
        <v>1426</v>
      </c>
      <c r="P357" s="394" t="s">
        <v>1426</v>
      </c>
      <c r="Q357" s="297" t="s">
        <v>1426</v>
      </c>
      <c r="R357" s="297" t="s">
        <v>1425</v>
      </c>
      <c r="S357" s="297" t="s">
        <v>1426</v>
      </c>
      <c r="T357" s="297" t="s">
        <v>1425</v>
      </c>
      <c r="U357" s="297" t="s">
        <v>1425</v>
      </c>
      <c r="V357" s="46" t="s">
        <v>1426</v>
      </c>
    </row>
    <row r="358" spans="1:22" x14ac:dyDescent="0.2">
      <c r="A358">
        <v>678128</v>
      </c>
      <c r="B358" s="399" t="s">
        <v>470</v>
      </c>
      <c r="C358" s="297">
        <v>21</v>
      </c>
      <c r="D358" s="394">
        <v>43890</v>
      </c>
      <c r="E358" s="297" t="s">
        <v>1426</v>
      </c>
      <c r="F358" s="394">
        <v>43830</v>
      </c>
      <c r="G358" s="297" t="s">
        <v>1426</v>
      </c>
      <c r="H358" s="297" t="s">
        <v>1426</v>
      </c>
      <c r="I358" s="297" t="s">
        <v>1426</v>
      </c>
      <c r="J358" s="297" t="s">
        <v>1426</v>
      </c>
      <c r="K358" s="297" t="s">
        <v>1426</v>
      </c>
      <c r="L358" s="297" t="s">
        <v>1426</v>
      </c>
      <c r="M358" s="297" t="s">
        <v>1426</v>
      </c>
      <c r="N358" s="297" t="s">
        <v>1426</v>
      </c>
      <c r="O358" s="297" t="s">
        <v>1426</v>
      </c>
      <c r="P358" s="394" t="s">
        <v>1426</v>
      </c>
      <c r="Q358" s="297" t="s">
        <v>1426</v>
      </c>
      <c r="R358" s="297" t="s">
        <v>1426</v>
      </c>
      <c r="S358" s="297" t="s">
        <v>1426</v>
      </c>
      <c r="T358" s="297" t="s">
        <v>1425</v>
      </c>
      <c r="U358" s="297" t="s">
        <v>1425</v>
      </c>
      <c r="V358" s="46" t="s">
        <v>1426</v>
      </c>
    </row>
    <row r="359" spans="1:22" x14ac:dyDescent="0.2">
      <c r="A359">
        <v>679837</v>
      </c>
      <c r="B359" s="399" t="s">
        <v>471</v>
      </c>
      <c r="C359" s="297">
        <v>25</v>
      </c>
      <c r="D359" s="394">
        <v>43890</v>
      </c>
      <c r="E359" s="297" t="s">
        <v>1425</v>
      </c>
      <c r="F359" s="394">
        <v>43830</v>
      </c>
      <c r="G359" s="297" t="s">
        <v>1426</v>
      </c>
      <c r="H359" s="297" t="s">
        <v>1426</v>
      </c>
      <c r="I359" s="297" t="s">
        <v>1426</v>
      </c>
      <c r="J359" s="297" t="s">
        <v>1426</v>
      </c>
      <c r="K359" s="297" t="s">
        <v>1426</v>
      </c>
      <c r="L359" s="297" t="s">
        <v>1426</v>
      </c>
      <c r="M359" s="297" t="s">
        <v>1426</v>
      </c>
      <c r="N359" s="297" t="s">
        <v>1426</v>
      </c>
      <c r="O359" s="297" t="s">
        <v>1426</v>
      </c>
      <c r="P359" s="394" t="s">
        <v>1426</v>
      </c>
      <c r="Q359" s="297" t="s">
        <v>1426</v>
      </c>
      <c r="R359" s="297" t="s">
        <v>1426</v>
      </c>
      <c r="S359" s="297" t="s">
        <v>1425</v>
      </c>
      <c r="T359" s="297" t="s">
        <v>1425</v>
      </c>
      <c r="U359" s="297" t="s">
        <v>1425</v>
      </c>
      <c r="V359" s="46" t="s">
        <v>1426</v>
      </c>
    </row>
    <row r="360" spans="1:22" x14ac:dyDescent="0.2">
      <c r="A360">
        <v>680124</v>
      </c>
      <c r="B360" s="399" t="s">
        <v>1353</v>
      </c>
      <c r="C360" s="297">
        <v>24</v>
      </c>
      <c r="D360" s="394">
        <v>43890</v>
      </c>
      <c r="E360" s="297" t="s">
        <v>1425</v>
      </c>
      <c r="F360" s="394">
        <v>43830</v>
      </c>
      <c r="G360" s="297" t="s">
        <v>1426</v>
      </c>
      <c r="H360" s="297" t="s">
        <v>1426</v>
      </c>
      <c r="I360" s="297" t="s">
        <v>1426</v>
      </c>
      <c r="J360" s="297" t="s">
        <v>1426</v>
      </c>
      <c r="K360" s="297" t="s">
        <v>1426</v>
      </c>
      <c r="L360" s="297" t="s">
        <v>1425</v>
      </c>
      <c r="M360" s="297" t="s">
        <v>1425</v>
      </c>
      <c r="N360" s="297" t="s">
        <v>1425</v>
      </c>
      <c r="O360" s="297" t="s">
        <v>1425</v>
      </c>
      <c r="P360" s="394" t="s">
        <v>1425</v>
      </c>
      <c r="Q360" s="297" t="s">
        <v>1425</v>
      </c>
      <c r="R360" s="297" t="s">
        <v>1425</v>
      </c>
      <c r="S360" s="297" t="s">
        <v>1425</v>
      </c>
      <c r="T360" s="297" t="s">
        <v>1425</v>
      </c>
      <c r="U360" s="297" t="s">
        <v>1425</v>
      </c>
      <c r="V360" s="46" t="s">
        <v>1425</v>
      </c>
    </row>
    <row r="361" spans="1:22" x14ac:dyDescent="0.2">
      <c r="A361">
        <v>681783</v>
      </c>
      <c r="B361" s="399" t="s">
        <v>83</v>
      </c>
      <c r="C361" s="297">
        <v>20</v>
      </c>
      <c r="D361" s="394">
        <v>43890</v>
      </c>
      <c r="E361" s="297" t="s">
        <v>1426</v>
      </c>
      <c r="F361" s="394">
        <v>43830</v>
      </c>
      <c r="G361" s="297" t="s">
        <v>1426</v>
      </c>
      <c r="H361" s="297" t="s">
        <v>1426</v>
      </c>
      <c r="I361" s="297" t="s">
        <v>1426</v>
      </c>
      <c r="J361" s="297" t="s">
        <v>1426</v>
      </c>
      <c r="K361" s="297" t="s">
        <v>1426</v>
      </c>
      <c r="L361" s="297" t="s">
        <v>1426</v>
      </c>
      <c r="M361" s="297" t="s">
        <v>1425</v>
      </c>
      <c r="N361" s="297" t="s">
        <v>1425</v>
      </c>
      <c r="O361" s="297" t="s">
        <v>1425</v>
      </c>
      <c r="P361" s="394" t="s">
        <v>1425</v>
      </c>
      <c r="Q361" s="297" t="s">
        <v>1425</v>
      </c>
      <c r="R361" s="297" t="s">
        <v>1425</v>
      </c>
      <c r="S361" s="297" t="s">
        <v>1425</v>
      </c>
      <c r="T361" s="297" t="s">
        <v>1425</v>
      </c>
      <c r="U361" s="297" t="s">
        <v>1425</v>
      </c>
      <c r="V361" s="46" t="s">
        <v>1426</v>
      </c>
    </row>
    <row r="362" spans="1:22" x14ac:dyDescent="0.2">
      <c r="A362">
        <v>684373</v>
      </c>
      <c r="B362" s="399" t="s">
        <v>1525</v>
      </c>
      <c r="C362" s="297">
        <v>34</v>
      </c>
      <c r="D362" s="394">
        <v>43890</v>
      </c>
      <c r="E362" s="297" t="s">
        <v>1425</v>
      </c>
      <c r="F362" s="394">
        <v>43830</v>
      </c>
      <c r="G362" s="297" t="s">
        <v>1426</v>
      </c>
      <c r="H362" s="297" t="s">
        <v>1426</v>
      </c>
      <c r="I362" s="297" t="s">
        <v>1426</v>
      </c>
      <c r="J362" s="297" t="s">
        <v>1426</v>
      </c>
      <c r="K362" s="297" t="s">
        <v>1426</v>
      </c>
      <c r="L362" s="297" t="s">
        <v>1426</v>
      </c>
      <c r="M362" s="297" t="s">
        <v>1426</v>
      </c>
      <c r="N362" s="297" t="s">
        <v>1426</v>
      </c>
      <c r="O362" s="297" t="s">
        <v>1426</v>
      </c>
      <c r="P362" s="394" t="s">
        <v>1426</v>
      </c>
      <c r="Q362" s="297" t="s">
        <v>1426</v>
      </c>
      <c r="R362" s="297" t="s">
        <v>1425</v>
      </c>
      <c r="S362" s="297" t="s">
        <v>1425</v>
      </c>
      <c r="T362" s="297" t="s">
        <v>1426</v>
      </c>
      <c r="U362" s="297" t="s">
        <v>1426</v>
      </c>
      <c r="V362" s="46" t="s">
        <v>1426</v>
      </c>
    </row>
    <row r="363" spans="1:22" x14ac:dyDescent="0.2">
      <c r="A363">
        <v>686626</v>
      </c>
      <c r="B363" s="399" t="s">
        <v>472</v>
      </c>
      <c r="C363" s="297">
        <v>21</v>
      </c>
      <c r="D363" s="394">
        <v>43890</v>
      </c>
      <c r="E363" s="297" t="s">
        <v>1425</v>
      </c>
      <c r="F363" s="394">
        <v>43830</v>
      </c>
      <c r="G363" s="297" t="s">
        <v>1426</v>
      </c>
      <c r="H363" s="297" t="s">
        <v>1426</v>
      </c>
      <c r="I363" s="297" t="s">
        <v>1426</v>
      </c>
      <c r="J363" s="297" t="s">
        <v>1426</v>
      </c>
      <c r="K363" s="297" t="s">
        <v>1426</v>
      </c>
      <c r="L363" s="297" t="s">
        <v>1425</v>
      </c>
      <c r="M363" s="297" t="s">
        <v>1425</v>
      </c>
      <c r="N363" s="297" t="s">
        <v>1425</v>
      </c>
      <c r="O363" s="297" t="s">
        <v>1425</v>
      </c>
      <c r="P363" s="394" t="s">
        <v>1425</v>
      </c>
      <c r="Q363" s="297" t="s">
        <v>1425</v>
      </c>
      <c r="R363" s="297" t="s">
        <v>1425</v>
      </c>
      <c r="S363" s="297" t="s">
        <v>1425</v>
      </c>
      <c r="T363" s="297" t="s">
        <v>1425</v>
      </c>
      <c r="U363" s="297" t="s">
        <v>1425</v>
      </c>
      <c r="V363" s="46" t="s">
        <v>1425</v>
      </c>
    </row>
    <row r="364" spans="1:22" x14ac:dyDescent="0.2">
      <c r="A364">
        <v>687442</v>
      </c>
      <c r="B364" s="399" t="s">
        <v>473</v>
      </c>
      <c r="C364" s="297"/>
      <c r="D364" s="394"/>
      <c r="E364" s="297" t="s">
        <v>1425</v>
      </c>
      <c r="F364" s="394">
        <v>43830</v>
      </c>
      <c r="G364" s="297" t="s">
        <v>1426</v>
      </c>
      <c r="H364" s="297" t="s">
        <v>1426</v>
      </c>
      <c r="I364" s="297" t="s">
        <v>1426</v>
      </c>
      <c r="J364" s="297" t="s">
        <v>1426</v>
      </c>
      <c r="K364" s="297" t="s">
        <v>1426</v>
      </c>
      <c r="L364" s="297" t="s">
        <v>1426</v>
      </c>
      <c r="M364" s="297" t="s">
        <v>1425</v>
      </c>
      <c r="N364" s="297" t="s">
        <v>1425</v>
      </c>
      <c r="O364" s="297" t="s">
        <v>1426</v>
      </c>
      <c r="P364" s="394" t="s">
        <v>1425</v>
      </c>
      <c r="Q364" s="297" t="s">
        <v>1426</v>
      </c>
      <c r="R364" s="297" t="s">
        <v>1425</v>
      </c>
      <c r="S364" s="297" t="s">
        <v>1426</v>
      </c>
      <c r="T364" s="297" t="s">
        <v>1425</v>
      </c>
      <c r="U364" s="297" t="s">
        <v>1425</v>
      </c>
      <c r="V364" s="46" t="s">
        <v>1425</v>
      </c>
    </row>
    <row r="365" spans="1:22" x14ac:dyDescent="0.2">
      <c r="A365">
        <v>687509</v>
      </c>
      <c r="B365" s="399" t="s">
        <v>474</v>
      </c>
      <c r="C365" s="297">
        <v>27</v>
      </c>
      <c r="D365" s="394">
        <v>43890</v>
      </c>
      <c r="E365" s="297" t="s">
        <v>1425</v>
      </c>
      <c r="F365" s="394">
        <v>43830</v>
      </c>
      <c r="G365" s="297" t="s">
        <v>1426</v>
      </c>
      <c r="H365" s="297" t="s">
        <v>1426</v>
      </c>
      <c r="I365" s="297" t="s">
        <v>1426</v>
      </c>
      <c r="J365" s="297" t="s">
        <v>1426</v>
      </c>
      <c r="K365" s="297" t="s">
        <v>1426</v>
      </c>
      <c r="L365" s="297" t="s">
        <v>1426</v>
      </c>
      <c r="M365" s="297" t="s">
        <v>1426</v>
      </c>
      <c r="N365" s="297" t="s">
        <v>1426</v>
      </c>
      <c r="O365" s="297" t="s">
        <v>1426</v>
      </c>
      <c r="P365" s="394" t="s">
        <v>1426</v>
      </c>
      <c r="Q365" s="297" t="s">
        <v>1426</v>
      </c>
      <c r="R365" s="297" t="s">
        <v>1426</v>
      </c>
      <c r="S365" s="297" t="s">
        <v>1425</v>
      </c>
      <c r="T365" s="297" t="s">
        <v>1426</v>
      </c>
      <c r="U365" s="395" t="s">
        <v>1425</v>
      </c>
      <c r="V365" s="46" t="s">
        <v>1426</v>
      </c>
    </row>
    <row r="366" spans="1:22" x14ac:dyDescent="0.2">
      <c r="A366">
        <v>688986</v>
      </c>
      <c r="B366" s="399" t="s">
        <v>475</v>
      </c>
      <c r="C366" s="297">
        <v>26</v>
      </c>
      <c r="D366" s="394">
        <v>43890</v>
      </c>
      <c r="E366" s="297" t="s">
        <v>1426</v>
      </c>
      <c r="F366" s="394">
        <v>43830</v>
      </c>
      <c r="G366" s="297" t="s">
        <v>1426</v>
      </c>
      <c r="H366" s="297" t="s">
        <v>1426</v>
      </c>
      <c r="I366" s="297" t="s">
        <v>1426</v>
      </c>
      <c r="J366" s="297" t="s">
        <v>1426</v>
      </c>
      <c r="K366" s="297" t="s">
        <v>1426</v>
      </c>
      <c r="L366" s="297" t="s">
        <v>1426</v>
      </c>
      <c r="M366" s="297" t="s">
        <v>1426</v>
      </c>
      <c r="N366" s="297" t="s">
        <v>1426</v>
      </c>
      <c r="O366" s="297" t="s">
        <v>1426</v>
      </c>
      <c r="P366" s="394" t="s">
        <v>1426</v>
      </c>
      <c r="Q366" s="297" t="s">
        <v>1426</v>
      </c>
      <c r="R366" s="297" t="s">
        <v>1426</v>
      </c>
      <c r="S366" s="297" t="s">
        <v>1426</v>
      </c>
      <c r="T366" s="297" t="s">
        <v>1425</v>
      </c>
      <c r="U366" s="297" t="s">
        <v>1426</v>
      </c>
      <c r="V366" s="46" t="s">
        <v>1426</v>
      </c>
    </row>
    <row r="367" spans="1:22" x14ac:dyDescent="0.2">
      <c r="A367">
        <v>690693</v>
      </c>
      <c r="B367" s="399" t="s">
        <v>476</v>
      </c>
      <c r="C367" s="297">
        <v>23</v>
      </c>
      <c r="D367" s="394">
        <v>43890</v>
      </c>
      <c r="E367" s="297" t="s">
        <v>1426</v>
      </c>
      <c r="F367" s="394">
        <v>43830</v>
      </c>
      <c r="G367" s="297" t="s">
        <v>1426</v>
      </c>
      <c r="H367" s="297" t="s">
        <v>1426</v>
      </c>
      <c r="I367" s="297" t="s">
        <v>1426</v>
      </c>
      <c r="J367" s="297" t="s">
        <v>1426</v>
      </c>
      <c r="K367" s="297" t="s">
        <v>1426</v>
      </c>
      <c r="L367" s="297" t="s">
        <v>1426</v>
      </c>
      <c r="M367" s="297" t="s">
        <v>1426</v>
      </c>
      <c r="N367" s="297" t="s">
        <v>1425</v>
      </c>
      <c r="O367" s="297" t="s">
        <v>1426</v>
      </c>
      <c r="P367" s="394" t="s">
        <v>1425</v>
      </c>
      <c r="Q367" s="297" t="s">
        <v>1426</v>
      </c>
      <c r="R367" s="297" t="s">
        <v>1425</v>
      </c>
      <c r="S367" s="297" t="s">
        <v>1425</v>
      </c>
      <c r="T367" s="297" t="s">
        <v>1425</v>
      </c>
      <c r="U367" s="297" t="s">
        <v>1426</v>
      </c>
      <c r="V367" s="46" t="s">
        <v>1426</v>
      </c>
    </row>
    <row r="368" spans="1:22" x14ac:dyDescent="0.2">
      <c r="A368">
        <v>694539</v>
      </c>
      <c r="B368" s="399" t="s">
        <v>477</v>
      </c>
      <c r="C368" s="297">
        <v>24</v>
      </c>
      <c r="D368" s="394">
        <v>43890</v>
      </c>
      <c r="E368" s="297" t="s">
        <v>1425</v>
      </c>
      <c r="F368" s="394">
        <v>43830</v>
      </c>
      <c r="G368" s="297" t="s">
        <v>1426</v>
      </c>
      <c r="H368" s="297" t="s">
        <v>1426</v>
      </c>
      <c r="I368" s="297" t="s">
        <v>1426</v>
      </c>
      <c r="J368" s="297" t="s">
        <v>1426</v>
      </c>
      <c r="K368" s="297" t="s">
        <v>1426</v>
      </c>
      <c r="L368" s="297" t="s">
        <v>1426</v>
      </c>
      <c r="M368" s="297" t="s">
        <v>1426</v>
      </c>
      <c r="N368" s="297" t="s">
        <v>1426</v>
      </c>
      <c r="O368" s="297" t="s">
        <v>1426</v>
      </c>
      <c r="P368" s="394" t="s">
        <v>1426</v>
      </c>
      <c r="Q368" s="297" t="s">
        <v>1426</v>
      </c>
      <c r="R368" s="297" t="s">
        <v>1426</v>
      </c>
      <c r="S368" s="297" t="s">
        <v>1426</v>
      </c>
      <c r="T368" s="297" t="s">
        <v>1425</v>
      </c>
      <c r="U368" s="297" t="s">
        <v>1425</v>
      </c>
      <c r="V368" s="46" t="s">
        <v>1426</v>
      </c>
    </row>
    <row r="369" spans="1:22" x14ac:dyDescent="0.2">
      <c r="A369">
        <v>696898</v>
      </c>
      <c r="B369" s="399" t="s">
        <v>1473</v>
      </c>
      <c r="C369" s="297">
        <v>24</v>
      </c>
      <c r="D369" s="394">
        <v>43890</v>
      </c>
      <c r="E369" s="297" t="s">
        <v>1425</v>
      </c>
      <c r="F369" s="394">
        <v>43830</v>
      </c>
      <c r="G369" s="297" t="s">
        <v>1426</v>
      </c>
      <c r="H369" s="297" t="s">
        <v>1426</v>
      </c>
      <c r="I369" s="297" t="s">
        <v>1426</v>
      </c>
      <c r="J369" s="297" t="s">
        <v>1426</v>
      </c>
      <c r="K369" s="297" t="s">
        <v>1425</v>
      </c>
      <c r="L369" s="297" t="s">
        <v>1426</v>
      </c>
      <c r="M369" s="297" t="s">
        <v>1426</v>
      </c>
      <c r="N369" s="297" t="s">
        <v>1425</v>
      </c>
      <c r="O369" s="297" t="s">
        <v>1425</v>
      </c>
      <c r="P369" s="394" t="s">
        <v>1425</v>
      </c>
      <c r="Q369" s="297" t="s">
        <v>1425</v>
      </c>
      <c r="R369" s="297" t="s">
        <v>1425</v>
      </c>
      <c r="S369" s="297" t="s">
        <v>1425</v>
      </c>
      <c r="T369" s="297" t="s">
        <v>1426</v>
      </c>
      <c r="U369" s="297" t="s">
        <v>1425</v>
      </c>
      <c r="V369" s="46" t="s">
        <v>1426</v>
      </c>
    </row>
    <row r="370" spans="1:22" x14ac:dyDescent="0.2">
      <c r="A370">
        <v>698952</v>
      </c>
      <c r="B370" s="399" t="s">
        <v>621</v>
      </c>
      <c r="C370" s="297">
        <v>21</v>
      </c>
      <c r="D370" s="394">
        <v>43890</v>
      </c>
      <c r="E370" s="297" t="s">
        <v>1426</v>
      </c>
      <c r="F370" s="394">
        <v>43830</v>
      </c>
      <c r="G370" s="297" t="s">
        <v>1426</v>
      </c>
      <c r="H370" s="297" t="s">
        <v>1426</v>
      </c>
      <c r="I370" s="297" t="s">
        <v>1426</v>
      </c>
      <c r="J370" s="297" t="s">
        <v>1426</v>
      </c>
      <c r="K370" s="297" t="s">
        <v>1426</v>
      </c>
      <c r="L370" s="297" t="s">
        <v>1426</v>
      </c>
      <c r="M370" s="297" t="s">
        <v>1426</v>
      </c>
      <c r="N370" s="297" t="s">
        <v>1426</v>
      </c>
      <c r="O370" s="297" t="s">
        <v>1426</v>
      </c>
      <c r="P370" s="394" t="s">
        <v>1426</v>
      </c>
      <c r="Q370" s="297" t="s">
        <v>1426</v>
      </c>
      <c r="R370" s="297" t="s">
        <v>1426</v>
      </c>
      <c r="S370" s="297" t="s">
        <v>1426</v>
      </c>
      <c r="T370" s="297" t="s">
        <v>1425</v>
      </c>
      <c r="U370" s="297" t="s">
        <v>1425</v>
      </c>
      <c r="V370" s="46" t="s">
        <v>1426</v>
      </c>
    </row>
    <row r="371" spans="1:22" x14ac:dyDescent="0.2">
      <c r="A371">
        <v>700310</v>
      </c>
      <c r="B371" s="399" t="s">
        <v>478</v>
      </c>
      <c r="C371" s="297"/>
      <c r="D371" s="394"/>
      <c r="E371" s="297" t="s">
        <v>1425</v>
      </c>
      <c r="F371" s="394">
        <v>43830</v>
      </c>
      <c r="G371" s="297" t="s">
        <v>1426</v>
      </c>
      <c r="H371" s="297" t="s">
        <v>1426</v>
      </c>
      <c r="I371" s="297" t="s">
        <v>1426</v>
      </c>
      <c r="J371" s="297" t="s">
        <v>1426</v>
      </c>
      <c r="K371" s="297" t="s">
        <v>1426</v>
      </c>
      <c r="L371" s="297" t="s">
        <v>1426</v>
      </c>
      <c r="M371" s="297" t="s">
        <v>1425</v>
      </c>
      <c r="N371" s="297" t="s">
        <v>1425</v>
      </c>
      <c r="O371" s="297" t="s">
        <v>1426</v>
      </c>
      <c r="P371" s="394" t="s">
        <v>1425</v>
      </c>
      <c r="Q371" s="297" t="s">
        <v>1426</v>
      </c>
      <c r="R371" s="297" t="s">
        <v>1426</v>
      </c>
      <c r="S371" s="297" t="s">
        <v>1425</v>
      </c>
      <c r="T371" s="297" t="s">
        <v>1426</v>
      </c>
      <c r="U371" s="297" t="s">
        <v>1425</v>
      </c>
      <c r="V371" s="46" t="s">
        <v>1425</v>
      </c>
    </row>
    <row r="372" spans="1:22" x14ac:dyDescent="0.2">
      <c r="A372">
        <v>707281</v>
      </c>
      <c r="B372" s="399" t="s">
        <v>480</v>
      </c>
      <c r="C372" s="297">
        <v>23</v>
      </c>
      <c r="D372" s="394">
        <v>43890</v>
      </c>
      <c r="E372" s="297" t="s">
        <v>1426</v>
      </c>
      <c r="F372" s="394">
        <v>43830</v>
      </c>
      <c r="G372" s="297" t="s">
        <v>1426</v>
      </c>
      <c r="H372" s="297" t="s">
        <v>1426</v>
      </c>
      <c r="I372" s="297" t="s">
        <v>1426</v>
      </c>
      <c r="J372" s="297" t="s">
        <v>1425</v>
      </c>
      <c r="K372" s="297" t="s">
        <v>1425</v>
      </c>
      <c r="L372" s="297" t="s">
        <v>1425</v>
      </c>
      <c r="M372" s="297" t="s">
        <v>1425</v>
      </c>
      <c r="N372" s="297" t="s">
        <v>1425</v>
      </c>
      <c r="O372" s="297" t="s">
        <v>1425</v>
      </c>
      <c r="P372" s="394" t="s">
        <v>1425</v>
      </c>
      <c r="Q372" s="297" t="s">
        <v>1425</v>
      </c>
      <c r="R372" s="297" t="s">
        <v>1425</v>
      </c>
      <c r="S372" s="297" t="s">
        <v>1425</v>
      </c>
      <c r="T372" s="297" t="s">
        <v>1425</v>
      </c>
      <c r="U372" s="297" t="s">
        <v>1425</v>
      </c>
      <c r="V372" s="46" t="s">
        <v>1425</v>
      </c>
    </row>
    <row r="373" spans="1:22" x14ac:dyDescent="0.2">
      <c r="A373">
        <v>715955</v>
      </c>
      <c r="B373" s="399" t="s">
        <v>1354</v>
      </c>
      <c r="C373" s="297">
        <v>28</v>
      </c>
      <c r="D373" s="394">
        <v>43890</v>
      </c>
      <c r="E373" s="297" t="s">
        <v>1425</v>
      </c>
      <c r="F373" s="394">
        <v>43830</v>
      </c>
      <c r="G373" s="297" t="s">
        <v>1425</v>
      </c>
      <c r="H373" s="297" t="s">
        <v>1425</v>
      </c>
      <c r="I373" s="297" t="s">
        <v>1426</v>
      </c>
      <c r="J373" s="297" t="s">
        <v>1426</v>
      </c>
      <c r="K373" s="297" t="s">
        <v>1426</v>
      </c>
      <c r="L373" s="297" t="s">
        <v>1425</v>
      </c>
      <c r="M373" s="297" t="s">
        <v>1425</v>
      </c>
      <c r="N373" s="297" t="s">
        <v>1425</v>
      </c>
      <c r="O373" s="297" t="s">
        <v>1425</v>
      </c>
      <c r="P373" s="394" t="s">
        <v>1425</v>
      </c>
      <c r="Q373" s="297" t="s">
        <v>1425</v>
      </c>
      <c r="R373" s="297" t="s">
        <v>1425</v>
      </c>
      <c r="S373" s="297" t="s">
        <v>1425</v>
      </c>
      <c r="T373" s="297" t="s">
        <v>1425</v>
      </c>
      <c r="U373" s="297" t="s">
        <v>1425</v>
      </c>
      <c r="V373" s="46" t="s">
        <v>1425</v>
      </c>
    </row>
    <row r="374" spans="1:22" x14ac:dyDescent="0.2">
      <c r="A374">
        <v>717496</v>
      </c>
      <c r="B374" s="399" t="s">
        <v>481</v>
      </c>
      <c r="C374" s="297">
        <v>26</v>
      </c>
      <c r="D374" s="394">
        <v>43890</v>
      </c>
      <c r="E374" s="297" t="s">
        <v>1425</v>
      </c>
      <c r="F374" s="394">
        <v>43830</v>
      </c>
      <c r="G374" s="297" t="s">
        <v>1425</v>
      </c>
      <c r="H374" s="297" t="s">
        <v>1425</v>
      </c>
      <c r="I374" s="297" t="s">
        <v>1425</v>
      </c>
      <c r="J374" s="297" t="s">
        <v>1426</v>
      </c>
      <c r="K374" s="297" t="s">
        <v>1426</v>
      </c>
      <c r="L374" s="297" t="s">
        <v>1425</v>
      </c>
      <c r="M374" s="297" t="s">
        <v>1425</v>
      </c>
      <c r="N374" s="297" t="s">
        <v>1425</v>
      </c>
      <c r="O374" s="297" t="s">
        <v>1425</v>
      </c>
      <c r="P374" s="394" t="s">
        <v>1425</v>
      </c>
      <c r="Q374" s="297" t="s">
        <v>1425</v>
      </c>
      <c r="R374" s="297" t="s">
        <v>1425</v>
      </c>
      <c r="S374" s="297" t="s">
        <v>1425</v>
      </c>
      <c r="T374" s="297" t="s">
        <v>1425</v>
      </c>
      <c r="U374" s="297" t="s">
        <v>1425</v>
      </c>
      <c r="V374" s="46" t="s">
        <v>1425</v>
      </c>
    </row>
    <row r="375" spans="1:22" x14ac:dyDescent="0.2">
      <c r="A375">
        <v>717611</v>
      </c>
      <c r="B375" s="399" t="s">
        <v>482</v>
      </c>
      <c r="C375" s="297"/>
      <c r="D375" s="394"/>
      <c r="E375" s="297"/>
      <c r="F375" s="394"/>
      <c r="G375" s="297" t="s">
        <v>1426</v>
      </c>
      <c r="H375" s="297" t="s">
        <v>1426</v>
      </c>
      <c r="I375" s="297" t="s">
        <v>1425</v>
      </c>
      <c r="J375" s="297" t="s">
        <v>1426</v>
      </c>
      <c r="K375" s="297" t="s">
        <v>1426</v>
      </c>
      <c r="L375" s="297" t="s">
        <v>1426</v>
      </c>
      <c r="M375" s="297" t="s">
        <v>1426</v>
      </c>
      <c r="N375" s="297" t="s">
        <v>1426</v>
      </c>
      <c r="O375" s="297" t="s">
        <v>1426</v>
      </c>
      <c r="P375" s="394" t="s">
        <v>1426</v>
      </c>
      <c r="Q375" s="297" t="s">
        <v>1426</v>
      </c>
      <c r="R375" s="297" t="s">
        <v>1425</v>
      </c>
      <c r="S375" s="297" t="s">
        <v>1426</v>
      </c>
      <c r="T375" s="297" t="s">
        <v>1425</v>
      </c>
      <c r="U375" s="297" t="s">
        <v>1425</v>
      </c>
      <c r="V375" s="46" t="s">
        <v>1426</v>
      </c>
    </row>
    <row r="376" spans="1:22" x14ac:dyDescent="0.2">
      <c r="A376">
        <v>717900</v>
      </c>
      <c r="B376" s="399" t="s">
        <v>483</v>
      </c>
      <c r="C376" s="297"/>
      <c r="D376" s="394"/>
      <c r="E376" s="297" t="s">
        <v>1425</v>
      </c>
      <c r="F376" s="394">
        <v>43830</v>
      </c>
      <c r="G376" s="297" t="s">
        <v>1425</v>
      </c>
      <c r="H376" s="297" t="s">
        <v>1425</v>
      </c>
      <c r="I376" s="297" t="s">
        <v>1426</v>
      </c>
      <c r="J376" s="297" t="s">
        <v>1426</v>
      </c>
      <c r="K376" s="297" t="s">
        <v>1425</v>
      </c>
      <c r="L376" s="297" t="s">
        <v>1425</v>
      </c>
      <c r="M376" s="297" t="s">
        <v>1425</v>
      </c>
      <c r="N376" s="297" t="s">
        <v>1425</v>
      </c>
      <c r="O376" s="297" t="s">
        <v>1425</v>
      </c>
      <c r="P376" s="394" t="s">
        <v>1425</v>
      </c>
      <c r="Q376" s="297" t="s">
        <v>1425</v>
      </c>
      <c r="R376" s="297" t="s">
        <v>1425</v>
      </c>
      <c r="S376" s="297" t="s">
        <v>1425</v>
      </c>
      <c r="T376" s="297" t="s">
        <v>1425</v>
      </c>
      <c r="U376" s="395" t="s">
        <v>1425</v>
      </c>
      <c r="V376" s="46" t="s">
        <v>1425</v>
      </c>
    </row>
    <row r="377" spans="1:22" x14ac:dyDescent="0.2">
      <c r="A377">
        <v>718205</v>
      </c>
      <c r="B377" s="399" t="s">
        <v>484</v>
      </c>
      <c r="C377" s="297">
        <v>20</v>
      </c>
      <c r="D377" s="394">
        <v>43799</v>
      </c>
      <c r="E377" s="297" t="s">
        <v>1425</v>
      </c>
      <c r="F377" s="394">
        <v>43830</v>
      </c>
      <c r="G377" s="297" t="s">
        <v>1426</v>
      </c>
      <c r="H377" s="297" t="s">
        <v>1426</v>
      </c>
      <c r="I377" s="297" t="s">
        <v>1426</v>
      </c>
      <c r="J377" s="297" t="s">
        <v>1426</v>
      </c>
      <c r="K377" s="297" t="s">
        <v>1426</v>
      </c>
      <c r="L377" s="297" t="s">
        <v>1426</v>
      </c>
      <c r="M377" s="297" t="s">
        <v>1426</v>
      </c>
      <c r="N377" s="297" t="s">
        <v>1426</v>
      </c>
      <c r="O377" s="297" t="s">
        <v>1426</v>
      </c>
      <c r="P377" s="394" t="s">
        <v>1426</v>
      </c>
      <c r="Q377" s="297" t="s">
        <v>1426</v>
      </c>
      <c r="R377" s="297" t="s">
        <v>1426</v>
      </c>
      <c r="S377" s="297" t="s">
        <v>1425</v>
      </c>
      <c r="T377" s="297" t="s">
        <v>1425</v>
      </c>
      <c r="U377" s="297" t="s">
        <v>1425</v>
      </c>
      <c r="V377" s="46" t="s">
        <v>1426</v>
      </c>
    </row>
    <row r="378" spans="1:22" x14ac:dyDescent="0.2">
      <c r="A378">
        <v>719674</v>
      </c>
      <c r="B378" s="399" t="s">
        <v>151</v>
      </c>
      <c r="C378" s="297">
        <v>21</v>
      </c>
      <c r="D378" s="394">
        <v>43890</v>
      </c>
      <c r="E378" s="297" t="s">
        <v>1426</v>
      </c>
      <c r="F378" s="394">
        <v>43830</v>
      </c>
      <c r="G378" s="297" t="s">
        <v>1426</v>
      </c>
      <c r="H378" s="297" t="s">
        <v>1426</v>
      </c>
      <c r="I378" s="297" t="s">
        <v>1426</v>
      </c>
      <c r="J378" s="297" t="s">
        <v>1426</v>
      </c>
      <c r="K378" s="297" t="s">
        <v>1426</v>
      </c>
      <c r="L378" s="297" t="s">
        <v>1426</v>
      </c>
      <c r="M378" s="297" t="s">
        <v>1426</v>
      </c>
      <c r="N378" s="297" t="s">
        <v>1426</v>
      </c>
      <c r="O378" s="297" t="s">
        <v>1426</v>
      </c>
      <c r="P378" s="394" t="s">
        <v>1426</v>
      </c>
      <c r="Q378" s="297" t="s">
        <v>1426</v>
      </c>
      <c r="R378" s="297" t="s">
        <v>1425</v>
      </c>
      <c r="S378" s="297" t="s">
        <v>1426</v>
      </c>
      <c r="T378" s="297" t="s">
        <v>1425</v>
      </c>
      <c r="U378" s="297" t="s">
        <v>1425</v>
      </c>
      <c r="V378" s="46" t="s">
        <v>1426</v>
      </c>
    </row>
    <row r="379" spans="1:22" x14ac:dyDescent="0.2">
      <c r="A379">
        <v>720201</v>
      </c>
      <c r="B379" s="399" t="s">
        <v>1526</v>
      </c>
      <c r="C379" s="297">
        <v>27</v>
      </c>
      <c r="D379" s="394">
        <v>43890</v>
      </c>
      <c r="E379" s="297" t="s">
        <v>1425</v>
      </c>
      <c r="F379" s="394">
        <v>43830</v>
      </c>
      <c r="G379" s="297" t="s">
        <v>1426</v>
      </c>
      <c r="H379" s="297" t="s">
        <v>1426</v>
      </c>
      <c r="I379" s="297" t="s">
        <v>1426</v>
      </c>
      <c r="J379" s="297" t="s">
        <v>1426</v>
      </c>
      <c r="K379" s="297" t="s">
        <v>1426</v>
      </c>
      <c r="L379" s="297" t="s">
        <v>1425</v>
      </c>
      <c r="M379" s="297" t="s">
        <v>1425</v>
      </c>
      <c r="N379" s="297" t="s">
        <v>1425</v>
      </c>
      <c r="O379" s="297" t="s">
        <v>1425</v>
      </c>
      <c r="P379" s="394" t="s">
        <v>1426</v>
      </c>
      <c r="Q379" s="297" t="s">
        <v>1426</v>
      </c>
      <c r="R379" s="297" t="s">
        <v>1425</v>
      </c>
      <c r="S379" s="297" t="s">
        <v>1425</v>
      </c>
      <c r="T379" s="297" t="s">
        <v>1426</v>
      </c>
      <c r="U379" s="297" t="s">
        <v>1426</v>
      </c>
      <c r="V379" s="46" t="s">
        <v>1426</v>
      </c>
    </row>
    <row r="380" spans="1:22" x14ac:dyDescent="0.2">
      <c r="A380">
        <v>721035</v>
      </c>
      <c r="B380" s="399" t="s">
        <v>485</v>
      </c>
      <c r="C380" s="297">
        <v>22</v>
      </c>
      <c r="D380" s="394">
        <v>43890</v>
      </c>
      <c r="E380" s="297" t="s">
        <v>1425</v>
      </c>
      <c r="F380" s="394">
        <v>43830</v>
      </c>
      <c r="G380" s="297" t="s">
        <v>1426</v>
      </c>
      <c r="H380" s="297" t="s">
        <v>1426</v>
      </c>
      <c r="I380" s="297" t="s">
        <v>1426</v>
      </c>
      <c r="J380" s="297" t="s">
        <v>1426</v>
      </c>
      <c r="K380" s="297" t="s">
        <v>1426</v>
      </c>
      <c r="L380" s="297" t="s">
        <v>1426</v>
      </c>
      <c r="M380" s="297" t="s">
        <v>1425</v>
      </c>
      <c r="N380" s="297" t="s">
        <v>1425</v>
      </c>
      <c r="O380" s="297" t="s">
        <v>1425</v>
      </c>
      <c r="P380" s="394" t="s">
        <v>1425</v>
      </c>
      <c r="Q380" s="297" t="s">
        <v>1425</v>
      </c>
      <c r="R380" s="297" t="s">
        <v>1425</v>
      </c>
      <c r="S380" s="297" t="s">
        <v>1425</v>
      </c>
      <c r="T380" s="297" t="s">
        <v>1425</v>
      </c>
      <c r="U380" s="297" t="s">
        <v>1425</v>
      </c>
      <c r="V380" s="46" t="s">
        <v>1425</v>
      </c>
    </row>
    <row r="381" spans="1:22" x14ac:dyDescent="0.2">
      <c r="A381">
        <v>721506</v>
      </c>
      <c r="B381" s="399" t="s">
        <v>486</v>
      </c>
      <c r="C381" s="297"/>
      <c r="D381" s="394"/>
      <c r="E381" s="297" t="s">
        <v>1425</v>
      </c>
      <c r="F381" s="394">
        <v>43830</v>
      </c>
      <c r="G381" s="297" t="s">
        <v>1426</v>
      </c>
      <c r="H381" s="297" t="s">
        <v>1426</v>
      </c>
      <c r="I381" s="297" t="s">
        <v>1426</v>
      </c>
      <c r="J381" s="297" t="s">
        <v>1426</v>
      </c>
      <c r="K381" s="297" t="s">
        <v>1426</v>
      </c>
      <c r="L381" s="297" t="s">
        <v>1426</v>
      </c>
      <c r="M381" s="297" t="s">
        <v>1426</v>
      </c>
      <c r="N381" s="297" t="s">
        <v>1426</v>
      </c>
      <c r="O381" s="297" t="s">
        <v>1426</v>
      </c>
      <c r="P381" s="394" t="s">
        <v>1426</v>
      </c>
      <c r="Q381" s="297" t="s">
        <v>1426</v>
      </c>
      <c r="R381" s="297" t="s">
        <v>1426</v>
      </c>
      <c r="S381" s="297" t="s">
        <v>1426</v>
      </c>
      <c r="T381" s="297" t="s">
        <v>1425</v>
      </c>
      <c r="U381" s="297" t="s">
        <v>1425</v>
      </c>
      <c r="V381" s="46" t="s">
        <v>1426</v>
      </c>
    </row>
    <row r="382" spans="1:22" x14ac:dyDescent="0.2">
      <c r="A382">
        <v>721746</v>
      </c>
      <c r="B382" s="399" t="s">
        <v>1385</v>
      </c>
      <c r="C382" s="297"/>
      <c r="D382" s="394"/>
      <c r="E382" s="297" t="s">
        <v>1425</v>
      </c>
      <c r="F382" s="394">
        <v>43830</v>
      </c>
      <c r="G382" s="297" t="s">
        <v>1427</v>
      </c>
      <c r="H382" s="297" t="s">
        <v>1427</v>
      </c>
      <c r="I382" s="297" t="s">
        <v>1427</v>
      </c>
      <c r="J382" s="297" t="s">
        <v>1427</v>
      </c>
      <c r="K382" s="297" t="s">
        <v>1427</v>
      </c>
      <c r="L382" s="297" t="s">
        <v>1427</v>
      </c>
      <c r="M382" s="297" t="s">
        <v>1427</v>
      </c>
      <c r="N382" s="297" t="s">
        <v>1427</v>
      </c>
      <c r="O382" s="297" t="s">
        <v>1427</v>
      </c>
      <c r="P382" s="394" t="s">
        <v>1427</v>
      </c>
      <c r="Q382" s="297" t="s">
        <v>1427</v>
      </c>
      <c r="R382" s="297" t="s">
        <v>1427</v>
      </c>
      <c r="S382" s="297" t="s">
        <v>1427</v>
      </c>
      <c r="T382" s="297" t="s">
        <v>1427</v>
      </c>
      <c r="U382" s="297" t="s">
        <v>1427</v>
      </c>
      <c r="V382" s="46" t="s">
        <v>1427</v>
      </c>
    </row>
    <row r="383" spans="1:22" x14ac:dyDescent="0.2">
      <c r="A383">
        <v>723270</v>
      </c>
      <c r="B383" s="399" t="s">
        <v>487</v>
      </c>
      <c r="C383" s="297">
        <v>24</v>
      </c>
      <c r="D383" s="394">
        <v>43890</v>
      </c>
      <c r="E383" s="297" t="s">
        <v>1425</v>
      </c>
      <c r="F383" s="394">
        <v>43830</v>
      </c>
      <c r="G383" s="297" t="s">
        <v>1426</v>
      </c>
      <c r="H383" s="297" t="s">
        <v>1426</v>
      </c>
      <c r="I383" s="297" t="s">
        <v>1426</v>
      </c>
      <c r="J383" s="297" t="s">
        <v>1426</v>
      </c>
      <c r="K383" s="297" t="s">
        <v>1426</v>
      </c>
      <c r="L383" s="297" t="s">
        <v>1426</v>
      </c>
      <c r="M383" s="297" t="s">
        <v>1425</v>
      </c>
      <c r="N383" s="297" t="s">
        <v>1425</v>
      </c>
      <c r="O383" s="297" t="s">
        <v>1426</v>
      </c>
      <c r="P383" s="394" t="s">
        <v>1425</v>
      </c>
      <c r="Q383" s="297" t="s">
        <v>1426</v>
      </c>
      <c r="R383" s="297" t="s">
        <v>1425</v>
      </c>
      <c r="S383" s="297" t="s">
        <v>1426</v>
      </c>
      <c r="T383" s="297" t="s">
        <v>1425</v>
      </c>
      <c r="U383" s="297" t="s">
        <v>1425</v>
      </c>
      <c r="V383" s="46" t="s">
        <v>1425</v>
      </c>
    </row>
    <row r="384" spans="1:22" x14ac:dyDescent="0.2">
      <c r="A384">
        <v>726117</v>
      </c>
      <c r="B384" s="399" t="s">
        <v>488</v>
      </c>
      <c r="C384" s="297"/>
      <c r="D384" s="394"/>
      <c r="E384" s="297" t="s">
        <v>1425</v>
      </c>
      <c r="F384" s="394">
        <v>43830</v>
      </c>
      <c r="G384" s="297" t="s">
        <v>1426</v>
      </c>
      <c r="H384" s="297" t="s">
        <v>1426</v>
      </c>
      <c r="I384" s="297" t="s">
        <v>1426</v>
      </c>
      <c r="J384" s="297" t="s">
        <v>1426</v>
      </c>
      <c r="K384" s="297" t="s">
        <v>1426</v>
      </c>
      <c r="L384" s="297" t="s">
        <v>1426</v>
      </c>
      <c r="M384" s="297" t="s">
        <v>1425</v>
      </c>
      <c r="N384" s="297" t="s">
        <v>1425</v>
      </c>
      <c r="O384" s="297" t="s">
        <v>1426</v>
      </c>
      <c r="P384" s="394" t="s">
        <v>1425</v>
      </c>
      <c r="Q384" s="297" t="s">
        <v>1425</v>
      </c>
      <c r="R384" s="297" t="s">
        <v>1425</v>
      </c>
      <c r="S384" s="297" t="s">
        <v>1426</v>
      </c>
      <c r="T384" s="297" t="s">
        <v>1425</v>
      </c>
      <c r="U384" s="297" t="s">
        <v>1425</v>
      </c>
      <c r="V384" s="46" t="s">
        <v>1425</v>
      </c>
    </row>
    <row r="385" spans="1:22" x14ac:dyDescent="0.2">
      <c r="A385">
        <v>727057</v>
      </c>
      <c r="B385" s="399" t="s">
        <v>489</v>
      </c>
      <c r="C385" s="297">
        <v>23</v>
      </c>
      <c r="D385" s="394">
        <v>43890</v>
      </c>
      <c r="E385" s="297" t="s">
        <v>1426</v>
      </c>
      <c r="F385" s="394">
        <v>43830</v>
      </c>
      <c r="G385" s="297" t="s">
        <v>1426</v>
      </c>
      <c r="H385" s="297" t="s">
        <v>1426</v>
      </c>
      <c r="I385" s="297" t="s">
        <v>1426</v>
      </c>
      <c r="J385" s="297" t="s">
        <v>1426</v>
      </c>
      <c r="K385" s="297" t="s">
        <v>1426</v>
      </c>
      <c r="L385" s="297" t="s">
        <v>1426</v>
      </c>
      <c r="M385" s="297" t="s">
        <v>1425</v>
      </c>
      <c r="N385" s="297" t="s">
        <v>1425</v>
      </c>
      <c r="O385" s="297" t="s">
        <v>1426</v>
      </c>
      <c r="P385" s="394" t="s">
        <v>1425</v>
      </c>
      <c r="Q385" s="297" t="s">
        <v>1426</v>
      </c>
      <c r="R385" s="297" t="s">
        <v>1425</v>
      </c>
      <c r="S385" s="297" t="s">
        <v>1426</v>
      </c>
      <c r="T385" s="297" t="s">
        <v>1425</v>
      </c>
      <c r="U385" s="297" t="s">
        <v>1425</v>
      </c>
      <c r="V385" s="46" t="s">
        <v>1426</v>
      </c>
    </row>
    <row r="386" spans="1:22" x14ac:dyDescent="0.2">
      <c r="A386">
        <v>728824</v>
      </c>
      <c r="B386" s="399" t="s">
        <v>490</v>
      </c>
      <c r="C386" s="297">
        <v>24</v>
      </c>
      <c r="D386" s="394">
        <v>43890</v>
      </c>
      <c r="E386" s="297" t="s">
        <v>1425</v>
      </c>
      <c r="F386" s="394">
        <v>43830</v>
      </c>
      <c r="G386" s="297" t="s">
        <v>1426</v>
      </c>
      <c r="H386" s="297" t="s">
        <v>1426</v>
      </c>
      <c r="I386" s="297" t="s">
        <v>1426</v>
      </c>
      <c r="J386" s="297" t="s">
        <v>1426</v>
      </c>
      <c r="K386" s="297" t="s">
        <v>1426</v>
      </c>
      <c r="L386" s="297" t="s">
        <v>1425</v>
      </c>
      <c r="M386" s="297" t="s">
        <v>1425</v>
      </c>
      <c r="N386" s="297" t="s">
        <v>1425</v>
      </c>
      <c r="O386" s="297" t="s">
        <v>1425</v>
      </c>
      <c r="P386" s="394" t="s">
        <v>1426</v>
      </c>
      <c r="Q386" s="297" t="s">
        <v>1426</v>
      </c>
      <c r="R386" s="297" t="s">
        <v>1425</v>
      </c>
      <c r="S386" s="297" t="s">
        <v>1425</v>
      </c>
      <c r="T386" s="297" t="s">
        <v>1425</v>
      </c>
      <c r="U386" s="297" t="s">
        <v>1425</v>
      </c>
      <c r="V386" s="46" t="s">
        <v>1426</v>
      </c>
    </row>
    <row r="387" spans="1:22" x14ac:dyDescent="0.2">
      <c r="A387">
        <v>734491</v>
      </c>
      <c r="B387" s="399" t="s">
        <v>491</v>
      </c>
      <c r="C387" s="297">
        <v>20</v>
      </c>
      <c r="D387" s="394">
        <v>43890</v>
      </c>
      <c r="E387" s="297" t="s">
        <v>1426</v>
      </c>
      <c r="F387" s="394">
        <v>43830</v>
      </c>
      <c r="G387" s="297" t="s">
        <v>1425</v>
      </c>
      <c r="H387" s="297" t="s">
        <v>1425</v>
      </c>
      <c r="I387" s="297" t="s">
        <v>1426</v>
      </c>
      <c r="J387" s="297" t="s">
        <v>1425</v>
      </c>
      <c r="K387" s="297" t="s">
        <v>1425</v>
      </c>
      <c r="L387" s="297" t="s">
        <v>1425</v>
      </c>
      <c r="M387" s="297" t="s">
        <v>1425</v>
      </c>
      <c r="N387" s="297" t="s">
        <v>1425</v>
      </c>
      <c r="O387" s="297" t="s">
        <v>1425</v>
      </c>
      <c r="P387" s="394" t="s">
        <v>1425</v>
      </c>
      <c r="Q387" s="297" t="s">
        <v>1425</v>
      </c>
      <c r="R387" s="297" t="s">
        <v>1425</v>
      </c>
      <c r="S387" s="297" t="s">
        <v>1425</v>
      </c>
      <c r="T387" s="297" t="s">
        <v>1425</v>
      </c>
      <c r="U387" s="297" t="s">
        <v>1425</v>
      </c>
      <c r="V387" s="46" t="s">
        <v>1425</v>
      </c>
    </row>
    <row r="388" spans="1:22" x14ac:dyDescent="0.2">
      <c r="A388">
        <v>743112</v>
      </c>
      <c r="B388" s="399" t="s">
        <v>493</v>
      </c>
      <c r="C388" s="297">
        <v>23</v>
      </c>
      <c r="D388" s="394">
        <v>43890</v>
      </c>
      <c r="E388" s="297" t="s">
        <v>1426</v>
      </c>
      <c r="F388" s="394">
        <v>43830</v>
      </c>
      <c r="G388" s="297" t="s">
        <v>1426</v>
      </c>
      <c r="H388" s="297" t="s">
        <v>1426</v>
      </c>
      <c r="I388" s="297" t="s">
        <v>1426</v>
      </c>
      <c r="J388" s="297" t="s">
        <v>1425</v>
      </c>
      <c r="K388" s="297" t="s">
        <v>1425</v>
      </c>
      <c r="L388" s="297" t="s">
        <v>1425</v>
      </c>
      <c r="M388" s="297" t="s">
        <v>1425</v>
      </c>
      <c r="N388" s="297" t="s">
        <v>1425</v>
      </c>
      <c r="O388" s="297" t="s">
        <v>1425</v>
      </c>
      <c r="P388" s="394" t="s">
        <v>1425</v>
      </c>
      <c r="Q388" s="297" t="s">
        <v>1425</v>
      </c>
      <c r="R388" s="297" t="s">
        <v>1425</v>
      </c>
      <c r="S388" s="297" t="s">
        <v>1425</v>
      </c>
      <c r="T388" s="297" t="s">
        <v>1425</v>
      </c>
      <c r="U388" s="297" t="s">
        <v>1425</v>
      </c>
      <c r="V388" s="46" t="s">
        <v>1425</v>
      </c>
    </row>
    <row r="389" spans="1:22" x14ac:dyDescent="0.2">
      <c r="A389">
        <v>747899</v>
      </c>
      <c r="B389" s="399" t="s">
        <v>37</v>
      </c>
      <c r="C389" s="297">
        <v>22</v>
      </c>
      <c r="D389" s="394">
        <v>43890</v>
      </c>
      <c r="E389" s="297" t="s">
        <v>1425</v>
      </c>
      <c r="F389" s="394">
        <v>43830</v>
      </c>
      <c r="G389" s="297" t="s">
        <v>1426</v>
      </c>
      <c r="H389" s="297" t="s">
        <v>1426</v>
      </c>
      <c r="I389" s="297" t="s">
        <v>1426</v>
      </c>
      <c r="J389" s="297" t="s">
        <v>1426</v>
      </c>
      <c r="K389" s="297" t="s">
        <v>1426</v>
      </c>
      <c r="L389" s="297" t="s">
        <v>1426</v>
      </c>
      <c r="M389" s="297" t="s">
        <v>1426</v>
      </c>
      <c r="N389" s="297" t="s">
        <v>1426</v>
      </c>
      <c r="O389" s="297" t="s">
        <v>1426</v>
      </c>
      <c r="P389" s="394" t="s">
        <v>1426</v>
      </c>
      <c r="Q389" s="297" t="s">
        <v>1426</v>
      </c>
      <c r="R389" s="297" t="s">
        <v>1425</v>
      </c>
      <c r="S389" s="297" t="s">
        <v>1426</v>
      </c>
      <c r="T389" s="297" t="s">
        <v>1425</v>
      </c>
      <c r="U389" s="297" t="s">
        <v>1425</v>
      </c>
      <c r="V389" s="46" t="s">
        <v>1426</v>
      </c>
    </row>
    <row r="390" spans="1:22" x14ac:dyDescent="0.2">
      <c r="A390">
        <v>749192</v>
      </c>
      <c r="B390" s="399" t="s">
        <v>495</v>
      </c>
      <c r="C390" s="297"/>
      <c r="D390" s="394"/>
      <c r="E390" s="297" t="s">
        <v>1425</v>
      </c>
      <c r="F390" s="394">
        <v>43830</v>
      </c>
      <c r="G390" s="297" t="s">
        <v>1426</v>
      </c>
      <c r="H390" s="297" t="s">
        <v>1426</v>
      </c>
      <c r="I390" s="297" t="s">
        <v>1426</v>
      </c>
      <c r="J390" s="297" t="s">
        <v>1426</v>
      </c>
      <c r="K390" s="297" t="s">
        <v>1426</v>
      </c>
      <c r="L390" s="297" t="s">
        <v>1426</v>
      </c>
      <c r="M390" s="297" t="s">
        <v>1426</v>
      </c>
      <c r="N390" s="297" t="s">
        <v>1426</v>
      </c>
      <c r="O390" s="297" t="s">
        <v>1426</v>
      </c>
      <c r="P390" s="394" t="s">
        <v>1426</v>
      </c>
      <c r="Q390" s="297" t="s">
        <v>1426</v>
      </c>
      <c r="R390" s="297" t="s">
        <v>1425</v>
      </c>
      <c r="S390" s="297" t="s">
        <v>1426</v>
      </c>
      <c r="T390" s="297" t="s">
        <v>1425</v>
      </c>
      <c r="U390" s="297" t="s">
        <v>1425</v>
      </c>
      <c r="V390" s="46" t="s">
        <v>1426</v>
      </c>
    </row>
    <row r="391" spans="1:22" x14ac:dyDescent="0.2">
      <c r="A391">
        <v>750075</v>
      </c>
      <c r="B391" s="399" t="s">
        <v>496</v>
      </c>
      <c r="C391" s="297">
        <v>26</v>
      </c>
      <c r="D391" s="394">
        <v>43890</v>
      </c>
      <c r="E391" s="297" t="s">
        <v>1425</v>
      </c>
      <c r="F391" s="394">
        <v>43830</v>
      </c>
      <c r="G391" s="297" t="s">
        <v>1426</v>
      </c>
      <c r="H391" s="297" t="s">
        <v>1426</v>
      </c>
      <c r="I391" s="297" t="s">
        <v>1426</v>
      </c>
      <c r="J391" s="297" t="s">
        <v>1426</v>
      </c>
      <c r="K391" s="297" t="s">
        <v>1426</v>
      </c>
      <c r="L391" s="297" t="s">
        <v>1426</v>
      </c>
      <c r="M391" s="297" t="s">
        <v>1426</v>
      </c>
      <c r="N391" s="297" t="s">
        <v>1426</v>
      </c>
      <c r="O391" s="297" t="s">
        <v>1426</v>
      </c>
      <c r="P391" s="394" t="s">
        <v>1426</v>
      </c>
      <c r="Q391" s="297" t="s">
        <v>1426</v>
      </c>
      <c r="R391" s="297" t="s">
        <v>1426</v>
      </c>
      <c r="S391" s="297" t="s">
        <v>1426</v>
      </c>
      <c r="T391" s="297" t="s">
        <v>1425</v>
      </c>
      <c r="U391" s="297" t="s">
        <v>1425</v>
      </c>
      <c r="V391" s="46" t="s">
        <v>1426</v>
      </c>
    </row>
    <row r="392" spans="1:22" x14ac:dyDescent="0.2">
      <c r="A392">
        <v>751495</v>
      </c>
      <c r="B392" s="399" t="s">
        <v>497</v>
      </c>
      <c r="C392" s="297">
        <v>24</v>
      </c>
      <c r="D392" s="394">
        <v>43890</v>
      </c>
      <c r="E392" s="297" t="s">
        <v>1425</v>
      </c>
      <c r="F392" s="394">
        <v>43830</v>
      </c>
      <c r="G392" s="297" t="s">
        <v>1426</v>
      </c>
      <c r="H392" s="297" t="s">
        <v>1426</v>
      </c>
      <c r="I392" s="297" t="s">
        <v>1426</v>
      </c>
      <c r="J392" s="297" t="s">
        <v>1426</v>
      </c>
      <c r="K392" s="297" t="s">
        <v>1426</v>
      </c>
      <c r="L392" s="297" t="s">
        <v>1426</v>
      </c>
      <c r="M392" s="297" t="s">
        <v>1426</v>
      </c>
      <c r="N392" s="297" t="s">
        <v>1426</v>
      </c>
      <c r="O392" s="297" t="s">
        <v>1426</v>
      </c>
      <c r="P392" s="394" t="s">
        <v>1426</v>
      </c>
      <c r="Q392" s="297" t="s">
        <v>1426</v>
      </c>
      <c r="R392" s="297" t="s">
        <v>1426</v>
      </c>
      <c r="S392" s="297" t="s">
        <v>1425</v>
      </c>
      <c r="T392" s="297" t="s">
        <v>1425</v>
      </c>
      <c r="U392" s="297" t="s">
        <v>1425</v>
      </c>
      <c r="V392" s="46" t="s">
        <v>1426</v>
      </c>
    </row>
    <row r="393" spans="1:22" x14ac:dyDescent="0.2">
      <c r="A393">
        <v>752204</v>
      </c>
      <c r="B393" s="399" t="s">
        <v>622</v>
      </c>
      <c r="C393" s="297">
        <v>34</v>
      </c>
      <c r="D393" s="394">
        <v>43890</v>
      </c>
      <c r="E393" s="297" t="s">
        <v>1425</v>
      </c>
      <c r="F393" s="394">
        <v>43830</v>
      </c>
      <c r="G393" s="297" t="s">
        <v>1426</v>
      </c>
      <c r="H393" s="297" t="s">
        <v>1426</v>
      </c>
      <c r="I393" s="297" t="s">
        <v>1426</v>
      </c>
      <c r="J393" s="297" t="s">
        <v>1426</v>
      </c>
      <c r="K393" s="297" t="s">
        <v>1426</v>
      </c>
      <c r="L393" s="297" t="s">
        <v>1426</v>
      </c>
      <c r="M393" s="297" t="s">
        <v>1425</v>
      </c>
      <c r="N393" s="297" t="s">
        <v>1425</v>
      </c>
      <c r="O393" s="297" t="s">
        <v>1426</v>
      </c>
      <c r="P393" s="394" t="s">
        <v>1425</v>
      </c>
      <c r="Q393" s="297" t="s">
        <v>1426</v>
      </c>
      <c r="R393" s="297" t="s">
        <v>1425</v>
      </c>
      <c r="S393" s="297" t="s">
        <v>1426</v>
      </c>
      <c r="T393" s="297" t="s">
        <v>1425</v>
      </c>
      <c r="U393" s="297" t="s">
        <v>1425</v>
      </c>
      <c r="V393" s="46" t="s">
        <v>1425</v>
      </c>
    </row>
    <row r="394" spans="1:22" x14ac:dyDescent="0.2">
      <c r="A394">
        <v>753731</v>
      </c>
      <c r="B394" s="399" t="s">
        <v>498</v>
      </c>
      <c r="C394" s="297">
        <v>29</v>
      </c>
      <c r="D394" s="394">
        <v>43890</v>
      </c>
      <c r="E394" s="297" t="s">
        <v>1425</v>
      </c>
      <c r="F394" s="394">
        <v>43830</v>
      </c>
      <c r="G394" s="297" t="s">
        <v>1426</v>
      </c>
      <c r="H394" s="297" t="s">
        <v>1426</v>
      </c>
      <c r="I394" s="297" t="s">
        <v>1426</v>
      </c>
      <c r="J394" s="297" t="s">
        <v>1426</v>
      </c>
      <c r="K394" s="297" t="s">
        <v>1425</v>
      </c>
      <c r="L394" s="297" t="s">
        <v>1425</v>
      </c>
      <c r="M394" s="297" t="s">
        <v>1425</v>
      </c>
      <c r="N394" s="297" t="s">
        <v>1425</v>
      </c>
      <c r="O394" s="297" t="s">
        <v>1425</v>
      </c>
      <c r="P394" s="394" t="s">
        <v>1425</v>
      </c>
      <c r="Q394" s="297" t="s">
        <v>1425</v>
      </c>
      <c r="R394" s="297" t="s">
        <v>1425</v>
      </c>
      <c r="S394" s="297" t="s">
        <v>1425</v>
      </c>
      <c r="T394" s="297" t="s">
        <v>1425</v>
      </c>
      <c r="U394" s="297" t="s">
        <v>1425</v>
      </c>
      <c r="V394" s="46" t="s">
        <v>1425</v>
      </c>
    </row>
    <row r="395" spans="1:22" x14ac:dyDescent="0.2">
      <c r="A395">
        <v>755033</v>
      </c>
      <c r="B395" s="399" t="s">
        <v>499</v>
      </c>
      <c r="C395" s="297">
        <v>22</v>
      </c>
      <c r="D395" s="394">
        <v>43890</v>
      </c>
      <c r="E395" s="297" t="s">
        <v>1425</v>
      </c>
      <c r="F395" s="394">
        <v>43830</v>
      </c>
      <c r="G395" s="297" t="s">
        <v>1426</v>
      </c>
      <c r="H395" s="297" t="s">
        <v>1426</v>
      </c>
      <c r="I395" s="297" t="s">
        <v>1426</v>
      </c>
      <c r="J395" s="297" t="s">
        <v>1426</v>
      </c>
      <c r="K395" s="297" t="s">
        <v>1426</v>
      </c>
      <c r="L395" s="297" t="s">
        <v>1426</v>
      </c>
      <c r="M395" s="297" t="s">
        <v>1426</v>
      </c>
      <c r="N395" s="297" t="s">
        <v>1426</v>
      </c>
      <c r="O395" s="297" t="s">
        <v>1426</v>
      </c>
      <c r="P395" s="394" t="s">
        <v>1426</v>
      </c>
      <c r="Q395" s="297" t="s">
        <v>1426</v>
      </c>
      <c r="R395" s="297" t="s">
        <v>1425</v>
      </c>
      <c r="S395" s="297" t="s">
        <v>1425</v>
      </c>
      <c r="T395" s="297" t="s">
        <v>1425</v>
      </c>
      <c r="U395" s="297" t="s">
        <v>1426</v>
      </c>
      <c r="V395" s="46" t="s">
        <v>1426</v>
      </c>
    </row>
    <row r="396" spans="1:22" x14ac:dyDescent="0.2">
      <c r="A396">
        <v>755090</v>
      </c>
      <c r="B396" s="399" t="s">
        <v>600</v>
      </c>
      <c r="C396" s="297">
        <v>23</v>
      </c>
      <c r="D396" s="394">
        <v>43890</v>
      </c>
      <c r="E396" s="297" t="s">
        <v>1425</v>
      </c>
      <c r="F396" s="394">
        <v>43830</v>
      </c>
      <c r="G396" s="297" t="s">
        <v>1426</v>
      </c>
      <c r="H396" s="297" t="s">
        <v>1426</v>
      </c>
      <c r="I396" s="297" t="s">
        <v>1426</v>
      </c>
      <c r="J396" s="297" t="s">
        <v>1426</v>
      </c>
      <c r="K396" s="297" t="s">
        <v>1426</v>
      </c>
      <c r="L396" s="297" t="s">
        <v>1426</v>
      </c>
      <c r="M396" s="297" t="s">
        <v>1425</v>
      </c>
      <c r="N396" s="297" t="s">
        <v>1425</v>
      </c>
      <c r="O396" s="297" t="s">
        <v>1426</v>
      </c>
      <c r="P396" s="394" t="s">
        <v>1425</v>
      </c>
      <c r="Q396" s="297" t="s">
        <v>1425</v>
      </c>
      <c r="R396" s="297" t="s">
        <v>1425</v>
      </c>
      <c r="S396" s="297" t="s">
        <v>1425</v>
      </c>
      <c r="T396" s="297" t="s">
        <v>1425</v>
      </c>
      <c r="U396" s="297" t="s">
        <v>1425</v>
      </c>
      <c r="V396" s="46" t="s">
        <v>1425</v>
      </c>
    </row>
    <row r="397" spans="1:22" x14ac:dyDescent="0.2">
      <c r="A397">
        <v>755504</v>
      </c>
      <c r="B397" s="399" t="s">
        <v>500</v>
      </c>
      <c r="C397" s="297">
        <v>22</v>
      </c>
      <c r="D397" s="394">
        <v>43890</v>
      </c>
      <c r="E397" s="297" t="s">
        <v>1425</v>
      </c>
      <c r="F397" s="394">
        <v>43830</v>
      </c>
      <c r="G397" s="297" t="s">
        <v>1426</v>
      </c>
      <c r="H397" s="297" t="s">
        <v>1426</v>
      </c>
      <c r="I397" s="297" t="s">
        <v>1426</v>
      </c>
      <c r="J397" s="297" t="s">
        <v>1426</v>
      </c>
      <c r="K397" s="297" t="s">
        <v>1426</v>
      </c>
      <c r="L397" s="297" t="s">
        <v>1426</v>
      </c>
      <c r="M397" s="297" t="s">
        <v>1426</v>
      </c>
      <c r="N397" s="297" t="s">
        <v>1426</v>
      </c>
      <c r="O397" s="297" t="s">
        <v>1426</v>
      </c>
      <c r="P397" s="394" t="s">
        <v>1426</v>
      </c>
      <c r="Q397" s="297" t="s">
        <v>1426</v>
      </c>
      <c r="R397" s="297" t="s">
        <v>1425</v>
      </c>
      <c r="S397" s="297" t="s">
        <v>1426</v>
      </c>
      <c r="T397" s="297" t="s">
        <v>1425</v>
      </c>
      <c r="U397" s="297" t="s">
        <v>1425</v>
      </c>
      <c r="V397" s="46" t="s">
        <v>1426</v>
      </c>
    </row>
    <row r="398" spans="1:22" x14ac:dyDescent="0.2">
      <c r="A398">
        <v>756031</v>
      </c>
      <c r="B398" s="399" t="s">
        <v>1527</v>
      </c>
      <c r="C398" s="297">
        <v>33</v>
      </c>
      <c r="D398" s="394">
        <v>43890</v>
      </c>
      <c r="E398" s="297" t="s">
        <v>1425</v>
      </c>
      <c r="F398" s="394">
        <v>43830</v>
      </c>
      <c r="G398" s="297" t="s">
        <v>1426</v>
      </c>
      <c r="H398" s="297" t="s">
        <v>1426</v>
      </c>
      <c r="I398" s="297" t="s">
        <v>1426</v>
      </c>
      <c r="J398" s="297" t="s">
        <v>1426</v>
      </c>
      <c r="K398" s="297" t="s">
        <v>1426</v>
      </c>
      <c r="L398" s="297" t="s">
        <v>1425</v>
      </c>
      <c r="M398" s="297" t="s">
        <v>1425</v>
      </c>
      <c r="N398" s="297" t="s">
        <v>1425</v>
      </c>
      <c r="O398" s="297" t="s">
        <v>1425</v>
      </c>
      <c r="P398" s="394" t="s">
        <v>1426</v>
      </c>
      <c r="Q398" s="297" t="s">
        <v>1426</v>
      </c>
      <c r="R398" s="297" t="s">
        <v>1425</v>
      </c>
      <c r="S398" s="297" t="s">
        <v>1425</v>
      </c>
      <c r="T398" s="297" t="s">
        <v>1426</v>
      </c>
      <c r="U398" s="297" t="s">
        <v>1425</v>
      </c>
      <c r="V398" s="46" t="s">
        <v>1426</v>
      </c>
    </row>
    <row r="399" spans="1:22" x14ac:dyDescent="0.2">
      <c r="A399">
        <v>757575</v>
      </c>
      <c r="B399" s="399" t="s">
        <v>1386</v>
      </c>
      <c r="C399" s="297">
        <v>24</v>
      </c>
      <c r="D399" s="394">
        <v>43890</v>
      </c>
      <c r="E399" s="297" t="s">
        <v>1426</v>
      </c>
      <c r="F399" s="394">
        <v>43830</v>
      </c>
      <c r="G399" s="297" t="s">
        <v>1427</v>
      </c>
      <c r="H399" s="297" t="s">
        <v>1427</v>
      </c>
      <c r="I399" s="297" t="s">
        <v>1427</v>
      </c>
      <c r="J399" s="297" t="s">
        <v>1427</v>
      </c>
      <c r="K399" s="297" t="s">
        <v>1427</v>
      </c>
      <c r="L399" s="297" t="s">
        <v>1427</v>
      </c>
      <c r="M399" s="297" t="s">
        <v>1427</v>
      </c>
      <c r="N399" s="297" t="s">
        <v>1427</v>
      </c>
      <c r="O399" s="297" t="s">
        <v>1427</v>
      </c>
      <c r="P399" s="394" t="s">
        <v>1427</v>
      </c>
      <c r="Q399" s="297" t="s">
        <v>1427</v>
      </c>
      <c r="R399" s="297" t="s">
        <v>1427</v>
      </c>
      <c r="S399" s="297" t="s">
        <v>1427</v>
      </c>
      <c r="T399" s="297" t="s">
        <v>1427</v>
      </c>
      <c r="U399" s="297" t="s">
        <v>1427</v>
      </c>
      <c r="V399" s="46" t="s">
        <v>1427</v>
      </c>
    </row>
    <row r="400" spans="1:22" x14ac:dyDescent="0.2">
      <c r="A400">
        <v>759100</v>
      </c>
      <c r="B400" s="399" t="s">
        <v>501</v>
      </c>
      <c r="C400" s="297">
        <v>22</v>
      </c>
      <c r="D400" s="394">
        <v>43890</v>
      </c>
      <c r="E400" s="297" t="s">
        <v>1426</v>
      </c>
      <c r="F400" s="394">
        <v>43830</v>
      </c>
      <c r="G400" s="297" t="s">
        <v>1426</v>
      </c>
      <c r="H400" s="297" t="s">
        <v>1426</v>
      </c>
      <c r="I400" s="297" t="s">
        <v>1426</v>
      </c>
      <c r="J400" s="297" t="s">
        <v>1426</v>
      </c>
      <c r="K400" s="297" t="s">
        <v>1426</v>
      </c>
      <c r="L400" s="297" t="s">
        <v>1426</v>
      </c>
      <c r="M400" s="297" t="s">
        <v>1426</v>
      </c>
      <c r="N400" s="297" t="s">
        <v>1426</v>
      </c>
      <c r="O400" s="297" t="s">
        <v>1426</v>
      </c>
      <c r="P400" s="394" t="s">
        <v>1426</v>
      </c>
      <c r="Q400" s="297" t="s">
        <v>1426</v>
      </c>
      <c r="R400" s="297" t="s">
        <v>1426</v>
      </c>
      <c r="S400" s="297" t="s">
        <v>1426</v>
      </c>
      <c r="T400" s="297" t="s">
        <v>1425</v>
      </c>
      <c r="U400" s="297" t="s">
        <v>1425</v>
      </c>
      <c r="V400" s="46" t="s">
        <v>1425</v>
      </c>
    </row>
    <row r="401" spans="1:22" x14ac:dyDescent="0.2">
      <c r="A401">
        <v>764951</v>
      </c>
      <c r="B401" s="399" t="s">
        <v>502</v>
      </c>
      <c r="C401" s="297">
        <v>18</v>
      </c>
      <c r="D401" s="394">
        <v>43890</v>
      </c>
      <c r="E401" s="297" t="s">
        <v>1426</v>
      </c>
      <c r="F401" s="394">
        <v>43830</v>
      </c>
      <c r="G401" s="297" t="s">
        <v>1426</v>
      </c>
      <c r="H401" s="297" t="s">
        <v>1426</v>
      </c>
      <c r="I401" s="297" t="s">
        <v>1426</v>
      </c>
      <c r="J401" s="297" t="s">
        <v>1426</v>
      </c>
      <c r="K401" s="297" t="s">
        <v>1426</v>
      </c>
      <c r="L401" s="297" t="s">
        <v>1426</v>
      </c>
      <c r="M401" s="297" t="s">
        <v>1425</v>
      </c>
      <c r="N401" s="297" t="s">
        <v>1425</v>
      </c>
      <c r="O401" s="297" t="s">
        <v>1426</v>
      </c>
      <c r="P401" s="394" t="s">
        <v>1425</v>
      </c>
      <c r="Q401" s="297" t="s">
        <v>1426</v>
      </c>
      <c r="R401" s="297" t="s">
        <v>1426</v>
      </c>
      <c r="S401" s="297" t="s">
        <v>1425</v>
      </c>
      <c r="T401" s="297" t="s">
        <v>1426</v>
      </c>
      <c r="U401" s="297" t="s">
        <v>1425</v>
      </c>
      <c r="V401" s="46" t="s">
        <v>1425</v>
      </c>
    </row>
    <row r="402" spans="1:22" x14ac:dyDescent="0.2">
      <c r="A402">
        <v>768499</v>
      </c>
      <c r="B402" s="399" t="s">
        <v>1474</v>
      </c>
      <c r="C402" s="297">
        <v>29</v>
      </c>
      <c r="D402" s="394">
        <v>43890</v>
      </c>
      <c r="E402" s="297" t="s">
        <v>1425</v>
      </c>
      <c r="F402" s="394">
        <v>43465</v>
      </c>
      <c r="G402" s="297" t="s">
        <v>1426</v>
      </c>
      <c r="H402" s="297" t="s">
        <v>1426</v>
      </c>
      <c r="I402" s="297" t="s">
        <v>1426</v>
      </c>
      <c r="J402" s="297" t="s">
        <v>1426</v>
      </c>
      <c r="K402" s="297" t="s">
        <v>1426</v>
      </c>
      <c r="L402" s="297" t="s">
        <v>1426</v>
      </c>
      <c r="M402" s="297" t="s">
        <v>1426</v>
      </c>
      <c r="N402" s="297" t="s">
        <v>1425</v>
      </c>
      <c r="O402" s="297" t="s">
        <v>1425</v>
      </c>
      <c r="P402" s="394" t="s">
        <v>1425</v>
      </c>
      <c r="Q402" s="297" t="s">
        <v>1425</v>
      </c>
      <c r="R402" s="297" t="s">
        <v>1425</v>
      </c>
      <c r="S402" s="297" t="s">
        <v>1425</v>
      </c>
      <c r="T402" s="297" t="s">
        <v>1426</v>
      </c>
      <c r="U402" s="297" t="s">
        <v>1425</v>
      </c>
      <c r="V402" s="46" t="s">
        <v>1426</v>
      </c>
    </row>
    <row r="403" spans="1:22" x14ac:dyDescent="0.2">
      <c r="A403">
        <v>768556</v>
      </c>
      <c r="B403" s="399" t="s">
        <v>1475</v>
      </c>
      <c r="C403" s="297">
        <v>26</v>
      </c>
      <c r="D403" s="394">
        <v>43890</v>
      </c>
      <c r="E403" s="297" t="s">
        <v>1425</v>
      </c>
      <c r="F403" s="394">
        <v>43830</v>
      </c>
      <c r="G403" s="297" t="s">
        <v>1426</v>
      </c>
      <c r="H403" s="297" t="s">
        <v>1426</v>
      </c>
      <c r="I403" s="297" t="s">
        <v>1426</v>
      </c>
      <c r="J403" s="297" t="s">
        <v>1426</v>
      </c>
      <c r="K403" s="297" t="s">
        <v>1426</v>
      </c>
      <c r="L403" s="297" t="s">
        <v>1426</v>
      </c>
      <c r="M403" s="297" t="s">
        <v>1426</v>
      </c>
      <c r="N403" s="297" t="s">
        <v>1425</v>
      </c>
      <c r="O403" s="297" t="s">
        <v>1425</v>
      </c>
      <c r="P403" s="394" t="s">
        <v>1425</v>
      </c>
      <c r="Q403" s="297" t="s">
        <v>1425</v>
      </c>
      <c r="R403" s="297" t="s">
        <v>1425</v>
      </c>
      <c r="S403" s="297" t="s">
        <v>1425</v>
      </c>
      <c r="T403" s="297" t="s">
        <v>1425</v>
      </c>
      <c r="U403" s="297" t="s">
        <v>1425</v>
      </c>
      <c r="V403" s="46" t="s">
        <v>1426</v>
      </c>
    </row>
    <row r="404" spans="1:22" x14ac:dyDescent="0.2">
      <c r="A404">
        <v>770263</v>
      </c>
      <c r="B404" s="399" t="s">
        <v>503</v>
      </c>
      <c r="C404" s="297">
        <v>35</v>
      </c>
      <c r="D404" s="394">
        <v>43890</v>
      </c>
      <c r="E404" s="297" t="s">
        <v>1425</v>
      </c>
      <c r="F404" s="394">
        <v>43830</v>
      </c>
      <c r="G404" s="297" t="s">
        <v>1426</v>
      </c>
      <c r="H404" s="297" t="s">
        <v>1426</v>
      </c>
      <c r="I404" s="297" t="s">
        <v>1426</v>
      </c>
      <c r="J404" s="297" t="s">
        <v>1426</v>
      </c>
      <c r="K404" s="297" t="s">
        <v>1426</v>
      </c>
      <c r="L404" s="297" t="s">
        <v>1425</v>
      </c>
      <c r="M404" s="297" t="s">
        <v>1425</v>
      </c>
      <c r="N404" s="297" t="s">
        <v>1425</v>
      </c>
      <c r="O404" s="297" t="s">
        <v>1425</v>
      </c>
      <c r="P404" s="394" t="s">
        <v>1425</v>
      </c>
      <c r="Q404" s="297" t="s">
        <v>1425</v>
      </c>
      <c r="R404" s="297" t="s">
        <v>1425</v>
      </c>
      <c r="S404" s="297" t="s">
        <v>1425</v>
      </c>
      <c r="T404" s="297" t="s">
        <v>1425</v>
      </c>
      <c r="U404" s="297" t="s">
        <v>1425</v>
      </c>
      <c r="V404" s="46" t="s">
        <v>1425</v>
      </c>
    </row>
    <row r="405" spans="1:22" x14ac:dyDescent="0.2">
      <c r="A405">
        <v>771030</v>
      </c>
      <c r="B405" s="399" t="s">
        <v>635</v>
      </c>
      <c r="C405" s="297">
        <v>20</v>
      </c>
      <c r="D405" s="394">
        <v>43890</v>
      </c>
      <c r="E405" s="297" t="s">
        <v>1426</v>
      </c>
      <c r="F405" s="394">
        <v>43830</v>
      </c>
      <c r="G405" s="297" t="s">
        <v>1426</v>
      </c>
      <c r="H405" s="297" t="s">
        <v>1426</v>
      </c>
      <c r="I405" s="297" t="s">
        <v>1426</v>
      </c>
      <c r="J405" s="297" t="s">
        <v>1426</v>
      </c>
      <c r="K405" s="297" t="s">
        <v>1426</v>
      </c>
      <c r="L405" s="297" t="s">
        <v>1426</v>
      </c>
      <c r="M405" s="297" t="s">
        <v>1426</v>
      </c>
      <c r="N405" s="297" t="s">
        <v>1426</v>
      </c>
      <c r="O405" s="297" t="s">
        <v>1426</v>
      </c>
      <c r="P405" s="394" t="s">
        <v>1426</v>
      </c>
      <c r="Q405" s="297" t="s">
        <v>1426</v>
      </c>
      <c r="R405" s="297" t="s">
        <v>1426</v>
      </c>
      <c r="S405" s="297" t="s">
        <v>1426</v>
      </c>
      <c r="T405" s="297" t="s">
        <v>1426</v>
      </c>
      <c r="U405" s="297" t="s">
        <v>1425</v>
      </c>
      <c r="V405" s="46" t="s">
        <v>1426</v>
      </c>
    </row>
    <row r="406" spans="1:22" x14ac:dyDescent="0.2">
      <c r="A406">
        <v>772509</v>
      </c>
      <c r="B406" s="399" t="s">
        <v>504</v>
      </c>
      <c r="C406" s="297">
        <v>26</v>
      </c>
      <c r="D406" s="394">
        <v>43890</v>
      </c>
      <c r="E406" s="297" t="s">
        <v>1425</v>
      </c>
      <c r="F406" s="394">
        <v>43830</v>
      </c>
      <c r="G406" s="297" t="s">
        <v>1426</v>
      </c>
      <c r="H406" s="297" t="s">
        <v>1426</v>
      </c>
      <c r="I406" s="297" t="s">
        <v>1426</v>
      </c>
      <c r="J406" s="297" t="s">
        <v>1426</v>
      </c>
      <c r="K406" s="297" t="s">
        <v>1426</v>
      </c>
      <c r="L406" s="297" t="s">
        <v>1425</v>
      </c>
      <c r="M406" s="297" t="s">
        <v>1425</v>
      </c>
      <c r="N406" s="297" t="s">
        <v>1425</v>
      </c>
      <c r="O406" s="297" t="s">
        <v>1425</v>
      </c>
      <c r="P406" s="394" t="s">
        <v>1425</v>
      </c>
      <c r="Q406" s="297" t="s">
        <v>1425</v>
      </c>
      <c r="R406" s="297" t="s">
        <v>1425</v>
      </c>
      <c r="S406" s="297" t="s">
        <v>1425</v>
      </c>
      <c r="T406" s="297" t="s">
        <v>1425</v>
      </c>
      <c r="U406" s="297" t="s">
        <v>1425</v>
      </c>
      <c r="V406" s="46" t="s">
        <v>1425</v>
      </c>
    </row>
    <row r="407" spans="1:22" x14ac:dyDescent="0.2">
      <c r="A407">
        <v>778944</v>
      </c>
      <c r="B407" s="399" t="s">
        <v>505</v>
      </c>
      <c r="C407" s="297">
        <v>24</v>
      </c>
      <c r="D407" s="394">
        <v>43830</v>
      </c>
      <c r="E407" s="297" t="s">
        <v>1425</v>
      </c>
      <c r="F407" s="394">
        <v>43830</v>
      </c>
      <c r="G407" s="297" t="s">
        <v>1426</v>
      </c>
      <c r="H407" s="297" t="s">
        <v>1426</v>
      </c>
      <c r="I407" s="297" t="s">
        <v>1426</v>
      </c>
      <c r="J407" s="297" t="s">
        <v>1425</v>
      </c>
      <c r="K407" s="297" t="s">
        <v>1425</v>
      </c>
      <c r="L407" s="297" t="s">
        <v>1425</v>
      </c>
      <c r="M407" s="297" t="s">
        <v>1425</v>
      </c>
      <c r="N407" s="297" t="s">
        <v>1425</v>
      </c>
      <c r="O407" s="297" t="s">
        <v>1425</v>
      </c>
      <c r="P407" s="394" t="s">
        <v>1425</v>
      </c>
      <c r="Q407" s="297" t="s">
        <v>1425</v>
      </c>
      <c r="R407" s="297" t="s">
        <v>1425</v>
      </c>
      <c r="S407" s="297" t="s">
        <v>1425</v>
      </c>
      <c r="T407" s="297" t="s">
        <v>1425</v>
      </c>
      <c r="U407" s="297" t="s">
        <v>1425</v>
      </c>
      <c r="V407" s="46" t="s">
        <v>1425</v>
      </c>
    </row>
    <row r="408" spans="1:22" x14ac:dyDescent="0.2">
      <c r="A408">
        <v>780411</v>
      </c>
      <c r="B408" s="399" t="s">
        <v>506</v>
      </c>
      <c r="C408" s="297">
        <v>27</v>
      </c>
      <c r="D408" s="394">
        <v>43890</v>
      </c>
      <c r="E408" s="297" t="s">
        <v>1425</v>
      </c>
      <c r="F408" s="394">
        <v>43830</v>
      </c>
      <c r="G408" s="297" t="s">
        <v>1426</v>
      </c>
      <c r="H408" s="297" t="s">
        <v>1426</v>
      </c>
      <c r="I408" s="297" t="s">
        <v>1426</v>
      </c>
      <c r="J408" s="297" t="s">
        <v>1426</v>
      </c>
      <c r="K408" s="297" t="s">
        <v>1426</v>
      </c>
      <c r="L408" s="297" t="s">
        <v>1426</v>
      </c>
      <c r="M408" s="297" t="s">
        <v>1426</v>
      </c>
      <c r="N408" s="297" t="s">
        <v>1426</v>
      </c>
      <c r="O408" s="297" t="s">
        <v>1426</v>
      </c>
      <c r="P408" s="394" t="s">
        <v>1426</v>
      </c>
      <c r="Q408" s="297" t="s">
        <v>1426</v>
      </c>
      <c r="R408" s="297" t="s">
        <v>1426</v>
      </c>
      <c r="S408" s="297" t="s">
        <v>1426</v>
      </c>
      <c r="T408" s="297" t="s">
        <v>1426</v>
      </c>
      <c r="U408" s="297" t="s">
        <v>1426</v>
      </c>
      <c r="V408" s="46" t="s">
        <v>1426</v>
      </c>
    </row>
    <row r="409" spans="1:22" x14ac:dyDescent="0.2">
      <c r="A409">
        <v>783720</v>
      </c>
      <c r="B409" s="399" t="s">
        <v>38</v>
      </c>
      <c r="C409" s="297">
        <v>22</v>
      </c>
      <c r="D409" s="394">
        <v>43890</v>
      </c>
      <c r="E409" s="297" t="s">
        <v>1425</v>
      </c>
      <c r="F409" s="394">
        <v>43830</v>
      </c>
      <c r="G409" s="297" t="s">
        <v>1426</v>
      </c>
      <c r="H409" s="297" t="s">
        <v>1426</v>
      </c>
      <c r="I409" s="297" t="s">
        <v>1426</v>
      </c>
      <c r="J409" s="297" t="s">
        <v>1426</v>
      </c>
      <c r="K409" s="297" t="s">
        <v>1426</v>
      </c>
      <c r="L409" s="297" t="s">
        <v>1426</v>
      </c>
      <c r="M409" s="297" t="s">
        <v>1426</v>
      </c>
      <c r="N409" s="297" t="s">
        <v>1426</v>
      </c>
      <c r="O409" s="297" t="s">
        <v>1426</v>
      </c>
      <c r="P409" s="394" t="s">
        <v>1426</v>
      </c>
      <c r="Q409" s="297" t="s">
        <v>1426</v>
      </c>
      <c r="R409" s="297" t="s">
        <v>1425</v>
      </c>
      <c r="S409" s="297" t="s">
        <v>1426</v>
      </c>
      <c r="T409" s="297" t="s">
        <v>1425</v>
      </c>
      <c r="U409" s="297" t="s">
        <v>1425</v>
      </c>
      <c r="V409" s="46" t="s">
        <v>1426</v>
      </c>
    </row>
    <row r="410" spans="1:22" x14ac:dyDescent="0.2">
      <c r="A410">
        <v>785022</v>
      </c>
      <c r="B410" s="399" t="s">
        <v>39</v>
      </c>
      <c r="C410" s="297">
        <v>21</v>
      </c>
      <c r="D410" s="394">
        <v>43890</v>
      </c>
      <c r="E410" s="297" t="s">
        <v>1426</v>
      </c>
      <c r="F410" s="394">
        <v>43830</v>
      </c>
      <c r="G410" s="297" t="s">
        <v>1426</v>
      </c>
      <c r="H410" s="297" t="s">
        <v>1426</v>
      </c>
      <c r="I410" s="297" t="s">
        <v>1426</v>
      </c>
      <c r="J410" s="297" t="s">
        <v>1426</v>
      </c>
      <c r="K410" s="297" t="s">
        <v>1426</v>
      </c>
      <c r="L410" s="297" t="s">
        <v>1426</v>
      </c>
      <c r="M410" s="297" t="s">
        <v>1426</v>
      </c>
      <c r="N410" s="297" t="s">
        <v>1426</v>
      </c>
      <c r="O410" s="297" t="s">
        <v>1426</v>
      </c>
      <c r="P410" s="394" t="s">
        <v>1426</v>
      </c>
      <c r="Q410" s="297" t="s">
        <v>1426</v>
      </c>
      <c r="R410" s="297" t="s">
        <v>1425</v>
      </c>
      <c r="S410" s="297" t="s">
        <v>1426</v>
      </c>
      <c r="T410" s="297" t="s">
        <v>1425</v>
      </c>
      <c r="U410" s="297" t="s">
        <v>1425</v>
      </c>
      <c r="V410" s="46" t="s">
        <v>1426</v>
      </c>
    </row>
    <row r="411" spans="1:22" x14ac:dyDescent="0.2">
      <c r="A411">
        <v>785493</v>
      </c>
      <c r="B411" s="399" t="s">
        <v>507</v>
      </c>
      <c r="C411" s="297">
        <v>24</v>
      </c>
      <c r="D411" s="394">
        <v>43890</v>
      </c>
      <c r="E411" s="297" t="s">
        <v>1425</v>
      </c>
      <c r="F411" s="394">
        <v>43830</v>
      </c>
      <c r="G411" s="297" t="s">
        <v>1426</v>
      </c>
      <c r="H411" s="297" t="s">
        <v>1426</v>
      </c>
      <c r="I411" s="297" t="s">
        <v>1426</v>
      </c>
      <c r="J411" s="297" t="s">
        <v>1426</v>
      </c>
      <c r="K411" s="297" t="s">
        <v>1426</v>
      </c>
      <c r="L411" s="297" t="s">
        <v>1426</v>
      </c>
      <c r="M411" s="297" t="s">
        <v>1426</v>
      </c>
      <c r="N411" s="297" t="s">
        <v>1425</v>
      </c>
      <c r="O411" s="297" t="s">
        <v>1426</v>
      </c>
      <c r="P411" s="394" t="s">
        <v>1425</v>
      </c>
      <c r="Q411" s="297" t="s">
        <v>1426</v>
      </c>
      <c r="R411" s="297" t="s">
        <v>1426</v>
      </c>
      <c r="S411" s="297" t="s">
        <v>1425</v>
      </c>
      <c r="T411" s="297" t="s">
        <v>1426</v>
      </c>
      <c r="U411" s="297" t="s">
        <v>1426</v>
      </c>
      <c r="V411" s="46" t="s">
        <v>1425</v>
      </c>
    </row>
    <row r="412" spans="1:22" x14ac:dyDescent="0.2">
      <c r="A412">
        <v>785907</v>
      </c>
      <c r="B412" s="399" t="s">
        <v>508</v>
      </c>
      <c r="C412" s="297">
        <v>23</v>
      </c>
      <c r="D412" s="394">
        <v>43890</v>
      </c>
      <c r="E412" s="297" t="s">
        <v>1426</v>
      </c>
      <c r="F412" s="394">
        <v>43830</v>
      </c>
      <c r="G412" s="297" t="s">
        <v>1426</v>
      </c>
      <c r="H412" s="297" t="s">
        <v>1426</v>
      </c>
      <c r="I412" s="297" t="s">
        <v>1426</v>
      </c>
      <c r="J412" s="297" t="s">
        <v>1426</v>
      </c>
      <c r="K412" s="297" t="s">
        <v>1426</v>
      </c>
      <c r="L412" s="297" t="s">
        <v>1426</v>
      </c>
      <c r="M412" s="297" t="s">
        <v>1426</v>
      </c>
      <c r="N412" s="297" t="s">
        <v>1426</v>
      </c>
      <c r="O412" s="297" t="s">
        <v>1426</v>
      </c>
      <c r="P412" s="394" t="s">
        <v>1426</v>
      </c>
      <c r="Q412" s="297" t="s">
        <v>1426</v>
      </c>
      <c r="R412" s="297" t="s">
        <v>1426</v>
      </c>
      <c r="S412" s="297" t="s">
        <v>1425</v>
      </c>
      <c r="T412" s="297" t="s">
        <v>1425</v>
      </c>
      <c r="U412" s="297" t="s">
        <v>1425</v>
      </c>
      <c r="V412" s="46" t="s">
        <v>1426</v>
      </c>
    </row>
    <row r="413" spans="1:22" x14ac:dyDescent="0.2">
      <c r="A413">
        <v>791863</v>
      </c>
      <c r="B413" s="399" t="s">
        <v>1528</v>
      </c>
      <c r="C413" s="297"/>
      <c r="D413" s="394"/>
      <c r="E413" s="297"/>
      <c r="F413" s="394"/>
      <c r="G413" s="297" t="s">
        <v>1426</v>
      </c>
      <c r="H413" s="297" t="s">
        <v>1426</v>
      </c>
      <c r="I413" s="297" t="s">
        <v>1426</v>
      </c>
      <c r="J413" s="297" t="s">
        <v>1426</v>
      </c>
      <c r="K413" s="297" t="s">
        <v>1426</v>
      </c>
      <c r="L413" s="297" t="s">
        <v>1425</v>
      </c>
      <c r="M413" s="297" t="s">
        <v>1425</v>
      </c>
      <c r="N413" s="297" t="s">
        <v>1425</v>
      </c>
      <c r="O413" s="297" t="s">
        <v>1425</v>
      </c>
      <c r="P413" s="394" t="s">
        <v>1426</v>
      </c>
      <c r="Q413" s="297" t="s">
        <v>1426</v>
      </c>
      <c r="R413" s="297" t="s">
        <v>1425</v>
      </c>
      <c r="S413" s="297" t="s">
        <v>1425</v>
      </c>
      <c r="T413" s="297" t="s">
        <v>1425</v>
      </c>
      <c r="U413" s="297" t="s">
        <v>1425</v>
      </c>
      <c r="V413" s="46" t="s">
        <v>1426</v>
      </c>
    </row>
    <row r="414" spans="1:22" x14ac:dyDescent="0.2">
      <c r="A414">
        <v>792697</v>
      </c>
      <c r="B414" s="399" t="s">
        <v>509</v>
      </c>
      <c r="C414" s="297">
        <v>22</v>
      </c>
      <c r="D414" s="394">
        <v>43890</v>
      </c>
      <c r="E414" s="297" t="s">
        <v>1425</v>
      </c>
      <c r="F414" s="394">
        <v>43830</v>
      </c>
      <c r="G414" s="297" t="s">
        <v>1426</v>
      </c>
      <c r="H414" s="297" t="s">
        <v>1426</v>
      </c>
      <c r="I414" s="297" t="s">
        <v>1426</v>
      </c>
      <c r="J414" s="297" t="s">
        <v>1426</v>
      </c>
      <c r="K414" s="297" t="s">
        <v>1426</v>
      </c>
      <c r="L414" s="297" t="s">
        <v>1426</v>
      </c>
      <c r="M414" s="297" t="s">
        <v>1426</v>
      </c>
      <c r="N414" s="297" t="s">
        <v>1426</v>
      </c>
      <c r="O414" s="297" t="s">
        <v>1426</v>
      </c>
      <c r="P414" s="394" t="s">
        <v>1426</v>
      </c>
      <c r="Q414" s="297" t="s">
        <v>1426</v>
      </c>
      <c r="R414" s="297" t="s">
        <v>1426</v>
      </c>
      <c r="S414" s="297" t="s">
        <v>1426</v>
      </c>
      <c r="T414" s="297" t="s">
        <v>1425</v>
      </c>
      <c r="U414" s="297" t="s">
        <v>1425</v>
      </c>
      <c r="V414" s="46" t="s">
        <v>1425</v>
      </c>
    </row>
    <row r="415" spans="1:22" x14ac:dyDescent="0.2">
      <c r="A415">
        <v>793109</v>
      </c>
      <c r="B415" s="399" t="s">
        <v>510</v>
      </c>
      <c r="C415" s="297">
        <v>22</v>
      </c>
      <c r="D415" s="394">
        <v>43890</v>
      </c>
      <c r="E415" s="297" t="s">
        <v>1426</v>
      </c>
      <c r="F415" s="394">
        <v>43830</v>
      </c>
      <c r="G415" s="297" t="s">
        <v>1426</v>
      </c>
      <c r="H415" s="297" t="s">
        <v>1426</v>
      </c>
      <c r="I415" s="297" t="s">
        <v>1426</v>
      </c>
      <c r="J415" s="297" t="s">
        <v>1426</v>
      </c>
      <c r="K415" s="297" t="s">
        <v>1426</v>
      </c>
      <c r="L415" s="297" t="s">
        <v>1426</v>
      </c>
      <c r="M415" s="297" t="s">
        <v>1425</v>
      </c>
      <c r="N415" s="297" t="s">
        <v>1425</v>
      </c>
      <c r="O415" s="297" t="s">
        <v>1426</v>
      </c>
      <c r="P415" s="394" t="s">
        <v>1425</v>
      </c>
      <c r="Q415" s="297" t="s">
        <v>1426</v>
      </c>
      <c r="R415" s="297" t="s">
        <v>1426</v>
      </c>
      <c r="S415" s="297" t="s">
        <v>1425</v>
      </c>
      <c r="T415" s="297" t="s">
        <v>1426</v>
      </c>
      <c r="U415" s="297" t="s">
        <v>1425</v>
      </c>
      <c r="V415" s="46" t="s">
        <v>1425</v>
      </c>
    </row>
    <row r="416" spans="1:22" x14ac:dyDescent="0.2">
      <c r="A416">
        <v>804385</v>
      </c>
      <c r="B416" s="399" t="s">
        <v>1476</v>
      </c>
      <c r="C416" s="297">
        <v>23</v>
      </c>
      <c r="D416" s="394">
        <v>43890</v>
      </c>
      <c r="E416" s="297" t="s">
        <v>1425</v>
      </c>
      <c r="F416" s="394">
        <v>43830</v>
      </c>
      <c r="G416" s="297" t="s">
        <v>1426</v>
      </c>
      <c r="H416" s="297" t="s">
        <v>1426</v>
      </c>
      <c r="I416" s="297" t="s">
        <v>1426</v>
      </c>
      <c r="J416" s="297" t="s">
        <v>1426</v>
      </c>
      <c r="K416" s="297" t="s">
        <v>1426</v>
      </c>
      <c r="L416" s="297" t="s">
        <v>1426</v>
      </c>
      <c r="M416" s="297" t="s">
        <v>1426</v>
      </c>
      <c r="N416" s="297" t="s">
        <v>1425</v>
      </c>
      <c r="O416" s="297" t="s">
        <v>1425</v>
      </c>
      <c r="P416" s="394" t="s">
        <v>1425</v>
      </c>
      <c r="Q416" s="297" t="s">
        <v>1425</v>
      </c>
      <c r="R416" s="297" t="s">
        <v>1425</v>
      </c>
      <c r="S416" s="297" t="s">
        <v>1425</v>
      </c>
      <c r="T416" s="297" t="s">
        <v>1425</v>
      </c>
      <c r="U416" s="297" t="s">
        <v>1425</v>
      </c>
      <c r="V416" s="46" t="s">
        <v>1426</v>
      </c>
    </row>
    <row r="417" spans="1:22" x14ac:dyDescent="0.2">
      <c r="A417">
        <v>806869</v>
      </c>
      <c r="B417" s="399" t="s">
        <v>511</v>
      </c>
      <c r="C417" s="297">
        <v>21</v>
      </c>
      <c r="D417" s="394">
        <v>43890</v>
      </c>
      <c r="E417" s="297" t="s">
        <v>1426</v>
      </c>
      <c r="F417" s="394">
        <v>43830</v>
      </c>
      <c r="G417" s="297" t="s">
        <v>1426</v>
      </c>
      <c r="H417" s="297" t="s">
        <v>1426</v>
      </c>
      <c r="I417" s="297" t="s">
        <v>1426</v>
      </c>
      <c r="J417" s="297" t="s">
        <v>1426</v>
      </c>
      <c r="K417" s="297" t="s">
        <v>1426</v>
      </c>
      <c r="L417" s="297" t="s">
        <v>1426</v>
      </c>
      <c r="M417" s="297" t="s">
        <v>1426</v>
      </c>
      <c r="N417" s="297" t="s">
        <v>1426</v>
      </c>
      <c r="O417" s="297" t="s">
        <v>1426</v>
      </c>
      <c r="P417" s="394" t="s">
        <v>1426</v>
      </c>
      <c r="Q417" s="297" t="s">
        <v>1426</v>
      </c>
      <c r="R417" s="297" t="s">
        <v>1426</v>
      </c>
      <c r="S417" s="297" t="s">
        <v>1426</v>
      </c>
      <c r="T417" s="297" t="s">
        <v>1426</v>
      </c>
      <c r="U417" s="297" t="s">
        <v>1425</v>
      </c>
      <c r="V417" s="46" t="s">
        <v>1426</v>
      </c>
    </row>
    <row r="418" spans="1:22" x14ac:dyDescent="0.2">
      <c r="A418">
        <v>810465</v>
      </c>
      <c r="B418" s="399" t="s">
        <v>1529</v>
      </c>
      <c r="C418" s="297">
        <v>19</v>
      </c>
      <c r="D418" s="394">
        <v>43890</v>
      </c>
      <c r="E418" s="297" t="s">
        <v>1426</v>
      </c>
      <c r="F418" s="394">
        <v>43830</v>
      </c>
      <c r="G418" s="297" t="s">
        <v>1426</v>
      </c>
      <c r="H418" s="297" t="s">
        <v>1426</v>
      </c>
      <c r="I418" s="297" t="s">
        <v>1426</v>
      </c>
      <c r="J418" s="297" t="s">
        <v>1426</v>
      </c>
      <c r="K418" s="297" t="s">
        <v>1426</v>
      </c>
      <c r="L418" s="297" t="s">
        <v>1426</v>
      </c>
      <c r="M418" s="297" t="s">
        <v>1426</v>
      </c>
      <c r="N418" s="297" t="s">
        <v>1425</v>
      </c>
      <c r="O418" s="297" t="s">
        <v>1426</v>
      </c>
      <c r="P418" s="394" t="s">
        <v>1426</v>
      </c>
      <c r="Q418" s="297" t="s">
        <v>1426</v>
      </c>
      <c r="R418" s="297" t="s">
        <v>1425</v>
      </c>
      <c r="S418" s="297" t="s">
        <v>1425</v>
      </c>
      <c r="T418" s="297" t="s">
        <v>1425</v>
      </c>
      <c r="U418" s="297" t="s">
        <v>1426</v>
      </c>
      <c r="V418" s="46" t="s">
        <v>1426</v>
      </c>
    </row>
    <row r="419" spans="1:22" x14ac:dyDescent="0.2">
      <c r="A419">
        <v>811117</v>
      </c>
      <c r="B419" s="399" t="s">
        <v>512</v>
      </c>
      <c r="C419" s="297">
        <v>21</v>
      </c>
      <c r="D419" s="394">
        <v>43890</v>
      </c>
      <c r="E419" s="297" t="s">
        <v>1426</v>
      </c>
      <c r="F419" s="394">
        <v>43830</v>
      </c>
      <c r="G419" s="297" t="s">
        <v>1426</v>
      </c>
      <c r="H419" s="297" t="s">
        <v>1426</v>
      </c>
      <c r="I419" s="297" t="s">
        <v>1426</v>
      </c>
      <c r="J419" s="297" t="s">
        <v>1426</v>
      </c>
      <c r="K419" s="297" t="s">
        <v>1426</v>
      </c>
      <c r="L419" s="297" t="s">
        <v>1426</v>
      </c>
      <c r="M419" s="297" t="s">
        <v>1426</v>
      </c>
      <c r="N419" s="297" t="s">
        <v>1426</v>
      </c>
      <c r="O419" s="297" t="s">
        <v>1426</v>
      </c>
      <c r="P419" s="394" t="s">
        <v>1426</v>
      </c>
      <c r="Q419" s="297" t="s">
        <v>1426</v>
      </c>
      <c r="R419" s="297" t="s">
        <v>1426</v>
      </c>
      <c r="S419" s="297" t="s">
        <v>1425</v>
      </c>
      <c r="T419" s="297" t="s">
        <v>1425</v>
      </c>
      <c r="U419" s="297" t="s">
        <v>1425</v>
      </c>
      <c r="V419" s="46" t="s">
        <v>1426</v>
      </c>
    </row>
    <row r="420" spans="1:22" x14ac:dyDescent="0.2">
      <c r="A420">
        <v>814772</v>
      </c>
      <c r="B420" s="399" t="s">
        <v>513</v>
      </c>
      <c r="C420" s="297">
        <v>24</v>
      </c>
      <c r="D420" s="394">
        <v>43830</v>
      </c>
      <c r="E420" s="297" t="s">
        <v>1425</v>
      </c>
      <c r="F420" s="394">
        <v>43830</v>
      </c>
      <c r="G420" s="297" t="s">
        <v>1426</v>
      </c>
      <c r="H420" s="297" t="s">
        <v>1426</v>
      </c>
      <c r="I420" s="297" t="s">
        <v>1426</v>
      </c>
      <c r="J420" s="297" t="s">
        <v>1425</v>
      </c>
      <c r="K420" s="297" t="s">
        <v>1425</v>
      </c>
      <c r="L420" s="297" t="s">
        <v>1425</v>
      </c>
      <c r="M420" s="297" t="s">
        <v>1425</v>
      </c>
      <c r="N420" s="297" t="s">
        <v>1425</v>
      </c>
      <c r="O420" s="297" t="s">
        <v>1425</v>
      </c>
      <c r="P420" s="394" t="s">
        <v>1425</v>
      </c>
      <c r="Q420" s="297" t="s">
        <v>1425</v>
      </c>
      <c r="R420" s="297" t="s">
        <v>1425</v>
      </c>
      <c r="S420" s="297" t="s">
        <v>1425</v>
      </c>
      <c r="T420" s="297" t="s">
        <v>1425</v>
      </c>
      <c r="U420" s="297" t="s">
        <v>1425</v>
      </c>
      <c r="V420" s="46" t="s">
        <v>1425</v>
      </c>
    </row>
    <row r="421" spans="1:22" x14ac:dyDescent="0.2">
      <c r="A421">
        <v>814947</v>
      </c>
      <c r="B421" s="399" t="s">
        <v>1477</v>
      </c>
      <c r="C421" s="297">
        <v>20</v>
      </c>
      <c r="D421" s="394">
        <v>43890</v>
      </c>
      <c r="E421" s="297" t="s">
        <v>1426</v>
      </c>
      <c r="F421" s="394">
        <v>43830</v>
      </c>
      <c r="G421" s="297" t="s">
        <v>1426</v>
      </c>
      <c r="H421" s="297" t="s">
        <v>1426</v>
      </c>
      <c r="I421" s="297" t="s">
        <v>1426</v>
      </c>
      <c r="J421" s="297" t="s">
        <v>1426</v>
      </c>
      <c r="K421" s="297" t="s">
        <v>1426</v>
      </c>
      <c r="L421" s="297" t="s">
        <v>1426</v>
      </c>
      <c r="M421" s="297" t="s">
        <v>1425</v>
      </c>
      <c r="N421" s="297" t="s">
        <v>1425</v>
      </c>
      <c r="O421" s="297" t="s">
        <v>1425</v>
      </c>
      <c r="P421" s="394" t="s">
        <v>1425</v>
      </c>
      <c r="Q421" s="297" t="s">
        <v>1425</v>
      </c>
      <c r="R421" s="297" t="s">
        <v>1425</v>
      </c>
      <c r="S421" s="297" t="s">
        <v>1425</v>
      </c>
      <c r="T421" s="297" t="s">
        <v>1425</v>
      </c>
      <c r="U421" s="297" t="s">
        <v>1425</v>
      </c>
      <c r="V421" s="46" t="s">
        <v>1426</v>
      </c>
    </row>
    <row r="422" spans="1:22" x14ac:dyDescent="0.2">
      <c r="A422">
        <v>819557</v>
      </c>
      <c r="B422" s="399" t="s">
        <v>514</v>
      </c>
      <c r="C422" s="297"/>
      <c r="D422" s="394"/>
      <c r="E422" s="297" t="s">
        <v>1425</v>
      </c>
      <c r="F422" s="394">
        <v>43830</v>
      </c>
      <c r="G422" s="297" t="s">
        <v>1426</v>
      </c>
      <c r="H422" s="297" t="s">
        <v>1426</v>
      </c>
      <c r="I422" s="297" t="s">
        <v>1426</v>
      </c>
      <c r="J422" s="297" t="s">
        <v>1426</v>
      </c>
      <c r="K422" s="297" t="s">
        <v>1426</v>
      </c>
      <c r="L422" s="297" t="s">
        <v>1426</v>
      </c>
      <c r="M422" s="297" t="s">
        <v>1426</v>
      </c>
      <c r="N422" s="297" t="s">
        <v>1426</v>
      </c>
      <c r="O422" s="297" t="s">
        <v>1426</v>
      </c>
      <c r="P422" s="394" t="s">
        <v>1426</v>
      </c>
      <c r="Q422" s="297" t="s">
        <v>1426</v>
      </c>
      <c r="R422" s="297" t="s">
        <v>1425</v>
      </c>
      <c r="S422" s="297" t="s">
        <v>1426</v>
      </c>
      <c r="T422" s="297" t="s">
        <v>1425</v>
      </c>
      <c r="U422" s="297" t="s">
        <v>1425</v>
      </c>
      <c r="V422" s="46" t="s">
        <v>1426</v>
      </c>
    </row>
    <row r="423" spans="1:22" x14ac:dyDescent="0.2">
      <c r="A423">
        <v>820852</v>
      </c>
      <c r="B423" s="399" t="s">
        <v>515</v>
      </c>
      <c r="C423" s="297">
        <v>21</v>
      </c>
      <c r="D423" s="394">
        <v>43890</v>
      </c>
      <c r="E423" s="297" t="s">
        <v>1426</v>
      </c>
      <c r="F423" s="394">
        <v>43830</v>
      </c>
      <c r="G423" s="297" t="s">
        <v>1426</v>
      </c>
      <c r="H423" s="297" t="s">
        <v>1426</v>
      </c>
      <c r="I423" s="297" t="s">
        <v>1426</v>
      </c>
      <c r="J423" s="297" t="s">
        <v>1426</v>
      </c>
      <c r="K423" s="297" t="s">
        <v>1426</v>
      </c>
      <c r="L423" s="297" t="s">
        <v>1426</v>
      </c>
      <c r="M423" s="297" t="s">
        <v>1425</v>
      </c>
      <c r="N423" s="297" t="s">
        <v>1425</v>
      </c>
      <c r="O423" s="297" t="s">
        <v>1426</v>
      </c>
      <c r="P423" s="394" t="s">
        <v>1425</v>
      </c>
      <c r="Q423" s="297" t="s">
        <v>1426</v>
      </c>
      <c r="R423" s="297" t="s">
        <v>1425</v>
      </c>
      <c r="S423" s="297" t="s">
        <v>1426</v>
      </c>
      <c r="T423" s="297" t="s">
        <v>1425</v>
      </c>
      <c r="U423" s="297" t="s">
        <v>1425</v>
      </c>
      <c r="V423" s="46" t="s">
        <v>1425</v>
      </c>
    </row>
    <row r="424" spans="1:22" x14ac:dyDescent="0.2">
      <c r="A424">
        <v>823039</v>
      </c>
      <c r="B424" s="399" t="s">
        <v>516</v>
      </c>
      <c r="C424" s="297">
        <v>30</v>
      </c>
      <c r="D424" s="394">
        <v>43890</v>
      </c>
      <c r="E424" s="297" t="s">
        <v>1425</v>
      </c>
      <c r="F424" s="394">
        <v>43830</v>
      </c>
      <c r="G424" s="297" t="s">
        <v>1426</v>
      </c>
      <c r="H424" s="297" t="s">
        <v>1426</v>
      </c>
      <c r="I424" s="297" t="s">
        <v>1426</v>
      </c>
      <c r="J424" s="297" t="s">
        <v>1426</v>
      </c>
      <c r="K424" s="297" t="s">
        <v>1426</v>
      </c>
      <c r="L424" s="297" t="s">
        <v>1426</v>
      </c>
      <c r="M424" s="297" t="s">
        <v>1425</v>
      </c>
      <c r="N424" s="297" t="s">
        <v>1425</v>
      </c>
      <c r="O424" s="297" t="s">
        <v>1426</v>
      </c>
      <c r="P424" s="394" t="s">
        <v>1425</v>
      </c>
      <c r="Q424" s="297" t="s">
        <v>1425</v>
      </c>
      <c r="R424" s="297" t="s">
        <v>1425</v>
      </c>
      <c r="S424" s="297" t="s">
        <v>1426</v>
      </c>
      <c r="T424" s="297" t="s">
        <v>1425</v>
      </c>
      <c r="U424" s="297" t="s">
        <v>1425</v>
      </c>
      <c r="V424" s="46" t="s">
        <v>1425</v>
      </c>
    </row>
    <row r="425" spans="1:22" x14ac:dyDescent="0.2">
      <c r="A425">
        <v>823096</v>
      </c>
      <c r="B425" s="399" t="s">
        <v>517</v>
      </c>
      <c r="C425" s="297">
        <v>23</v>
      </c>
      <c r="D425" s="394">
        <v>43890</v>
      </c>
      <c r="E425" s="297" t="s">
        <v>1426</v>
      </c>
      <c r="F425" s="394">
        <v>43830</v>
      </c>
      <c r="G425" s="297" t="s">
        <v>1426</v>
      </c>
      <c r="H425" s="297" t="s">
        <v>1426</v>
      </c>
      <c r="I425" s="297" t="s">
        <v>1426</v>
      </c>
      <c r="J425" s="297" t="s">
        <v>1426</v>
      </c>
      <c r="K425" s="297" t="s">
        <v>1426</v>
      </c>
      <c r="L425" s="297" t="s">
        <v>1426</v>
      </c>
      <c r="M425" s="297" t="s">
        <v>1425</v>
      </c>
      <c r="N425" s="297" t="s">
        <v>1425</v>
      </c>
      <c r="O425" s="297" t="s">
        <v>1425</v>
      </c>
      <c r="P425" s="394" t="s">
        <v>1425</v>
      </c>
      <c r="Q425" s="297" t="s">
        <v>1425</v>
      </c>
      <c r="R425" s="297" t="s">
        <v>1425</v>
      </c>
      <c r="S425" s="297" t="s">
        <v>1425</v>
      </c>
      <c r="T425" s="297" t="s">
        <v>1425</v>
      </c>
      <c r="U425" s="297" t="s">
        <v>1425</v>
      </c>
      <c r="V425" s="46" t="s">
        <v>1426</v>
      </c>
    </row>
    <row r="426" spans="1:22" x14ac:dyDescent="0.2">
      <c r="A426">
        <v>825109</v>
      </c>
      <c r="B426" s="399" t="s">
        <v>518</v>
      </c>
      <c r="C426" s="297">
        <v>32</v>
      </c>
      <c r="D426" s="394">
        <v>43890</v>
      </c>
      <c r="E426" s="297" t="s">
        <v>1425</v>
      </c>
      <c r="F426" s="394">
        <v>43830</v>
      </c>
      <c r="G426" s="297" t="s">
        <v>1426</v>
      </c>
      <c r="H426" s="297" t="s">
        <v>1426</v>
      </c>
      <c r="I426" s="297" t="s">
        <v>1426</v>
      </c>
      <c r="J426" s="297" t="s">
        <v>1426</v>
      </c>
      <c r="K426" s="297" t="s">
        <v>1426</v>
      </c>
      <c r="L426" s="297" t="s">
        <v>1426</v>
      </c>
      <c r="M426" s="297" t="s">
        <v>1425</v>
      </c>
      <c r="N426" s="297" t="s">
        <v>1425</v>
      </c>
      <c r="O426" s="297" t="s">
        <v>1426</v>
      </c>
      <c r="P426" s="394" t="s">
        <v>1425</v>
      </c>
      <c r="Q426" s="297" t="s">
        <v>1426</v>
      </c>
      <c r="R426" s="297" t="s">
        <v>1425</v>
      </c>
      <c r="S426" s="297" t="s">
        <v>1426</v>
      </c>
      <c r="T426" s="297" t="s">
        <v>1425</v>
      </c>
      <c r="U426" s="297" t="s">
        <v>1425</v>
      </c>
      <c r="V426" s="46" t="s">
        <v>1425</v>
      </c>
    </row>
    <row r="427" spans="1:22" x14ac:dyDescent="0.2">
      <c r="A427">
        <v>827691</v>
      </c>
      <c r="B427" s="399" t="s">
        <v>1530</v>
      </c>
      <c r="C427" s="297">
        <v>21</v>
      </c>
      <c r="D427" s="394">
        <v>43890</v>
      </c>
      <c r="E427" s="297" t="s">
        <v>1426</v>
      </c>
      <c r="F427" s="394">
        <v>43830</v>
      </c>
      <c r="G427" s="297" t="s">
        <v>1426</v>
      </c>
      <c r="H427" s="297" t="s">
        <v>1426</v>
      </c>
      <c r="I427" s="297" t="s">
        <v>1426</v>
      </c>
      <c r="J427" s="297" t="s">
        <v>1426</v>
      </c>
      <c r="K427" s="297" t="s">
        <v>1426</v>
      </c>
      <c r="L427" s="297" t="s">
        <v>1426</v>
      </c>
      <c r="M427" s="297" t="s">
        <v>1426</v>
      </c>
      <c r="N427" s="297" t="s">
        <v>1425</v>
      </c>
      <c r="O427" s="297" t="s">
        <v>1425</v>
      </c>
      <c r="P427" s="394" t="s">
        <v>1426</v>
      </c>
      <c r="Q427" s="297" t="s">
        <v>1426</v>
      </c>
      <c r="R427" s="297" t="s">
        <v>1425</v>
      </c>
      <c r="S427" s="297" t="s">
        <v>1425</v>
      </c>
      <c r="T427" s="297" t="s">
        <v>1426</v>
      </c>
      <c r="U427" s="297" t="s">
        <v>1426</v>
      </c>
      <c r="V427" s="46" t="s">
        <v>1426</v>
      </c>
    </row>
    <row r="428" spans="1:22" x14ac:dyDescent="0.2">
      <c r="A428">
        <v>829945</v>
      </c>
      <c r="B428" s="399" t="s">
        <v>520</v>
      </c>
      <c r="C428" s="297">
        <v>21</v>
      </c>
      <c r="D428" s="394">
        <v>43890</v>
      </c>
      <c r="E428" s="297" t="s">
        <v>1425</v>
      </c>
      <c r="F428" s="394">
        <v>43830</v>
      </c>
      <c r="G428" s="297" t="s">
        <v>1426</v>
      </c>
      <c r="H428" s="297" t="s">
        <v>1426</v>
      </c>
      <c r="I428" s="297" t="s">
        <v>1426</v>
      </c>
      <c r="J428" s="297" t="s">
        <v>1426</v>
      </c>
      <c r="K428" s="297" t="s">
        <v>1426</v>
      </c>
      <c r="L428" s="297" t="s">
        <v>1426</v>
      </c>
      <c r="M428" s="297" t="s">
        <v>1425</v>
      </c>
      <c r="N428" s="297" t="s">
        <v>1425</v>
      </c>
      <c r="O428" s="297" t="s">
        <v>1425</v>
      </c>
      <c r="P428" s="394" t="s">
        <v>1425</v>
      </c>
      <c r="Q428" s="297" t="s">
        <v>1425</v>
      </c>
      <c r="R428" s="297" t="s">
        <v>1425</v>
      </c>
      <c r="S428" s="297" t="s">
        <v>1425</v>
      </c>
      <c r="T428" s="297" t="s">
        <v>1425</v>
      </c>
      <c r="U428" s="297" t="s">
        <v>1425</v>
      </c>
      <c r="V428" s="46" t="s">
        <v>1426</v>
      </c>
    </row>
    <row r="429" spans="1:22" x14ac:dyDescent="0.2">
      <c r="A429">
        <v>832360</v>
      </c>
      <c r="B429" s="399" t="s">
        <v>521</v>
      </c>
      <c r="C429" s="297">
        <v>22</v>
      </c>
      <c r="D429" s="394">
        <v>43890</v>
      </c>
      <c r="E429" s="297" t="s">
        <v>1426</v>
      </c>
      <c r="F429" s="394">
        <v>43830</v>
      </c>
      <c r="G429" s="297" t="s">
        <v>1426</v>
      </c>
      <c r="H429" s="297" t="s">
        <v>1426</v>
      </c>
      <c r="I429" s="297" t="s">
        <v>1426</v>
      </c>
      <c r="J429" s="297" t="s">
        <v>1425</v>
      </c>
      <c r="K429" s="297" t="s">
        <v>1425</v>
      </c>
      <c r="L429" s="297" t="s">
        <v>1425</v>
      </c>
      <c r="M429" s="297" t="s">
        <v>1425</v>
      </c>
      <c r="N429" s="297" t="s">
        <v>1425</v>
      </c>
      <c r="O429" s="297" t="s">
        <v>1425</v>
      </c>
      <c r="P429" s="394" t="s">
        <v>1425</v>
      </c>
      <c r="Q429" s="297" t="s">
        <v>1425</v>
      </c>
      <c r="R429" s="297" t="s">
        <v>1425</v>
      </c>
      <c r="S429" s="297" t="s">
        <v>1425</v>
      </c>
      <c r="T429" s="297" t="s">
        <v>1425</v>
      </c>
      <c r="U429" s="297" t="s">
        <v>1425</v>
      </c>
      <c r="V429" s="46" t="s">
        <v>1425</v>
      </c>
    </row>
    <row r="430" spans="1:22" x14ac:dyDescent="0.2">
      <c r="A430">
        <v>832717</v>
      </c>
      <c r="B430" s="399" t="s">
        <v>601</v>
      </c>
      <c r="C430" s="297"/>
      <c r="D430" s="394"/>
      <c r="E430" s="297" t="s">
        <v>1425</v>
      </c>
      <c r="F430" s="394">
        <v>43830</v>
      </c>
      <c r="G430" s="297" t="s">
        <v>1426</v>
      </c>
      <c r="H430" s="297" t="s">
        <v>1426</v>
      </c>
      <c r="I430" s="297" t="s">
        <v>1426</v>
      </c>
      <c r="J430" s="297" t="s">
        <v>1426</v>
      </c>
      <c r="K430" s="297" t="s">
        <v>1426</v>
      </c>
      <c r="L430" s="297" t="s">
        <v>1426</v>
      </c>
      <c r="M430" s="297" t="s">
        <v>1426</v>
      </c>
      <c r="N430" s="297" t="s">
        <v>1426</v>
      </c>
      <c r="O430" s="297" t="s">
        <v>1426</v>
      </c>
      <c r="P430" s="394" t="s">
        <v>1426</v>
      </c>
      <c r="Q430" s="297" t="s">
        <v>1426</v>
      </c>
      <c r="R430" s="297" t="s">
        <v>1426</v>
      </c>
      <c r="S430" s="297" t="s">
        <v>1426</v>
      </c>
      <c r="T430" s="297" t="s">
        <v>1425</v>
      </c>
      <c r="U430" s="297" t="s">
        <v>1425</v>
      </c>
      <c r="V430" s="46" t="s">
        <v>1425</v>
      </c>
    </row>
    <row r="431" spans="1:22" x14ac:dyDescent="0.2">
      <c r="A431">
        <v>834788</v>
      </c>
      <c r="B431" s="399" t="s">
        <v>522</v>
      </c>
      <c r="C431" s="297">
        <v>34</v>
      </c>
      <c r="D431" s="394">
        <v>43890</v>
      </c>
      <c r="E431" s="297" t="s">
        <v>1425</v>
      </c>
      <c r="F431" s="394">
        <v>43830</v>
      </c>
      <c r="G431" s="297" t="s">
        <v>1426</v>
      </c>
      <c r="H431" s="297" t="s">
        <v>1426</v>
      </c>
      <c r="I431" s="297" t="s">
        <v>1426</v>
      </c>
      <c r="J431" s="297" t="s">
        <v>1426</v>
      </c>
      <c r="K431" s="297" t="s">
        <v>1426</v>
      </c>
      <c r="L431" s="297" t="s">
        <v>1426</v>
      </c>
      <c r="M431" s="297" t="s">
        <v>1426</v>
      </c>
      <c r="N431" s="297" t="s">
        <v>1426</v>
      </c>
      <c r="O431" s="297" t="s">
        <v>1426</v>
      </c>
      <c r="P431" s="394" t="s">
        <v>1425</v>
      </c>
      <c r="Q431" s="297" t="s">
        <v>1426</v>
      </c>
      <c r="R431" s="297" t="s">
        <v>1425</v>
      </c>
      <c r="S431" s="297" t="s">
        <v>1425</v>
      </c>
      <c r="T431" s="297" t="s">
        <v>1425</v>
      </c>
      <c r="U431" s="297" t="s">
        <v>1425</v>
      </c>
      <c r="V431" s="46" t="s">
        <v>1425</v>
      </c>
    </row>
    <row r="432" spans="1:22" x14ac:dyDescent="0.2">
      <c r="A432">
        <v>838383</v>
      </c>
      <c r="B432" s="399" t="s">
        <v>523</v>
      </c>
      <c r="C432" s="297">
        <v>24</v>
      </c>
      <c r="D432" s="394">
        <v>43890</v>
      </c>
      <c r="E432" s="297" t="s">
        <v>1425</v>
      </c>
      <c r="F432" s="394">
        <v>43830</v>
      </c>
      <c r="G432" s="297" t="s">
        <v>1426</v>
      </c>
      <c r="H432" s="297" t="s">
        <v>1426</v>
      </c>
      <c r="I432" s="297" t="s">
        <v>1426</v>
      </c>
      <c r="J432" s="297" t="s">
        <v>1426</v>
      </c>
      <c r="K432" s="297" t="s">
        <v>1426</v>
      </c>
      <c r="L432" s="297" t="s">
        <v>1426</v>
      </c>
      <c r="M432" s="297" t="s">
        <v>1426</v>
      </c>
      <c r="N432" s="297" t="s">
        <v>1426</v>
      </c>
      <c r="O432" s="297" t="s">
        <v>1426</v>
      </c>
      <c r="P432" s="394" t="s">
        <v>1426</v>
      </c>
      <c r="Q432" s="297" t="s">
        <v>1426</v>
      </c>
      <c r="R432" s="297" t="s">
        <v>1425</v>
      </c>
      <c r="S432" s="297" t="s">
        <v>1425</v>
      </c>
      <c r="T432" s="297" t="s">
        <v>1425</v>
      </c>
      <c r="U432" s="297" t="s">
        <v>1425</v>
      </c>
      <c r="V432" s="46" t="s">
        <v>1425</v>
      </c>
    </row>
    <row r="433" spans="1:22" x14ac:dyDescent="0.2">
      <c r="A433">
        <v>838441</v>
      </c>
      <c r="B433" s="399" t="s">
        <v>524</v>
      </c>
      <c r="C433" s="297">
        <v>21</v>
      </c>
      <c r="D433" s="394">
        <v>43890</v>
      </c>
      <c r="E433" s="297" t="s">
        <v>1426</v>
      </c>
      <c r="F433" s="394">
        <v>43830</v>
      </c>
      <c r="G433" s="297" t="s">
        <v>1426</v>
      </c>
      <c r="H433" s="297" t="s">
        <v>1426</v>
      </c>
      <c r="I433" s="297" t="s">
        <v>1426</v>
      </c>
      <c r="J433" s="297" t="s">
        <v>1426</v>
      </c>
      <c r="K433" s="297" t="s">
        <v>1426</v>
      </c>
      <c r="L433" s="297" t="s">
        <v>1426</v>
      </c>
      <c r="M433" s="297" t="s">
        <v>1426</v>
      </c>
      <c r="N433" s="297" t="s">
        <v>1426</v>
      </c>
      <c r="O433" s="297" t="s">
        <v>1426</v>
      </c>
      <c r="P433" s="394" t="s">
        <v>1426</v>
      </c>
      <c r="Q433" s="297" t="s">
        <v>1426</v>
      </c>
      <c r="R433" s="297" t="s">
        <v>1426</v>
      </c>
      <c r="S433" s="297" t="s">
        <v>1426</v>
      </c>
      <c r="T433" s="297" t="s">
        <v>1425</v>
      </c>
      <c r="U433" s="297" t="s">
        <v>1425</v>
      </c>
      <c r="V433" s="46" t="s">
        <v>1426</v>
      </c>
    </row>
    <row r="434" spans="1:22" x14ac:dyDescent="0.2">
      <c r="A434">
        <v>840033</v>
      </c>
      <c r="B434" s="399" t="s">
        <v>525</v>
      </c>
      <c r="C434" s="297">
        <v>22</v>
      </c>
      <c r="D434" s="394">
        <v>43890</v>
      </c>
      <c r="E434" s="297" t="s">
        <v>1426</v>
      </c>
      <c r="F434" s="394">
        <v>43830</v>
      </c>
      <c r="G434" s="297" t="s">
        <v>1426</v>
      </c>
      <c r="H434" s="297" t="s">
        <v>1426</v>
      </c>
      <c r="I434" s="297" t="s">
        <v>1426</v>
      </c>
      <c r="J434" s="297" t="s">
        <v>1426</v>
      </c>
      <c r="K434" s="297" t="s">
        <v>1426</v>
      </c>
      <c r="L434" s="297" t="s">
        <v>1426</v>
      </c>
      <c r="M434" s="297" t="s">
        <v>1426</v>
      </c>
      <c r="N434" s="297" t="s">
        <v>1426</v>
      </c>
      <c r="O434" s="297" t="s">
        <v>1426</v>
      </c>
      <c r="P434" s="394" t="s">
        <v>1426</v>
      </c>
      <c r="Q434" s="297" t="s">
        <v>1426</v>
      </c>
      <c r="R434" s="297" t="s">
        <v>1426</v>
      </c>
      <c r="S434" s="297" t="s">
        <v>1425</v>
      </c>
      <c r="T434" s="297" t="s">
        <v>1425</v>
      </c>
      <c r="U434" s="297" t="s">
        <v>1425</v>
      </c>
      <c r="V434" s="46" t="s">
        <v>1426</v>
      </c>
    </row>
    <row r="435" spans="1:22" x14ac:dyDescent="0.2">
      <c r="A435">
        <v>840090</v>
      </c>
      <c r="B435" s="399" t="s">
        <v>526</v>
      </c>
      <c r="C435" s="297"/>
      <c r="D435" s="394"/>
      <c r="E435" s="297" t="s">
        <v>1425</v>
      </c>
      <c r="F435" s="394">
        <v>43830</v>
      </c>
      <c r="G435" s="297" t="s">
        <v>1426</v>
      </c>
      <c r="H435" s="297" t="s">
        <v>1426</v>
      </c>
      <c r="I435" s="297" t="s">
        <v>1425</v>
      </c>
      <c r="J435" s="297" t="s">
        <v>1426</v>
      </c>
      <c r="K435" s="297" t="s">
        <v>1426</v>
      </c>
      <c r="L435" s="297" t="s">
        <v>1426</v>
      </c>
      <c r="M435" s="297" t="s">
        <v>1425</v>
      </c>
      <c r="N435" s="297" t="s">
        <v>1425</v>
      </c>
      <c r="O435" s="297" t="s">
        <v>1425</v>
      </c>
      <c r="P435" s="394" t="s">
        <v>1425</v>
      </c>
      <c r="Q435" s="297" t="s">
        <v>1425</v>
      </c>
      <c r="R435" s="297" t="s">
        <v>1425</v>
      </c>
      <c r="S435" s="297" t="s">
        <v>1425</v>
      </c>
      <c r="T435" s="297" t="s">
        <v>1425</v>
      </c>
      <c r="U435" s="297" t="s">
        <v>1425</v>
      </c>
      <c r="V435" s="46" t="s">
        <v>1425</v>
      </c>
    </row>
    <row r="436" spans="1:22" x14ac:dyDescent="0.2">
      <c r="A436">
        <v>842690</v>
      </c>
      <c r="B436" s="399" t="s">
        <v>527</v>
      </c>
      <c r="C436" s="297">
        <v>24</v>
      </c>
      <c r="D436" s="394">
        <v>43890</v>
      </c>
      <c r="E436" s="297" t="s">
        <v>1425</v>
      </c>
      <c r="F436" s="394">
        <v>43830</v>
      </c>
      <c r="G436" s="297" t="s">
        <v>1426</v>
      </c>
      <c r="H436" s="297" t="s">
        <v>1426</v>
      </c>
      <c r="I436" s="297" t="s">
        <v>1426</v>
      </c>
      <c r="J436" s="297" t="s">
        <v>1426</v>
      </c>
      <c r="K436" s="297" t="s">
        <v>1426</v>
      </c>
      <c r="L436" s="297" t="s">
        <v>1426</v>
      </c>
      <c r="M436" s="297" t="s">
        <v>1426</v>
      </c>
      <c r="N436" s="297" t="s">
        <v>1426</v>
      </c>
      <c r="O436" s="297" t="s">
        <v>1426</v>
      </c>
      <c r="P436" s="394" t="s">
        <v>1426</v>
      </c>
      <c r="Q436" s="297" t="s">
        <v>1426</v>
      </c>
      <c r="R436" s="297" t="s">
        <v>1426</v>
      </c>
      <c r="S436" s="297" t="s">
        <v>1426</v>
      </c>
      <c r="T436" s="297" t="s">
        <v>1426</v>
      </c>
      <c r="U436" s="297" t="s">
        <v>1425</v>
      </c>
      <c r="V436" s="46" t="s">
        <v>1426</v>
      </c>
    </row>
    <row r="437" spans="1:22" x14ac:dyDescent="0.2">
      <c r="A437">
        <v>843698</v>
      </c>
      <c r="B437" s="399" t="s">
        <v>528</v>
      </c>
      <c r="C437" s="297">
        <v>25</v>
      </c>
      <c r="D437" s="394">
        <v>43890</v>
      </c>
      <c r="E437" s="297" t="s">
        <v>1425</v>
      </c>
      <c r="F437" s="394">
        <v>43830</v>
      </c>
      <c r="G437" s="297" t="s">
        <v>1426</v>
      </c>
      <c r="H437" s="297" t="s">
        <v>1426</v>
      </c>
      <c r="I437" s="297" t="s">
        <v>1426</v>
      </c>
      <c r="J437" s="297" t="s">
        <v>1426</v>
      </c>
      <c r="K437" s="297" t="s">
        <v>1426</v>
      </c>
      <c r="L437" s="297" t="s">
        <v>1425</v>
      </c>
      <c r="M437" s="297" t="s">
        <v>1425</v>
      </c>
      <c r="N437" s="297" t="s">
        <v>1425</v>
      </c>
      <c r="O437" s="297" t="s">
        <v>1425</v>
      </c>
      <c r="P437" s="394" t="s">
        <v>1425</v>
      </c>
      <c r="Q437" s="297" t="s">
        <v>1425</v>
      </c>
      <c r="R437" s="297" t="s">
        <v>1425</v>
      </c>
      <c r="S437" s="297" t="s">
        <v>1425</v>
      </c>
      <c r="T437" s="297" t="s">
        <v>1425</v>
      </c>
      <c r="U437" s="297" t="s">
        <v>1425</v>
      </c>
      <c r="V437" s="46" t="s">
        <v>1425</v>
      </c>
    </row>
    <row r="438" spans="1:22" x14ac:dyDescent="0.2">
      <c r="A438">
        <v>844100</v>
      </c>
      <c r="B438" s="399" t="s">
        <v>529</v>
      </c>
      <c r="C438" s="297"/>
      <c r="D438" s="394"/>
      <c r="E438" s="297" t="s">
        <v>1425</v>
      </c>
      <c r="F438" s="394">
        <v>43465</v>
      </c>
      <c r="G438" s="297" t="s">
        <v>1426</v>
      </c>
      <c r="H438" s="297" t="s">
        <v>1426</v>
      </c>
      <c r="I438" s="297" t="s">
        <v>1426</v>
      </c>
      <c r="J438" s="297" t="s">
        <v>1426</v>
      </c>
      <c r="K438" s="297" t="s">
        <v>1426</v>
      </c>
      <c r="L438" s="297" t="s">
        <v>1426</v>
      </c>
      <c r="M438" s="297" t="s">
        <v>1426</v>
      </c>
      <c r="N438" s="297" t="s">
        <v>1426</v>
      </c>
      <c r="O438" s="297" t="s">
        <v>1426</v>
      </c>
      <c r="P438" s="394" t="s">
        <v>1426</v>
      </c>
      <c r="Q438" s="297" t="s">
        <v>1426</v>
      </c>
      <c r="R438" s="297" t="s">
        <v>1426</v>
      </c>
      <c r="S438" s="297" t="s">
        <v>1426</v>
      </c>
      <c r="T438" s="297" t="s">
        <v>1425</v>
      </c>
      <c r="U438" s="297" t="s">
        <v>1425</v>
      </c>
      <c r="V438" s="46" t="s">
        <v>1426</v>
      </c>
    </row>
    <row r="439" spans="1:22" x14ac:dyDescent="0.2">
      <c r="A439">
        <v>844522</v>
      </c>
      <c r="B439" s="399" t="s">
        <v>530</v>
      </c>
      <c r="C439" s="297">
        <v>22</v>
      </c>
      <c r="D439" s="394">
        <v>43890</v>
      </c>
      <c r="E439" s="297" t="s">
        <v>1426</v>
      </c>
      <c r="F439" s="394">
        <v>43830</v>
      </c>
      <c r="G439" s="297" t="s">
        <v>1426</v>
      </c>
      <c r="H439" s="297" t="s">
        <v>1426</v>
      </c>
      <c r="I439" s="297" t="s">
        <v>1426</v>
      </c>
      <c r="J439" s="297" t="s">
        <v>1426</v>
      </c>
      <c r="K439" s="297" t="s">
        <v>1426</v>
      </c>
      <c r="L439" s="297" t="s">
        <v>1426</v>
      </c>
      <c r="M439" s="297" t="s">
        <v>1426</v>
      </c>
      <c r="N439" s="297" t="s">
        <v>1426</v>
      </c>
      <c r="O439" s="297" t="s">
        <v>1426</v>
      </c>
      <c r="P439" s="394" t="s">
        <v>1426</v>
      </c>
      <c r="Q439" s="297" t="s">
        <v>1426</v>
      </c>
      <c r="R439" s="297" t="s">
        <v>1426</v>
      </c>
      <c r="S439" s="297" t="s">
        <v>1426</v>
      </c>
      <c r="T439" s="297" t="s">
        <v>1425</v>
      </c>
      <c r="U439" s="297" t="s">
        <v>1425</v>
      </c>
      <c r="V439" s="46" t="s">
        <v>1426</v>
      </c>
    </row>
    <row r="440" spans="1:22" x14ac:dyDescent="0.2">
      <c r="A440">
        <v>846527</v>
      </c>
      <c r="B440" s="399" t="s">
        <v>636</v>
      </c>
      <c r="C440" s="297">
        <v>21</v>
      </c>
      <c r="D440" s="394">
        <v>43890</v>
      </c>
      <c r="E440" s="297" t="s">
        <v>1426</v>
      </c>
      <c r="F440" s="394">
        <v>43830</v>
      </c>
      <c r="G440" s="297" t="s">
        <v>1426</v>
      </c>
      <c r="H440" s="297" t="s">
        <v>1426</v>
      </c>
      <c r="I440" s="297" t="s">
        <v>1426</v>
      </c>
      <c r="J440" s="297" t="s">
        <v>1426</v>
      </c>
      <c r="K440" s="297" t="s">
        <v>1426</v>
      </c>
      <c r="L440" s="297" t="s">
        <v>1426</v>
      </c>
      <c r="M440" s="297" t="s">
        <v>1426</v>
      </c>
      <c r="N440" s="297" t="s">
        <v>1426</v>
      </c>
      <c r="O440" s="297" t="s">
        <v>1426</v>
      </c>
      <c r="P440" s="394" t="s">
        <v>1426</v>
      </c>
      <c r="Q440" s="297" t="s">
        <v>1426</v>
      </c>
      <c r="R440" s="297" t="s">
        <v>1426</v>
      </c>
      <c r="S440" s="297" t="s">
        <v>1426</v>
      </c>
      <c r="T440" s="297" t="s">
        <v>1426</v>
      </c>
      <c r="U440" s="297" t="s">
        <v>1426</v>
      </c>
      <c r="V440" s="46" t="s">
        <v>1426</v>
      </c>
    </row>
    <row r="441" spans="1:22" x14ac:dyDescent="0.2">
      <c r="A441">
        <v>848069</v>
      </c>
      <c r="B441" s="399" t="s">
        <v>1387</v>
      </c>
      <c r="C441" s="297">
        <v>21</v>
      </c>
      <c r="D441" s="394">
        <v>43890</v>
      </c>
      <c r="E441" s="297" t="s">
        <v>1426</v>
      </c>
      <c r="F441" s="394">
        <v>43830</v>
      </c>
      <c r="G441" s="297" t="s">
        <v>1427</v>
      </c>
      <c r="H441" s="297" t="s">
        <v>1427</v>
      </c>
      <c r="I441" s="297" t="s">
        <v>1427</v>
      </c>
      <c r="J441" s="297" t="s">
        <v>1427</v>
      </c>
      <c r="K441" s="297" t="s">
        <v>1427</v>
      </c>
      <c r="L441" s="297" t="s">
        <v>1427</v>
      </c>
      <c r="M441" s="297" t="s">
        <v>1427</v>
      </c>
      <c r="N441" s="297" t="s">
        <v>1427</v>
      </c>
      <c r="O441" s="297" t="s">
        <v>1427</v>
      </c>
      <c r="P441" s="394" t="s">
        <v>1427</v>
      </c>
      <c r="Q441" s="297" t="s">
        <v>1427</v>
      </c>
      <c r="R441" s="297" t="s">
        <v>1427</v>
      </c>
      <c r="S441" s="297" t="s">
        <v>1427</v>
      </c>
      <c r="T441" s="297" t="s">
        <v>1427</v>
      </c>
      <c r="U441" s="297" t="s">
        <v>1427</v>
      </c>
      <c r="V441" s="46" t="s">
        <v>1427</v>
      </c>
    </row>
    <row r="442" spans="1:22" x14ac:dyDescent="0.2">
      <c r="A442">
        <v>848770</v>
      </c>
      <c r="B442" s="399" t="s">
        <v>1342</v>
      </c>
      <c r="C442" s="297">
        <v>21</v>
      </c>
      <c r="D442" s="394">
        <v>43890</v>
      </c>
      <c r="E442" s="297" t="s">
        <v>1425</v>
      </c>
      <c r="F442" s="394">
        <v>43830</v>
      </c>
      <c r="G442" s="297" t="s">
        <v>1427</v>
      </c>
      <c r="H442" s="297" t="s">
        <v>1427</v>
      </c>
      <c r="I442" s="297" t="s">
        <v>1427</v>
      </c>
      <c r="J442" s="297" t="s">
        <v>1427</v>
      </c>
      <c r="K442" s="297" t="s">
        <v>1427</v>
      </c>
      <c r="L442" s="297" t="s">
        <v>1427</v>
      </c>
      <c r="M442" s="297" t="s">
        <v>1427</v>
      </c>
      <c r="N442" s="297" t="s">
        <v>1427</v>
      </c>
      <c r="O442" s="297" t="s">
        <v>1427</v>
      </c>
      <c r="P442" s="394" t="s">
        <v>1427</v>
      </c>
      <c r="Q442" s="297" t="s">
        <v>1427</v>
      </c>
      <c r="R442" s="297" t="s">
        <v>1427</v>
      </c>
      <c r="S442" s="297" t="s">
        <v>1427</v>
      </c>
      <c r="T442" s="297" t="s">
        <v>1427</v>
      </c>
      <c r="U442" s="297" t="s">
        <v>1427</v>
      </c>
      <c r="V442" s="46" t="s">
        <v>1427</v>
      </c>
    </row>
    <row r="443" spans="1:22" x14ac:dyDescent="0.2">
      <c r="A443">
        <v>850776</v>
      </c>
      <c r="B443" s="399" t="s">
        <v>1478</v>
      </c>
      <c r="C443" s="297">
        <v>23</v>
      </c>
      <c r="D443" s="394">
        <v>43890</v>
      </c>
      <c r="E443" s="297" t="s">
        <v>1425</v>
      </c>
      <c r="F443" s="394">
        <v>43830</v>
      </c>
      <c r="G443" s="297" t="s">
        <v>1426</v>
      </c>
      <c r="H443" s="297" t="s">
        <v>1426</v>
      </c>
      <c r="I443" s="297" t="s">
        <v>1426</v>
      </c>
      <c r="J443" s="297" t="s">
        <v>1426</v>
      </c>
      <c r="K443" s="297" t="s">
        <v>1426</v>
      </c>
      <c r="L443" s="297" t="s">
        <v>1426</v>
      </c>
      <c r="M443" s="297" t="s">
        <v>1425</v>
      </c>
      <c r="N443" s="297" t="s">
        <v>1425</v>
      </c>
      <c r="O443" s="297" t="s">
        <v>1425</v>
      </c>
      <c r="P443" s="394" t="s">
        <v>1425</v>
      </c>
      <c r="Q443" s="297" t="s">
        <v>1425</v>
      </c>
      <c r="R443" s="297" t="s">
        <v>1425</v>
      </c>
      <c r="S443" s="297" t="s">
        <v>1425</v>
      </c>
      <c r="T443" s="297" t="s">
        <v>1425</v>
      </c>
      <c r="U443" s="297" t="s">
        <v>1425</v>
      </c>
      <c r="V443" s="46" t="s">
        <v>1426</v>
      </c>
    </row>
    <row r="444" spans="1:22" x14ac:dyDescent="0.2">
      <c r="A444">
        <v>852079</v>
      </c>
      <c r="B444" s="399" t="s">
        <v>531</v>
      </c>
      <c r="C444" s="297">
        <v>17</v>
      </c>
      <c r="D444" s="394">
        <v>43890</v>
      </c>
      <c r="E444" s="297" t="s">
        <v>1425</v>
      </c>
      <c r="F444" s="394">
        <v>43830</v>
      </c>
      <c r="G444" s="297" t="s">
        <v>1426</v>
      </c>
      <c r="H444" s="297" t="s">
        <v>1426</v>
      </c>
      <c r="I444" s="297" t="s">
        <v>1426</v>
      </c>
      <c r="J444" s="297" t="s">
        <v>1426</v>
      </c>
      <c r="K444" s="297" t="s">
        <v>1426</v>
      </c>
      <c r="L444" s="297" t="s">
        <v>1426</v>
      </c>
      <c r="M444" s="297" t="s">
        <v>1426</v>
      </c>
      <c r="N444" s="297" t="s">
        <v>1426</v>
      </c>
      <c r="O444" s="297" t="s">
        <v>1426</v>
      </c>
      <c r="P444" s="394" t="s">
        <v>1426</v>
      </c>
      <c r="Q444" s="297" t="s">
        <v>1426</v>
      </c>
      <c r="R444" s="297" t="s">
        <v>1426</v>
      </c>
      <c r="S444" s="297" t="s">
        <v>1426</v>
      </c>
      <c r="T444" s="297" t="s">
        <v>1426</v>
      </c>
      <c r="U444" s="297" t="s">
        <v>1426</v>
      </c>
      <c r="V444" s="46" t="s">
        <v>1426</v>
      </c>
    </row>
    <row r="445" spans="1:22" x14ac:dyDescent="0.2">
      <c r="A445">
        <v>855387</v>
      </c>
      <c r="B445" s="399" t="s">
        <v>532</v>
      </c>
      <c r="C445" s="297"/>
      <c r="D445" s="394"/>
      <c r="E445" s="297" t="s">
        <v>1425</v>
      </c>
      <c r="F445" s="394">
        <v>43830</v>
      </c>
      <c r="G445" s="297" t="s">
        <v>1426</v>
      </c>
      <c r="H445" s="297" t="s">
        <v>1426</v>
      </c>
      <c r="I445" s="297" t="s">
        <v>1426</v>
      </c>
      <c r="J445" s="297" t="s">
        <v>1426</v>
      </c>
      <c r="K445" s="297" t="s">
        <v>1426</v>
      </c>
      <c r="L445" s="297" t="s">
        <v>1426</v>
      </c>
      <c r="M445" s="297" t="s">
        <v>1426</v>
      </c>
      <c r="N445" s="297" t="s">
        <v>1426</v>
      </c>
      <c r="O445" s="297" t="s">
        <v>1426</v>
      </c>
      <c r="P445" s="394" t="s">
        <v>1426</v>
      </c>
      <c r="Q445" s="297" t="s">
        <v>1426</v>
      </c>
      <c r="R445" s="297" t="s">
        <v>1425</v>
      </c>
      <c r="S445" s="297" t="s">
        <v>1426</v>
      </c>
      <c r="T445" s="297" t="s">
        <v>1425</v>
      </c>
      <c r="U445" s="297" t="s">
        <v>1425</v>
      </c>
      <c r="V445" s="46" t="s">
        <v>1426</v>
      </c>
    </row>
    <row r="446" spans="1:22" x14ac:dyDescent="0.2">
      <c r="A446">
        <v>856682</v>
      </c>
      <c r="B446" s="399" t="s">
        <v>1388</v>
      </c>
      <c r="C446" s="297">
        <v>23</v>
      </c>
      <c r="D446" s="394">
        <v>43890</v>
      </c>
      <c r="E446" s="297" t="s">
        <v>1425</v>
      </c>
      <c r="F446" s="394">
        <v>43830</v>
      </c>
      <c r="G446" s="297" t="s">
        <v>1426</v>
      </c>
      <c r="H446" s="297" t="s">
        <v>1426</v>
      </c>
      <c r="I446" s="297" t="s">
        <v>1426</v>
      </c>
      <c r="J446" s="297" t="s">
        <v>1426</v>
      </c>
      <c r="K446" s="297" t="s">
        <v>1426</v>
      </c>
      <c r="L446" s="297" t="s">
        <v>1426</v>
      </c>
      <c r="M446" s="297" t="s">
        <v>1425</v>
      </c>
      <c r="N446" s="297" t="s">
        <v>1425</v>
      </c>
      <c r="O446" s="297" t="s">
        <v>1426</v>
      </c>
      <c r="P446" s="394" t="s">
        <v>1425</v>
      </c>
      <c r="Q446" s="297" t="s">
        <v>1426</v>
      </c>
      <c r="R446" s="297" t="s">
        <v>1425</v>
      </c>
      <c r="S446" s="297" t="s">
        <v>1426</v>
      </c>
      <c r="T446" s="297" t="s">
        <v>1425</v>
      </c>
      <c r="U446" s="297" t="s">
        <v>1425</v>
      </c>
      <c r="V446" s="46" t="s">
        <v>1425</v>
      </c>
    </row>
    <row r="447" spans="1:22" x14ac:dyDescent="0.2">
      <c r="A447">
        <v>857037</v>
      </c>
      <c r="B447" s="399" t="s">
        <v>1343</v>
      </c>
      <c r="C447" s="297">
        <v>23</v>
      </c>
      <c r="D447" s="394">
        <v>43890</v>
      </c>
      <c r="E447" s="297" t="s">
        <v>1425</v>
      </c>
      <c r="F447" s="394">
        <v>43830</v>
      </c>
      <c r="G447" s="297" t="s">
        <v>1427</v>
      </c>
      <c r="H447" s="297" t="s">
        <v>1427</v>
      </c>
      <c r="I447" s="297" t="s">
        <v>1427</v>
      </c>
      <c r="J447" s="297" t="s">
        <v>1427</v>
      </c>
      <c r="K447" s="297" t="s">
        <v>1427</v>
      </c>
      <c r="L447" s="297" t="s">
        <v>1427</v>
      </c>
      <c r="M447" s="297" t="s">
        <v>1427</v>
      </c>
      <c r="N447" s="297" t="s">
        <v>1427</v>
      </c>
      <c r="O447" s="297" t="s">
        <v>1427</v>
      </c>
      <c r="P447" s="394" t="s">
        <v>1427</v>
      </c>
      <c r="Q447" s="297" t="s">
        <v>1427</v>
      </c>
      <c r="R447" s="297" t="s">
        <v>1427</v>
      </c>
      <c r="S447" s="297" t="s">
        <v>1427</v>
      </c>
      <c r="T447" s="297" t="s">
        <v>1427</v>
      </c>
      <c r="U447" s="297" t="s">
        <v>1427</v>
      </c>
      <c r="V447" s="46" t="s">
        <v>1427</v>
      </c>
    </row>
    <row r="448" spans="1:22" x14ac:dyDescent="0.2">
      <c r="A448">
        <v>861104</v>
      </c>
      <c r="B448" s="399" t="s">
        <v>533</v>
      </c>
      <c r="C448" s="297">
        <v>22</v>
      </c>
      <c r="D448" s="394">
        <v>43890</v>
      </c>
      <c r="E448" s="297" t="s">
        <v>1426</v>
      </c>
      <c r="F448" s="394">
        <v>43830</v>
      </c>
      <c r="G448" s="297" t="s">
        <v>1426</v>
      </c>
      <c r="H448" s="297" t="s">
        <v>1426</v>
      </c>
      <c r="I448" s="297" t="s">
        <v>1426</v>
      </c>
      <c r="J448" s="297" t="s">
        <v>1426</v>
      </c>
      <c r="K448" s="297" t="s">
        <v>1426</v>
      </c>
      <c r="L448" s="297" t="s">
        <v>1426</v>
      </c>
      <c r="M448" s="297" t="s">
        <v>1426</v>
      </c>
      <c r="N448" s="297" t="s">
        <v>1426</v>
      </c>
      <c r="O448" s="297" t="s">
        <v>1426</v>
      </c>
      <c r="P448" s="394" t="s">
        <v>1426</v>
      </c>
      <c r="Q448" s="297" t="s">
        <v>1426</v>
      </c>
      <c r="R448" s="297" t="s">
        <v>1426</v>
      </c>
      <c r="S448" s="297" t="s">
        <v>1426</v>
      </c>
      <c r="T448" s="297" t="s">
        <v>1426</v>
      </c>
      <c r="U448" s="297" t="s">
        <v>1425</v>
      </c>
      <c r="V448" s="46" t="s">
        <v>1426</v>
      </c>
    </row>
    <row r="449" spans="1:22" x14ac:dyDescent="0.2">
      <c r="A449">
        <v>861229</v>
      </c>
      <c r="B449" s="399" t="s">
        <v>534</v>
      </c>
      <c r="C449" s="297"/>
      <c r="D449" s="394"/>
      <c r="E449" s="297" t="s">
        <v>1425</v>
      </c>
      <c r="F449" s="394">
        <v>43830</v>
      </c>
      <c r="G449" s="297" t="s">
        <v>1426</v>
      </c>
      <c r="H449" s="297" t="s">
        <v>1426</v>
      </c>
      <c r="I449" s="297" t="s">
        <v>1426</v>
      </c>
      <c r="J449" s="297" t="s">
        <v>1426</v>
      </c>
      <c r="K449" s="297" t="s">
        <v>1426</v>
      </c>
      <c r="L449" s="297" t="s">
        <v>1426</v>
      </c>
      <c r="M449" s="297" t="s">
        <v>1426</v>
      </c>
      <c r="N449" s="297" t="s">
        <v>1426</v>
      </c>
      <c r="O449" s="297" t="s">
        <v>1426</v>
      </c>
      <c r="P449" s="394" t="s">
        <v>1426</v>
      </c>
      <c r="Q449" s="297" t="s">
        <v>1426</v>
      </c>
      <c r="R449" s="297" t="s">
        <v>1426</v>
      </c>
      <c r="S449" s="297" t="s">
        <v>1426</v>
      </c>
      <c r="T449" s="297" t="s">
        <v>1426</v>
      </c>
      <c r="U449" s="297" t="s">
        <v>1426</v>
      </c>
      <c r="V449" s="46" t="s">
        <v>1425</v>
      </c>
    </row>
    <row r="450" spans="1:22" x14ac:dyDescent="0.2">
      <c r="A450">
        <v>861757</v>
      </c>
      <c r="B450" s="399" t="s">
        <v>535</v>
      </c>
      <c r="C450" s="297">
        <v>22</v>
      </c>
      <c r="D450" s="394">
        <v>43890</v>
      </c>
      <c r="E450" s="297" t="s">
        <v>1426</v>
      </c>
      <c r="F450" s="394">
        <v>43830</v>
      </c>
      <c r="G450" s="297" t="s">
        <v>1426</v>
      </c>
      <c r="H450" s="297" t="s">
        <v>1426</v>
      </c>
      <c r="I450" s="297" t="s">
        <v>1426</v>
      </c>
      <c r="J450" s="297" t="s">
        <v>1426</v>
      </c>
      <c r="K450" s="297" t="s">
        <v>1426</v>
      </c>
      <c r="L450" s="297" t="s">
        <v>1426</v>
      </c>
      <c r="M450" s="297" t="s">
        <v>1425</v>
      </c>
      <c r="N450" s="297" t="s">
        <v>1425</v>
      </c>
      <c r="O450" s="297" t="s">
        <v>1425</v>
      </c>
      <c r="P450" s="394" t="s">
        <v>1425</v>
      </c>
      <c r="Q450" s="297" t="s">
        <v>1425</v>
      </c>
      <c r="R450" s="297" t="s">
        <v>1425</v>
      </c>
      <c r="S450" s="297" t="s">
        <v>1425</v>
      </c>
      <c r="T450" s="297" t="s">
        <v>1425</v>
      </c>
      <c r="U450" s="297" t="s">
        <v>1425</v>
      </c>
      <c r="V450" s="46" t="s">
        <v>1425</v>
      </c>
    </row>
    <row r="451" spans="1:22" x14ac:dyDescent="0.2">
      <c r="A451">
        <v>863522</v>
      </c>
      <c r="B451" s="399" t="s">
        <v>1531</v>
      </c>
      <c r="C451" s="297"/>
      <c r="D451" s="394"/>
      <c r="E451" s="297"/>
      <c r="F451" s="394"/>
      <c r="G451" s="297" t="s">
        <v>1426</v>
      </c>
      <c r="H451" s="297" t="s">
        <v>1426</v>
      </c>
      <c r="I451" s="297" t="s">
        <v>1426</v>
      </c>
      <c r="J451" s="297" t="s">
        <v>1426</v>
      </c>
      <c r="K451" s="297" t="s">
        <v>1426</v>
      </c>
      <c r="L451" s="297" t="s">
        <v>1426</v>
      </c>
      <c r="M451" s="297" t="s">
        <v>1426</v>
      </c>
      <c r="N451" s="297" t="s">
        <v>1426</v>
      </c>
      <c r="O451" s="297" t="s">
        <v>1426</v>
      </c>
      <c r="P451" s="394" t="s">
        <v>1426</v>
      </c>
      <c r="Q451" s="297" t="s">
        <v>1426</v>
      </c>
      <c r="R451" s="297" t="s">
        <v>1425</v>
      </c>
      <c r="S451" s="297" t="s">
        <v>1425</v>
      </c>
      <c r="T451" s="297" t="s">
        <v>1426</v>
      </c>
      <c r="U451" s="297" t="s">
        <v>1426</v>
      </c>
      <c r="V451" s="46" t="s">
        <v>1426</v>
      </c>
    </row>
    <row r="452" spans="1:22" x14ac:dyDescent="0.2">
      <c r="A452">
        <v>865063</v>
      </c>
      <c r="B452" s="399" t="s">
        <v>1389</v>
      </c>
      <c r="C452" s="297">
        <v>19</v>
      </c>
      <c r="D452" s="394">
        <v>43890</v>
      </c>
      <c r="E452" s="297" t="s">
        <v>1426</v>
      </c>
      <c r="F452" s="394">
        <v>43830</v>
      </c>
      <c r="G452" s="297" t="s">
        <v>1427</v>
      </c>
      <c r="H452" s="297" t="s">
        <v>1427</v>
      </c>
      <c r="I452" s="297" t="s">
        <v>1427</v>
      </c>
      <c r="J452" s="297" t="s">
        <v>1427</v>
      </c>
      <c r="K452" s="297" t="s">
        <v>1427</v>
      </c>
      <c r="L452" s="297" t="s">
        <v>1427</v>
      </c>
      <c r="M452" s="297" t="s">
        <v>1427</v>
      </c>
      <c r="N452" s="297" t="s">
        <v>1427</v>
      </c>
      <c r="O452" s="297" t="s">
        <v>1427</v>
      </c>
      <c r="P452" s="394" t="s">
        <v>1427</v>
      </c>
      <c r="Q452" s="297" t="s">
        <v>1427</v>
      </c>
      <c r="R452" s="297" t="s">
        <v>1427</v>
      </c>
      <c r="S452" s="297" t="s">
        <v>1427</v>
      </c>
      <c r="T452" s="297" t="s">
        <v>1427</v>
      </c>
      <c r="U452" s="297" t="s">
        <v>1427</v>
      </c>
      <c r="V452" s="46" t="s">
        <v>1427</v>
      </c>
    </row>
    <row r="453" spans="1:22" x14ac:dyDescent="0.2">
      <c r="A453">
        <v>865774</v>
      </c>
      <c r="B453" s="399" t="s">
        <v>536</v>
      </c>
      <c r="C453" s="297">
        <v>20</v>
      </c>
      <c r="D453" s="394">
        <v>43890</v>
      </c>
      <c r="E453" s="297" t="s">
        <v>1425</v>
      </c>
      <c r="F453" s="394">
        <v>43830</v>
      </c>
      <c r="G453" s="297" t="s">
        <v>1426</v>
      </c>
      <c r="H453" s="297" t="s">
        <v>1426</v>
      </c>
      <c r="I453" s="297" t="s">
        <v>1426</v>
      </c>
      <c r="J453" s="297" t="s">
        <v>1426</v>
      </c>
      <c r="K453" s="297" t="s">
        <v>1426</v>
      </c>
      <c r="L453" s="297" t="s">
        <v>1426</v>
      </c>
      <c r="M453" s="297" t="s">
        <v>1425</v>
      </c>
      <c r="N453" s="297" t="s">
        <v>1426</v>
      </c>
      <c r="O453" s="297" t="s">
        <v>1426</v>
      </c>
      <c r="P453" s="394" t="s">
        <v>1425</v>
      </c>
      <c r="Q453" s="297" t="s">
        <v>1426</v>
      </c>
      <c r="R453" s="297" t="s">
        <v>1425</v>
      </c>
      <c r="S453" s="297" t="s">
        <v>1426</v>
      </c>
      <c r="T453" s="297" t="s">
        <v>1425</v>
      </c>
      <c r="U453" s="297" t="s">
        <v>1425</v>
      </c>
      <c r="V453" s="46" t="s">
        <v>1426</v>
      </c>
    </row>
    <row r="454" spans="1:22" x14ac:dyDescent="0.2">
      <c r="A454">
        <v>870907</v>
      </c>
      <c r="B454" s="399" t="s">
        <v>537</v>
      </c>
      <c r="C454" s="297"/>
      <c r="D454" s="394"/>
      <c r="E454" s="297" t="s">
        <v>1425</v>
      </c>
      <c r="F454" s="394">
        <v>43830</v>
      </c>
      <c r="G454" s="297" t="s">
        <v>1426</v>
      </c>
      <c r="H454" s="297" t="s">
        <v>1426</v>
      </c>
      <c r="I454" s="297" t="s">
        <v>1426</v>
      </c>
      <c r="J454" s="297" t="s">
        <v>1426</v>
      </c>
      <c r="K454" s="297" t="s">
        <v>1426</v>
      </c>
      <c r="L454" s="297" t="s">
        <v>1426</v>
      </c>
      <c r="M454" s="297" t="s">
        <v>1426</v>
      </c>
      <c r="N454" s="297" t="s">
        <v>1426</v>
      </c>
      <c r="O454" s="297" t="s">
        <v>1426</v>
      </c>
      <c r="P454" s="394" t="s">
        <v>1425</v>
      </c>
      <c r="Q454" s="297" t="s">
        <v>1426</v>
      </c>
      <c r="R454" s="297" t="s">
        <v>1425</v>
      </c>
      <c r="S454" s="297" t="s">
        <v>1425</v>
      </c>
      <c r="T454" s="297" t="s">
        <v>1425</v>
      </c>
      <c r="U454" s="297" t="s">
        <v>1425</v>
      </c>
      <c r="V454" s="46" t="s">
        <v>1425</v>
      </c>
    </row>
    <row r="455" spans="1:22" x14ac:dyDescent="0.2">
      <c r="A455">
        <v>872382</v>
      </c>
      <c r="B455" s="399" t="s">
        <v>538</v>
      </c>
      <c r="C455" s="297"/>
      <c r="D455" s="394"/>
      <c r="E455" s="297" t="s">
        <v>1425</v>
      </c>
      <c r="F455" s="394">
        <v>43830</v>
      </c>
      <c r="G455" s="297" t="s">
        <v>1426</v>
      </c>
      <c r="H455" s="297" t="s">
        <v>1426</v>
      </c>
      <c r="I455" s="297" t="s">
        <v>1426</v>
      </c>
      <c r="J455" s="297" t="s">
        <v>1426</v>
      </c>
      <c r="K455" s="297" t="s">
        <v>1426</v>
      </c>
      <c r="L455" s="297" t="s">
        <v>1426</v>
      </c>
      <c r="M455" s="297" t="s">
        <v>1426</v>
      </c>
      <c r="N455" s="297" t="s">
        <v>1425</v>
      </c>
      <c r="O455" s="297" t="s">
        <v>1426</v>
      </c>
      <c r="P455" s="394" t="s">
        <v>1425</v>
      </c>
      <c r="Q455" s="297" t="s">
        <v>1426</v>
      </c>
      <c r="R455" s="297" t="s">
        <v>1425</v>
      </c>
      <c r="S455" s="297" t="s">
        <v>1425</v>
      </c>
      <c r="T455" s="297" t="s">
        <v>1425</v>
      </c>
      <c r="U455" s="297" t="s">
        <v>1425</v>
      </c>
      <c r="V455" s="46" t="s">
        <v>1425</v>
      </c>
    </row>
    <row r="456" spans="1:22" x14ac:dyDescent="0.2">
      <c r="A456">
        <v>874271</v>
      </c>
      <c r="B456" s="399" t="s">
        <v>539</v>
      </c>
      <c r="C456" s="297">
        <v>29</v>
      </c>
      <c r="D456" s="394">
        <v>43890</v>
      </c>
      <c r="E456" s="297" t="s">
        <v>1425</v>
      </c>
      <c r="F456" s="394">
        <v>43830</v>
      </c>
      <c r="G456" s="297" t="s">
        <v>1426</v>
      </c>
      <c r="H456" s="297" t="s">
        <v>1426</v>
      </c>
      <c r="I456" s="297" t="s">
        <v>1426</v>
      </c>
      <c r="J456" s="297" t="s">
        <v>1426</v>
      </c>
      <c r="K456" s="297" t="s">
        <v>1426</v>
      </c>
      <c r="L456" s="297" t="s">
        <v>1426</v>
      </c>
      <c r="M456" s="297" t="s">
        <v>1426</v>
      </c>
      <c r="N456" s="297" t="s">
        <v>1425</v>
      </c>
      <c r="O456" s="297" t="s">
        <v>1425</v>
      </c>
      <c r="P456" s="394" t="s">
        <v>1425</v>
      </c>
      <c r="Q456" s="297" t="s">
        <v>1425</v>
      </c>
      <c r="R456" s="297" t="s">
        <v>1425</v>
      </c>
      <c r="S456" s="297" t="s">
        <v>1425</v>
      </c>
      <c r="T456" s="297" t="s">
        <v>1425</v>
      </c>
      <c r="U456" s="297" t="s">
        <v>1425</v>
      </c>
      <c r="V456" s="46" t="s">
        <v>1426</v>
      </c>
    </row>
    <row r="457" spans="1:22" x14ac:dyDescent="0.2">
      <c r="A457">
        <v>874560</v>
      </c>
      <c r="B457" s="399" t="s">
        <v>602</v>
      </c>
      <c r="C457" s="297"/>
      <c r="D457" s="394"/>
      <c r="E457" s="297" t="s">
        <v>1425</v>
      </c>
      <c r="F457" s="394">
        <v>43830</v>
      </c>
      <c r="G457" s="297" t="s">
        <v>1426</v>
      </c>
      <c r="H457" s="297" t="s">
        <v>1426</v>
      </c>
      <c r="I457" s="297" t="s">
        <v>1426</v>
      </c>
      <c r="J457" s="297" t="s">
        <v>1426</v>
      </c>
      <c r="K457" s="297" t="s">
        <v>1426</v>
      </c>
      <c r="L457" s="297" t="s">
        <v>1426</v>
      </c>
      <c r="M457" s="297" t="s">
        <v>1426</v>
      </c>
      <c r="N457" s="297" t="s">
        <v>1425</v>
      </c>
      <c r="O457" s="297" t="s">
        <v>1426</v>
      </c>
      <c r="P457" s="394" t="s">
        <v>1425</v>
      </c>
      <c r="Q457" s="297" t="s">
        <v>1425</v>
      </c>
      <c r="R457" s="297" t="s">
        <v>1426</v>
      </c>
      <c r="S457" s="297" t="s">
        <v>1425</v>
      </c>
      <c r="T457" s="297" t="s">
        <v>1425</v>
      </c>
      <c r="U457" s="297" t="s">
        <v>1425</v>
      </c>
      <c r="V457" s="46" t="s">
        <v>1426</v>
      </c>
    </row>
    <row r="458" spans="1:22" x14ac:dyDescent="0.2">
      <c r="A458">
        <v>878520</v>
      </c>
      <c r="B458" s="399" t="s">
        <v>540</v>
      </c>
      <c r="C458" s="297">
        <v>21</v>
      </c>
      <c r="D458" s="394">
        <v>43890</v>
      </c>
      <c r="E458" s="297" t="s">
        <v>1425</v>
      </c>
      <c r="F458" s="394">
        <v>43830</v>
      </c>
      <c r="G458" s="297" t="s">
        <v>1426</v>
      </c>
      <c r="H458" s="297" t="s">
        <v>1426</v>
      </c>
      <c r="I458" s="297" t="s">
        <v>1426</v>
      </c>
      <c r="J458" s="297" t="s">
        <v>1426</v>
      </c>
      <c r="K458" s="297" t="s">
        <v>1426</v>
      </c>
      <c r="L458" s="297" t="s">
        <v>1426</v>
      </c>
      <c r="M458" s="297" t="s">
        <v>1426</v>
      </c>
      <c r="N458" s="297" t="s">
        <v>1426</v>
      </c>
      <c r="O458" s="297" t="s">
        <v>1426</v>
      </c>
      <c r="P458" s="394" t="s">
        <v>1426</v>
      </c>
      <c r="Q458" s="297" t="s">
        <v>1426</v>
      </c>
      <c r="R458" s="297" t="s">
        <v>1426</v>
      </c>
      <c r="S458" s="297" t="s">
        <v>1426</v>
      </c>
      <c r="T458" s="297" t="s">
        <v>1426</v>
      </c>
      <c r="U458" s="297" t="s">
        <v>1425</v>
      </c>
      <c r="V458" s="46" t="s">
        <v>1426</v>
      </c>
    </row>
    <row r="459" spans="1:22" x14ac:dyDescent="0.2">
      <c r="A459">
        <v>879114</v>
      </c>
      <c r="B459" s="399" t="s">
        <v>541</v>
      </c>
      <c r="C459" s="297">
        <v>21</v>
      </c>
      <c r="D459" s="394">
        <v>43890</v>
      </c>
      <c r="E459" s="297" t="s">
        <v>1425</v>
      </c>
      <c r="F459" s="394">
        <v>43830</v>
      </c>
      <c r="G459" s="297" t="s">
        <v>1426</v>
      </c>
      <c r="H459" s="297" t="s">
        <v>1426</v>
      </c>
      <c r="I459" s="297" t="s">
        <v>1426</v>
      </c>
      <c r="J459" s="297" t="s">
        <v>1426</v>
      </c>
      <c r="K459" s="297" t="s">
        <v>1426</v>
      </c>
      <c r="L459" s="297" t="s">
        <v>1426</v>
      </c>
      <c r="M459" s="297" t="s">
        <v>1426</v>
      </c>
      <c r="N459" s="297" t="s">
        <v>1426</v>
      </c>
      <c r="O459" s="297" t="s">
        <v>1426</v>
      </c>
      <c r="P459" s="394" t="s">
        <v>1426</v>
      </c>
      <c r="Q459" s="297" t="s">
        <v>1426</v>
      </c>
      <c r="R459" s="297" t="s">
        <v>1426</v>
      </c>
      <c r="S459" s="297" t="s">
        <v>1426</v>
      </c>
      <c r="T459" s="297" t="s">
        <v>1425</v>
      </c>
      <c r="U459" s="297" t="s">
        <v>1425</v>
      </c>
      <c r="V459" s="46" t="s">
        <v>1426</v>
      </c>
    </row>
    <row r="460" spans="1:22" x14ac:dyDescent="0.2">
      <c r="A460">
        <v>882126</v>
      </c>
      <c r="B460" s="399" t="s">
        <v>542</v>
      </c>
      <c r="C460" s="297">
        <v>24</v>
      </c>
      <c r="D460" s="394">
        <v>43890</v>
      </c>
      <c r="E460" s="297" t="s">
        <v>1426</v>
      </c>
      <c r="F460" s="394">
        <v>43830</v>
      </c>
      <c r="G460" s="297" t="s">
        <v>1426</v>
      </c>
      <c r="H460" s="297" t="s">
        <v>1426</v>
      </c>
      <c r="I460" s="297" t="s">
        <v>1426</v>
      </c>
      <c r="J460" s="297" t="s">
        <v>1426</v>
      </c>
      <c r="K460" s="297" t="s">
        <v>1426</v>
      </c>
      <c r="L460" s="297" t="s">
        <v>1426</v>
      </c>
      <c r="M460" s="297" t="s">
        <v>1426</v>
      </c>
      <c r="N460" s="297" t="s">
        <v>1425</v>
      </c>
      <c r="O460" s="297" t="s">
        <v>1425</v>
      </c>
      <c r="P460" s="394" t="s">
        <v>1425</v>
      </c>
      <c r="Q460" s="297" t="s">
        <v>1425</v>
      </c>
      <c r="R460" s="297" t="s">
        <v>1425</v>
      </c>
      <c r="S460" s="297" t="s">
        <v>1425</v>
      </c>
      <c r="T460" s="297" t="s">
        <v>1425</v>
      </c>
      <c r="U460" s="297" t="s">
        <v>1425</v>
      </c>
      <c r="V460" s="46" t="s">
        <v>1426</v>
      </c>
    </row>
    <row r="461" spans="1:22" x14ac:dyDescent="0.2">
      <c r="A461">
        <v>882358</v>
      </c>
      <c r="B461" s="399" t="s">
        <v>637</v>
      </c>
      <c r="C461" s="297"/>
      <c r="D461" s="394"/>
      <c r="E461" s="297" t="s">
        <v>1425</v>
      </c>
      <c r="F461" s="394">
        <v>43830</v>
      </c>
      <c r="G461" s="297" t="s">
        <v>1426</v>
      </c>
      <c r="H461" s="297" t="s">
        <v>1426</v>
      </c>
      <c r="I461" s="297" t="s">
        <v>1425</v>
      </c>
      <c r="J461" s="297" t="s">
        <v>1426</v>
      </c>
      <c r="K461" s="297" t="s">
        <v>1426</v>
      </c>
      <c r="L461" s="297" t="s">
        <v>1426</v>
      </c>
      <c r="M461" s="297" t="s">
        <v>1426</v>
      </c>
      <c r="N461" s="297" t="s">
        <v>1426</v>
      </c>
      <c r="O461" s="297" t="s">
        <v>1426</v>
      </c>
      <c r="P461" s="394" t="s">
        <v>1426</v>
      </c>
      <c r="Q461" s="297" t="s">
        <v>1426</v>
      </c>
      <c r="R461" s="297" t="s">
        <v>1426</v>
      </c>
      <c r="S461" s="297" t="s">
        <v>1426</v>
      </c>
      <c r="T461" s="297" t="s">
        <v>1425</v>
      </c>
      <c r="U461" s="297" t="s">
        <v>1425</v>
      </c>
      <c r="V461" s="46" t="s">
        <v>1426</v>
      </c>
    </row>
    <row r="462" spans="1:22" x14ac:dyDescent="0.2">
      <c r="A462">
        <v>886606</v>
      </c>
      <c r="B462" s="399" t="s">
        <v>1479</v>
      </c>
      <c r="C462" s="297">
        <v>25</v>
      </c>
      <c r="D462" s="394">
        <v>43890</v>
      </c>
      <c r="E462" s="297" t="s">
        <v>1426</v>
      </c>
      <c r="F462" s="394">
        <v>43830</v>
      </c>
      <c r="G462" s="297" t="s">
        <v>1426</v>
      </c>
      <c r="H462" s="297" t="s">
        <v>1426</v>
      </c>
      <c r="I462" s="297" t="s">
        <v>1426</v>
      </c>
      <c r="J462" s="297" t="s">
        <v>1426</v>
      </c>
      <c r="K462" s="297" t="s">
        <v>1426</v>
      </c>
      <c r="L462" s="297" t="s">
        <v>1426</v>
      </c>
      <c r="M462" s="297" t="s">
        <v>1425</v>
      </c>
      <c r="N462" s="297" t="s">
        <v>1425</v>
      </c>
      <c r="O462" s="297" t="s">
        <v>1425</v>
      </c>
      <c r="P462" s="394" t="s">
        <v>1425</v>
      </c>
      <c r="Q462" s="297" t="s">
        <v>1425</v>
      </c>
      <c r="R462" s="297" t="s">
        <v>1425</v>
      </c>
      <c r="S462" s="297" t="s">
        <v>1425</v>
      </c>
      <c r="T462" s="297" t="s">
        <v>1425</v>
      </c>
      <c r="U462" s="297" t="s">
        <v>1425</v>
      </c>
      <c r="V462" s="46" t="s">
        <v>1426</v>
      </c>
    </row>
    <row r="463" spans="1:22" x14ac:dyDescent="0.2">
      <c r="A463">
        <v>887497</v>
      </c>
      <c r="B463" s="399" t="s">
        <v>543</v>
      </c>
      <c r="C463" s="297">
        <v>23</v>
      </c>
      <c r="D463" s="394">
        <v>43890</v>
      </c>
      <c r="E463" s="297" t="s">
        <v>1425</v>
      </c>
      <c r="F463" s="394">
        <v>43830</v>
      </c>
      <c r="G463" s="297" t="s">
        <v>1426</v>
      </c>
      <c r="H463" s="297" t="s">
        <v>1426</v>
      </c>
      <c r="I463" s="297" t="s">
        <v>1426</v>
      </c>
      <c r="J463" s="297" t="s">
        <v>1426</v>
      </c>
      <c r="K463" s="297" t="s">
        <v>1426</v>
      </c>
      <c r="L463" s="297" t="s">
        <v>1426</v>
      </c>
      <c r="M463" s="297" t="s">
        <v>1426</v>
      </c>
      <c r="N463" s="297" t="s">
        <v>1426</v>
      </c>
      <c r="O463" s="297" t="s">
        <v>1426</v>
      </c>
      <c r="P463" s="394" t="s">
        <v>1426</v>
      </c>
      <c r="Q463" s="297" t="s">
        <v>1426</v>
      </c>
      <c r="R463" s="297" t="s">
        <v>1425</v>
      </c>
      <c r="S463" s="297" t="s">
        <v>1425</v>
      </c>
      <c r="T463" s="297" t="s">
        <v>1425</v>
      </c>
      <c r="U463" s="297" t="s">
        <v>1426</v>
      </c>
      <c r="V463" s="46" t="s">
        <v>1426</v>
      </c>
    </row>
    <row r="464" spans="1:22" x14ac:dyDescent="0.2">
      <c r="A464">
        <v>887901</v>
      </c>
      <c r="B464" s="399" t="s">
        <v>544</v>
      </c>
      <c r="C464" s="297">
        <v>17</v>
      </c>
      <c r="D464" s="394">
        <v>43890</v>
      </c>
      <c r="E464" s="297" t="s">
        <v>1425</v>
      </c>
      <c r="F464" s="394">
        <v>43830</v>
      </c>
      <c r="G464" s="297" t="s">
        <v>1426</v>
      </c>
      <c r="H464" s="297" t="s">
        <v>1426</v>
      </c>
      <c r="I464" s="297" t="s">
        <v>1426</v>
      </c>
      <c r="J464" s="297" t="s">
        <v>1426</v>
      </c>
      <c r="K464" s="297" t="s">
        <v>1426</v>
      </c>
      <c r="L464" s="297" t="s">
        <v>1426</v>
      </c>
      <c r="M464" s="297" t="s">
        <v>1426</v>
      </c>
      <c r="N464" s="297" t="s">
        <v>1426</v>
      </c>
      <c r="O464" s="297" t="s">
        <v>1426</v>
      </c>
      <c r="P464" s="394" t="s">
        <v>1426</v>
      </c>
      <c r="Q464" s="297" t="s">
        <v>1426</v>
      </c>
      <c r="R464" s="297" t="s">
        <v>1426</v>
      </c>
      <c r="S464" s="297" t="s">
        <v>1426</v>
      </c>
      <c r="T464" s="297" t="s">
        <v>1426</v>
      </c>
      <c r="U464" s="297" t="s">
        <v>1426</v>
      </c>
      <c r="V464" s="46" t="s">
        <v>1426</v>
      </c>
    </row>
    <row r="465" spans="1:22" x14ac:dyDescent="0.2">
      <c r="A465">
        <v>889261</v>
      </c>
      <c r="B465" s="399" t="s">
        <v>545</v>
      </c>
      <c r="C465" s="297">
        <v>24</v>
      </c>
      <c r="D465" s="394">
        <v>43890</v>
      </c>
      <c r="E465" s="297" t="s">
        <v>1426</v>
      </c>
      <c r="F465" s="394">
        <v>43830</v>
      </c>
      <c r="G465" s="297" t="s">
        <v>1426</v>
      </c>
      <c r="H465" s="297" t="s">
        <v>1426</v>
      </c>
      <c r="I465" s="297" t="s">
        <v>1426</v>
      </c>
      <c r="J465" s="297" t="s">
        <v>1426</v>
      </c>
      <c r="K465" s="297" t="s">
        <v>1426</v>
      </c>
      <c r="L465" s="297" t="s">
        <v>1425</v>
      </c>
      <c r="M465" s="297" t="s">
        <v>1425</v>
      </c>
      <c r="N465" s="297" t="s">
        <v>1425</v>
      </c>
      <c r="O465" s="297" t="s">
        <v>1425</v>
      </c>
      <c r="P465" s="394" t="s">
        <v>1425</v>
      </c>
      <c r="Q465" s="297" t="s">
        <v>1425</v>
      </c>
      <c r="R465" s="297" t="s">
        <v>1425</v>
      </c>
      <c r="S465" s="297" t="s">
        <v>1425</v>
      </c>
      <c r="T465" s="297" t="s">
        <v>1425</v>
      </c>
      <c r="U465" s="297" t="s">
        <v>1425</v>
      </c>
      <c r="V465" s="46" t="s">
        <v>1425</v>
      </c>
    </row>
    <row r="466" spans="1:22" x14ac:dyDescent="0.2">
      <c r="A466">
        <v>896761</v>
      </c>
      <c r="B466" s="399" t="s">
        <v>546</v>
      </c>
      <c r="C466" s="297">
        <v>24</v>
      </c>
      <c r="D466" s="394">
        <v>43890</v>
      </c>
      <c r="E466" s="297" t="s">
        <v>1425</v>
      </c>
      <c r="F466" s="394">
        <v>43830</v>
      </c>
      <c r="G466" s="297" t="s">
        <v>1426</v>
      </c>
      <c r="H466" s="297" t="s">
        <v>1426</v>
      </c>
      <c r="I466" s="297" t="s">
        <v>1426</v>
      </c>
      <c r="J466" s="297" t="s">
        <v>1426</v>
      </c>
      <c r="K466" s="297" t="s">
        <v>1426</v>
      </c>
      <c r="L466" s="297" t="s">
        <v>1426</v>
      </c>
      <c r="M466" s="297" t="s">
        <v>1425</v>
      </c>
      <c r="N466" s="297" t="s">
        <v>1425</v>
      </c>
      <c r="O466" s="297" t="s">
        <v>1426</v>
      </c>
      <c r="P466" s="394" t="s">
        <v>1425</v>
      </c>
      <c r="Q466" s="297" t="s">
        <v>1426</v>
      </c>
      <c r="R466" s="297" t="s">
        <v>1425</v>
      </c>
      <c r="S466" s="297" t="s">
        <v>1426</v>
      </c>
      <c r="T466" s="297" t="s">
        <v>1425</v>
      </c>
      <c r="U466" s="395" t="s">
        <v>1425</v>
      </c>
      <c r="V466" s="46" t="s">
        <v>1425</v>
      </c>
    </row>
    <row r="467" spans="1:22" x14ac:dyDescent="0.2">
      <c r="A467">
        <v>899773</v>
      </c>
      <c r="B467" s="399" t="s">
        <v>1344</v>
      </c>
      <c r="C467" s="297">
        <v>22</v>
      </c>
      <c r="D467" s="394">
        <v>43890</v>
      </c>
      <c r="E467" s="297" t="s">
        <v>1425</v>
      </c>
      <c r="F467" s="394">
        <v>43830</v>
      </c>
      <c r="G467" s="297" t="s">
        <v>1427</v>
      </c>
      <c r="H467" s="297" t="s">
        <v>1427</v>
      </c>
      <c r="I467" s="297" t="s">
        <v>1427</v>
      </c>
      <c r="J467" s="297" t="s">
        <v>1427</v>
      </c>
      <c r="K467" s="297" t="s">
        <v>1427</v>
      </c>
      <c r="L467" s="297" t="s">
        <v>1427</v>
      </c>
      <c r="M467" s="297" t="s">
        <v>1427</v>
      </c>
      <c r="N467" s="297" t="s">
        <v>1427</v>
      </c>
      <c r="O467" s="297" t="s">
        <v>1427</v>
      </c>
      <c r="P467" s="394" t="s">
        <v>1427</v>
      </c>
      <c r="Q467" s="297" t="s">
        <v>1427</v>
      </c>
      <c r="R467" s="297" t="s">
        <v>1427</v>
      </c>
      <c r="S467" s="297" t="s">
        <v>1427</v>
      </c>
      <c r="T467" s="297" t="s">
        <v>1427</v>
      </c>
      <c r="U467" s="297" t="s">
        <v>1427</v>
      </c>
      <c r="V467" s="46" t="s">
        <v>1427</v>
      </c>
    </row>
    <row r="468" spans="1:22" x14ac:dyDescent="0.2">
      <c r="A468">
        <v>900894</v>
      </c>
      <c r="B468" s="399" t="s">
        <v>1390</v>
      </c>
      <c r="C468" s="297"/>
      <c r="D468" s="394"/>
      <c r="E468" s="297" t="s">
        <v>1425</v>
      </c>
      <c r="F468" s="394">
        <v>43830</v>
      </c>
      <c r="G468" s="297" t="s">
        <v>1427</v>
      </c>
      <c r="H468" s="297" t="s">
        <v>1427</v>
      </c>
      <c r="I468" s="297" t="s">
        <v>1427</v>
      </c>
      <c r="J468" s="297" t="s">
        <v>1427</v>
      </c>
      <c r="K468" s="297" t="s">
        <v>1427</v>
      </c>
      <c r="L468" s="297" t="s">
        <v>1427</v>
      </c>
      <c r="M468" s="297" t="s">
        <v>1427</v>
      </c>
      <c r="N468" s="297" t="s">
        <v>1427</v>
      </c>
      <c r="O468" s="297" t="s">
        <v>1427</v>
      </c>
      <c r="P468" s="394" t="s">
        <v>1427</v>
      </c>
      <c r="Q468" s="297" t="s">
        <v>1427</v>
      </c>
      <c r="R468" s="297" t="s">
        <v>1427</v>
      </c>
      <c r="S468" s="297" t="s">
        <v>1427</v>
      </c>
      <c r="T468" s="297" t="s">
        <v>1427</v>
      </c>
      <c r="U468" s="297" t="s">
        <v>1427</v>
      </c>
      <c r="V468" s="46" t="s">
        <v>1427</v>
      </c>
    </row>
    <row r="469" spans="1:22" x14ac:dyDescent="0.2">
      <c r="A469">
        <v>901181</v>
      </c>
      <c r="B469" s="399" t="s">
        <v>547</v>
      </c>
      <c r="C469" s="297">
        <v>22</v>
      </c>
      <c r="D469" s="394">
        <v>43890</v>
      </c>
      <c r="E469" s="297" t="s">
        <v>1425</v>
      </c>
      <c r="F469" s="394">
        <v>43830</v>
      </c>
      <c r="G469" s="297" t="s">
        <v>1426</v>
      </c>
      <c r="H469" s="297" t="s">
        <v>1426</v>
      </c>
      <c r="I469" s="297" t="s">
        <v>1426</v>
      </c>
      <c r="J469" s="297" t="s">
        <v>1426</v>
      </c>
      <c r="K469" s="297" t="s">
        <v>1426</v>
      </c>
      <c r="L469" s="297" t="s">
        <v>1426</v>
      </c>
      <c r="M469" s="297" t="s">
        <v>1425</v>
      </c>
      <c r="N469" s="297" t="s">
        <v>1425</v>
      </c>
      <c r="O469" s="297" t="s">
        <v>1425</v>
      </c>
      <c r="P469" s="394" t="s">
        <v>1425</v>
      </c>
      <c r="Q469" s="297" t="s">
        <v>1425</v>
      </c>
      <c r="R469" s="297" t="s">
        <v>1425</v>
      </c>
      <c r="S469" s="297" t="s">
        <v>1425</v>
      </c>
      <c r="T469" s="297" t="s">
        <v>1425</v>
      </c>
      <c r="U469" s="297" t="s">
        <v>1425</v>
      </c>
      <c r="V469" s="46" t="s">
        <v>1426</v>
      </c>
    </row>
    <row r="470" spans="1:22" x14ac:dyDescent="0.2">
      <c r="A470">
        <v>901603</v>
      </c>
      <c r="B470" s="399" t="s">
        <v>548</v>
      </c>
      <c r="C470" s="297"/>
      <c r="D470" s="394"/>
      <c r="E470" s="297" t="s">
        <v>1425</v>
      </c>
      <c r="F470" s="394">
        <v>43830</v>
      </c>
      <c r="G470" s="297" t="s">
        <v>1426</v>
      </c>
      <c r="H470" s="297" t="s">
        <v>1426</v>
      </c>
      <c r="I470" s="297" t="s">
        <v>1426</v>
      </c>
      <c r="J470" s="297" t="s">
        <v>1426</v>
      </c>
      <c r="K470" s="297" t="s">
        <v>1426</v>
      </c>
      <c r="L470" s="297" t="s">
        <v>1426</v>
      </c>
      <c r="M470" s="297" t="s">
        <v>1425</v>
      </c>
      <c r="N470" s="297" t="s">
        <v>1426</v>
      </c>
      <c r="O470" s="297" t="s">
        <v>1426</v>
      </c>
      <c r="P470" s="394" t="s">
        <v>1425</v>
      </c>
      <c r="Q470" s="297" t="s">
        <v>1426</v>
      </c>
      <c r="R470" s="297" t="s">
        <v>1425</v>
      </c>
      <c r="S470" s="297" t="s">
        <v>1425</v>
      </c>
      <c r="T470" s="297" t="s">
        <v>1425</v>
      </c>
      <c r="U470" s="297" t="s">
        <v>1425</v>
      </c>
      <c r="V470" s="46" t="s">
        <v>1426</v>
      </c>
    </row>
    <row r="471" spans="1:22" x14ac:dyDescent="0.2">
      <c r="A471">
        <v>904904</v>
      </c>
      <c r="B471" s="399" t="s">
        <v>549</v>
      </c>
      <c r="C471" s="297">
        <v>21</v>
      </c>
      <c r="D471" s="394">
        <v>43890</v>
      </c>
      <c r="E471" s="297" t="s">
        <v>1426</v>
      </c>
      <c r="F471" s="394">
        <v>43830</v>
      </c>
      <c r="G471" s="297" t="s">
        <v>1426</v>
      </c>
      <c r="H471" s="297" t="s">
        <v>1426</v>
      </c>
      <c r="I471" s="297" t="s">
        <v>1426</v>
      </c>
      <c r="J471" s="297" t="s">
        <v>1426</v>
      </c>
      <c r="K471" s="297" t="s">
        <v>1426</v>
      </c>
      <c r="L471" s="297" t="s">
        <v>1426</v>
      </c>
      <c r="M471" s="297" t="s">
        <v>1426</v>
      </c>
      <c r="N471" s="297" t="s">
        <v>1426</v>
      </c>
      <c r="O471" s="297" t="s">
        <v>1426</v>
      </c>
      <c r="P471" s="394" t="s">
        <v>1426</v>
      </c>
      <c r="Q471" s="297" t="s">
        <v>1426</v>
      </c>
      <c r="R471" s="297" t="s">
        <v>1426</v>
      </c>
      <c r="S471" s="297" t="s">
        <v>1426</v>
      </c>
      <c r="T471" s="297" t="s">
        <v>1425</v>
      </c>
      <c r="U471" s="297" t="s">
        <v>1425</v>
      </c>
      <c r="V471" s="46" t="s">
        <v>1426</v>
      </c>
    </row>
    <row r="472" spans="1:22" x14ac:dyDescent="0.2">
      <c r="A472">
        <v>908277</v>
      </c>
      <c r="B472" s="399" t="s">
        <v>550</v>
      </c>
      <c r="C472" s="297">
        <v>21</v>
      </c>
      <c r="D472" s="394">
        <v>43890</v>
      </c>
      <c r="E472" s="297" t="s">
        <v>1425</v>
      </c>
      <c r="F472" s="394">
        <v>43830</v>
      </c>
      <c r="G472" s="297" t="s">
        <v>1426</v>
      </c>
      <c r="H472" s="297" t="s">
        <v>1426</v>
      </c>
      <c r="I472" s="297" t="s">
        <v>1426</v>
      </c>
      <c r="J472" s="297" t="s">
        <v>1426</v>
      </c>
      <c r="K472" s="297" t="s">
        <v>1426</v>
      </c>
      <c r="L472" s="297" t="s">
        <v>1426</v>
      </c>
      <c r="M472" s="297" t="s">
        <v>1425</v>
      </c>
      <c r="N472" s="297" t="s">
        <v>1425</v>
      </c>
      <c r="O472" s="297" t="s">
        <v>1425</v>
      </c>
      <c r="P472" s="394" t="s">
        <v>1425</v>
      </c>
      <c r="Q472" s="297" t="s">
        <v>1425</v>
      </c>
      <c r="R472" s="297" t="s">
        <v>1425</v>
      </c>
      <c r="S472" s="297" t="s">
        <v>1425</v>
      </c>
      <c r="T472" s="297" t="s">
        <v>1425</v>
      </c>
      <c r="U472" s="297" t="s">
        <v>1425</v>
      </c>
      <c r="V472" s="46" t="s">
        <v>1426</v>
      </c>
    </row>
    <row r="473" spans="1:22" x14ac:dyDescent="0.2">
      <c r="A473">
        <v>908806</v>
      </c>
      <c r="B473" s="399" t="s">
        <v>152</v>
      </c>
      <c r="C473" s="297">
        <v>24</v>
      </c>
      <c r="D473" s="394">
        <v>43890</v>
      </c>
      <c r="E473" s="297" t="s">
        <v>1426</v>
      </c>
      <c r="F473" s="394">
        <v>43830</v>
      </c>
      <c r="G473" s="297" t="s">
        <v>1426</v>
      </c>
      <c r="H473" s="297" t="s">
        <v>1426</v>
      </c>
      <c r="I473" s="297" t="s">
        <v>1426</v>
      </c>
      <c r="J473" s="297" t="s">
        <v>1426</v>
      </c>
      <c r="K473" s="297" t="s">
        <v>1426</v>
      </c>
      <c r="L473" s="297" t="s">
        <v>1425</v>
      </c>
      <c r="M473" s="297" t="s">
        <v>1425</v>
      </c>
      <c r="N473" s="297" t="s">
        <v>1425</v>
      </c>
      <c r="O473" s="297" t="s">
        <v>1425</v>
      </c>
      <c r="P473" s="394" t="s">
        <v>1425</v>
      </c>
      <c r="Q473" s="297" t="s">
        <v>1425</v>
      </c>
      <c r="R473" s="297" t="s">
        <v>1425</v>
      </c>
      <c r="S473" s="297" t="s">
        <v>1425</v>
      </c>
      <c r="T473" s="297" t="s">
        <v>1425</v>
      </c>
      <c r="U473" s="297" t="s">
        <v>1425</v>
      </c>
      <c r="V473" s="46" t="s">
        <v>1425</v>
      </c>
    </row>
    <row r="474" spans="1:22" x14ac:dyDescent="0.2">
      <c r="A474">
        <v>910109</v>
      </c>
      <c r="B474" s="399" t="s">
        <v>1532</v>
      </c>
      <c r="C474" s="297">
        <v>23</v>
      </c>
      <c r="D474" s="394">
        <v>43890</v>
      </c>
      <c r="E474" s="297" t="s">
        <v>1425</v>
      </c>
      <c r="F474" s="394">
        <v>43830</v>
      </c>
      <c r="G474" s="297" t="s">
        <v>1426</v>
      </c>
      <c r="H474" s="297" t="s">
        <v>1426</v>
      </c>
      <c r="I474" s="297" t="s">
        <v>1426</v>
      </c>
      <c r="J474" s="297" t="s">
        <v>1426</v>
      </c>
      <c r="K474" s="297" t="s">
        <v>1426</v>
      </c>
      <c r="L474" s="297" t="s">
        <v>1426</v>
      </c>
      <c r="M474" s="297" t="s">
        <v>1426</v>
      </c>
      <c r="N474" s="297" t="s">
        <v>1425</v>
      </c>
      <c r="O474" s="297" t="s">
        <v>1425</v>
      </c>
      <c r="P474" s="394" t="s">
        <v>1425</v>
      </c>
      <c r="Q474" s="297" t="s">
        <v>1425</v>
      </c>
      <c r="R474" s="297" t="s">
        <v>1425</v>
      </c>
      <c r="S474" s="297" t="s">
        <v>1425</v>
      </c>
      <c r="T474" s="297" t="s">
        <v>1425</v>
      </c>
      <c r="U474" s="297" t="s">
        <v>1425</v>
      </c>
      <c r="V474" s="46" t="s">
        <v>1426</v>
      </c>
    </row>
    <row r="475" spans="1:22" x14ac:dyDescent="0.2">
      <c r="A475">
        <v>912220</v>
      </c>
      <c r="B475" s="399" t="s">
        <v>551</v>
      </c>
      <c r="C475" s="297">
        <v>21</v>
      </c>
      <c r="D475" s="394">
        <v>43890</v>
      </c>
      <c r="E475" s="297" t="s">
        <v>1426</v>
      </c>
      <c r="F475" s="394">
        <v>43830</v>
      </c>
      <c r="G475" s="297" t="s">
        <v>1426</v>
      </c>
      <c r="H475" s="297" t="s">
        <v>1426</v>
      </c>
      <c r="I475" s="297" t="s">
        <v>1426</v>
      </c>
      <c r="J475" s="297" t="s">
        <v>1426</v>
      </c>
      <c r="K475" s="297" t="s">
        <v>1426</v>
      </c>
      <c r="L475" s="297" t="s">
        <v>1426</v>
      </c>
      <c r="M475" s="297" t="s">
        <v>1426</v>
      </c>
      <c r="N475" s="297" t="s">
        <v>1426</v>
      </c>
      <c r="O475" s="297" t="s">
        <v>1426</v>
      </c>
      <c r="P475" s="394" t="s">
        <v>1426</v>
      </c>
      <c r="Q475" s="297" t="s">
        <v>1426</v>
      </c>
      <c r="R475" s="297" t="s">
        <v>1426</v>
      </c>
      <c r="S475" s="297" t="s">
        <v>1426</v>
      </c>
      <c r="T475" s="297" t="s">
        <v>1425</v>
      </c>
      <c r="U475" s="297" t="s">
        <v>1425</v>
      </c>
      <c r="V475" s="46" t="s">
        <v>1426</v>
      </c>
    </row>
    <row r="476" spans="1:22" x14ac:dyDescent="0.2">
      <c r="A476">
        <v>914945</v>
      </c>
      <c r="B476" s="399" t="s">
        <v>552</v>
      </c>
      <c r="C476" s="297">
        <v>28</v>
      </c>
      <c r="D476" s="394">
        <v>43890</v>
      </c>
      <c r="E476" s="297" t="s">
        <v>1425</v>
      </c>
      <c r="F476" s="394">
        <v>43830</v>
      </c>
      <c r="G476" s="297" t="s">
        <v>1426</v>
      </c>
      <c r="H476" s="297" t="s">
        <v>1426</v>
      </c>
      <c r="I476" s="297" t="s">
        <v>1426</v>
      </c>
      <c r="J476" s="297" t="s">
        <v>1426</v>
      </c>
      <c r="K476" s="297" t="s">
        <v>1426</v>
      </c>
      <c r="L476" s="297" t="s">
        <v>1426</v>
      </c>
      <c r="M476" s="297" t="s">
        <v>1425</v>
      </c>
      <c r="N476" s="297" t="s">
        <v>1425</v>
      </c>
      <c r="O476" s="297" t="s">
        <v>1426</v>
      </c>
      <c r="P476" s="394" t="s">
        <v>1425</v>
      </c>
      <c r="Q476" s="297" t="s">
        <v>1425</v>
      </c>
      <c r="R476" s="297" t="s">
        <v>1425</v>
      </c>
      <c r="S476" s="297" t="s">
        <v>1426</v>
      </c>
      <c r="T476" s="297" t="s">
        <v>1425</v>
      </c>
      <c r="U476" s="297" t="s">
        <v>1425</v>
      </c>
      <c r="V476" s="46" t="s">
        <v>1425</v>
      </c>
    </row>
    <row r="477" spans="1:22" x14ac:dyDescent="0.2">
      <c r="A477">
        <v>916122</v>
      </c>
      <c r="B477" s="399" t="s">
        <v>1480</v>
      </c>
      <c r="C477" s="297">
        <v>20</v>
      </c>
      <c r="D477" s="394">
        <v>43890</v>
      </c>
      <c r="E477" s="297" t="s">
        <v>1426</v>
      </c>
      <c r="F477" s="394">
        <v>43830</v>
      </c>
      <c r="G477" s="297" t="s">
        <v>1426</v>
      </c>
      <c r="H477" s="297" t="s">
        <v>1426</v>
      </c>
      <c r="I477" s="297" t="s">
        <v>1426</v>
      </c>
      <c r="J477" s="297" t="s">
        <v>1426</v>
      </c>
      <c r="K477" s="297" t="s">
        <v>1426</v>
      </c>
      <c r="L477" s="297" t="s">
        <v>1426</v>
      </c>
      <c r="M477" s="297" t="s">
        <v>1426</v>
      </c>
      <c r="N477" s="297" t="s">
        <v>1425</v>
      </c>
      <c r="O477" s="297" t="s">
        <v>1425</v>
      </c>
      <c r="P477" s="394" t="s">
        <v>1425</v>
      </c>
      <c r="Q477" s="297" t="s">
        <v>1425</v>
      </c>
      <c r="R477" s="297" t="s">
        <v>1425</v>
      </c>
      <c r="S477" s="297" t="s">
        <v>1425</v>
      </c>
      <c r="T477" s="297" t="s">
        <v>1426</v>
      </c>
      <c r="U477" s="297" t="s">
        <v>1425</v>
      </c>
      <c r="V477" s="46" t="s">
        <v>1426</v>
      </c>
    </row>
    <row r="478" spans="1:22" x14ac:dyDescent="0.2">
      <c r="A478">
        <v>916189</v>
      </c>
      <c r="B478" s="399" t="s">
        <v>553</v>
      </c>
      <c r="C478" s="297">
        <v>20</v>
      </c>
      <c r="D478" s="394">
        <v>43890</v>
      </c>
      <c r="E478" s="297" t="s">
        <v>1425</v>
      </c>
      <c r="F478" s="394">
        <v>43830</v>
      </c>
      <c r="G478" s="297" t="s">
        <v>1426</v>
      </c>
      <c r="H478" s="297" t="s">
        <v>1426</v>
      </c>
      <c r="I478" s="297" t="s">
        <v>1426</v>
      </c>
      <c r="J478" s="297" t="s">
        <v>1426</v>
      </c>
      <c r="K478" s="297" t="s">
        <v>1426</v>
      </c>
      <c r="L478" s="297" t="s">
        <v>1426</v>
      </c>
      <c r="M478" s="297" t="s">
        <v>1426</v>
      </c>
      <c r="N478" s="297" t="s">
        <v>1426</v>
      </c>
      <c r="O478" s="297" t="s">
        <v>1426</v>
      </c>
      <c r="P478" s="394" t="s">
        <v>1426</v>
      </c>
      <c r="Q478" s="297" t="s">
        <v>1426</v>
      </c>
      <c r="R478" s="297" t="s">
        <v>1426</v>
      </c>
      <c r="S478" s="297" t="s">
        <v>1425</v>
      </c>
      <c r="T478" s="297" t="s">
        <v>1425</v>
      </c>
      <c r="U478" s="297" t="s">
        <v>1425</v>
      </c>
      <c r="V478" s="46" t="s">
        <v>1426</v>
      </c>
    </row>
    <row r="479" spans="1:22" x14ac:dyDescent="0.2">
      <c r="A479">
        <v>917955</v>
      </c>
      <c r="B479" s="399" t="s">
        <v>1481</v>
      </c>
      <c r="C479" s="297">
        <v>26</v>
      </c>
      <c r="D479" s="394">
        <v>43890</v>
      </c>
      <c r="E479" s="297" t="s">
        <v>1425</v>
      </c>
      <c r="F479" s="394">
        <v>43830</v>
      </c>
      <c r="G479" s="297" t="s">
        <v>1426</v>
      </c>
      <c r="H479" s="297" t="s">
        <v>1426</v>
      </c>
      <c r="I479" s="297" t="s">
        <v>1426</v>
      </c>
      <c r="J479" s="297" t="s">
        <v>1426</v>
      </c>
      <c r="K479" s="297" t="s">
        <v>1426</v>
      </c>
      <c r="L479" s="297" t="s">
        <v>1426</v>
      </c>
      <c r="M479" s="297" t="s">
        <v>1426</v>
      </c>
      <c r="N479" s="297" t="s">
        <v>1425</v>
      </c>
      <c r="O479" s="297" t="s">
        <v>1425</v>
      </c>
      <c r="P479" s="394" t="s">
        <v>1425</v>
      </c>
      <c r="Q479" s="297" t="s">
        <v>1425</v>
      </c>
      <c r="R479" s="297" t="s">
        <v>1425</v>
      </c>
      <c r="S479" s="297" t="s">
        <v>1425</v>
      </c>
      <c r="T479" s="297" t="s">
        <v>1425</v>
      </c>
      <c r="U479" s="297" t="s">
        <v>1425</v>
      </c>
      <c r="V479" s="46" t="s">
        <v>1426</v>
      </c>
    </row>
    <row r="480" spans="1:22" x14ac:dyDescent="0.2">
      <c r="A480">
        <v>920439</v>
      </c>
      <c r="B480" s="399" t="s">
        <v>1345</v>
      </c>
      <c r="C480" s="297">
        <v>26</v>
      </c>
      <c r="D480" s="394">
        <v>43890</v>
      </c>
      <c r="E480" s="297" t="s">
        <v>1425</v>
      </c>
      <c r="F480" s="394">
        <v>43830</v>
      </c>
      <c r="G480" s="297" t="s">
        <v>1427</v>
      </c>
      <c r="H480" s="297" t="s">
        <v>1427</v>
      </c>
      <c r="I480" s="297" t="s">
        <v>1427</v>
      </c>
      <c r="J480" s="297" t="s">
        <v>1427</v>
      </c>
      <c r="K480" s="297" t="s">
        <v>1427</v>
      </c>
      <c r="L480" s="297" t="s">
        <v>1427</v>
      </c>
      <c r="M480" s="297" t="s">
        <v>1427</v>
      </c>
      <c r="N480" s="297" t="s">
        <v>1427</v>
      </c>
      <c r="O480" s="297" t="s">
        <v>1427</v>
      </c>
      <c r="P480" s="394" t="s">
        <v>1427</v>
      </c>
      <c r="Q480" s="297" t="s">
        <v>1427</v>
      </c>
      <c r="R480" s="297" t="s">
        <v>1427</v>
      </c>
      <c r="S480" s="297" t="s">
        <v>1427</v>
      </c>
      <c r="T480" s="297" t="s">
        <v>1427</v>
      </c>
      <c r="U480" s="297" t="s">
        <v>1427</v>
      </c>
      <c r="V480" s="46" t="s">
        <v>1427</v>
      </c>
    </row>
    <row r="481" spans="1:22" x14ac:dyDescent="0.2">
      <c r="A481">
        <v>922435</v>
      </c>
      <c r="B481" s="399" t="s">
        <v>1482</v>
      </c>
      <c r="C481" s="297">
        <v>27</v>
      </c>
      <c r="D481" s="394">
        <v>43890</v>
      </c>
      <c r="E481" s="297" t="s">
        <v>1425</v>
      </c>
      <c r="F481" s="394">
        <v>43830</v>
      </c>
      <c r="G481" s="297" t="s">
        <v>1426</v>
      </c>
      <c r="H481" s="297" t="s">
        <v>1426</v>
      </c>
      <c r="I481" s="297" t="s">
        <v>1425</v>
      </c>
      <c r="J481" s="297" t="s">
        <v>1426</v>
      </c>
      <c r="K481" s="297" t="s">
        <v>1426</v>
      </c>
      <c r="L481" s="297" t="s">
        <v>1426</v>
      </c>
      <c r="M481" s="297" t="s">
        <v>1425</v>
      </c>
      <c r="N481" s="297" t="s">
        <v>1425</v>
      </c>
      <c r="O481" s="297" t="s">
        <v>1425</v>
      </c>
      <c r="P481" s="394" t="s">
        <v>1425</v>
      </c>
      <c r="Q481" s="297" t="s">
        <v>1425</v>
      </c>
      <c r="R481" s="297" t="s">
        <v>1425</v>
      </c>
      <c r="S481" s="297" t="s">
        <v>1425</v>
      </c>
      <c r="T481" s="297" t="s">
        <v>1425</v>
      </c>
      <c r="U481" s="297" t="s">
        <v>1425</v>
      </c>
      <c r="V481" s="46" t="s">
        <v>1426</v>
      </c>
    </row>
    <row r="482" spans="1:22" x14ac:dyDescent="0.2">
      <c r="A482">
        <v>923383</v>
      </c>
      <c r="B482" s="399" t="s">
        <v>554</v>
      </c>
      <c r="C482" s="297">
        <v>19</v>
      </c>
      <c r="D482" s="394">
        <v>43890</v>
      </c>
      <c r="E482" s="297" t="s">
        <v>1426</v>
      </c>
      <c r="F482" s="394">
        <v>43830</v>
      </c>
      <c r="G482" s="297" t="s">
        <v>1426</v>
      </c>
      <c r="H482" s="297" t="s">
        <v>1426</v>
      </c>
      <c r="I482" s="297" t="s">
        <v>1426</v>
      </c>
      <c r="J482" s="297" t="s">
        <v>1426</v>
      </c>
      <c r="K482" s="297" t="s">
        <v>1426</v>
      </c>
      <c r="L482" s="297" t="s">
        <v>1426</v>
      </c>
      <c r="M482" s="297" t="s">
        <v>1426</v>
      </c>
      <c r="N482" s="297" t="s">
        <v>1425</v>
      </c>
      <c r="O482" s="297" t="s">
        <v>1426</v>
      </c>
      <c r="P482" s="394" t="s">
        <v>1425</v>
      </c>
      <c r="Q482" s="297" t="s">
        <v>1426</v>
      </c>
      <c r="R482" s="297" t="s">
        <v>1426</v>
      </c>
      <c r="S482" s="297" t="s">
        <v>1426</v>
      </c>
      <c r="T482" s="297" t="s">
        <v>1425</v>
      </c>
      <c r="U482" s="297" t="s">
        <v>1426</v>
      </c>
      <c r="V482" s="46" t="s">
        <v>1426</v>
      </c>
    </row>
    <row r="483" spans="1:22" x14ac:dyDescent="0.2">
      <c r="A483">
        <v>928341</v>
      </c>
      <c r="B483" s="399" t="s">
        <v>1391</v>
      </c>
      <c r="C483" s="297">
        <v>29</v>
      </c>
      <c r="D483" s="394">
        <v>43890</v>
      </c>
      <c r="E483" s="297" t="s">
        <v>1426</v>
      </c>
      <c r="F483" s="394">
        <v>43830</v>
      </c>
      <c r="G483" s="297" t="s">
        <v>1426</v>
      </c>
      <c r="H483" s="297" t="s">
        <v>1426</v>
      </c>
      <c r="I483" s="297" t="s">
        <v>1426</v>
      </c>
      <c r="J483" s="297" t="s">
        <v>1426</v>
      </c>
      <c r="K483" s="297" t="s">
        <v>1426</v>
      </c>
      <c r="L483" s="297" t="s">
        <v>1426</v>
      </c>
      <c r="M483" s="297" t="s">
        <v>1425</v>
      </c>
      <c r="N483" s="297" t="s">
        <v>1425</v>
      </c>
      <c r="O483" s="297" t="s">
        <v>1426</v>
      </c>
      <c r="P483" s="394" t="s">
        <v>1425</v>
      </c>
      <c r="Q483" s="297" t="s">
        <v>1426</v>
      </c>
      <c r="R483" s="297" t="s">
        <v>1425</v>
      </c>
      <c r="S483" s="297" t="s">
        <v>1426</v>
      </c>
      <c r="T483" s="297" t="s">
        <v>1425</v>
      </c>
      <c r="U483" s="297" t="s">
        <v>1425</v>
      </c>
      <c r="V483" s="46" t="s">
        <v>1425</v>
      </c>
    </row>
    <row r="484" spans="1:22" x14ac:dyDescent="0.2">
      <c r="A484">
        <v>929224</v>
      </c>
      <c r="B484" s="399" t="s">
        <v>555</v>
      </c>
      <c r="C484" s="297">
        <v>23</v>
      </c>
      <c r="D484" s="394">
        <v>43890</v>
      </c>
      <c r="E484" s="297" t="s">
        <v>1426</v>
      </c>
      <c r="F484" s="394">
        <v>43830</v>
      </c>
      <c r="G484" s="297" t="s">
        <v>1426</v>
      </c>
      <c r="H484" s="297" t="s">
        <v>1426</v>
      </c>
      <c r="I484" s="297" t="s">
        <v>1426</v>
      </c>
      <c r="J484" s="297" t="s">
        <v>1426</v>
      </c>
      <c r="K484" s="297" t="s">
        <v>1426</v>
      </c>
      <c r="L484" s="297" t="s">
        <v>1426</v>
      </c>
      <c r="M484" s="297" t="s">
        <v>1426</v>
      </c>
      <c r="N484" s="297" t="s">
        <v>1426</v>
      </c>
      <c r="O484" s="297" t="s">
        <v>1426</v>
      </c>
      <c r="P484" s="394" t="s">
        <v>1426</v>
      </c>
      <c r="Q484" s="297" t="s">
        <v>1426</v>
      </c>
      <c r="R484" s="297" t="s">
        <v>1426</v>
      </c>
      <c r="S484" s="297" t="s">
        <v>1426</v>
      </c>
      <c r="T484" s="297" t="s">
        <v>1425</v>
      </c>
      <c r="U484" s="297" t="s">
        <v>1425</v>
      </c>
      <c r="V484" s="46" t="s">
        <v>1426</v>
      </c>
    </row>
    <row r="485" spans="1:22" x14ac:dyDescent="0.2">
      <c r="A485">
        <v>934711</v>
      </c>
      <c r="B485" s="399" t="s">
        <v>556</v>
      </c>
      <c r="C485" s="297">
        <v>24</v>
      </c>
      <c r="D485" s="394">
        <v>43890</v>
      </c>
      <c r="E485" s="297" t="s">
        <v>1425</v>
      </c>
      <c r="F485" s="394">
        <v>43830</v>
      </c>
      <c r="G485" s="297" t="s">
        <v>1426</v>
      </c>
      <c r="H485" s="297" t="s">
        <v>1426</v>
      </c>
      <c r="I485" s="297" t="s">
        <v>1426</v>
      </c>
      <c r="J485" s="297" t="s">
        <v>1426</v>
      </c>
      <c r="K485" s="297" t="s">
        <v>1426</v>
      </c>
      <c r="L485" s="297" t="s">
        <v>1426</v>
      </c>
      <c r="M485" s="297" t="s">
        <v>1426</v>
      </c>
      <c r="N485" s="297" t="s">
        <v>1426</v>
      </c>
      <c r="O485" s="297" t="s">
        <v>1426</v>
      </c>
      <c r="P485" s="394" t="s">
        <v>1426</v>
      </c>
      <c r="Q485" s="297" t="s">
        <v>1426</v>
      </c>
      <c r="R485" s="297" t="s">
        <v>1426</v>
      </c>
      <c r="S485" s="297" t="s">
        <v>1426</v>
      </c>
      <c r="T485" s="297" t="s">
        <v>1425</v>
      </c>
      <c r="U485" s="297" t="s">
        <v>1425</v>
      </c>
      <c r="V485" s="46" t="s">
        <v>1425</v>
      </c>
    </row>
    <row r="486" spans="1:22" x14ac:dyDescent="0.2">
      <c r="A486">
        <v>938845</v>
      </c>
      <c r="B486" s="399" t="s">
        <v>557</v>
      </c>
      <c r="C486" s="297">
        <v>24</v>
      </c>
      <c r="D486" s="394">
        <v>43890</v>
      </c>
      <c r="E486" s="297" t="s">
        <v>1426</v>
      </c>
      <c r="F486" s="394">
        <v>43830</v>
      </c>
      <c r="G486" s="297" t="s">
        <v>1426</v>
      </c>
      <c r="H486" s="297" t="s">
        <v>1426</v>
      </c>
      <c r="I486" s="297" t="s">
        <v>1426</v>
      </c>
      <c r="J486" s="297" t="s">
        <v>1426</v>
      </c>
      <c r="K486" s="297" t="s">
        <v>1426</v>
      </c>
      <c r="L486" s="297" t="s">
        <v>1426</v>
      </c>
      <c r="M486" s="297" t="s">
        <v>1426</v>
      </c>
      <c r="N486" s="297" t="s">
        <v>1426</v>
      </c>
      <c r="O486" s="297" t="s">
        <v>1426</v>
      </c>
      <c r="P486" s="394" t="s">
        <v>1426</v>
      </c>
      <c r="Q486" s="297" t="s">
        <v>1426</v>
      </c>
      <c r="R486" s="297" t="s">
        <v>1426</v>
      </c>
      <c r="S486" s="297" t="s">
        <v>1426</v>
      </c>
      <c r="T486" s="297" t="s">
        <v>1425</v>
      </c>
      <c r="U486" s="297" t="s">
        <v>1425</v>
      </c>
      <c r="V486" s="46" t="s">
        <v>1425</v>
      </c>
    </row>
    <row r="487" spans="1:22" x14ac:dyDescent="0.2">
      <c r="A487">
        <v>941096</v>
      </c>
      <c r="B487" s="399" t="s">
        <v>558</v>
      </c>
      <c r="C487" s="297">
        <v>21</v>
      </c>
      <c r="D487" s="394">
        <v>43890</v>
      </c>
      <c r="E487" s="297" t="s">
        <v>1425</v>
      </c>
      <c r="F487" s="394">
        <v>43830</v>
      </c>
      <c r="G487" s="297" t="s">
        <v>1426</v>
      </c>
      <c r="H487" s="297" t="s">
        <v>1426</v>
      </c>
      <c r="I487" s="297" t="s">
        <v>1426</v>
      </c>
      <c r="J487" s="297" t="s">
        <v>1426</v>
      </c>
      <c r="K487" s="297" t="s">
        <v>1426</v>
      </c>
      <c r="L487" s="297" t="s">
        <v>1426</v>
      </c>
      <c r="M487" s="297" t="s">
        <v>1425</v>
      </c>
      <c r="N487" s="297" t="s">
        <v>1425</v>
      </c>
      <c r="O487" s="297" t="s">
        <v>1426</v>
      </c>
      <c r="P487" s="394" t="s">
        <v>1425</v>
      </c>
      <c r="Q487" s="297" t="s">
        <v>1426</v>
      </c>
      <c r="R487" s="297" t="s">
        <v>1425</v>
      </c>
      <c r="S487" s="297" t="s">
        <v>1426</v>
      </c>
      <c r="T487" s="297" t="s">
        <v>1425</v>
      </c>
      <c r="U487" s="395" t="s">
        <v>1425</v>
      </c>
      <c r="V487" s="46" t="s">
        <v>1425</v>
      </c>
    </row>
    <row r="488" spans="1:22" x14ac:dyDescent="0.2">
      <c r="A488">
        <v>946285</v>
      </c>
      <c r="B488" s="399" t="s">
        <v>559</v>
      </c>
      <c r="C488" s="297">
        <v>23</v>
      </c>
      <c r="D488" s="394">
        <v>43890</v>
      </c>
      <c r="E488" s="297" t="s">
        <v>1425</v>
      </c>
      <c r="F488" s="394">
        <v>43830</v>
      </c>
      <c r="G488" s="297" t="s">
        <v>1426</v>
      </c>
      <c r="H488" s="297" t="s">
        <v>1426</v>
      </c>
      <c r="I488" s="297" t="s">
        <v>1426</v>
      </c>
      <c r="J488" s="297" t="s">
        <v>1425</v>
      </c>
      <c r="K488" s="297" t="s">
        <v>1425</v>
      </c>
      <c r="L488" s="297" t="s">
        <v>1425</v>
      </c>
      <c r="M488" s="297" t="s">
        <v>1425</v>
      </c>
      <c r="N488" s="297" t="s">
        <v>1425</v>
      </c>
      <c r="O488" s="297" t="s">
        <v>1425</v>
      </c>
      <c r="P488" s="394" t="s">
        <v>1425</v>
      </c>
      <c r="Q488" s="297" t="s">
        <v>1425</v>
      </c>
      <c r="R488" s="297" t="s">
        <v>1425</v>
      </c>
      <c r="S488" s="297" t="s">
        <v>1425</v>
      </c>
      <c r="T488" s="297" t="s">
        <v>1425</v>
      </c>
      <c r="U488" s="297" t="s">
        <v>1425</v>
      </c>
      <c r="V488" s="46" t="s">
        <v>1425</v>
      </c>
    </row>
    <row r="489" spans="1:22" x14ac:dyDescent="0.2">
      <c r="A489">
        <v>950774</v>
      </c>
      <c r="B489" s="399" t="s">
        <v>561</v>
      </c>
      <c r="C489" s="297">
        <v>29</v>
      </c>
      <c r="D489" s="394">
        <v>43890</v>
      </c>
      <c r="E489" s="297" t="s">
        <v>1425</v>
      </c>
      <c r="F489" s="394">
        <v>43830</v>
      </c>
      <c r="G489" s="297" t="s">
        <v>1426</v>
      </c>
      <c r="H489" s="297" t="s">
        <v>1426</v>
      </c>
      <c r="I489" s="297" t="s">
        <v>1426</v>
      </c>
      <c r="J489" s="297" t="s">
        <v>1426</v>
      </c>
      <c r="K489" s="297" t="s">
        <v>1426</v>
      </c>
      <c r="L489" s="297" t="s">
        <v>1426</v>
      </c>
      <c r="M489" s="297" t="s">
        <v>1425</v>
      </c>
      <c r="N489" s="297" t="s">
        <v>1425</v>
      </c>
      <c r="O489" s="297" t="s">
        <v>1426</v>
      </c>
      <c r="P489" s="394" t="s">
        <v>1425</v>
      </c>
      <c r="Q489" s="297" t="s">
        <v>1425</v>
      </c>
      <c r="R489" s="297" t="s">
        <v>1425</v>
      </c>
      <c r="S489" s="297" t="s">
        <v>1426</v>
      </c>
      <c r="T489" s="297" t="s">
        <v>1425</v>
      </c>
      <c r="U489" s="297" t="s">
        <v>1425</v>
      </c>
      <c r="V489" s="46" t="s">
        <v>1425</v>
      </c>
    </row>
    <row r="490" spans="1:22" x14ac:dyDescent="0.2">
      <c r="A490">
        <v>952010</v>
      </c>
      <c r="B490" s="399" t="s">
        <v>562</v>
      </c>
      <c r="C490" s="297">
        <v>23</v>
      </c>
      <c r="D490" s="394">
        <v>43890</v>
      </c>
      <c r="E490" s="297" t="s">
        <v>1425</v>
      </c>
      <c r="F490" s="394">
        <v>43830</v>
      </c>
      <c r="G490" s="297" t="s">
        <v>1426</v>
      </c>
      <c r="H490" s="297" t="s">
        <v>1426</v>
      </c>
      <c r="I490" s="297" t="s">
        <v>1426</v>
      </c>
      <c r="J490" s="297" t="s">
        <v>1426</v>
      </c>
      <c r="K490" s="297" t="s">
        <v>1426</v>
      </c>
      <c r="L490" s="297" t="s">
        <v>1426</v>
      </c>
      <c r="M490" s="297" t="s">
        <v>1426</v>
      </c>
      <c r="N490" s="297" t="s">
        <v>1426</v>
      </c>
      <c r="O490" s="297" t="s">
        <v>1426</v>
      </c>
      <c r="P490" s="394" t="s">
        <v>1426</v>
      </c>
      <c r="Q490" s="297" t="s">
        <v>1426</v>
      </c>
      <c r="R490" s="297" t="s">
        <v>1426</v>
      </c>
      <c r="S490" s="297" t="s">
        <v>1425</v>
      </c>
      <c r="T490" s="297" t="s">
        <v>1425</v>
      </c>
      <c r="U490" s="297" t="s">
        <v>1425</v>
      </c>
      <c r="V490" s="46" t="s">
        <v>1426</v>
      </c>
    </row>
    <row r="491" spans="1:22" x14ac:dyDescent="0.2">
      <c r="A491">
        <v>955435</v>
      </c>
      <c r="B491" s="399" t="s">
        <v>638</v>
      </c>
      <c r="C491" s="297"/>
      <c r="D491" s="394"/>
      <c r="E491" s="297" t="s">
        <v>1425</v>
      </c>
      <c r="F491" s="394">
        <v>43830</v>
      </c>
      <c r="G491" s="297" t="s">
        <v>1426</v>
      </c>
      <c r="H491" s="297" t="s">
        <v>1426</v>
      </c>
      <c r="I491" s="297" t="s">
        <v>1426</v>
      </c>
      <c r="J491" s="297" t="s">
        <v>1426</v>
      </c>
      <c r="K491" s="297" t="s">
        <v>1426</v>
      </c>
      <c r="L491" s="297" t="s">
        <v>1426</v>
      </c>
      <c r="M491" s="297" t="s">
        <v>1425</v>
      </c>
      <c r="N491" s="297" t="s">
        <v>1425</v>
      </c>
      <c r="O491" s="297" t="s">
        <v>1426</v>
      </c>
      <c r="P491" s="394" t="s">
        <v>1426</v>
      </c>
      <c r="Q491" s="297" t="s">
        <v>1426</v>
      </c>
      <c r="R491" s="297" t="s">
        <v>1425</v>
      </c>
      <c r="S491" s="297" t="s">
        <v>1426</v>
      </c>
      <c r="T491" s="297" t="s">
        <v>1425</v>
      </c>
      <c r="U491" s="297" t="s">
        <v>1425</v>
      </c>
      <c r="V491" s="46" t="s">
        <v>1425</v>
      </c>
    </row>
    <row r="492" spans="1:22" x14ac:dyDescent="0.2">
      <c r="A492">
        <v>958264</v>
      </c>
      <c r="B492" s="399" t="s">
        <v>1483</v>
      </c>
      <c r="C492" s="297">
        <v>30</v>
      </c>
      <c r="D492" s="394">
        <v>43890</v>
      </c>
      <c r="E492" s="297" t="s">
        <v>1425</v>
      </c>
      <c r="F492" s="394">
        <v>43830</v>
      </c>
      <c r="G492" s="297" t="s">
        <v>1426</v>
      </c>
      <c r="H492" s="297" t="s">
        <v>1426</v>
      </c>
      <c r="I492" s="297" t="s">
        <v>1426</v>
      </c>
      <c r="J492" s="297" t="s">
        <v>1426</v>
      </c>
      <c r="K492" s="297" t="s">
        <v>1426</v>
      </c>
      <c r="L492" s="297" t="s">
        <v>1426</v>
      </c>
      <c r="M492" s="297" t="s">
        <v>1425</v>
      </c>
      <c r="N492" s="297" t="s">
        <v>1425</v>
      </c>
      <c r="O492" s="297" t="s">
        <v>1425</v>
      </c>
      <c r="P492" s="394" t="s">
        <v>1425</v>
      </c>
      <c r="Q492" s="297" t="s">
        <v>1425</v>
      </c>
      <c r="R492" s="297" t="s">
        <v>1425</v>
      </c>
      <c r="S492" s="297" t="s">
        <v>1425</v>
      </c>
      <c r="T492" s="297" t="s">
        <v>1425</v>
      </c>
      <c r="U492" s="297" t="s">
        <v>1425</v>
      </c>
      <c r="V492" s="46" t="s">
        <v>1426</v>
      </c>
    </row>
    <row r="493" spans="1:22" x14ac:dyDescent="0.2">
      <c r="A493">
        <v>959502</v>
      </c>
      <c r="B493" s="399" t="s">
        <v>639</v>
      </c>
      <c r="C493" s="297">
        <v>22</v>
      </c>
      <c r="D493" s="394">
        <v>43890</v>
      </c>
      <c r="E493" s="297" t="s">
        <v>1425</v>
      </c>
      <c r="F493" s="394">
        <v>43830</v>
      </c>
      <c r="G493" s="297" t="s">
        <v>1426</v>
      </c>
      <c r="H493" s="297" t="s">
        <v>1426</v>
      </c>
      <c r="I493" s="297" t="s">
        <v>1426</v>
      </c>
      <c r="J493" s="297" t="s">
        <v>1426</v>
      </c>
      <c r="K493" s="297" t="s">
        <v>1426</v>
      </c>
      <c r="L493" s="297" t="s">
        <v>1426</v>
      </c>
      <c r="M493" s="297" t="s">
        <v>1426</v>
      </c>
      <c r="N493" s="297" t="s">
        <v>1426</v>
      </c>
      <c r="O493" s="297" t="s">
        <v>1426</v>
      </c>
      <c r="P493" s="394" t="s">
        <v>1426</v>
      </c>
      <c r="Q493" s="297" t="s">
        <v>1426</v>
      </c>
      <c r="R493" s="297" t="s">
        <v>1426</v>
      </c>
      <c r="S493" s="297" t="s">
        <v>1425</v>
      </c>
      <c r="T493" s="297" t="s">
        <v>1425</v>
      </c>
      <c r="U493" s="297" t="s">
        <v>1425</v>
      </c>
      <c r="V493" s="46" t="s">
        <v>1426</v>
      </c>
    </row>
    <row r="494" spans="1:22" x14ac:dyDescent="0.2">
      <c r="A494">
        <v>964767</v>
      </c>
      <c r="B494" s="399" t="s">
        <v>563</v>
      </c>
      <c r="C494" s="297">
        <v>23</v>
      </c>
      <c r="D494" s="394">
        <v>43890</v>
      </c>
      <c r="E494" s="297" t="s">
        <v>1426</v>
      </c>
      <c r="F494" s="394">
        <v>43830</v>
      </c>
      <c r="G494" s="297" t="s">
        <v>1426</v>
      </c>
      <c r="H494" s="297" t="s">
        <v>1426</v>
      </c>
      <c r="I494" s="297" t="s">
        <v>1426</v>
      </c>
      <c r="J494" s="297" t="s">
        <v>1426</v>
      </c>
      <c r="K494" s="297" t="s">
        <v>1426</v>
      </c>
      <c r="L494" s="297" t="s">
        <v>1426</v>
      </c>
      <c r="M494" s="297" t="s">
        <v>1426</v>
      </c>
      <c r="N494" s="297" t="s">
        <v>1426</v>
      </c>
      <c r="O494" s="297" t="s">
        <v>1426</v>
      </c>
      <c r="P494" s="394" t="s">
        <v>1426</v>
      </c>
      <c r="Q494" s="297" t="s">
        <v>1426</v>
      </c>
      <c r="R494" s="297" t="s">
        <v>1426</v>
      </c>
      <c r="S494" s="297" t="s">
        <v>1426</v>
      </c>
      <c r="T494" s="297" t="s">
        <v>1425</v>
      </c>
      <c r="U494" s="297" t="s">
        <v>1425</v>
      </c>
      <c r="V494" s="46" t="s">
        <v>1426</v>
      </c>
    </row>
    <row r="495" spans="1:22" x14ac:dyDescent="0.2">
      <c r="A495">
        <v>968420</v>
      </c>
      <c r="B495" s="399" t="s">
        <v>603</v>
      </c>
      <c r="C495" s="297">
        <v>18</v>
      </c>
      <c r="D495" s="394">
        <v>43890</v>
      </c>
      <c r="E495" s="297" t="s">
        <v>1425</v>
      </c>
      <c r="F495" s="394">
        <v>43830</v>
      </c>
      <c r="G495" s="297" t="s">
        <v>1426</v>
      </c>
      <c r="H495" s="297" t="s">
        <v>1426</v>
      </c>
      <c r="I495" s="297" t="s">
        <v>1426</v>
      </c>
      <c r="J495" s="297" t="s">
        <v>1426</v>
      </c>
      <c r="K495" s="297" t="s">
        <v>1426</v>
      </c>
      <c r="L495" s="297" t="s">
        <v>1426</v>
      </c>
      <c r="M495" s="297" t="s">
        <v>1425</v>
      </c>
      <c r="N495" s="297" t="s">
        <v>1425</v>
      </c>
      <c r="O495" s="297" t="s">
        <v>1426</v>
      </c>
      <c r="P495" s="394" t="s">
        <v>1425</v>
      </c>
      <c r="Q495" s="297" t="s">
        <v>1426</v>
      </c>
      <c r="R495" s="297" t="s">
        <v>1425</v>
      </c>
      <c r="S495" s="297" t="s">
        <v>1426</v>
      </c>
      <c r="T495" s="297" t="s">
        <v>1425</v>
      </c>
      <c r="U495" s="297" t="s">
        <v>1425</v>
      </c>
      <c r="V495" s="46" t="s">
        <v>1425</v>
      </c>
    </row>
    <row r="496" spans="1:22" x14ac:dyDescent="0.2">
      <c r="A496">
        <v>968891</v>
      </c>
      <c r="B496" s="399" t="s">
        <v>564</v>
      </c>
      <c r="C496" s="297">
        <v>21</v>
      </c>
      <c r="D496" s="394">
        <v>43890</v>
      </c>
      <c r="E496" s="297" t="s">
        <v>1426</v>
      </c>
      <c r="F496" s="394">
        <v>43830</v>
      </c>
      <c r="G496" s="297" t="s">
        <v>1426</v>
      </c>
      <c r="H496" s="297" t="s">
        <v>1426</v>
      </c>
      <c r="I496" s="297" t="s">
        <v>1426</v>
      </c>
      <c r="J496" s="297" t="s">
        <v>1426</v>
      </c>
      <c r="K496" s="297" t="s">
        <v>1426</v>
      </c>
      <c r="L496" s="297" t="s">
        <v>1426</v>
      </c>
      <c r="M496" s="297" t="s">
        <v>1426</v>
      </c>
      <c r="N496" s="297" t="s">
        <v>1426</v>
      </c>
      <c r="O496" s="297" t="s">
        <v>1426</v>
      </c>
      <c r="P496" s="394" t="s">
        <v>1426</v>
      </c>
      <c r="Q496" s="297" t="s">
        <v>1426</v>
      </c>
      <c r="R496" s="297" t="s">
        <v>1426</v>
      </c>
      <c r="S496" s="297" t="s">
        <v>1426</v>
      </c>
      <c r="T496" s="297" t="s">
        <v>1425</v>
      </c>
      <c r="U496" s="297" t="s">
        <v>1426</v>
      </c>
      <c r="V496" s="46" t="s">
        <v>1426</v>
      </c>
    </row>
    <row r="497" spans="1:22" x14ac:dyDescent="0.2">
      <c r="A497">
        <v>972497</v>
      </c>
      <c r="B497" s="399" t="s">
        <v>565</v>
      </c>
      <c r="C497" s="297"/>
      <c r="D497" s="394"/>
      <c r="E497" s="297" t="s">
        <v>1425</v>
      </c>
      <c r="F497" s="394">
        <v>43830</v>
      </c>
      <c r="G497" s="297" t="s">
        <v>1426</v>
      </c>
      <c r="H497" s="297" t="s">
        <v>1426</v>
      </c>
      <c r="I497" s="297" t="s">
        <v>1426</v>
      </c>
      <c r="J497" s="297" t="s">
        <v>1426</v>
      </c>
      <c r="K497" s="297" t="s">
        <v>1426</v>
      </c>
      <c r="L497" s="297" t="s">
        <v>1426</v>
      </c>
      <c r="M497" s="297" t="s">
        <v>1425</v>
      </c>
      <c r="N497" s="297" t="s">
        <v>1425</v>
      </c>
      <c r="O497" s="297" t="s">
        <v>1425</v>
      </c>
      <c r="P497" s="394" t="s">
        <v>1425</v>
      </c>
      <c r="Q497" s="297" t="s">
        <v>1425</v>
      </c>
      <c r="R497" s="297" t="s">
        <v>1425</v>
      </c>
      <c r="S497" s="297" t="s">
        <v>1425</v>
      </c>
      <c r="T497" s="297" t="s">
        <v>1425</v>
      </c>
      <c r="U497" s="297" t="s">
        <v>1425</v>
      </c>
      <c r="V497" s="46" t="s">
        <v>1425</v>
      </c>
    </row>
    <row r="498" spans="1:22" x14ac:dyDescent="0.2">
      <c r="A498">
        <v>973263</v>
      </c>
      <c r="B498" s="399" t="s">
        <v>604</v>
      </c>
      <c r="C498" s="297">
        <v>21</v>
      </c>
      <c r="D498" s="394">
        <v>43890</v>
      </c>
      <c r="E498" s="297" t="s">
        <v>1426</v>
      </c>
      <c r="F498" s="394">
        <v>43830</v>
      </c>
      <c r="G498" s="297" t="s">
        <v>1426</v>
      </c>
      <c r="H498" s="297" t="s">
        <v>1426</v>
      </c>
      <c r="I498" s="297" t="s">
        <v>1426</v>
      </c>
      <c r="J498" s="297" t="s">
        <v>1426</v>
      </c>
      <c r="K498" s="297" t="s">
        <v>1426</v>
      </c>
      <c r="L498" s="297" t="s">
        <v>1426</v>
      </c>
      <c r="M498" s="297" t="s">
        <v>1425</v>
      </c>
      <c r="N498" s="297" t="s">
        <v>1425</v>
      </c>
      <c r="O498" s="297" t="s">
        <v>1425</v>
      </c>
      <c r="P498" s="394" t="s">
        <v>1425</v>
      </c>
      <c r="Q498" s="297" t="s">
        <v>1425</v>
      </c>
      <c r="R498" s="297" t="s">
        <v>1425</v>
      </c>
      <c r="S498" s="297" t="s">
        <v>1425</v>
      </c>
      <c r="T498" s="297" t="s">
        <v>1425</v>
      </c>
      <c r="U498" s="297" t="s">
        <v>1425</v>
      </c>
      <c r="V498" s="46" t="s">
        <v>1426</v>
      </c>
    </row>
    <row r="499" spans="1:22" x14ac:dyDescent="0.2">
      <c r="A499">
        <v>976506</v>
      </c>
      <c r="B499" s="399" t="s">
        <v>623</v>
      </c>
      <c r="C499" s="297">
        <v>24</v>
      </c>
      <c r="D499" s="394">
        <v>43890</v>
      </c>
      <c r="E499" s="297" t="s">
        <v>1426</v>
      </c>
      <c r="F499" s="394">
        <v>43830</v>
      </c>
      <c r="G499" s="297" t="s">
        <v>1426</v>
      </c>
      <c r="H499" s="297" t="s">
        <v>1426</v>
      </c>
      <c r="I499" s="297" t="s">
        <v>1426</v>
      </c>
      <c r="J499" s="297" t="s">
        <v>1426</v>
      </c>
      <c r="K499" s="297" t="s">
        <v>1426</v>
      </c>
      <c r="L499" s="297" t="s">
        <v>1426</v>
      </c>
      <c r="M499" s="297" t="s">
        <v>1426</v>
      </c>
      <c r="N499" s="297" t="s">
        <v>1426</v>
      </c>
      <c r="O499" s="297" t="s">
        <v>1426</v>
      </c>
      <c r="P499" s="394" t="s">
        <v>1426</v>
      </c>
      <c r="Q499" s="297" t="s">
        <v>1426</v>
      </c>
      <c r="R499" s="297" t="s">
        <v>1426</v>
      </c>
      <c r="S499" s="297" t="s">
        <v>1426</v>
      </c>
      <c r="T499" s="297" t="s">
        <v>1426</v>
      </c>
      <c r="U499" s="297" t="s">
        <v>1426</v>
      </c>
      <c r="V499" s="46" t="s">
        <v>1426</v>
      </c>
    </row>
    <row r="500" spans="1:22" x14ac:dyDescent="0.2">
      <c r="A500">
        <v>976928</v>
      </c>
      <c r="B500" s="399" t="s">
        <v>566</v>
      </c>
      <c r="C500" s="297">
        <v>22</v>
      </c>
      <c r="D500" s="394">
        <v>43890</v>
      </c>
      <c r="E500" s="297" t="s">
        <v>1426</v>
      </c>
      <c r="F500" s="394">
        <v>43830</v>
      </c>
      <c r="G500" s="297" t="s">
        <v>1426</v>
      </c>
      <c r="H500" s="297" t="s">
        <v>1426</v>
      </c>
      <c r="I500" s="297" t="s">
        <v>1426</v>
      </c>
      <c r="J500" s="297" t="s">
        <v>1426</v>
      </c>
      <c r="K500" s="297" t="s">
        <v>1426</v>
      </c>
      <c r="L500" s="297" t="s">
        <v>1426</v>
      </c>
      <c r="M500" s="297" t="s">
        <v>1425</v>
      </c>
      <c r="N500" s="297" t="s">
        <v>1425</v>
      </c>
      <c r="O500" s="297" t="s">
        <v>1426</v>
      </c>
      <c r="P500" s="394" t="s">
        <v>1425</v>
      </c>
      <c r="Q500" s="297" t="s">
        <v>1426</v>
      </c>
      <c r="R500" s="297" t="s">
        <v>1425</v>
      </c>
      <c r="S500" s="297" t="s">
        <v>1426</v>
      </c>
      <c r="T500" s="297" t="s">
        <v>1425</v>
      </c>
      <c r="U500" s="297" t="s">
        <v>1425</v>
      </c>
      <c r="V500" s="46" t="s">
        <v>1425</v>
      </c>
    </row>
    <row r="501" spans="1:22" x14ac:dyDescent="0.2">
      <c r="A501">
        <v>978981</v>
      </c>
      <c r="B501" s="399" t="s">
        <v>567</v>
      </c>
      <c r="C501" s="297">
        <v>26</v>
      </c>
      <c r="D501" s="394">
        <v>43890</v>
      </c>
      <c r="E501" s="297" t="s">
        <v>1425</v>
      </c>
      <c r="F501" s="394">
        <v>43830</v>
      </c>
      <c r="G501" s="297" t="s">
        <v>1426</v>
      </c>
      <c r="H501" s="297" t="s">
        <v>1426</v>
      </c>
      <c r="I501" s="297" t="s">
        <v>1426</v>
      </c>
      <c r="J501" s="297" t="s">
        <v>1426</v>
      </c>
      <c r="K501" s="297" t="s">
        <v>1426</v>
      </c>
      <c r="L501" s="297" t="s">
        <v>1426</v>
      </c>
      <c r="M501" s="297" t="s">
        <v>1426</v>
      </c>
      <c r="N501" s="297" t="s">
        <v>1426</v>
      </c>
      <c r="O501" s="297" t="s">
        <v>1426</v>
      </c>
      <c r="P501" s="394" t="s">
        <v>1426</v>
      </c>
      <c r="Q501" s="297" t="s">
        <v>1426</v>
      </c>
      <c r="R501" s="297" t="s">
        <v>1425</v>
      </c>
      <c r="S501" s="297" t="s">
        <v>1426</v>
      </c>
      <c r="T501" s="297" t="s">
        <v>1425</v>
      </c>
      <c r="U501" s="297" t="s">
        <v>1425</v>
      </c>
      <c r="V501" s="46" t="s">
        <v>1426</v>
      </c>
    </row>
    <row r="502" spans="1:22" x14ac:dyDescent="0.2">
      <c r="A502">
        <v>980284</v>
      </c>
      <c r="B502" s="399" t="s">
        <v>605</v>
      </c>
      <c r="C502" s="297"/>
      <c r="D502" s="394"/>
      <c r="E502" s="297" t="s">
        <v>1425</v>
      </c>
      <c r="F502" s="394">
        <v>43830</v>
      </c>
      <c r="G502" s="297" t="s">
        <v>1426</v>
      </c>
      <c r="H502" s="297" t="s">
        <v>1426</v>
      </c>
      <c r="I502" s="297" t="s">
        <v>1426</v>
      </c>
      <c r="J502" s="297" t="s">
        <v>1426</v>
      </c>
      <c r="K502" s="297" t="s">
        <v>1426</v>
      </c>
      <c r="L502" s="297" t="s">
        <v>1426</v>
      </c>
      <c r="M502" s="297" t="s">
        <v>1425</v>
      </c>
      <c r="N502" s="297" t="s">
        <v>1425</v>
      </c>
      <c r="O502" s="297" t="s">
        <v>1426</v>
      </c>
      <c r="P502" s="394" t="s">
        <v>1425</v>
      </c>
      <c r="Q502" s="297" t="s">
        <v>1425</v>
      </c>
      <c r="R502" s="297" t="s">
        <v>1425</v>
      </c>
      <c r="S502" s="297" t="s">
        <v>1426</v>
      </c>
      <c r="T502" s="297" t="s">
        <v>1425</v>
      </c>
      <c r="U502" s="297" t="s">
        <v>1425</v>
      </c>
      <c r="V502" s="46" t="s">
        <v>1425</v>
      </c>
    </row>
    <row r="503" spans="1:22" x14ac:dyDescent="0.2">
      <c r="A503">
        <v>981175</v>
      </c>
      <c r="B503" s="399" t="s">
        <v>568</v>
      </c>
      <c r="C503" s="297"/>
      <c r="D503" s="394"/>
      <c r="E503" s="297" t="s">
        <v>1425</v>
      </c>
      <c r="F503" s="394">
        <v>43830</v>
      </c>
      <c r="G503" s="297" t="s">
        <v>1426</v>
      </c>
      <c r="H503" s="297" t="s">
        <v>1426</v>
      </c>
      <c r="I503" s="297" t="s">
        <v>1426</v>
      </c>
      <c r="J503" s="297" t="s">
        <v>1426</v>
      </c>
      <c r="K503" s="297" t="s">
        <v>1426</v>
      </c>
      <c r="L503" s="297" t="s">
        <v>1426</v>
      </c>
      <c r="M503" s="297" t="s">
        <v>1426</v>
      </c>
      <c r="N503" s="297" t="s">
        <v>1426</v>
      </c>
      <c r="O503" s="297" t="s">
        <v>1426</v>
      </c>
      <c r="P503" s="394" t="s">
        <v>1426</v>
      </c>
      <c r="Q503" s="297" t="s">
        <v>1426</v>
      </c>
      <c r="R503" s="297" t="s">
        <v>1426</v>
      </c>
      <c r="S503" s="297" t="s">
        <v>1426</v>
      </c>
      <c r="T503" s="297" t="s">
        <v>1425</v>
      </c>
      <c r="U503" s="297" t="s">
        <v>1425</v>
      </c>
      <c r="V503" s="46" t="s">
        <v>1426</v>
      </c>
    </row>
    <row r="504" spans="1:22" x14ac:dyDescent="0.2">
      <c r="A504">
        <v>981340</v>
      </c>
      <c r="B504" s="399" t="s">
        <v>569</v>
      </c>
      <c r="C504" s="297">
        <v>23</v>
      </c>
      <c r="D504" s="394">
        <v>43890</v>
      </c>
      <c r="E504" s="297" t="s">
        <v>1425</v>
      </c>
      <c r="F504" s="394">
        <v>43830</v>
      </c>
      <c r="G504" s="297" t="s">
        <v>1426</v>
      </c>
      <c r="H504" s="297" t="s">
        <v>1426</v>
      </c>
      <c r="I504" s="297" t="s">
        <v>1426</v>
      </c>
      <c r="J504" s="297" t="s">
        <v>1426</v>
      </c>
      <c r="K504" s="297" t="s">
        <v>1426</v>
      </c>
      <c r="L504" s="297" t="s">
        <v>1426</v>
      </c>
      <c r="M504" s="297" t="s">
        <v>1425</v>
      </c>
      <c r="N504" s="297" t="s">
        <v>1425</v>
      </c>
      <c r="O504" s="297" t="s">
        <v>1426</v>
      </c>
      <c r="P504" s="394" t="s">
        <v>1425</v>
      </c>
      <c r="Q504" s="297" t="s">
        <v>1426</v>
      </c>
      <c r="R504" s="297" t="s">
        <v>1425</v>
      </c>
      <c r="S504" s="297" t="s">
        <v>1426</v>
      </c>
      <c r="T504" s="297" t="s">
        <v>1425</v>
      </c>
      <c r="U504" s="297" t="s">
        <v>1425</v>
      </c>
      <c r="V504" s="46" t="s">
        <v>1425</v>
      </c>
    </row>
    <row r="505" spans="1:22" x14ac:dyDescent="0.2">
      <c r="A505">
        <v>982116</v>
      </c>
      <c r="B505" s="399" t="s">
        <v>570</v>
      </c>
      <c r="C505" s="297">
        <v>23</v>
      </c>
      <c r="D505" s="394">
        <v>43890</v>
      </c>
      <c r="E505" s="297" t="s">
        <v>1425</v>
      </c>
      <c r="F505" s="394">
        <v>43830</v>
      </c>
      <c r="G505" s="297" t="s">
        <v>1426</v>
      </c>
      <c r="H505" s="297" t="s">
        <v>1426</v>
      </c>
      <c r="I505" s="297" t="s">
        <v>1426</v>
      </c>
      <c r="J505" s="297" t="s">
        <v>1425</v>
      </c>
      <c r="K505" s="297" t="s">
        <v>1425</v>
      </c>
      <c r="L505" s="297" t="s">
        <v>1425</v>
      </c>
      <c r="M505" s="297" t="s">
        <v>1425</v>
      </c>
      <c r="N505" s="297" t="s">
        <v>1425</v>
      </c>
      <c r="O505" s="297" t="s">
        <v>1425</v>
      </c>
      <c r="P505" s="394" t="s">
        <v>1425</v>
      </c>
      <c r="Q505" s="297" t="s">
        <v>1425</v>
      </c>
      <c r="R505" s="297" t="s">
        <v>1425</v>
      </c>
      <c r="S505" s="297" t="s">
        <v>1425</v>
      </c>
      <c r="T505" s="297" t="s">
        <v>1425</v>
      </c>
      <c r="U505" s="297" t="s">
        <v>1425</v>
      </c>
      <c r="V505" s="46" t="s">
        <v>1425</v>
      </c>
    </row>
    <row r="506" spans="1:22" x14ac:dyDescent="0.2">
      <c r="A506">
        <v>983593</v>
      </c>
      <c r="B506" s="399" t="s">
        <v>1346</v>
      </c>
      <c r="C506" s="297">
        <v>31</v>
      </c>
      <c r="D506" s="394">
        <v>43890</v>
      </c>
      <c r="E506" s="297" t="s">
        <v>1425</v>
      </c>
      <c r="F506" s="394">
        <v>43830</v>
      </c>
      <c r="G506" s="297" t="s">
        <v>1426</v>
      </c>
      <c r="H506" s="297" t="s">
        <v>1426</v>
      </c>
      <c r="I506" s="297" t="s">
        <v>1426</v>
      </c>
      <c r="J506" s="297" t="s">
        <v>1425</v>
      </c>
      <c r="K506" s="297" t="s">
        <v>1425</v>
      </c>
      <c r="L506" s="297" t="s">
        <v>1425</v>
      </c>
      <c r="M506" s="297" t="s">
        <v>1425</v>
      </c>
      <c r="N506" s="297" t="s">
        <v>1425</v>
      </c>
      <c r="O506" s="297" t="s">
        <v>1425</v>
      </c>
      <c r="P506" s="394" t="s">
        <v>1425</v>
      </c>
      <c r="Q506" s="297" t="s">
        <v>1425</v>
      </c>
      <c r="R506" s="297" t="s">
        <v>1425</v>
      </c>
      <c r="S506" s="297" t="s">
        <v>1425</v>
      </c>
      <c r="T506" s="297" t="s">
        <v>1425</v>
      </c>
      <c r="U506" s="297" t="s">
        <v>1425</v>
      </c>
      <c r="V506" s="46" t="s">
        <v>1425</v>
      </c>
    </row>
    <row r="507" spans="1:22" x14ac:dyDescent="0.2">
      <c r="A507">
        <v>984187</v>
      </c>
      <c r="B507" s="399" t="s">
        <v>571</v>
      </c>
      <c r="C507" s="297"/>
      <c r="D507" s="394"/>
      <c r="E507" s="297" t="s">
        <v>1426</v>
      </c>
      <c r="F507" s="394">
        <v>43646</v>
      </c>
      <c r="G507" s="297" t="s">
        <v>1426</v>
      </c>
      <c r="H507" s="297" t="s">
        <v>1426</v>
      </c>
      <c r="I507" s="297" t="s">
        <v>1426</v>
      </c>
      <c r="J507" s="297" t="s">
        <v>1426</v>
      </c>
      <c r="K507" s="297" t="s">
        <v>1426</v>
      </c>
      <c r="L507" s="297" t="s">
        <v>1426</v>
      </c>
      <c r="M507" s="297" t="s">
        <v>1425</v>
      </c>
      <c r="N507" s="297" t="s">
        <v>1425</v>
      </c>
      <c r="O507" s="297" t="s">
        <v>1426</v>
      </c>
      <c r="P507" s="394" t="s">
        <v>1426</v>
      </c>
      <c r="Q507" s="297" t="s">
        <v>1426</v>
      </c>
      <c r="R507" s="297" t="s">
        <v>1425</v>
      </c>
      <c r="S507" s="297" t="s">
        <v>1425</v>
      </c>
      <c r="T507" s="297" t="s">
        <v>1425</v>
      </c>
      <c r="U507" s="297" t="s">
        <v>1425</v>
      </c>
      <c r="V507" s="46" t="s">
        <v>1425</v>
      </c>
    </row>
    <row r="508" spans="1:22" x14ac:dyDescent="0.2">
      <c r="A508">
        <v>986604</v>
      </c>
      <c r="B508" s="399" t="s">
        <v>572</v>
      </c>
      <c r="C508" s="297">
        <v>23</v>
      </c>
      <c r="D508" s="394">
        <v>43890</v>
      </c>
      <c r="E508" s="297" t="s">
        <v>1425</v>
      </c>
      <c r="F508" s="394">
        <v>43830</v>
      </c>
      <c r="G508" s="297" t="s">
        <v>1426</v>
      </c>
      <c r="H508" s="297" t="s">
        <v>1426</v>
      </c>
      <c r="I508" s="297" t="s">
        <v>1426</v>
      </c>
      <c r="J508" s="297" t="s">
        <v>1426</v>
      </c>
      <c r="K508" s="297" t="s">
        <v>1426</v>
      </c>
      <c r="L508" s="297" t="s">
        <v>1426</v>
      </c>
      <c r="M508" s="297" t="s">
        <v>1425</v>
      </c>
      <c r="N508" s="297" t="s">
        <v>1425</v>
      </c>
      <c r="O508" s="297" t="s">
        <v>1426</v>
      </c>
      <c r="P508" s="394" t="s">
        <v>1425</v>
      </c>
      <c r="Q508" s="297" t="s">
        <v>1425</v>
      </c>
      <c r="R508" s="297" t="s">
        <v>1425</v>
      </c>
      <c r="S508" s="297" t="s">
        <v>1426</v>
      </c>
      <c r="T508" s="297" t="s">
        <v>1425</v>
      </c>
      <c r="U508" s="297" t="s">
        <v>1425</v>
      </c>
      <c r="V508" s="46" t="s">
        <v>1425</v>
      </c>
    </row>
    <row r="509" spans="1:22" x14ac:dyDescent="0.2">
      <c r="A509">
        <v>987784</v>
      </c>
      <c r="B509" s="399" t="s">
        <v>1347</v>
      </c>
      <c r="C509" s="297">
        <v>33</v>
      </c>
      <c r="D509" s="394">
        <v>43890</v>
      </c>
      <c r="E509" s="297" t="s">
        <v>1425</v>
      </c>
      <c r="F509" s="394">
        <v>43830</v>
      </c>
      <c r="G509" s="297" t="s">
        <v>1426</v>
      </c>
      <c r="H509" s="297" t="s">
        <v>1426</v>
      </c>
      <c r="I509" s="297" t="s">
        <v>1426</v>
      </c>
      <c r="J509" s="297" t="s">
        <v>1426</v>
      </c>
      <c r="K509" s="297" t="s">
        <v>1426</v>
      </c>
      <c r="L509" s="297" t="s">
        <v>1426</v>
      </c>
      <c r="M509" s="297" t="s">
        <v>1426</v>
      </c>
      <c r="N509" s="297" t="s">
        <v>1425</v>
      </c>
      <c r="O509" s="297" t="s">
        <v>1425</v>
      </c>
      <c r="P509" s="394" t="s">
        <v>1425</v>
      </c>
      <c r="Q509" s="297" t="s">
        <v>1425</v>
      </c>
      <c r="R509" s="297" t="s">
        <v>1425</v>
      </c>
      <c r="S509" s="297" t="s">
        <v>1425</v>
      </c>
      <c r="T509" s="297" t="s">
        <v>1426</v>
      </c>
      <c r="U509" s="297" t="s">
        <v>1425</v>
      </c>
      <c r="V509" s="46" t="s">
        <v>1426</v>
      </c>
    </row>
    <row r="510" spans="1:22" x14ac:dyDescent="0.2">
      <c r="A510">
        <v>987842</v>
      </c>
      <c r="B510" s="399" t="s">
        <v>573</v>
      </c>
      <c r="C510" s="297">
        <v>24</v>
      </c>
      <c r="D510" s="394">
        <v>43890</v>
      </c>
      <c r="E510" s="297" t="s">
        <v>1426</v>
      </c>
      <c r="F510" s="394">
        <v>43830</v>
      </c>
      <c r="G510" s="297" t="s">
        <v>1426</v>
      </c>
      <c r="H510" s="297" t="s">
        <v>1426</v>
      </c>
      <c r="I510" s="297" t="s">
        <v>1426</v>
      </c>
      <c r="J510" s="297" t="s">
        <v>1426</v>
      </c>
      <c r="K510" s="297" t="s">
        <v>1426</v>
      </c>
      <c r="L510" s="297" t="s">
        <v>1426</v>
      </c>
      <c r="M510" s="297" t="s">
        <v>1426</v>
      </c>
      <c r="N510" s="297" t="s">
        <v>1426</v>
      </c>
      <c r="O510" s="297" t="s">
        <v>1426</v>
      </c>
      <c r="P510" s="394" t="s">
        <v>1426</v>
      </c>
      <c r="Q510" s="297" t="s">
        <v>1426</v>
      </c>
      <c r="R510" s="297" t="s">
        <v>1426</v>
      </c>
      <c r="S510" s="297" t="s">
        <v>1425</v>
      </c>
      <c r="T510" s="297" t="s">
        <v>1425</v>
      </c>
      <c r="U510" s="297" t="s">
        <v>1425</v>
      </c>
      <c r="V510" s="46" t="s">
        <v>1426</v>
      </c>
    </row>
    <row r="511" spans="1:22" x14ac:dyDescent="0.2">
      <c r="A511">
        <v>989491</v>
      </c>
      <c r="B511" s="399" t="s">
        <v>640</v>
      </c>
      <c r="C511" s="297">
        <v>25</v>
      </c>
      <c r="D511" s="394">
        <v>43890</v>
      </c>
      <c r="E511" s="297" t="s">
        <v>1425</v>
      </c>
      <c r="F511" s="394">
        <v>43830</v>
      </c>
      <c r="G511" s="297" t="s">
        <v>1426</v>
      </c>
      <c r="H511" s="297" t="s">
        <v>1426</v>
      </c>
      <c r="I511" s="297" t="s">
        <v>1426</v>
      </c>
      <c r="J511" s="297" t="s">
        <v>1426</v>
      </c>
      <c r="K511" s="297" t="s">
        <v>1426</v>
      </c>
      <c r="L511" s="297" t="s">
        <v>1426</v>
      </c>
      <c r="M511" s="297" t="s">
        <v>1425</v>
      </c>
      <c r="N511" s="297" t="s">
        <v>1425</v>
      </c>
      <c r="O511" s="297" t="s">
        <v>1426</v>
      </c>
      <c r="P511" s="394" t="s">
        <v>1426</v>
      </c>
      <c r="Q511" s="297" t="s">
        <v>1426</v>
      </c>
      <c r="R511" s="297" t="s">
        <v>1425</v>
      </c>
      <c r="S511" s="297" t="s">
        <v>1426</v>
      </c>
      <c r="T511" s="297" t="s">
        <v>1425</v>
      </c>
      <c r="U511" s="297" t="s">
        <v>1425</v>
      </c>
      <c r="V511" s="46" t="s">
        <v>1425</v>
      </c>
    </row>
    <row r="512" spans="1:22" x14ac:dyDescent="0.2">
      <c r="A512">
        <v>992099</v>
      </c>
      <c r="B512" s="399" t="s">
        <v>1348</v>
      </c>
      <c r="C512" s="297">
        <v>26</v>
      </c>
      <c r="D512" s="394">
        <v>43890</v>
      </c>
      <c r="E512" s="297" t="s">
        <v>1425</v>
      </c>
      <c r="F512" s="394">
        <v>43830</v>
      </c>
      <c r="G512" s="297" t="s">
        <v>1427</v>
      </c>
      <c r="H512" s="297" t="s">
        <v>1427</v>
      </c>
      <c r="I512" s="297" t="s">
        <v>1427</v>
      </c>
      <c r="J512" s="297" t="s">
        <v>1427</v>
      </c>
      <c r="K512" s="297" t="s">
        <v>1427</v>
      </c>
      <c r="L512" s="297" t="s">
        <v>1427</v>
      </c>
      <c r="M512" s="297" t="s">
        <v>1427</v>
      </c>
      <c r="N512" s="297" t="s">
        <v>1427</v>
      </c>
      <c r="O512" s="297" t="s">
        <v>1427</v>
      </c>
      <c r="P512" s="394" t="s">
        <v>1427</v>
      </c>
      <c r="Q512" s="297" t="s">
        <v>1427</v>
      </c>
      <c r="R512" s="297" t="s">
        <v>1427</v>
      </c>
      <c r="S512" s="297" t="s">
        <v>1427</v>
      </c>
      <c r="T512" s="297" t="s">
        <v>1427</v>
      </c>
      <c r="U512" s="297" t="s">
        <v>1427</v>
      </c>
      <c r="V512" s="46" t="s">
        <v>1427</v>
      </c>
    </row>
    <row r="513" spans="1:22" x14ac:dyDescent="0.2">
      <c r="A513">
        <v>994095</v>
      </c>
      <c r="B513" s="399" t="s">
        <v>1484</v>
      </c>
      <c r="C513" s="297">
        <v>24</v>
      </c>
      <c r="D513" s="394">
        <v>43890</v>
      </c>
      <c r="E513" s="297" t="s">
        <v>1425</v>
      </c>
      <c r="F513" s="394">
        <v>43830</v>
      </c>
      <c r="G513" s="297" t="s">
        <v>1426</v>
      </c>
      <c r="H513" s="297" t="s">
        <v>1426</v>
      </c>
      <c r="I513" s="297" t="s">
        <v>1426</v>
      </c>
      <c r="J513" s="297" t="s">
        <v>1426</v>
      </c>
      <c r="K513" s="297" t="s">
        <v>1426</v>
      </c>
      <c r="L513" s="297" t="s">
        <v>1426</v>
      </c>
      <c r="M513" s="297" t="s">
        <v>1425</v>
      </c>
      <c r="N513" s="297" t="s">
        <v>1425</v>
      </c>
      <c r="O513" s="297" t="s">
        <v>1425</v>
      </c>
      <c r="P513" s="394" t="s">
        <v>1425</v>
      </c>
      <c r="Q513" s="297" t="s">
        <v>1425</v>
      </c>
      <c r="R513" s="297" t="s">
        <v>1425</v>
      </c>
      <c r="S513" s="297" t="s">
        <v>1425</v>
      </c>
      <c r="T513" s="297" t="s">
        <v>1425</v>
      </c>
      <c r="U513" s="297" t="s">
        <v>1425</v>
      </c>
      <c r="V513" s="46" t="s">
        <v>1426</v>
      </c>
    </row>
    <row r="514" spans="1:22" x14ac:dyDescent="0.2">
      <c r="A514">
        <v>995571</v>
      </c>
      <c r="B514" s="399" t="s">
        <v>574</v>
      </c>
      <c r="C514" s="297">
        <v>27</v>
      </c>
      <c r="D514" s="394">
        <v>43890</v>
      </c>
      <c r="E514" s="297" t="s">
        <v>1425</v>
      </c>
      <c r="F514" s="394">
        <v>43830</v>
      </c>
      <c r="G514" s="297" t="s">
        <v>1426</v>
      </c>
      <c r="H514" s="297" t="s">
        <v>1426</v>
      </c>
      <c r="I514" s="297" t="s">
        <v>1426</v>
      </c>
      <c r="J514" s="297" t="s">
        <v>1426</v>
      </c>
      <c r="K514" s="297" t="s">
        <v>1426</v>
      </c>
      <c r="L514" s="297" t="s">
        <v>1426</v>
      </c>
      <c r="M514" s="297" t="s">
        <v>1425</v>
      </c>
      <c r="N514" s="297" t="s">
        <v>1425</v>
      </c>
      <c r="O514" s="297" t="s">
        <v>1425</v>
      </c>
      <c r="P514" s="394" t="s">
        <v>1425</v>
      </c>
      <c r="Q514" s="297" t="s">
        <v>1425</v>
      </c>
      <c r="R514" s="297" t="s">
        <v>1425</v>
      </c>
      <c r="S514" s="297" t="s">
        <v>1425</v>
      </c>
      <c r="T514" s="297" t="s">
        <v>1425</v>
      </c>
      <c r="U514" s="297" t="s">
        <v>1425</v>
      </c>
      <c r="V514" s="46" t="s">
        <v>1425</v>
      </c>
    </row>
    <row r="515" spans="1:22" x14ac:dyDescent="0.2">
      <c r="A515">
        <v>997403</v>
      </c>
      <c r="B515" s="399" t="s">
        <v>575</v>
      </c>
      <c r="C515" s="297">
        <v>23</v>
      </c>
      <c r="D515" s="394">
        <v>43890</v>
      </c>
      <c r="E515" s="297" t="s">
        <v>1425</v>
      </c>
      <c r="F515" s="394">
        <v>43830</v>
      </c>
      <c r="G515" s="297" t="s">
        <v>1426</v>
      </c>
      <c r="H515" s="297" t="s">
        <v>1426</v>
      </c>
      <c r="I515" s="297" t="s">
        <v>1426</v>
      </c>
      <c r="J515" s="297" t="s">
        <v>1426</v>
      </c>
      <c r="K515" s="297" t="s">
        <v>1426</v>
      </c>
      <c r="L515" s="297" t="s">
        <v>1426</v>
      </c>
      <c r="M515" s="297" t="s">
        <v>1426</v>
      </c>
      <c r="N515" s="297" t="s">
        <v>1426</v>
      </c>
      <c r="O515" s="297" t="s">
        <v>1426</v>
      </c>
      <c r="P515" s="394" t="s">
        <v>1426</v>
      </c>
      <c r="Q515" s="297" t="s">
        <v>1426</v>
      </c>
      <c r="R515" s="297" t="s">
        <v>1426</v>
      </c>
      <c r="S515" s="297" t="s">
        <v>1426</v>
      </c>
      <c r="T515" s="297" t="s">
        <v>1425</v>
      </c>
      <c r="U515" s="297" t="s">
        <v>1425</v>
      </c>
      <c r="V515" s="46" t="s">
        <v>1425</v>
      </c>
    </row>
    <row r="516" spans="1:22" x14ac:dyDescent="0.2">
      <c r="A516"/>
      <c r="B516" s="399"/>
      <c r="C516" s="297"/>
      <c r="D516" s="394"/>
      <c r="E516" s="297"/>
      <c r="F516" s="394"/>
      <c r="G516" s="297"/>
      <c r="H516" s="297"/>
      <c r="I516" s="297"/>
      <c r="J516" s="297"/>
      <c r="K516" s="297"/>
      <c r="L516" s="297"/>
      <c r="M516" s="297"/>
      <c r="N516" s="297"/>
      <c r="O516" s="297"/>
      <c r="P516" s="394"/>
      <c r="Q516" s="297"/>
      <c r="R516" s="297"/>
      <c r="S516" s="297"/>
      <c r="T516" s="297"/>
      <c r="U516" s="297"/>
      <c r="V516" s="46"/>
    </row>
    <row r="517" spans="1:22" x14ac:dyDescent="0.2">
      <c r="A517"/>
      <c r="B517" s="399"/>
      <c r="C517"/>
      <c r="D517" s="368"/>
      <c r="E517"/>
      <c r="F517" s="368"/>
      <c r="G517"/>
      <c r="H517"/>
      <c r="I517"/>
      <c r="J517"/>
      <c r="K517"/>
      <c r="L517"/>
      <c r="M517"/>
      <c r="N517"/>
      <c r="O517"/>
      <c r="P517" s="368"/>
      <c r="Q517"/>
      <c r="R517"/>
      <c r="S517"/>
      <c r="T517"/>
      <c r="U517"/>
    </row>
    <row r="518" spans="1:22" x14ac:dyDescent="0.2">
      <c r="A518"/>
      <c r="B518" s="399"/>
      <c r="C518"/>
      <c r="D518" s="368"/>
      <c r="E518"/>
      <c r="F518" s="368"/>
      <c r="G518"/>
      <c r="H518"/>
      <c r="I518"/>
      <c r="J518"/>
      <c r="K518"/>
      <c r="L518"/>
      <c r="M518"/>
      <c r="N518"/>
      <c r="O518"/>
      <c r="P518" s="368"/>
      <c r="Q518"/>
      <c r="R518"/>
      <c r="S518"/>
      <c r="T518"/>
      <c r="U518"/>
    </row>
    <row r="519" spans="1:22" x14ac:dyDescent="0.2">
      <c r="A519"/>
      <c r="B519" s="399"/>
      <c r="C519"/>
      <c r="D519" s="368"/>
      <c r="E519"/>
      <c r="F519" s="368"/>
      <c r="G519"/>
      <c r="H519"/>
      <c r="I519"/>
      <c r="J519"/>
      <c r="K519"/>
      <c r="L519"/>
      <c r="M519"/>
      <c r="N519"/>
      <c r="O519"/>
      <c r="P519" s="368"/>
      <c r="Q519"/>
      <c r="R519"/>
      <c r="S519"/>
      <c r="T519"/>
      <c r="U519"/>
    </row>
    <row r="520" spans="1:22" x14ac:dyDescent="0.2">
      <c r="A520"/>
      <c r="B520" s="399"/>
      <c r="C520"/>
      <c r="D520" s="368"/>
      <c r="E520"/>
      <c r="F520" s="368"/>
      <c r="G520"/>
      <c r="H520"/>
      <c r="I520"/>
      <c r="J520"/>
      <c r="K520"/>
      <c r="L520"/>
      <c r="M520"/>
      <c r="N520"/>
      <c r="O520"/>
      <c r="P520" s="368"/>
      <c r="Q520"/>
      <c r="R520"/>
      <c r="S520"/>
      <c r="T520"/>
      <c r="U520"/>
    </row>
    <row r="521" spans="1:22" x14ac:dyDescent="0.2">
      <c r="A521"/>
      <c r="B521" s="399"/>
      <c r="C521"/>
      <c r="D521" s="368"/>
      <c r="E521"/>
      <c r="F521" s="368"/>
      <c r="G521"/>
      <c r="H521"/>
      <c r="I521"/>
      <c r="J521"/>
      <c r="K521"/>
      <c r="L521"/>
      <c r="M521"/>
      <c r="N521"/>
      <c r="O521"/>
      <c r="P521" s="368"/>
      <c r="Q521"/>
      <c r="R521"/>
      <c r="S521"/>
      <c r="T521"/>
      <c r="U521"/>
    </row>
    <row r="522" spans="1:22" x14ac:dyDescent="0.2">
      <c r="A522"/>
      <c r="B522" s="399"/>
      <c r="C522"/>
      <c r="D522" s="368"/>
      <c r="E522"/>
      <c r="F522" s="368"/>
      <c r="G522"/>
      <c r="H522"/>
      <c r="I522"/>
      <c r="J522"/>
      <c r="K522"/>
      <c r="L522"/>
      <c r="M522"/>
      <c r="N522"/>
      <c r="O522"/>
      <c r="P522" s="368"/>
      <c r="Q522"/>
      <c r="R522"/>
      <c r="S522"/>
      <c r="T522"/>
      <c r="U522"/>
    </row>
    <row r="523" spans="1:22" x14ac:dyDescent="0.2">
      <c r="A523"/>
      <c r="B523" s="399"/>
      <c r="C523"/>
      <c r="D523" s="368"/>
      <c r="E523"/>
      <c r="F523" s="368"/>
      <c r="G523"/>
      <c r="H523"/>
      <c r="I523"/>
      <c r="J523"/>
      <c r="K523"/>
      <c r="L523"/>
      <c r="M523"/>
      <c r="N523"/>
      <c r="O523"/>
      <c r="P523" s="368"/>
      <c r="Q523"/>
      <c r="R523"/>
      <c r="S523"/>
      <c r="T523"/>
      <c r="U523"/>
    </row>
    <row r="524" spans="1:22" x14ac:dyDescent="0.2">
      <c r="A524"/>
      <c r="B524" s="399"/>
      <c r="C524"/>
      <c r="D524" s="368"/>
      <c r="E524"/>
      <c r="F524" s="368"/>
      <c r="G524"/>
      <c r="H524"/>
      <c r="I524"/>
      <c r="J524"/>
      <c r="K524"/>
      <c r="L524"/>
      <c r="M524"/>
      <c r="N524"/>
      <c r="O524"/>
      <c r="P524" s="368"/>
      <c r="Q524"/>
      <c r="R524"/>
      <c r="S524"/>
      <c r="T524"/>
      <c r="U524"/>
    </row>
    <row r="525" spans="1:22" x14ac:dyDescent="0.2">
      <c r="A525"/>
      <c r="B525" s="399"/>
      <c r="C525"/>
      <c r="D525" s="368"/>
      <c r="E525"/>
      <c r="F525" s="368"/>
      <c r="G525"/>
      <c r="H525"/>
      <c r="I525"/>
      <c r="J525"/>
      <c r="K525"/>
      <c r="L525"/>
      <c r="M525"/>
      <c r="N525"/>
      <c r="O525"/>
      <c r="P525" s="368"/>
      <c r="Q525"/>
      <c r="R525"/>
      <c r="S525"/>
      <c r="T525"/>
      <c r="U525"/>
    </row>
    <row r="526" spans="1:22" x14ac:dyDescent="0.2">
      <c r="A526"/>
      <c r="B526" s="399"/>
      <c r="C526"/>
      <c r="D526" s="368"/>
      <c r="E526"/>
      <c r="F526" s="368"/>
      <c r="G526"/>
      <c r="H526"/>
      <c r="I526"/>
      <c r="J526"/>
      <c r="K526"/>
      <c r="L526"/>
      <c r="M526"/>
      <c r="N526"/>
      <c r="O526"/>
      <c r="P526" s="368"/>
      <c r="Q526"/>
      <c r="R526"/>
      <c r="S526"/>
      <c r="T526"/>
      <c r="U526"/>
    </row>
    <row r="527" spans="1:22" x14ac:dyDescent="0.2">
      <c r="A527"/>
      <c r="B527" s="399"/>
      <c r="C527"/>
      <c r="D527" s="368"/>
      <c r="E527"/>
      <c r="F527" s="368"/>
      <c r="G527"/>
      <c r="H527"/>
      <c r="I527"/>
      <c r="J527"/>
      <c r="K527"/>
      <c r="L527"/>
      <c r="M527"/>
      <c r="N527"/>
      <c r="O527"/>
      <c r="P527" s="368"/>
      <c r="Q527"/>
      <c r="R527"/>
      <c r="S527"/>
      <c r="T527"/>
      <c r="U527"/>
    </row>
    <row r="528" spans="1:22" x14ac:dyDescent="0.2">
      <c r="A528"/>
      <c r="B528" s="399"/>
      <c r="C528"/>
      <c r="D528" s="368"/>
      <c r="E528"/>
      <c r="F528" s="368"/>
      <c r="G528"/>
      <c r="H528"/>
      <c r="I528"/>
      <c r="J528"/>
      <c r="K528"/>
      <c r="L528"/>
      <c r="M528"/>
      <c r="N528"/>
      <c r="O528"/>
      <c r="P528" s="368"/>
      <c r="Q528"/>
      <c r="R528"/>
      <c r="S528"/>
      <c r="T528"/>
      <c r="U528"/>
    </row>
    <row r="529" spans="1:21" x14ac:dyDescent="0.2">
      <c r="A529"/>
      <c r="B529" s="399"/>
      <c r="C529"/>
      <c r="D529" s="368"/>
      <c r="E529"/>
      <c r="F529" s="368"/>
      <c r="G529"/>
      <c r="H529"/>
      <c r="I529"/>
      <c r="J529"/>
      <c r="K529"/>
      <c r="L529"/>
      <c r="M529"/>
      <c r="N529"/>
      <c r="O529"/>
      <c r="P529" s="368"/>
      <c r="Q529"/>
      <c r="R529"/>
      <c r="S529"/>
      <c r="T529"/>
      <c r="U529"/>
    </row>
    <row r="530" spans="1:21" x14ac:dyDescent="0.2">
      <c r="A530"/>
      <c r="B530" s="399"/>
      <c r="C530"/>
      <c r="D530" s="368"/>
      <c r="E530"/>
      <c r="F530" s="368"/>
      <c r="G530"/>
      <c r="H530"/>
      <c r="I530"/>
      <c r="J530"/>
      <c r="K530"/>
      <c r="L530"/>
      <c r="M530"/>
      <c r="N530"/>
      <c r="O530"/>
      <c r="P530" s="368"/>
      <c r="Q530"/>
      <c r="R530"/>
      <c r="S530"/>
      <c r="T530"/>
      <c r="U530"/>
    </row>
    <row r="531" spans="1:21" x14ac:dyDescent="0.2">
      <c r="A531"/>
      <c r="B531" s="399"/>
      <c r="C531"/>
      <c r="D531" s="368"/>
      <c r="E531"/>
      <c r="F531" s="368"/>
      <c r="G531"/>
      <c r="H531"/>
      <c r="I531"/>
      <c r="J531"/>
      <c r="K531"/>
      <c r="L531"/>
      <c r="M531"/>
      <c r="N531"/>
      <c r="O531"/>
      <c r="P531" s="368"/>
      <c r="Q531"/>
      <c r="R531"/>
      <c r="S531"/>
      <c r="T531"/>
      <c r="U531"/>
    </row>
    <row r="532" spans="1:21" x14ac:dyDescent="0.2">
      <c r="A532"/>
      <c r="B532" s="399"/>
      <c r="C532"/>
      <c r="D532" s="368"/>
      <c r="E532"/>
      <c r="F532" s="368"/>
      <c r="G532"/>
      <c r="H532"/>
      <c r="I532"/>
      <c r="J532"/>
      <c r="K532"/>
      <c r="L532"/>
      <c r="M532"/>
      <c r="N532"/>
      <c r="O532"/>
      <c r="P532" s="368"/>
      <c r="Q532"/>
      <c r="R532"/>
      <c r="S532"/>
      <c r="T532"/>
      <c r="U532"/>
    </row>
    <row r="533" spans="1:21" x14ac:dyDescent="0.2">
      <c r="A533"/>
      <c r="B533" s="399"/>
      <c r="C533"/>
      <c r="D533" s="368"/>
      <c r="E533"/>
      <c r="F533" s="368"/>
      <c r="G533"/>
      <c r="H533"/>
      <c r="I533"/>
      <c r="J533"/>
      <c r="K533"/>
      <c r="L533"/>
      <c r="M533"/>
      <c r="N533"/>
      <c r="O533"/>
      <c r="P533" s="368"/>
      <c r="Q533"/>
      <c r="R533"/>
      <c r="S533"/>
      <c r="T533"/>
      <c r="U533"/>
    </row>
    <row r="534" spans="1:21" x14ac:dyDescent="0.2">
      <c r="A534"/>
      <c r="B534" s="399"/>
      <c r="C534"/>
      <c r="D534" s="368"/>
      <c r="E534"/>
      <c r="F534" s="368"/>
      <c r="G534"/>
      <c r="H534"/>
      <c r="I534"/>
      <c r="J534"/>
      <c r="K534"/>
      <c r="L534"/>
      <c r="M534"/>
      <c r="N534"/>
      <c r="O534"/>
      <c r="P534" s="368"/>
      <c r="Q534"/>
      <c r="R534"/>
      <c r="S534"/>
      <c r="T534"/>
      <c r="U534"/>
    </row>
    <row r="535" spans="1:21" x14ac:dyDescent="0.2">
      <c r="A535"/>
      <c r="B535" s="399"/>
      <c r="C535"/>
      <c r="D535" s="368"/>
      <c r="E535"/>
      <c r="F535" s="368"/>
      <c r="G535"/>
      <c r="H535"/>
      <c r="I535"/>
      <c r="J535"/>
      <c r="K535"/>
      <c r="L535"/>
      <c r="M535"/>
      <c r="N535"/>
      <c r="O535"/>
      <c r="P535" s="368"/>
      <c r="Q535"/>
      <c r="R535"/>
      <c r="S535"/>
      <c r="T535"/>
      <c r="U535"/>
    </row>
    <row r="536" spans="1:21" x14ac:dyDescent="0.2">
      <c r="A536"/>
      <c r="B536" s="399"/>
      <c r="C536"/>
      <c r="D536" s="368"/>
      <c r="E536"/>
      <c r="F536" s="368"/>
      <c r="G536"/>
      <c r="H536"/>
      <c r="I536"/>
      <c r="J536"/>
      <c r="K536"/>
      <c r="L536"/>
      <c r="M536"/>
      <c r="N536"/>
      <c r="O536"/>
      <c r="P536" s="368"/>
      <c r="Q536"/>
      <c r="R536"/>
      <c r="S536"/>
      <c r="T536"/>
      <c r="U536"/>
    </row>
    <row r="537" spans="1:21" x14ac:dyDescent="0.2">
      <c r="A537"/>
      <c r="B537" s="399"/>
      <c r="C537"/>
      <c r="D537" s="368"/>
      <c r="E537"/>
      <c r="F537" s="368"/>
      <c r="G537"/>
      <c r="H537"/>
      <c r="I537"/>
      <c r="J537"/>
      <c r="K537"/>
      <c r="L537"/>
      <c r="M537"/>
      <c r="N537"/>
      <c r="O537"/>
      <c r="P537" s="368"/>
      <c r="Q537"/>
      <c r="R537"/>
      <c r="S537"/>
      <c r="T537"/>
      <c r="U537"/>
    </row>
    <row r="538" spans="1:21" x14ac:dyDescent="0.2">
      <c r="A538"/>
      <c r="B538" s="399"/>
      <c r="C538"/>
      <c r="D538" s="368"/>
      <c r="E538"/>
      <c r="F538" s="368"/>
      <c r="G538"/>
      <c r="H538"/>
      <c r="I538"/>
      <c r="J538"/>
      <c r="K538"/>
      <c r="L538"/>
      <c r="M538"/>
      <c r="N538"/>
      <c r="O538"/>
      <c r="P538" s="368"/>
      <c r="Q538"/>
      <c r="R538"/>
      <c r="S538"/>
      <c r="T538"/>
      <c r="U538"/>
    </row>
    <row r="539" spans="1:21" x14ac:dyDescent="0.2">
      <c r="A539"/>
      <c r="B539" s="399"/>
      <c r="C539"/>
      <c r="D539" s="368"/>
      <c r="E539"/>
      <c r="F539" s="368"/>
      <c r="G539"/>
      <c r="H539"/>
      <c r="I539"/>
      <c r="J539"/>
      <c r="K539"/>
      <c r="L539"/>
      <c r="M539"/>
      <c r="N539"/>
      <c r="O539"/>
      <c r="P539" s="368"/>
      <c r="Q539"/>
      <c r="R539"/>
      <c r="S539"/>
      <c r="T539"/>
      <c r="U539"/>
    </row>
    <row r="540" spans="1:21" x14ac:dyDescent="0.2">
      <c r="A540"/>
      <c r="B540" s="399"/>
      <c r="C540"/>
      <c r="D540" s="368"/>
      <c r="E540"/>
      <c r="F540" s="368"/>
      <c r="G540"/>
      <c r="H540"/>
      <c r="I540"/>
      <c r="J540"/>
      <c r="K540"/>
      <c r="L540"/>
      <c r="M540"/>
      <c r="N540"/>
      <c r="O540"/>
      <c r="P540" s="368"/>
      <c r="Q540"/>
      <c r="R540"/>
      <c r="S540"/>
      <c r="T540"/>
      <c r="U540"/>
    </row>
    <row r="541" spans="1:21" x14ac:dyDescent="0.2">
      <c r="A541"/>
      <c r="B541" s="399"/>
      <c r="C541"/>
      <c r="D541" s="368"/>
      <c r="E541"/>
      <c r="F541" s="368"/>
      <c r="G541"/>
      <c r="H541"/>
      <c r="I541"/>
      <c r="J541"/>
      <c r="K541"/>
      <c r="L541"/>
      <c r="M541"/>
      <c r="N541"/>
      <c r="O541"/>
      <c r="P541" s="368"/>
      <c r="Q541"/>
      <c r="R541"/>
      <c r="S541"/>
      <c r="T541"/>
      <c r="U541"/>
    </row>
    <row r="542" spans="1:21" x14ac:dyDescent="0.2">
      <c r="A542"/>
      <c r="B542" s="399"/>
      <c r="C542"/>
      <c r="D542" s="368"/>
      <c r="E542"/>
      <c r="F542" s="368"/>
      <c r="G542"/>
      <c r="H542"/>
      <c r="I542"/>
      <c r="J542"/>
      <c r="K542"/>
      <c r="L542"/>
      <c r="M542"/>
      <c r="N542"/>
      <c r="O542"/>
      <c r="P542" s="368"/>
      <c r="Q542"/>
      <c r="R542"/>
      <c r="S542"/>
      <c r="T542"/>
      <c r="U542"/>
    </row>
    <row r="543" spans="1:21" x14ac:dyDescent="0.2">
      <c r="A543"/>
      <c r="B543" s="399"/>
      <c r="C543"/>
      <c r="D543" s="368"/>
      <c r="E543"/>
      <c r="F543" s="368"/>
      <c r="G543"/>
      <c r="H543"/>
      <c r="I543"/>
      <c r="J543"/>
      <c r="K543"/>
      <c r="L543"/>
      <c r="M543"/>
      <c r="N543"/>
      <c r="O543"/>
      <c r="P543" s="368"/>
      <c r="Q543"/>
      <c r="R543"/>
      <c r="S543"/>
      <c r="T543"/>
      <c r="U543"/>
    </row>
    <row r="544" spans="1:21" x14ac:dyDescent="0.2">
      <c r="A544"/>
      <c r="B544" s="399"/>
      <c r="C544"/>
      <c r="D544" s="368"/>
      <c r="E544"/>
      <c r="F544" s="368"/>
      <c r="G544"/>
      <c r="H544"/>
      <c r="I544"/>
      <c r="J544"/>
      <c r="K544"/>
      <c r="L544"/>
      <c r="M544"/>
      <c r="N544"/>
      <c r="O544"/>
      <c r="P544" s="368"/>
      <c r="Q544"/>
      <c r="R544"/>
      <c r="S544"/>
      <c r="T544"/>
      <c r="U544"/>
    </row>
    <row r="545" spans="1:21" x14ac:dyDescent="0.2">
      <c r="A545"/>
      <c r="B545" s="399"/>
      <c r="C545"/>
      <c r="D545" s="368"/>
      <c r="E545"/>
      <c r="F545" s="368"/>
      <c r="G545"/>
      <c r="H545"/>
      <c r="I545"/>
      <c r="J545"/>
      <c r="K545"/>
      <c r="L545"/>
      <c r="M545"/>
      <c r="N545"/>
      <c r="O545"/>
      <c r="P545" s="368"/>
      <c r="Q545"/>
      <c r="R545"/>
      <c r="S545"/>
      <c r="T545"/>
      <c r="U545"/>
    </row>
    <row r="546" spans="1:21" x14ac:dyDescent="0.2">
      <c r="A546"/>
      <c r="B546" s="399"/>
      <c r="C546"/>
      <c r="D546" s="368"/>
      <c r="E546"/>
      <c r="F546" s="368"/>
      <c r="G546"/>
      <c r="H546"/>
      <c r="I546"/>
      <c r="J546"/>
      <c r="K546"/>
      <c r="L546"/>
      <c r="M546"/>
      <c r="N546"/>
      <c r="O546"/>
      <c r="P546" s="368"/>
      <c r="Q546"/>
      <c r="R546"/>
      <c r="S546"/>
      <c r="T546"/>
      <c r="U546"/>
    </row>
    <row r="547" spans="1:21" x14ac:dyDescent="0.2">
      <c r="A547"/>
      <c r="B547" s="399"/>
      <c r="C547"/>
      <c r="D547" s="368"/>
      <c r="E547"/>
      <c r="F547" s="368"/>
      <c r="G547"/>
      <c r="H547"/>
      <c r="I547"/>
      <c r="J547"/>
      <c r="K547"/>
      <c r="L547"/>
      <c r="M547"/>
      <c r="N547"/>
      <c r="O547"/>
      <c r="P547" s="368"/>
      <c r="Q547"/>
      <c r="R547"/>
      <c r="S547"/>
      <c r="T547"/>
      <c r="U547"/>
    </row>
    <row r="548" spans="1:21" x14ac:dyDescent="0.2">
      <c r="A548"/>
      <c r="B548" s="399"/>
      <c r="C548"/>
      <c r="D548" s="368"/>
      <c r="E548"/>
      <c r="F548" s="368"/>
      <c r="G548"/>
      <c r="H548"/>
      <c r="I548"/>
      <c r="J548"/>
      <c r="K548"/>
      <c r="L548"/>
      <c r="M548"/>
      <c r="N548"/>
      <c r="O548"/>
      <c r="P548" s="368"/>
      <c r="Q548"/>
      <c r="R548"/>
      <c r="S548"/>
      <c r="T548"/>
      <c r="U548"/>
    </row>
    <row r="549" spans="1:21" x14ac:dyDescent="0.2">
      <c r="A549"/>
      <c r="B549" s="399"/>
      <c r="C549"/>
      <c r="D549" s="368"/>
      <c r="E549"/>
      <c r="F549" s="368"/>
      <c r="G549"/>
      <c r="H549"/>
      <c r="I549"/>
      <c r="J549"/>
      <c r="K549"/>
      <c r="L549"/>
      <c r="M549"/>
      <c r="N549"/>
      <c r="O549"/>
      <c r="P549" s="368"/>
      <c r="Q549"/>
      <c r="R549"/>
      <c r="S549"/>
      <c r="T549"/>
      <c r="U549"/>
    </row>
    <row r="550" spans="1:21" x14ac:dyDescent="0.2">
      <c r="A550"/>
      <c r="B550" s="399"/>
      <c r="C550"/>
      <c r="D550" s="368"/>
      <c r="E550"/>
      <c r="F550" s="368"/>
      <c r="G550"/>
      <c r="H550"/>
      <c r="I550"/>
      <c r="J550"/>
      <c r="K550"/>
      <c r="L550"/>
      <c r="M550"/>
      <c r="N550"/>
      <c r="O550"/>
      <c r="P550" s="368"/>
      <c r="Q550"/>
      <c r="R550"/>
      <c r="S550"/>
      <c r="T550"/>
      <c r="U550"/>
    </row>
    <row r="551" spans="1:21" x14ac:dyDescent="0.2">
      <c r="A551"/>
      <c r="B551" s="399"/>
      <c r="C551"/>
      <c r="D551" s="368"/>
      <c r="E551"/>
      <c r="F551" s="368"/>
      <c r="G551"/>
      <c r="H551"/>
      <c r="I551"/>
      <c r="J551"/>
      <c r="K551"/>
      <c r="L551"/>
      <c r="M551"/>
      <c r="N551"/>
      <c r="O551"/>
      <c r="P551" s="368"/>
      <c r="Q551"/>
      <c r="R551"/>
      <c r="S551"/>
      <c r="T551"/>
      <c r="U551"/>
    </row>
    <row r="552" spans="1:21" x14ac:dyDescent="0.2">
      <c r="A552"/>
      <c r="B552" s="399"/>
      <c r="C552"/>
      <c r="D552" s="368"/>
      <c r="E552"/>
      <c r="F552" s="368"/>
      <c r="G552"/>
      <c r="H552"/>
      <c r="I552"/>
      <c r="J552"/>
      <c r="K552"/>
      <c r="L552"/>
      <c r="M552"/>
      <c r="N552"/>
      <c r="O552"/>
      <c r="P552" s="368"/>
      <c r="Q552"/>
      <c r="R552"/>
      <c r="S552"/>
      <c r="T552"/>
      <c r="U552"/>
    </row>
    <row r="553" spans="1:21" x14ac:dyDescent="0.2">
      <c r="A553"/>
      <c r="B553" s="399"/>
      <c r="C553"/>
      <c r="D553" s="368"/>
      <c r="E553"/>
      <c r="F553" s="368"/>
      <c r="G553"/>
      <c r="H553"/>
      <c r="I553"/>
      <c r="J553"/>
      <c r="K553"/>
      <c r="L553"/>
      <c r="M553"/>
      <c r="N553"/>
      <c r="O553"/>
      <c r="P553" s="368"/>
      <c r="Q553"/>
      <c r="R553"/>
      <c r="S553"/>
      <c r="T553"/>
      <c r="U553"/>
    </row>
    <row r="554" spans="1:21" x14ac:dyDescent="0.2">
      <c r="A554"/>
      <c r="B554" s="399"/>
      <c r="C554"/>
      <c r="D554" s="368"/>
      <c r="E554"/>
      <c r="F554" s="368"/>
      <c r="G554"/>
      <c r="H554"/>
      <c r="I554"/>
      <c r="J554"/>
      <c r="K554"/>
      <c r="L554"/>
      <c r="M554"/>
      <c r="N554"/>
      <c r="O554"/>
      <c r="P554" s="368"/>
      <c r="Q554"/>
      <c r="R554"/>
      <c r="S554"/>
      <c r="T554"/>
      <c r="U554"/>
    </row>
    <row r="555" spans="1:21" x14ac:dyDescent="0.2">
      <c r="A555"/>
      <c r="B555" s="399"/>
      <c r="C555"/>
      <c r="D555" s="368"/>
      <c r="E555"/>
      <c r="F555" s="368"/>
      <c r="G555"/>
      <c r="H555"/>
      <c r="I555"/>
      <c r="J555"/>
      <c r="K555"/>
      <c r="L555"/>
      <c r="M555"/>
      <c r="N555"/>
      <c r="O555"/>
      <c r="P555" s="368"/>
      <c r="Q555"/>
      <c r="R555"/>
      <c r="S555"/>
      <c r="T555"/>
      <c r="U555"/>
    </row>
    <row r="556" spans="1:21" x14ac:dyDescent="0.2">
      <c r="A556"/>
      <c r="B556" s="399"/>
      <c r="C556"/>
      <c r="D556" s="368"/>
      <c r="E556"/>
      <c r="F556" s="368"/>
      <c r="G556"/>
      <c r="H556"/>
      <c r="I556"/>
      <c r="J556"/>
      <c r="K556"/>
      <c r="L556"/>
      <c r="M556"/>
      <c r="N556"/>
      <c r="O556"/>
      <c r="P556" s="368"/>
      <c r="Q556"/>
      <c r="R556"/>
      <c r="S556"/>
      <c r="T556"/>
      <c r="U556"/>
    </row>
    <row r="557" spans="1:21" x14ac:dyDescent="0.2">
      <c r="A557"/>
      <c r="B557" s="399"/>
      <c r="C557"/>
      <c r="D557" s="368"/>
      <c r="E557"/>
      <c r="F557" s="368"/>
      <c r="G557"/>
      <c r="H557"/>
      <c r="I557"/>
      <c r="J557"/>
      <c r="K557"/>
      <c r="L557"/>
      <c r="M557"/>
      <c r="N557"/>
      <c r="O557"/>
      <c r="P557" s="368"/>
      <c r="Q557"/>
      <c r="R557"/>
      <c r="S557"/>
      <c r="T557"/>
      <c r="U557"/>
    </row>
    <row r="558" spans="1:21" x14ac:dyDescent="0.2">
      <c r="A558"/>
      <c r="B558" s="399"/>
      <c r="C558"/>
      <c r="D558" s="368"/>
      <c r="E558"/>
      <c r="F558" s="368"/>
      <c r="G558"/>
      <c r="H558"/>
      <c r="I558"/>
      <c r="J558"/>
      <c r="K558"/>
      <c r="L558"/>
      <c r="M558"/>
      <c r="N558"/>
      <c r="O558"/>
      <c r="P558" s="368"/>
      <c r="Q558"/>
      <c r="R558"/>
      <c r="S558"/>
      <c r="T558"/>
      <c r="U558"/>
    </row>
    <row r="559" spans="1:21" x14ac:dyDescent="0.2">
      <c r="A559"/>
      <c r="B559" s="399"/>
      <c r="C559"/>
      <c r="D559" s="368"/>
      <c r="E559"/>
      <c r="F559" s="368"/>
      <c r="G559"/>
      <c r="H559"/>
      <c r="I559"/>
      <c r="J559"/>
      <c r="K559"/>
      <c r="L559"/>
      <c r="M559"/>
      <c r="N559"/>
      <c r="O559"/>
      <c r="P559" s="368"/>
      <c r="Q559"/>
      <c r="R559"/>
      <c r="S559"/>
      <c r="T559"/>
      <c r="U559"/>
    </row>
    <row r="560" spans="1:21" x14ac:dyDescent="0.2">
      <c r="A560"/>
      <c r="B560" s="399"/>
      <c r="C560"/>
      <c r="D560" s="368"/>
      <c r="E560"/>
      <c r="F560" s="368"/>
      <c r="G560"/>
      <c r="H560"/>
      <c r="I560"/>
      <c r="J560"/>
      <c r="K560"/>
      <c r="L560"/>
      <c r="M560"/>
      <c r="N560"/>
      <c r="O560"/>
      <c r="P560" s="368"/>
      <c r="Q560"/>
      <c r="R560"/>
      <c r="S560"/>
      <c r="T560"/>
      <c r="U560"/>
    </row>
    <row r="561" spans="1:21" x14ac:dyDescent="0.2">
      <c r="A561"/>
      <c r="B561" s="399"/>
      <c r="C561"/>
      <c r="D561" s="368"/>
      <c r="E561"/>
      <c r="F561" s="368"/>
      <c r="G561"/>
      <c r="H561"/>
      <c r="I561"/>
      <c r="J561"/>
      <c r="K561"/>
      <c r="L561"/>
      <c r="M561"/>
      <c r="N561"/>
      <c r="O561"/>
      <c r="P561" s="368"/>
      <c r="Q561"/>
      <c r="R561"/>
      <c r="S561"/>
      <c r="T561"/>
      <c r="U561"/>
    </row>
    <row r="562" spans="1:21" x14ac:dyDescent="0.2">
      <c r="A562"/>
      <c r="B562" s="399"/>
      <c r="C562"/>
      <c r="D562" s="368"/>
      <c r="E562"/>
      <c r="F562" s="368"/>
      <c r="G562"/>
      <c r="H562"/>
      <c r="I562"/>
      <c r="J562"/>
      <c r="K562"/>
      <c r="L562"/>
      <c r="M562"/>
      <c r="N562"/>
      <c r="O562"/>
      <c r="P562" s="368"/>
      <c r="Q562"/>
      <c r="R562"/>
      <c r="S562"/>
      <c r="T562"/>
      <c r="U562"/>
    </row>
    <row r="563" spans="1:21" x14ac:dyDescent="0.2">
      <c r="A563"/>
      <c r="B563" s="399"/>
      <c r="C563"/>
      <c r="D563" s="368"/>
      <c r="E563"/>
      <c r="F563" s="368"/>
      <c r="G563"/>
      <c r="H563"/>
      <c r="I563"/>
      <c r="J563"/>
      <c r="K563"/>
      <c r="L563"/>
      <c r="M563"/>
      <c r="N563"/>
      <c r="O563"/>
      <c r="P563" s="368"/>
      <c r="Q563"/>
      <c r="R563"/>
      <c r="S563"/>
      <c r="T563"/>
      <c r="U563"/>
    </row>
    <row r="564" spans="1:21" x14ac:dyDescent="0.2">
      <c r="A564"/>
      <c r="B564" s="399"/>
      <c r="C564"/>
      <c r="D564" s="368"/>
      <c r="E564"/>
      <c r="F564" s="368"/>
      <c r="G564"/>
      <c r="H564"/>
      <c r="I564"/>
      <c r="J564"/>
      <c r="K564"/>
      <c r="L564"/>
      <c r="M564"/>
      <c r="N564"/>
      <c r="O564"/>
      <c r="P564" s="368"/>
      <c r="Q564"/>
      <c r="R564"/>
      <c r="S564"/>
      <c r="T564"/>
      <c r="U564"/>
    </row>
    <row r="565" spans="1:21" x14ac:dyDescent="0.2">
      <c r="A565"/>
      <c r="B565" s="399"/>
      <c r="C565"/>
      <c r="D565" s="368"/>
      <c r="E565"/>
      <c r="F565" s="368"/>
      <c r="G565"/>
      <c r="H565"/>
      <c r="I565"/>
      <c r="J565"/>
      <c r="K565"/>
      <c r="L565"/>
      <c r="M565"/>
      <c r="N565"/>
      <c r="O565"/>
      <c r="P565" s="368"/>
      <c r="Q565"/>
      <c r="R565"/>
      <c r="S565"/>
      <c r="T565"/>
      <c r="U565"/>
    </row>
    <row r="566" spans="1:21" x14ac:dyDescent="0.2">
      <c r="A566"/>
      <c r="B566" s="399"/>
      <c r="C566"/>
      <c r="D566" s="368"/>
      <c r="E566"/>
      <c r="F566" s="368"/>
      <c r="G566"/>
      <c r="H566"/>
      <c r="I566"/>
      <c r="J566"/>
      <c r="K566"/>
      <c r="L566"/>
      <c r="M566"/>
      <c r="N566"/>
      <c r="O566"/>
      <c r="P566" s="368"/>
      <c r="Q566"/>
      <c r="R566"/>
      <c r="S566"/>
      <c r="T566"/>
      <c r="U566"/>
    </row>
    <row r="567" spans="1:21" x14ac:dyDescent="0.2">
      <c r="A567"/>
      <c r="B567" s="399"/>
      <c r="C567"/>
      <c r="D567" s="368"/>
      <c r="E567"/>
      <c r="F567" s="368"/>
      <c r="G567"/>
      <c r="H567"/>
      <c r="I567"/>
      <c r="J567"/>
      <c r="K567"/>
      <c r="L567"/>
      <c r="M567"/>
      <c r="N567"/>
      <c r="O567"/>
      <c r="P567" s="368"/>
      <c r="Q567"/>
      <c r="R567"/>
      <c r="S567"/>
      <c r="T567"/>
      <c r="U567"/>
    </row>
    <row r="568" spans="1:21" x14ac:dyDescent="0.2">
      <c r="A568"/>
      <c r="B568" s="399"/>
      <c r="C568"/>
      <c r="D568" s="368"/>
      <c r="E568"/>
      <c r="F568" s="368"/>
      <c r="G568"/>
      <c r="H568"/>
      <c r="I568"/>
      <c r="J568"/>
      <c r="K568"/>
      <c r="L568"/>
      <c r="M568"/>
      <c r="N568"/>
      <c r="O568"/>
      <c r="P568" s="368"/>
      <c r="Q568"/>
      <c r="R568"/>
      <c r="S568"/>
      <c r="T568"/>
      <c r="U568"/>
    </row>
    <row r="569" spans="1:21" x14ac:dyDescent="0.2">
      <c r="A569"/>
      <c r="B569" s="399"/>
      <c r="C569"/>
      <c r="D569" s="368"/>
      <c r="E569"/>
      <c r="F569" s="368"/>
      <c r="G569"/>
      <c r="H569"/>
      <c r="I569"/>
      <c r="J569"/>
      <c r="K569"/>
      <c r="L569"/>
      <c r="M569"/>
      <c r="N569"/>
      <c r="O569"/>
      <c r="P569" s="368"/>
      <c r="Q569"/>
      <c r="R569"/>
      <c r="S569"/>
      <c r="T569"/>
      <c r="U569"/>
    </row>
    <row r="570" spans="1:21" x14ac:dyDescent="0.2">
      <c r="A570"/>
      <c r="B570" s="399"/>
      <c r="C570"/>
      <c r="D570" s="368"/>
      <c r="E570"/>
      <c r="F570" s="368"/>
      <c r="G570"/>
      <c r="H570"/>
      <c r="I570"/>
      <c r="J570"/>
      <c r="K570"/>
      <c r="L570"/>
      <c r="M570"/>
      <c r="N570"/>
      <c r="O570"/>
      <c r="P570" s="368"/>
      <c r="Q570"/>
      <c r="R570"/>
      <c r="S570"/>
      <c r="T570"/>
      <c r="U570"/>
    </row>
    <row r="571" spans="1:21" x14ac:dyDescent="0.2">
      <c r="A571"/>
      <c r="B571" s="399"/>
      <c r="C571"/>
      <c r="D571" s="368"/>
      <c r="E571"/>
      <c r="F571" s="368"/>
      <c r="G571"/>
      <c r="H571"/>
      <c r="I571"/>
      <c r="J571"/>
      <c r="K571"/>
      <c r="L571"/>
      <c r="M571"/>
      <c r="N571"/>
      <c r="O571"/>
      <c r="P571" s="368"/>
      <c r="Q571"/>
      <c r="R571"/>
      <c r="S571"/>
      <c r="T571"/>
      <c r="U571"/>
    </row>
    <row r="572" spans="1:21" x14ac:dyDescent="0.2">
      <c r="A572"/>
      <c r="B572" s="399"/>
      <c r="C572"/>
      <c r="D572" s="368"/>
      <c r="E572"/>
      <c r="F572" s="368"/>
      <c r="G572"/>
      <c r="H572"/>
      <c r="I572"/>
      <c r="J572"/>
      <c r="K572"/>
      <c r="L572"/>
      <c r="M572"/>
      <c r="N572"/>
      <c r="O572"/>
      <c r="P572" s="368"/>
      <c r="Q572"/>
      <c r="R572"/>
      <c r="S572"/>
      <c r="T572"/>
      <c r="U572"/>
    </row>
    <row r="573" spans="1:21" x14ac:dyDescent="0.2">
      <c r="A573"/>
      <c r="B573" s="399"/>
      <c r="C573"/>
      <c r="D573" s="368"/>
      <c r="E573"/>
      <c r="F573" s="368"/>
      <c r="G573"/>
      <c r="H573"/>
      <c r="I573"/>
      <c r="J573"/>
      <c r="K573"/>
      <c r="L573"/>
      <c r="M573"/>
      <c r="N573"/>
      <c r="O573"/>
      <c r="P573" s="368"/>
      <c r="Q573"/>
      <c r="R573"/>
      <c r="S573"/>
      <c r="T573"/>
      <c r="U573"/>
    </row>
    <row r="574" spans="1:21" x14ac:dyDescent="0.2">
      <c r="A574"/>
      <c r="B574" s="399"/>
      <c r="C574"/>
      <c r="D574" s="368"/>
      <c r="E574"/>
      <c r="F574" s="368"/>
      <c r="G574"/>
      <c r="H574"/>
      <c r="I574"/>
      <c r="J574"/>
      <c r="K574"/>
      <c r="L574"/>
      <c r="M574"/>
      <c r="N574"/>
      <c r="O574"/>
      <c r="P574" s="368"/>
      <c r="Q574"/>
      <c r="R574"/>
      <c r="S574"/>
      <c r="T574"/>
      <c r="U574"/>
    </row>
    <row r="575" spans="1:21" x14ac:dyDescent="0.2">
      <c r="A575"/>
      <c r="B575" s="399"/>
      <c r="C575"/>
      <c r="D575" s="368"/>
      <c r="E575"/>
      <c r="F575" s="368"/>
      <c r="G575"/>
      <c r="H575"/>
      <c r="I575"/>
      <c r="J575"/>
      <c r="K575"/>
      <c r="L575"/>
      <c r="M575"/>
      <c r="N575"/>
      <c r="O575"/>
      <c r="P575" s="368"/>
      <c r="Q575"/>
      <c r="R575"/>
      <c r="S575"/>
      <c r="T575"/>
      <c r="U575"/>
    </row>
    <row r="576" spans="1:21" x14ac:dyDescent="0.2">
      <c r="A576"/>
      <c r="B576" s="399"/>
      <c r="C576"/>
      <c r="D576" s="368"/>
      <c r="E576"/>
      <c r="F576" s="368"/>
      <c r="G576"/>
      <c r="H576"/>
      <c r="I576"/>
      <c r="J576"/>
      <c r="K576"/>
      <c r="L576"/>
      <c r="M576"/>
      <c r="N576"/>
      <c r="O576"/>
      <c r="P576" s="368"/>
      <c r="Q576"/>
      <c r="R576"/>
      <c r="S576"/>
      <c r="T576"/>
      <c r="U576"/>
    </row>
    <row r="577" spans="1:21" x14ac:dyDescent="0.2">
      <c r="A577"/>
      <c r="B577" s="399"/>
      <c r="C577"/>
      <c r="D577" s="368"/>
      <c r="E577"/>
      <c r="F577" s="368"/>
      <c r="G577"/>
      <c r="H577"/>
      <c r="I577"/>
      <c r="J577"/>
      <c r="K577"/>
      <c r="L577"/>
      <c r="M577"/>
      <c r="N577"/>
      <c r="O577"/>
      <c r="P577" s="368"/>
      <c r="Q577"/>
      <c r="R577"/>
      <c r="S577"/>
      <c r="T577"/>
      <c r="U577"/>
    </row>
    <row r="578" spans="1:21" x14ac:dyDescent="0.2">
      <c r="A578"/>
      <c r="B578" s="399"/>
      <c r="C578"/>
      <c r="D578" s="368"/>
      <c r="E578"/>
      <c r="F578" s="368"/>
      <c r="G578"/>
      <c r="H578"/>
      <c r="I578"/>
      <c r="J578"/>
      <c r="K578"/>
      <c r="L578"/>
      <c r="M578"/>
      <c r="N578"/>
      <c r="O578"/>
      <c r="P578" s="368"/>
      <c r="Q578"/>
      <c r="R578"/>
      <c r="S578"/>
      <c r="T578"/>
      <c r="U578"/>
    </row>
    <row r="579" spans="1:21" x14ac:dyDescent="0.2">
      <c r="A579"/>
      <c r="B579" s="399"/>
      <c r="C579"/>
      <c r="D579" s="368"/>
      <c r="E579"/>
      <c r="F579" s="368"/>
      <c r="G579"/>
      <c r="H579"/>
      <c r="I579"/>
      <c r="J579"/>
      <c r="K579"/>
      <c r="L579"/>
      <c r="M579"/>
      <c r="N579"/>
      <c r="O579"/>
      <c r="P579" s="368"/>
      <c r="Q579"/>
      <c r="R579"/>
      <c r="S579"/>
      <c r="T579"/>
      <c r="U579"/>
    </row>
    <row r="580" spans="1:21" x14ac:dyDescent="0.2">
      <c r="A580"/>
      <c r="B580" s="399"/>
      <c r="C580"/>
      <c r="D580" s="368"/>
      <c r="E580"/>
      <c r="F580" s="368"/>
      <c r="G580"/>
      <c r="H580"/>
      <c r="I580"/>
      <c r="J580"/>
      <c r="K580"/>
      <c r="L580"/>
      <c r="M580"/>
      <c r="N580"/>
      <c r="O580"/>
      <c r="P580" s="368"/>
      <c r="Q580"/>
      <c r="R580"/>
      <c r="S580"/>
      <c r="T580"/>
      <c r="U580"/>
    </row>
    <row r="581" spans="1:21" x14ac:dyDescent="0.2">
      <c r="A581"/>
      <c r="B581" s="399"/>
      <c r="C581"/>
      <c r="D581" s="368"/>
      <c r="E581"/>
      <c r="F581" s="368"/>
      <c r="G581"/>
      <c r="H581"/>
      <c r="I581"/>
      <c r="J581"/>
      <c r="K581"/>
      <c r="L581"/>
      <c r="M581"/>
      <c r="N581"/>
      <c r="O581"/>
      <c r="P581" s="368"/>
      <c r="Q581"/>
      <c r="R581"/>
      <c r="S581"/>
      <c r="T581"/>
      <c r="U581"/>
    </row>
    <row r="582" spans="1:21" x14ac:dyDescent="0.2">
      <c r="A582"/>
      <c r="B582" s="399"/>
      <c r="C582"/>
      <c r="D582" s="368"/>
      <c r="E582"/>
      <c r="F582" s="368"/>
      <c r="G582"/>
      <c r="H582"/>
      <c r="I582"/>
      <c r="J582"/>
      <c r="K582"/>
      <c r="L582"/>
      <c r="M582"/>
      <c r="N582"/>
      <c r="O582"/>
      <c r="P582" s="368"/>
      <c r="Q582"/>
      <c r="R582"/>
      <c r="S582"/>
      <c r="T582"/>
      <c r="U582"/>
    </row>
    <row r="583" spans="1:21" x14ac:dyDescent="0.2">
      <c r="A583"/>
      <c r="B583" s="399"/>
      <c r="C583"/>
      <c r="D583" s="368"/>
      <c r="E583"/>
      <c r="F583" s="368"/>
      <c r="G583"/>
      <c r="H583"/>
      <c r="I583"/>
      <c r="J583"/>
      <c r="K583"/>
      <c r="L583"/>
      <c r="M583"/>
      <c r="N583"/>
      <c r="O583"/>
      <c r="P583" s="368"/>
      <c r="Q583"/>
      <c r="R583"/>
      <c r="S583"/>
      <c r="T583"/>
      <c r="U583"/>
    </row>
    <row r="584" spans="1:21" x14ac:dyDescent="0.2">
      <c r="A584"/>
      <c r="B584" s="399"/>
      <c r="C584"/>
      <c r="D584" s="368"/>
      <c r="E584"/>
      <c r="F584" s="368"/>
      <c r="G584"/>
      <c r="H584"/>
      <c r="I584"/>
      <c r="J584"/>
      <c r="K584"/>
      <c r="L584"/>
      <c r="M584"/>
      <c r="N584"/>
      <c r="O584"/>
      <c r="P584" s="368"/>
      <c r="Q584"/>
      <c r="R584"/>
      <c r="S584"/>
      <c r="T584"/>
      <c r="U584"/>
    </row>
    <row r="585" spans="1:21" x14ac:dyDescent="0.2">
      <c r="A585"/>
      <c r="B585" s="399"/>
      <c r="C585"/>
      <c r="D585" s="368"/>
      <c r="E585"/>
      <c r="F585" s="368"/>
      <c r="G585"/>
      <c r="H585"/>
      <c r="I585"/>
      <c r="J585"/>
      <c r="K585"/>
      <c r="L585"/>
      <c r="M585"/>
      <c r="N585"/>
      <c r="O585"/>
      <c r="P585" s="368"/>
      <c r="Q585"/>
      <c r="R585"/>
      <c r="S585"/>
      <c r="T585"/>
      <c r="U585"/>
    </row>
    <row r="586" spans="1:21" x14ac:dyDescent="0.2">
      <c r="A586"/>
      <c r="B586" s="399"/>
      <c r="C586"/>
      <c r="D586" s="368"/>
      <c r="E586"/>
      <c r="F586" s="368"/>
      <c r="G586"/>
      <c r="H586"/>
      <c r="I586"/>
      <c r="J586"/>
      <c r="K586"/>
      <c r="L586"/>
      <c r="M586"/>
      <c r="N586"/>
      <c r="O586"/>
      <c r="P586" s="368"/>
      <c r="Q586"/>
      <c r="R586"/>
      <c r="S586"/>
      <c r="T586"/>
      <c r="U586"/>
    </row>
    <row r="587" spans="1:21" x14ac:dyDescent="0.2">
      <c r="A587"/>
      <c r="B587" s="399"/>
      <c r="C587"/>
      <c r="D587" s="368"/>
      <c r="E587"/>
      <c r="F587" s="368"/>
      <c r="G587"/>
      <c r="H587"/>
      <c r="I587"/>
      <c r="J587"/>
      <c r="K587"/>
      <c r="L587"/>
      <c r="M587"/>
      <c r="N587"/>
      <c r="O587"/>
      <c r="P587" s="368"/>
      <c r="Q587"/>
      <c r="R587"/>
      <c r="S587"/>
      <c r="T587"/>
      <c r="U587"/>
    </row>
    <row r="588" spans="1:21" x14ac:dyDescent="0.2">
      <c r="A588"/>
      <c r="B588" s="399"/>
      <c r="C588"/>
      <c r="D588" s="368"/>
      <c r="E588"/>
      <c r="F588" s="368"/>
      <c r="G588"/>
      <c r="H588"/>
      <c r="I588"/>
      <c r="J588"/>
      <c r="K588"/>
      <c r="L588"/>
      <c r="M588"/>
      <c r="N588"/>
      <c r="O588"/>
      <c r="P588" s="368"/>
      <c r="Q588"/>
      <c r="R588"/>
      <c r="S588"/>
      <c r="T588"/>
      <c r="U588"/>
    </row>
    <row r="589" spans="1:21" x14ac:dyDescent="0.2">
      <c r="A589"/>
      <c r="B589" s="399"/>
      <c r="C589"/>
      <c r="D589" s="368"/>
      <c r="E589"/>
      <c r="F589" s="368"/>
      <c r="G589"/>
      <c r="H589"/>
      <c r="I589"/>
      <c r="J589"/>
      <c r="K589"/>
      <c r="L589"/>
      <c r="M589"/>
      <c r="N589"/>
      <c r="O589"/>
      <c r="P589" s="368"/>
      <c r="Q589"/>
      <c r="R589"/>
      <c r="S589"/>
      <c r="T589"/>
      <c r="U589"/>
    </row>
    <row r="590" spans="1:21" x14ac:dyDescent="0.2">
      <c r="A590"/>
      <c r="B590" s="399"/>
      <c r="C590"/>
      <c r="D590" s="368"/>
      <c r="E590"/>
      <c r="F590" s="368"/>
      <c r="G590"/>
      <c r="H590"/>
      <c r="I590"/>
      <c r="J590"/>
      <c r="K590"/>
      <c r="L590"/>
      <c r="M590"/>
      <c r="N590"/>
      <c r="O590"/>
      <c r="P590" s="368"/>
      <c r="Q590"/>
      <c r="R590"/>
      <c r="S590"/>
      <c r="T590"/>
      <c r="U590"/>
    </row>
    <row r="591" spans="1:21" x14ac:dyDescent="0.2">
      <c r="A591"/>
      <c r="B591" s="399"/>
      <c r="C591"/>
      <c r="D591" s="368"/>
      <c r="E591"/>
      <c r="F591" s="368"/>
      <c r="G591"/>
      <c r="H591"/>
      <c r="I591"/>
      <c r="J591"/>
      <c r="K591"/>
      <c r="L591"/>
      <c r="M591"/>
      <c r="N591"/>
      <c r="O591"/>
      <c r="P591" s="368"/>
      <c r="Q591"/>
      <c r="R591"/>
      <c r="S591"/>
      <c r="T591"/>
      <c r="U591"/>
    </row>
    <row r="592" spans="1:21" x14ac:dyDescent="0.2">
      <c r="A592"/>
      <c r="B592" s="399"/>
      <c r="C592"/>
      <c r="D592" s="368"/>
      <c r="E592"/>
      <c r="F592" s="368"/>
      <c r="G592"/>
      <c r="H592"/>
      <c r="I592"/>
      <c r="J592"/>
      <c r="K592"/>
      <c r="L592"/>
      <c r="M592"/>
      <c r="N592"/>
      <c r="O592"/>
      <c r="P592" s="368"/>
      <c r="Q592"/>
      <c r="R592"/>
      <c r="S592"/>
      <c r="T592"/>
      <c r="U592"/>
    </row>
    <row r="593" spans="1:21" x14ac:dyDescent="0.2">
      <c r="A593"/>
      <c r="B593" s="399"/>
      <c r="C593"/>
      <c r="D593" s="368"/>
      <c r="E593"/>
      <c r="F593" s="368"/>
      <c r="G593"/>
      <c r="H593"/>
      <c r="I593"/>
      <c r="J593"/>
      <c r="K593"/>
      <c r="L593"/>
      <c r="M593"/>
      <c r="N593"/>
      <c r="O593"/>
      <c r="P593" s="368"/>
      <c r="Q593"/>
      <c r="R593"/>
      <c r="S593"/>
      <c r="T593"/>
      <c r="U593"/>
    </row>
    <row r="594" spans="1:21" x14ac:dyDescent="0.2">
      <c r="A594"/>
      <c r="B594" s="399"/>
      <c r="C594"/>
      <c r="D594" s="368"/>
      <c r="E594"/>
      <c r="F594" s="368"/>
      <c r="G594"/>
      <c r="H594"/>
      <c r="I594"/>
      <c r="J594"/>
      <c r="K594"/>
      <c r="L594"/>
      <c r="M594"/>
      <c r="N594"/>
      <c r="O594"/>
      <c r="P594" s="368"/>
      <c r="Q594"/>
      <c r="R594"/>
      <c r="S594"/>
      <c r="T594"/>
      <c r="U594"/>
    </row>
    <row r="595" spans="1:21" x14ac:dyDescent="0.2">
      <c r="A595"/>
      <c r="B595" s="399"/>
      <c r="C595"/>
      <c r="D595" s="368"/>
      <c r="E595"/>
      <c r="F595" s="368"/>
      <c r="G595"/>
      <c r="H595"/>
      <c r="I595"/>
      <c r="J595"/>
      <c r="K595"/>
      <c r="L595"/>
      <c r="M595"/>
      <c r="N595"/>
      <c r="O595"/>
      <c r="P595" s="368"/>
      <c r="Q595"/>
      <c r="R595"/>
      <c r="S595"/>
      <c r="T595"/>
      <c r="U595"/>
    </row>
    <row r="596" spans="1:21" x14ac:dyDescent="0.2">
      <c r="A596"/>
      <c r="B596" s="399"/>
      <c r="C596"/>
      <c r="D596" s="368"/>
      <c r="E596"/>
      <c r="F596" s="368"/>
      <c r="G596"/>
      <c r="H596"/>
      <c r="I596"/>
      <c r="J596"/>
      <c r="K596"/>
      <c r="L596"/>
      <c r="M596"/>
      <c r="N596"/>
      <c r="O596"/>
      <c r="P596" s="368"/>
      <c r="Q596"/>
      <c r="R596"/>
      <c r="S596"/>
      <c r="T596"/>
      <c r="U596"/>
    </row>
    <row r="597" spans="1:21" x14ac:dyDescent="0.2">
      <c r="A597"/>
      <c r="B597" s="399"/>
      <c r="C597"/>
      <c r="D597" s="368"/>
      <c r="E597"/>
      <c r="F597" s="368"/>
      <c r="G597"/>
      <c r="H597"/>
      <c r="I597"/>
      <c r="J597"/>
      <c r="K597"/>
      <c r="L597"/>
      <c r="M597"/>
      <c r="N597"/>
      <c r="O597"/>
      <c r="P597" s="368"/>
      <c r="Q597"/>
      <c r="R597"/>
      <c r="S597"/>
      <c r="T597"/>
      <c r="U597"/>
    </row>
    <row r="598" spans="1:21" x14ac:dyDescent="0.2">
      <c r="A598"/>
      <c r="B598" s="399"/>
      <c r="C598"/>
      <c r="D598" s="368"/>
      <c r="E598"/>
      <c r="F598" s="368"/>
      <c r="G598"/>
      <c r="H598"/>
      <c r="I598"/>
      <c r="J598"/>
      <c r="K598"/>
      <c r="L598"/>
      <c r="M598"/>
      <c r="N598"/>
      <c r="O598"/>
      <c r="P598" s="368"/>
      <c r="Q598"/>
      <c r="R598"/>
      <c r="S598"/>
      <c r="T598"/>
      <c r="U598"/>
    </row>
    <row r="599" spans="1:21" x14ac:dyDescent="0.2">
      <c r="A599"/>
      <c r="B599" s="399"/>
      <c r="C599"/>
      <c r="D599" s="368"/>
      <c r="E599"/>
      <c r="F599" s="368"/>
      <c r="G599"/>
      <c r="H599"/>
      <c r="I599"/>
      <c r="J599"/>
      <c r="K599"/>
      <c r="L599"/>
      <c r="M599"/>
      <c r="N599"/>
      <c r="O599"/>
      <c r="P599" s="368"/>
      <c r="Q599"/>
      <c r="R599"/>
      <c r="S599"/>
      <c r="T599"/>
      <c r="U599"/>
    </row>
    <row r="600" spans="1:21" x14ac:dyDescent="0.2">
      <c r="A600"/>
      <c r="B600" s="399"/>
      <c r="C600"/>
      <c r="D600" s="368"/>
      <c r="E600"/>
      <c r="F600" s="368"/>
      <c r="G600"/>
      <c r="H600"/>
      <c r="I600"/>
      <c r="J600"/>
      <c r="K600"/>
      <c r="L600"/>
      <c r="M600"/>
      <c r="N600"/>
      <c r="O600"/>
      <c r="P600" s="368"/>
      <c r="Q600"/>
      <c r="R600"/>
      <c r="S600"/>
      <c r="T600"/>
      <c r="U600"/>
    </row>
    <row r="601" spans="1:21" x14ac:dyDescent="0.2">
      <c r="A601"/>
      <c r="B601" s="399"/>
      <c r="C601"/>
      <c r="D601" s="368"/>
      <c r="E601"/>
      <c r="F601" s="368"/>
      <c r="G601"/>
      <c r="H601"/>
      <c r="I601"/>
      <c r="J601"/>
      <c r="K601"/>
      <c r="L601"/>
      <c r="M601"/>
      <c r="N601"/>
      <c r="O601"/>
      <c r="P601" s="368"/>
      <c r="Q601"/>
      <c r="R601"/>
      <c r="S601"/>
      <c r="T601"/>
      <c r="U601"/>
    </row>
    <row r="602" spans="1:21" x14ac:dyDescent="0.2">
      <c r="A602"/>
      <c r="B602" s="399"/>
      <c r="C602"/>
      <c r="D602" s="368"/>
      <c r="E602"/>
      <c r="F602" s="368"/>
      <c r="G602"/>
      <c r="H602"/>
      <c r="I602"/>
      <c r="J602"/>
      <c r="K602"/>
      <c r="L602"/>
      <c r="M602"/>
      <c r="N602"/>
      <c r="O602"/>
      <c r="P602" s="368"/>
      <c r="Q602"/>
      <c r="R602"/>
      <c r="S602"/>
      <c r="T602"/>
      <c r="U602"/>
    </row>
    <row r="603" spans="1:21" x14ac:dyDescent="0.2">
      <c r="A603"/>
      <c r="B603" s="399"/>
      <c r="C603"/>
      <c r="D603" s="368"/>
      <c r="E603"/>
      <c r="F603" s="368"/>
      <c r="G603"/>
      <c r="H603"/>
      <c r="I603"/>
      <c r="J603"/>
      <c r="K603"/>
      <c r="L603"/>
      <c r="M603"/>
      <c r="N603"/>
      <c r="O603"/>
      <c r="P603" s="368"/>
      <c r="Q603"/>
      <c r="R603"/>
      <c r="S603"/>
      <c r="T603"/>
      <c r="U603"/>
    </row>
    <row r="604" spans="1:21" x14ac:dyDescent="0.2">
      <c r="A604"/>
      <c r="B604" s="399"/>
      <c r="C604"/>
      <c r="D604" s="368"/>
      <c r="E604"/>
      <c r="F604" s="368"/>
      <c r="G604"/>
      <c r="H604"/>
      <c r="I604"/>
      <c r="J604"/>
      <c r="K604"/>
      <c r="L604"/>
      <c r="M604"/>
      <c r="N604"/>
      <c r="O604"/>
      <c r="P604" s="368"/>
      <c r="Q604"/>
      <c r="R604"/>
      <c r="S604"/>
      <c r="T604"/>
      <c r="U604"/>
    </row>
    <row r="605" spans="1:21" x14ac:dyDescent="0.2">
      <c r="A605"/>
      <c r="B605" s="399"/>
      <c r="C605"/>
      <c r="D605" s="368"/>
      <c r="E605"/>
      <c r="F605" s="368"/>
      <c r="G605"/>
      <c r="H605"/>
      <c r="I605"/>
      <c r="J605"/>
      <c r="K605"/>
      <c r="L605"/>
      <c r="M605"/>
      <c r="N605"/>
      <c r="O605"/>
      <c r="P605" s="368"/>
      <c r="Q605"/>
      <c r="R605"/>
      <c r="S605"/>
      <c r="T605"/>
      <c r="U605"/>
    </row>
    <row r="606" spans="1:21" x14ac:dyDescent="0.2">
      <c r="A606"/>
      <c r="B606" s="399"/>
      <c r="C606"/>
      <c r="D606" s="368"/>
      <c r="E606"/>
      <c r="F606" s="368"/>
      <c r="G606"/>
      <c r="H606"/>
      <c r="I606"/>
      <c r="J606"/>
      <c r="K606"/>
      <c r="L606"/>
      <c r="M606"/>
      <c r="N606"/>
      <c r="O606"/>
      <c r="P606" s="368"/>
      <c r="Q606"/>
      <c r="R606"/>
      <c r="S606"/>
      <c r="T606"/>
      <c r="U606"/>
    </row>
    <row r="607" spans="1:21" x14ac:dyDescent="0.2">
      <c r="A607"/>
      <c r="B607" s="399"/>
      <c r="C607"/>
      <c r="D607" s="368"/>
      <c r="E607"/>
      <c r="F607" s="368"/>
      <c r="G607"/>
      <c r="H607"/>
      <c r="I607"/>
      <c r="J607"/>
      <c r="K607"/>
      <c r="L607"/>
      <c r="M607"/>
      <c r="N607"/>
      <c r="O607"/>
      <c r="P607" s="368"/>
      <c r="Q607"/>
      <c r="R607"/>
      <c r="S607"/>
      <c r="T607"/>
      <c r="U607"/>
    </row>
    <row r="608" spans="1:21" x14ac:dyDescent="0.2">
      <c r="A608"/>
      <c r="B608" s="399"/>
      <c r="C608"/>
      <c r="D608" s="368"/>
      <c r="E608"/>
      <c r="F608" s="368"/>
      <c r="G608"/>
      <c r="H608"/>
      <c r="I608"/>
      <c r="J608"/>
      <c r="K608"/>
      <c r="L608"/>
      <c r="M608"/>
      <c r="N608"/>
      <c r="O608"/>
      <c r="P608" s="368"/>
      <c r="Q608"/>
      <c r="R608"/>
      <c r="S608"/>
      <c r="T608"/>
      <c r="U608"/>
    </row>
    <row r="609" spans="1:21" x14ac:dyDescent="0.2">
      <c r="A609" s="285"/>
      <c r="B609" s="399"/>
      <c r="C609"/>
      <c r="D609" s="368"/>
      <c r="E609"/>
      <c r="F609" s="368"/>
      <c r="G609"/>
      <c r="H609"/>
      <c r="I609"/>
      <c r="J609"/>
      <c r="K609"/>
      <c r="L609"/>
      <c r="M609"/>
      <c r="N609"/>
      <c r="O609"/>
      <c r="P609" s="368"/>
      <c r="Q609"/>
      <c r="R609"/>
      <c r="S609"/>
      <c r="T609"/>
      <c r="U609"/>
    </row>
    <row r="610" spans="1:21" x14ac:dyDescent="0.2">
      <c r="A610" s="285"/>
      <c r="B610" s="399"/>
      <c r="C610"/>
      <c r="D610" s="368"/>
      <c r="E610"/>
      <c r="F610" s="368"/>
      <c r="G610"/>
      <c r="H610"/>
      <c r="I610"/>
      <c r="J610"/>
      <c r="K610"/>
      <c r="L610"/>
      <c r="M610"/>
      <c r="N610"/>
      <c r="O610"/>
      <c r="P610" s="368"/>
      <c r="Q610"/>
      <c r="R610"/>
      <c r="S610"/>
      <c r="T610"/>
      <c r="U610"/>
    </row>
    <row r="611" spans="1:21" x14ac:dyDescent="0.2">
      <c r="A611" s="285"/>
      <c r="B611" s="399"/>
      <c r="C611"/>
      <c r="D611" s="368"/>
      <c r="E611"/>
      <c r="F611" s="368"/>
      <c r="G611"/>
      <c r="H611"/>
      <c r="I611"/>
      <c r="J611"/>
      <c r="K611"/>
      <c r="L611"/>
      <c r="M611"/>
      <c r="N611"/>
      <c r="O611"/>
      <c r="P611" s="368"/>
      <c r="Q611"/>
      <c r="R611"/>
      <c r="S611"/>
      <c r="T611"/>
      <c r="U611"/>
    </row>
    <row r="612" spans="1:21" x14ac:dyDescent="0.2">
      <c r="A612" s="285"/>
      <c r="B612" s="399"/>
      <c r="C612"/>
      <c r="D612" s="368"/>
      <c r="E612"/>
      <c r="F612" s="368"/>
      <c r="G612"/>
      <c r="H612"/>
      <c r="I612"/>
      <c r="J612"/>
      <c r="K612"/>
      <c r="L612"/>
      <c r="M612"/>
      <c r="N612"/>
      <c r="O612"/>
      <c r="P612" s="368"/>
      <c r="Q612"/>
      <c r="R612"/>
      <c r="S612"/>
      <c r="T612"/>
      <c r="U612"/>
    </row>
    <row r="613" spans="1:21" x14ac:dyDescent="0.2">
      <c r="A613" s="285"/>
      <c r="B613" s="399"/>
      <c r="C613"/>
      <c r="D613" s="368"/>
      <c r="E613"/>
      <c r="F613" s="368"/>
      <c r="G613"/>
      <c r="H613"/>
      <c r="I613"/>
      <c r="J613"/>
      <c r="K613"/>
      <c r="L613"/>
      <c r="M613"/>
      <c r="N613"/>
      <c r="O613"/>
      <c r="P613" s="368"/>
      <c r="Q613"/>
      <c r="R613"/>
      <c r="S613"/>
      <c r="T613"/>
      <c r="U613"/>
    </row>
    <row r="614" spans="1:21" x14ac:dyDescent="0.2">
      <c r="A614" s="285"/>
      <c r="B614" s="399"/>
      <c r="C614"/>
      <c r="D614" s="368"/>
      <c r="E614"/>
      <c r="F614" s="368"/>
      <c r="G614"/>
      <c r="H614"/>
      <c r="I614"/>
      <c r="J614"/>
      <c r="K614"/>
      <c r="L614"/>
      <c r="M614"/>
      <c r="N614"/>
      <c r="O614"/>
      <c r="P614" s="368"/>
      <c r="Q614"/>
      <c r="R614"/>
      <c r="S614"/>
      <c r="T614"/>
      <c r="U614"/>
    </row>
    <row r="615" spans="1:21" x14ac:dyDescent="0.2">
      <c r="A615" s="285"/>
      <c r="B615" s="399"/>
      <c r="C615"/>
      <c r="D615" s="368"/>
      <c r="E615"/>
      <c r="F615" s="368"/>
      <c r="G615"/>
      <c r="H615"/>
      <c r="I615"/>
      <c r="J615"/>
      <c r="K615"/>
      <c r="L615"/>
      <c r="M615"/>
      <c r="N615"/>
      <c r="O615"/>
      <c r="P615" s="368"/>
      <c r="Q615"/>
      <c r="R615"/>
      <c r="S615"/>
      <c r="T615"/>
      <c r="U615"/>
    </row>
    <row r="616" spans="1:21" x14ac:dyDescent="0.2">
      <c r="A616" s="285"/>
      <c r="B616" s="399"/>
      <c r="C616"/>
      <c r="D616" s="368"/>
      <c r="E616"/>
      <c r="F616" s="368"/>
      <c r="G616"/>
      <c r="H616"/>
      <c r="I616"/>
      <c r="J616"/>
      <c r="K616"/>
      <c r="L616"/>
      <c r="M616"/>
      <c r="N616"/>
      <c r="O616"/>
      <c r="P616" s="368"/>
      <c r="Q616"/>
      <c r="R616"/>
      <c r="S616"/>
      <c r="T616"/>
      <c r="U616"/>
    </row>
    <row r="617" spans="1:21" x14ac:dyDescent="0.2">
      <c r="A617" s="285"/>
      <c r="B617" s="399"/>
      <c r="C617"/>
      <c r="D617" s="368"/>
      <c r="E617"/>
      <c r="F617" s="368"/>
      <c r="G617"/>
      <c r="H617"/>
      <c r="I617"/>
      <c r="J617"/>
      <c r="K617"/>
      <c r="L617"/>
      <c r="M617"/>
      <c r="N617"/>
      <c r="O617"/>
      <c r="P617" s="368"/>
      <c r="Q617"/>
      <c r="R617"/>
      <c r="S617"/>
      <c r="T617"/>
      <c r="U617"/>
    </row>
    <row r="618" spans="1:21" x14ac:dyDescent="0.2">
      <c r="A618" s="285"/>
      <c r="B618" s="399"/>
      <c r="C618"/>
      <c r="D618" s="368"/>
      <c r="E618"/>
      <c r="F618" s="368"/>
      <c r="G618"/>
      <c r="H618"/>
      <c r="I618"/>
      <c r="J618"/>
      <c r="K618"/>
      <c r="L618"/>
      <c r="M618"/>
      <c r="N618"/>
      <c r="O618"/>
      <c r="P618" s="368"/>
      <c r="Q618"/>
      <c r="R618"/>
      <c r="S618"/>
      <c r="T618"/>
      <c r="U618"/>
    </row>
    <row r="619" spans="1:21" x14ac:dyDescent="0.2">
      <c r="A619" s="285"/>
      <c r="B619" s="399"/>
      <c r="C619"/>
      <c r="D619" s="368"/>
      <c r="E619"/>
      <c r="F619" s="368"/>
      <c r="G619"/>
      <c r="H619"/>
      <c r="I619"/>
      <c r="J619"/>
      <c r="K619"/>
      <c r="L619"/>
      <c r="M619"/>
      <c r="N619"/>
      <c r="O619"/>
      <c r="P619" s="368"/>
      <c r="Q619"/>
      <c r="R619"/>
      <c r="S619"/>
      <c r="T619"/>
      <c r="U619"/>
    </row>
    <row r="620" spans="1:21" x14ac:dyDescent="0.2">
      <c r="A620" s="285"/>
      <c r="B620" s="399"/>
      <c r="C620"/>
      <c r="D620" s="368"/>
      <c r="E620"/>
      <c r="F620" s="368"/>
      <c r="G620"/>
      <c r="H620"/>
      <c r="I620"/>
      <c r="J620"/>
      <c r="K620"/>
      <c r="L620"/>
      <c r="M620"/>
      <c r="N620"/>
      <c r="O620"/>
      <c r="P620" s="368"/>
      <c r="Q620"/>
      <c r="R620"/>
      <c r="S620"/>
      <c r="T620"/>
      <c r="U620"/>
    </row>
    <row r="621" spans="1:21" x14ac:dyDescent="0.2">
      <c r="A621" s="285"/>
      <c r="B621" s="399"/>
      <c r="C621"/>
      <c r="D621" s="368"/>
      <c r="E621"/>
      <c r="F621" s="368"/>
      <c r="G621"/>
      <c r="H621"/>
      <c r="I621"/>
      <c r="J621"/>
      <c r="K621"/>
      <c r="L621"/>
      <c r="M621"/>
      <c r="N621"/>
      <c r="O621"/>
      <c r="P621" s="368"/>
      <c r="Q621"/>
      <c r="R621"/>
      <c r="S621"/>
      <c r="T621"/>
      <c r="U621"/>
    </row>
    <row r="622" spans="1:21" x14ac:dyDescent="0.2">
      <c r="A622" s="285"/>
      <c r="B622" s="399"/>
      <c r="C622"/>
      <c r="D622" s="368"/>
      <c r="E622"/>
      <c r="F622" s="368"/>
      <c r="G622"/>
      <c r="H622"/>
      <c r="I622"/>
      <c r="J622"/>
      <c r="K622"/>
      <c r="L622"/>
      <c r="M622"/>
      <c r="N622"/>
      <c r="O622"/>
      <c r="P622" s="368"/>
      <c r="Q622"/>
      <c r="R622"/>
      <c r="S622"/>
      <c r="T622"/>
      <c r="U622"/>
    </row>
    <row r="623" spans="1:21" x14ac:dyDescent="0.2">
      <c r="A623" s="285"/>
      <c r="B623" s="399"/>
      <c r="C623"/>
      <c r="D623" s="368"/>
      <c r="E623"/>
      <c r="F623" s="368"/>
      <c r="G623"/>
      <c r="H623"/>
      <c r="I623"/>
      <c r="J623"/>
      <c r="K623"/>
      <c r="L623"/>
      <c r="M623"/>
      <c r="N623"/>
      <c r="O623"/>
      <c r="P623" s="368"/>
      <c r="Q623"/>
      <c r="R623"/>
      <c r="S623"/>
      <c r="T623"/>
      <c r="U623"/>
    </row>
    <row r="624" spans="1:21" x14ac:dyDescent="0.2">
      <c r="A624" s="285"/>
      <c r="B624" s="399"/>
      <c r="C624"/>
      <c r="D624" s="368"/>
      <c r="E624"/>
      <c r="F624" s="368"/>
      <c r="G624"/>
      <c r="H624"/>
      <c r="I624"/>
      <c r="J624"/>
      <c r="K624"/>
      <c r="L624"/>
      <c r="M624"/>
      <c r="N624"/>
      <c r="O624"/>
      <c r="P624" s="368"/>
      <c r="Q624"/>
      <c r="R624"/>
      <c r="S624"/>
      <c r="T624"/>
      <c r="U624"/>
    </row>
    <row r="625" spans="1:21" x14ac:dyDescent="0.2">
      <c r="A625" s="285"/>
      <c r="B625" s="399"/>
      <c r="C625"/>
      <c r="D625" s="368"/>
      <c r="E625"/>
      <c r="F625" s="368"/>
      <c r="G625"/>
      <c r="H625"/>
      <c r="I625"/>
      <c r="J625"/>
      <c r="K625"/>
      <c r="L625"/>
      <c r="M625"/>
      <c r="N625"/>
      <c r="O625"/>
      <c r="P625" s="368"/>
      <c r="Q625"/>
      <c r="R625"/>
      <c r="S625"/>
      <c r="T625"/>
      <c r="U625"/>
    </row>
    <row r="626" spans="1:21" x14ac:dyDescent="0.2">
      <c r="A626" s="285"/>
      <c r="B626" s="399"/>
      <c r="C626"/>
      <c r="D626" s="368"/>
      <c r="E626"/>
      <c r="F626" s="368"/>
      <c r="G626"/>
      <c r="H626"/>
      <c r="I626"/>
      <c r="J626"/>
      <c r="K626"/>
      <c r="L626"/>
      <c r="M626"/>
      <c r="N626"/>
      <c r="O626"/>
      <c r="P626" s="368"/>
      <c r="Q626"/>
      <c r="R626"/>
      <c r="S626"/>
      <c r="T626"/>
      <c r="U626"/>
    </row>
    <row r="627" spans="1:21" x14ac:dyDescent="0.2">
      <c r="A627" s="285"/>
      <c r="B627" s="399"/>
      <c r="C627"/>
      <c r="D627" s="368"/>
      <c r="E627"/>
      <c r="F627" s="368"/>
      <c r="G627"/>
      <c r="H627"/>
      <c r="I627"/>
      <c r="J627"/>
      <c r="K627"/>
      <c r="L627"/>
      <c r="M627"/>
      <c r="N627"/>
      <c r="O627"/>
      <c r="P627" s="368"/>
      <c r="Q627"/>
      <c r="R627"/>
      <c r="S627"/>
      <c r="T627"/>
      <c r="U627"/>
    </row>
    <row r="628" spans="1:21" x14ac:dyDescent="0.2">
      <c r="A628" s="285"/>
      <c r="B628" s="399"/>
      <c r="C628"/>
      <c r="D628" s="368"/>
      <c r="E628"/>
      <c r="F628" s="368"/>
      <c r="G628"/>
      <c r="H628"/>
      <c r="I628"/>
      <c r="J628"/>
      <c r="K628"/>
      <c r="L628"/>
      <c r="M628"/>
      <c r="N628"/>
      <c r="O628"/>
      <c r="P628" s="368"/>
      <c r="Q628"/>
      <c r="R628"/>
      <c r="S628"/>
      <c r="T628"/>
      <c r="U628"/>
    </row>
    <row r="629" spans="1:21" x14ac:dyDescent="0.2">
      <c r="A629" s="285"/>
      <c r="B629" s="399"/>
      <c r="C629"/>
      <c r="D629" s="368"/>
      <c r="E629"/>
      <c r="F629" s="368"/>
      <c r="G629"/>
      <c r="H629"/>
      <c r="I629"/>
      <c r="J629"/>
      <c r="K629"/>
      <c r="L629"/>
      <c r="M629"/>
      <c r="N629"/>
      <c r="O629"/>
      <c r="P629" s="368"/>
      <c r="Q629"/>
      <c r="R629"/>
      <c r="S629"/>
      <c r="T629"/>
      <c r="U629"/>
    </row>
    <row r="630" spans="1:21" x14ac:dyDescent="0.2">
      <c r="A630" s="285"/>
      <c r="B630" s="399"/>
      <c r="C630"/>
      <c r="D630" s="368"/>
      <c r="E630"/>
      <c r="F630" s="368"/>
      <c r="G630"/>
      <c r="H630"/>
      <c r="I630"/>
      <c r="J630"/>
      <c r="K630"/>
      <c r="L630"/>
      <c r="M630"/>
      <c r="N630"/>
      <c r="O630"/>
      <c r="P630" s="368"/>
      <c r="Q630"/>
      <c r="R630"/>
      <c r="S630"/>
      <c r="T630"/>
      <c r="U630"/>
    </row>
    <row r="631" spans="1:21" x14ac:dyDescent="0.2">
      <c r="A631" s="285"/>
      <c r="B631" s="399"/>
      <c r="C631"/>
      <c r="D631" s="368"/>
      <c r="E631"/>
      <c r="F631" s="368"/>
      <c r="G631"/>
      <c r="H631"/>
      <c r="I631"/>
      <c r="J631"/>
      <c r="K631"/>
      <c r="L631"/>
      <c r="M631"/>
      <c r="N631"/>
      <c r="O631"/>
      <c r="P631" s="368"/>
      <c r="Q631"/>
      <c r="R631"/>
      <c r="S631"/>
      <c r="T631"/>
      <c r="U631"/>
    </row>
    <row r="632" spans="1:21" x14ac:dyDescent="0.2">
      <c r="A632" s="285"/>
      <c r="B632" s="399"/>
      <c r="C632"/>
      <c r="D632" s="368"/>
      <c r="E632"/>
      <c r="F632" s="368"/>
      <c r="G632"/>
      <c r="H632"/>
      <c r="I632"/>
      <c r="J632"/>
      <c r="K632"/>
      <c r="L632"/>
      <c r="M632"/>
      <c r="N632"/>
      <c r="O632"/>
      <c r="P632" s="368"/>
      <c r="Q632"/>
      <c r="R632"/>
      <c r="S632"/>
      <c r="T632"/>
      <c r="U632"/>
    </row>
    <row r="633" spans="1:21" x14ac:dyDescent="0.2">
      <c r="A633" s="285"/>
      <c r="B633" s="399"/>
      <c r="C633"/>
      <c r="D633" s="368"/>
      <c r="E633"/>
      <c r="F633" s="368"/>
      <c r="G633"/>
      <c r="H633"/>
      <c r="I633"/>
      <c r="J633"/>
      <c r="K633"/>
      <c r="L633"/>
      <c r="M633"/>
      <c r="N633"/>
      <c r="O633"/>
      <c r="P633" s="368"/>
      <c r="Q633"/>
      <c r="R633"/>
      <c r="S633"/>
      <c r="T633"/>
      <c r="U633"/>
    </row>
    <row r="634" spans="1:21" x14ac:dyDescent="0.2">
      <c r="A634" s="285"/>
      <c r="B634" s="399"/>
      <c r="C634"/>
      <c r="D634" s="368"/>
      <c r="E634"/>
      <c r="F634" s="368"/>
      <c r="G634"/>
      <c r="H634"/>
      <c r="I634"/>
      <c r="J634"/>
      <c r="K634"/>
      <c r="L634"/>
      <c r="M634"/>
      <c r="N634"/>
      <c r="O634"/>
      <c r="P634" s="368"/>
      <c r="Q634"/>
      <c r="R634"/>
      <c r="S634"/>
      <c r="T634"/>
      <c r="U634"/>
    </row>
    <row r="635" spans="1:21" x14ac:dyDescent="0.2">
      <c r="A635" s="285"/>
      <c r="B635" s="399"/>
      <c r="C635"/>
      <c r="D635" s="368"/>
      <c r="E635"/>
      <c r="F635" s="368"/>
      <c r="G635"/>
      <c r="H635"/>
      <c r="I635"/>
      <c r="J635"/>
      <c r="K635"/>
      <c r="L635"/>
      <c r="M635"/>
      <c r="N635"/>
      <c r="O635"/>
      <c r="P635" s="368"/>
      <c r="Q635"/>
      <c r="R635"/>
      <c r="S635"/>
      <c r="T635"/>
      <c r="U635"/>
    </row>
    <row r="636" spans="1:21" x14ac:dyDescent="0.2">
      <c r="A636" s="285"/>
      <c r="B636" s="399"/>
      <c r="C636"/>
      <c r="D636" s="368"/>
      <c r="E636"/>
      <c r="F636" s="368"/>
      <c r="G636"/>
      <c r="H636"/>
      <c r="I636"/>
      <c r="J636"/>
      <c r="K636"/>
      <c r="L636"/>
      <c r="M636"/>
      <c r="N636"/>
      <c r="O636"/>
      <c r="P636" s="368"/>
      <c r="Q636"/>
      <c r="R636"/>
      <c r="S636"/>
      <c r="T636"/>
      <c r="U636"/>
    </row>
    <row r="637" spans="1:21" x14ac:dyDescent="0.2">
      <c r="A637" s="285"/>
      <c r="B637" s="399"/>
      <c r="C637"/>
      <c r="D637" s="368"/>
      <c r="E637"/>
      <c r="F637" s="368"/>
      <c r="G637"/>
      <c r="H637"/>
      <c r="I637"/>
      <c r="J637"/>
      <c r="K637"/>
      <c r="L637"/>
      <c r="M637"/>
      <c r="N637"/>
      <c r="O637"/>
      <c r="P637" s="368"/>
      <c r="Q637"/>
      <c r="R637"/>
      <c r="S637"/>
      <c r="T637"/>
      <c r="U637"/>
    </row>
    <row r="638" spans="1:21" x14ac:dyDescent="0.2">
      <c r="A638" s="285"/>
      <c r="B638" s="399"/>
      <c r="C638"/>
      <c r="D638" s="368"/>
      <c r="E638"/>
      <c r="F638" s="368"/>
      <c r="G638"/>
      <c r="H638"/>
      <c r="I638"/>
      <c r="J638"/>
      <c r="K638"/>
      <c r="L638"/>
      <c r="M638"/>
      <c r="N638"/>
      <c r="O638"/>
      <c r="P638" s="368"/>
      <c r="Q638"/>
      <c r="R638"/>
      <c r="S638"/>
      <c r="T638"/>
      <c r="U638"/>
    </row>
    <row r="639" spans="1:21" x14ac:dyDescent="0.2">
      <c r="A639" s="285"/>
      <c r="B639" s="399"/>
      <c r="C639"/>
      <c r="D639" s="368"/>
      <c r="E639"/>
      <c r="F639" s="368"/>
      <c r="G639"/>
      <c r="H639"/>
      <c r="I639"/>
      <c r="J639"/>
      <c r="K639"/>
      <c r="L639"/>
      <c r="M639"/>
      <c r="N639"/>
      <c r="O639"/>
      <c r="P639" s="368"/>
      <c r="Q639"/>
      <c r="R639"/>
      <c r="S639"/>
      <c r="T639"/>
      <c r="U639"/>
    </row>
    <row r="640" spans="1:21" x14ac:dyDescent="0.2">
      <c r="A640" s="285"/>
      <c r="B640" s="399"/>
      <c r="C640"/>
      <c r="D640" s="368"/>
      <c r="E640"/>
      <c r="F640" s="368"/>
      <c r="G640"/>
      <c r="H640"/>
      <c r="I640"/>
      <c r="J640"/>
      <c r="K640"/>
      <c r="L640"/>
      <c r="M640"/>
      <c r="N640"/>
      <c r="O640"/>
      <c r="P640" s="368"/>
      <c r="Q640"/>
      <c r="R640"/>
      <c r="S640"/>
      <c r="T640"/>
      <c r="U640"/>
    </row>
    <row r="641" spans="1:21" x14ac:dyDescent="0.2">
      <c r="A641" s="285"/>
      <c r="B641" s="399"/>
      <c r="C641"/>
      <c r="D641" s="368"/>
      <c r="E641"/>
      <c r="F641" s="368"/>
      <c r="G641"/>
      <c r="H641"/>
      <c r="I641"/>
      <c r="J641"/>
      <c r="K641"/>
      <c r="L641"/>
      <c r="M641"/>
      <c r="N641"/>
      <c r="O641"/>
      <c r="P641" s="368"/>
      <c r="Q641"/>
      <c r="R641"/>
      <c r="S641"/>
      <c r="T641"/>
      <c r="U641"/>
    </row>
    <row r="642" spans="1:21" x14ac:dyDescent="0.2">
      <c r="A642" s="285"/>
      <c r="B642" s="399"/>
      <c r="C642"/>
      <c r="D642" s="368"/>
      <c r="E642"/>
      <c r="F642" s="368"/>
      <c r="G642"/>
      <c r="H642"/>
      <c r="I642"/>
      <c r="J642"/>
      <c r="K642"/>
      <c r="L642"/>
      <c r="M642"/>
      <c r="N642"/>
      <c r="O642"/>
      <c r="P642" s="368"/>
      <c r="Q642"/>
      <c r="R642"/>
      <c r="S642"/>
      <c r="T642"/>
      <c r="U642"/>
    </row>
    <row r="643" spans="1:21" x14ac:dyDescent="0.2">
      <c r="A643" s="285"/>
      <c r="B643" s="399"/>
      <c r="C643"/>
      <c r="D643" s="368"/>
      <c r="E643"/>
      <c r="F643" s="368"/>
      <c r="G643"/>
      <c r="H643"/>
      <c r="I643"/>
      <c r="J643"/>
      <c r="K643"/>
      <c r="L643"/>
      <c r="M643"/>
      <c r="N643"/>
      <c r="O643"/>
      <c r="P643" s="368"/>
      <c r="Q643"/>
      <c r="R643"/>
      <c r="S643"/>
      <c r="T643"/>
      <c r="U643"/>
    </row>
    <row r="644" spans="1:21" x14ac:dyDescent="0.2">
      <c r="A644" s="285"/>
      <c r="B644" s="399"/>
      <c r="C644"/>
      <c r="D644" s="368"/>
      <c r="E644"/>
      <c r="F644" s="368"/>
      <c r="G644"/>
      <c r="H644"/>
      <c r="I644"/>
      <c r="J644"/>
      <c r="K644"/>
      <c r="L644"/>
      <c r="M644"/>
      <c r="N644"/>
      <c r="O644"/>
      <c r="P644" s="368"/>
      <c r="Q644"/>
      <c r="R644"/>
      <c r="S644"/>
      <c r="T644"/>
      <c r="U644"/>
    </row>
    <row r="645" spans="1:21" x14ac:dyDescent="0.2">
      <c r="A645" s="285"/>
      <c r="B645" s="399"/>
      <c r="C645"/>
      <c r="D645" s="368"/>
      <c r="E645"/>
      <c r="F645" s="368"/>
      <c r="G645"/>
      <c r="H645"/>
      <c r="I645"/>
      <c r="J645"/>
      <c r="K645"/>
      <c r="L645"/>
      <c r="M645"/>
      <c r="N645"/>
      <c r="O645"/>
      <c r="P645" s="368"/>
      <c r="Q645"/>
      <c r="R645"/>
      <c r="S645"/>
      <c r="T645"/>
      <c r="U645"/>
    </row>
    <row r="646" spans="1:21" x14ac:dyDescent="0.2">
      <c r="A646" s="285"/>
      <c r="B646" s="399"/>
      <c r="C646"/>
      <c r="D646" s="368"/>
      <c r="E646"/>
      <c r="F646" s="368"/>
      <c r="G646"/>
      <c r="H646"/>
      <c r="I646"/>
      <c r="J646"/>
      <c r="K646"/>
      <c r="L646"/>
      <c r="M646"/>
      <c r="N646"/>
      <c r="O646"/>
      <c r="P646" s="368"/>
      <c r="Q646"/>
      <c r="R646"/>
      <c r="S646"/>
      <c r="T646"/>
      <c r="U646"/>
    </row>
    <row r="647" spans="1:21" x14ac:dyDescent="0.2">
      <c r="A647" s="285"/>
      <c r="B647" s="399"/>
      <c r="C647"/>
      <c r="D647" s="368"/>
      <c r="E647"/>
      <c r="F647" s="368"/>
      <c r="G647"/>
      <c r="H647"/>
      <c r="I647"/>
      <c r="J647"/>
      <c r="K647"/>
      <c r="L647"/>
      <c r="M647"/>
      <c r="N647"/>
      <c r="O647"/>
      <c r="P647" s="368"/>
      <c r="Q647"/>
      <c r="R647"/>
      <c r="S647"/>
      <c r="T647"/>
      <c r="U647"/>
    </row>
    <row r="648" spans="1:21" x14ac:dyDescent="0.2">
      <c r="A648" s="285"/>
      <c r="B648" s="399"/>
      <c r="C648"/>
      <c r="D648" s="368"/>
      <c r="E648"/>
      <c r="F648" s="368"/>
      <c r="G648"/>
      <c r="H648"/>
      <c r="I648"/>
      <c r="J648"/>
      <c r="K648"/>
      <c r="L648"/>
      <c r="M648"/>
      <c r="N648"/>
      <c r="O648"/>
      <c r="P648" s="368"/>
      <c r="Q648"/>
      <c r="R648"/>
      <c r="S648"/>
      <c r="T648"/>
      <c r="U648"/>
    </row>
    <row r="649" spans="1:21" x14ac:dyDescent="0.2">
      <c r="A649" s="285"/>
      <c r="B649" s="399"/>
      <c r="C649"/>
      <c r="D649" s="368"/>
      <c r="E649"/>
      <c r="F649" s="368"/>
      <c r="G649"/>
      <c r="H649"/>
      <c r="I649"/>
      <c r="J649"/>
      <c r="K649"/>
      <c r="L649"/>
      <c r="M649"/>
      <c r="N649"/>
      <c r="O649"/>
      <c r="P649" s="368"/>
      <c r="Q649"/>
      <c r="R649"/>
      <c r="S649"/>
      <c r="T649"/>
      <c r="U649"/>
    </row>
    <row r="650" spans="1:21" x14ac:dyDescent="0.2">
      <c r="A650" s="285"/>
      <c r="B650" s="399"/>
      <c r="C650"/>
      <c r="D650" s="368"/>
      <c r="E650"/>
      <c r="F650" s="368"/>
      <c r="G650"/>
      <c r="H650"/>
      <c r="I650"/>
      <c r="J650"/>
      <c r="K650"/>
      <c r="L650"/>
      <c r="M650"/>
      <c r="N650"/>
      <c r="O650"/>
      <c r="P650" s="368"/>
      <c r="Q650"/>
      <c r="R650"/>
      <c r="S650"/>
      <c r="T650"/>
      <c r="U650"/>
    </row>
    <row r="651" spans="1:21" x14ac:dyDescent="0.2">
      <c r="A651" s="285"/>
      <c r="B651" s="399"/>
      <c r="C651"/>
      <c r="D651" s="368"/>
      <c r="E651"/>
      <c r="F651" s="368"/>
      <c r="G651"/>
      <c r="H651"/>
      <c r="I651"/>
      <c r="J651"/>
      <c r="K651"/>
      <c r="L651"/>
      <c r="M651"/>
      <c r="N651"/>
      <c r="O651"/>
      <c r="P651" s="368"/>
      <c r="Q651"/>
      <c r="R651"/>
      <c r="S651"/>
      <c r="T651"/>
      <c r="U651"/>
    </row>
    <row r="652" spans="1:21" x14ac:dyDescent="0.2">
      <c r="A652" s="285"/>
      <c r="B652" s="399"/>
      <c r="C652"/>
      <c r="D652" s="368"/>
      <c r="E652"/>
      <c r="F652" s="368"/>
      <c r="G652"/>
      <c r="H652"/>
      <c r="I652"/>
      <c r="J652"/>
      <c r="K652"/>
      <c r="L652"/>
      <c r="M652"/>
      <c r="N652"/>
      <c r="O652"/>
      <c r="P652" s="368"/>
      <c r="Q652"/>
      <c r="R652"/>
      <c r="S652"/>
      <c r="T652"/>
      <c r="U652"/>
    </row>
    <row r="653" spans="1:21" x14ac:dyDescent="0.2">
      <c r="A653" s="285"/>
      <c r="B653" s="399"/>
      <c r="C653"/>
      <c r="D653" s="368"/>
      <c r="E653"/>
      <c r="F653" s="368"/>
      <c r="G653"/>
      <c r="H653"/>
      <c r="I653"/>
      <c r="J653"/>
      <c r="K653"/>
      <c r="L653"/>
      <c r="M653"/>
      <c r="N653"/>
      <c r="O653"/>
      <c r="P653" s="368"/>
      <c r="Q653"/>
      <c r="R653"/>
      <c r="S653"/>
      <c r="T653"/>
      <c r="U653"/>
    </row>
    <row r="654" spans="1:21" x14ac:dyDescent="0.2">
      <c r="A654" s="285"/>
      <c r="B654" s="399"/>
      <c r="C654"/>
      <c r="D654" s="368"/>
      <c r="E654"/>
      <c r="F654" s="368"/>
      <c r="G654"/>
      <c r="H654"/>
      <c r="I654"/>
      <c r="J654"/>
      <c r="K654"/>
      <c r="L654"/>
      <c r="M654"/>
      <c r="N654"/>
      <c r="O654"/>
      <c r="P654" s="368"/>
      <c r="Q654"/>
      <c r="R654"/>
      <c r="S654"/>
      <c r="T654"/>
      <c r="U654"/>
    </row>
    <row r="655" spans="1:21" x14ac:dyDescent="0.2">
      <c r="A655" s="285"/>
      <c r="B655" s="399"/>
      <c r="C655"/>
      <c r="D655" s="368"/>
      <c r="E655"/>
      <c r="F655" s="368"/>
      <c r="G655"/>
      <c r="H655"/>
      <c r="I655"/>
      <c r="J655"/>
      <c r="K655"/>
      <c r="L655"/>
      <c r="M655"/>
      <c r="N655"/>
      <c r="O655"/>
      <c r="P655" s="368"/>
      <c r="Q655"/>
      <c r="R655"/>
      <c r="S655"/>
      <c r="T655"/>
      <c r="U655"/>
    </row>
    <row r="656" spans="1:21" x14ac:dyDescent="0.2">
      <c r="A656" s="285"/>
      <c r="B656" s="399"/>
      <c r="C656"/>
      <c r="D656" s="368"/>
      <c r="E656"/>
      <c r="F656" s="368"/>
      <c r="G656"/>
      <c r="H656"/>
      <c r="I656"/>
      <c r="J656"/>
      <c r="K656"/>
      <c r="L656"/>
      <c r="M656"/>
      <c r="N656"/>
      <c r="O656"/>
      <c r="P656" s="368"/>
      <c r="Q656"/>
      <c r="R656"/>
      <c r="S656"/>
      <c r="T656"/>
      <c r="U656"/>
    </row>
    <row r="657" spans="1:21" x14ac:dyDescent="0.2">
      <c r="A657" s="285"/>
      <c r="B657" s="399"/>
      <c r="C657"/>
      <c r="D657" s="368"/>
      <c r="E657"/>
      <c r="F657" s="368"/>
      <c r="G657"/>
      <c r="H657"/>
      <c r="I657"/>
      <c r="J657"/>
      <c r="K657"/>
      <c r="L657"/>
      <c r="M657"/>
      <c r="N657"/>
      <c r="O657"/>
      <c r="P657" s="368"/>
      <c r="Q657"/>
      <c r="R657"/>
      <c r="S657"/>
      <c r="T657"/>
      <c r="U657"/>
    </row>
    <row r="658" spans="1:21" x14ac:dyDescent="0.2">
      <c r="A658" s="285"/>
      <c r="B658" s="399"/>
      <c r="C658"/>
      <c r="D658" s="368"/>
      <c r="E658"/>
      <c r="F658" s="368"/>
      <c r="G658"/>
      <c r="H658"/>
      <c r="I658"/>
      <c r="J658"/>
      <c r="K658"/>
      <c r="L658"/>
      <c r="M658"/>
      <c r="N658"/>
      <c r="O658"/>
      <c r="P658" s="368"/>
      <c r="Q658"/>
      <c r="R658"/>
      <c r="S658"/>
      <c r="T658"/>
      <c r="U658"/>
    </row>
    <row r="659" spans="1:21" x14ac:dyDescent="0.2">
      <c r="A659" s="285"/>
      <c r="B659" s="399"/>
      <c r="C659"/>
      <c r="D659" s="368"/>
      <c r="E659"/>
      <c r="F659" s="368"/>
      <c r="G659"/>
      <c r="H659"/>
      <c r="I659"/>
      <c r="J659"/>
      <c r="K659"/>
      <c r="L659"/>
      <c r="M659"/>
      <c r="N659"/>
      <c r="O659"/>
      <c r="P659" s="368"/>
      <c r="Q659"/>
      <c r="R659"/>
      <c r="S659"/>
      <c r="T659"/>
      <c r="U659"/>
    </row>
    <row r="660" spans="1:21" x14ac:dyDescent="0.2">
      <c r="A660" s="285"/>
      <c r="B660" s="399"/>
      <c r="C660"/>
      <c r="D660" s="368"/>
      <c r="E660"/>
      <c r="F660" s="368"/>
      <c r="G660"/>
      <c r="H660"/>
      <c r="I660"/>
      <c r="J660"/>
      <c r="K660"/>
      <c r="L660"/>
      <c r="M660"/>
      <c r="N660"/>
      <c r="O660"/>
      <c r="P660" s="368"/>
      <c r="Q660"/>
      <c r="R660"/>
      <c r="S660"/>
      <c r="T660"/>
      <c r="U660"/>
    </row>
    <row r="661" spans="1:21" x14ac:dyDescent="0.2">
      <c r="A661" s="285"/>
      <c r="B661" s="399"/>
      <c r="C661"/>
      <c r="D661" s="368"/>
      <c r="E661"/>
      <c r="F661" s="368"/>
      <c r="G661"/>
      <c r="H661"/>
      <c r="I661"/>
      <c r="J661"/>
      <c r="K661"/>
      <c r="L661"/>
      <c r="M661"/>
      <c r="N661"/>
      <c r="O661"/>
      <c r="P661" s="368"/>
      <c r="Q661"/>
      <c r="R661"/>
      <c r="S661"/>
      <c r="T661"/>
      <c r="U661"/>
    </row>
    <row r="662" spans="1:21" x14ac:dyDescent="0.2">
      <c r="A662" s="285"/>
      <c r="B662" s="399"/>
      <c r="C662"/>
      <c r="D662" s="368"/>
      <c r="E662"/>
      <c r="F662" s="368"/>
      <c r="G662"/>
      <c r="H662"/>
      <c r="I662"/>
      <c r="J662"/>
      <c r="K662"/>
      <c r="L662"/>
      <c r="M662"/>
      <c r="N662"/>
      <c r="O662"/>
      <c r="P662" s="368"/>
      <c r="Q662"/>
      <c r="R662"/>
      <c r="S662"/>
      <c r="T662"/>
      <c r="U662"/>
    </row>
    <row r="663" spans="1:21" x14ac:dyDescent="0.2">
      <c r="A663" s="285"/>
      <c r="B663" s="399"/>
      <c r="C663"/>
      <c r="D663" s="368"/>
      <c r="E663"/>
      <c r="F663" s="368"/>
      <c r="G663"/>
      <c r="H663"/>
      <c r="I663"/>
      <c r="J663"/>
      <c r="K663"/>
      <c r="L663"/>
      <c r="M663"/>
      <c r="N663"/>
      <c r="O663"/>
      <c r="P663" s="368"/>
      <c r="Q663"/>
      <c r="R663"/>
      <c r="S663"/>
      <c r="T663"/>
      <c r="U663"/>
    </row>
    <row r="664" spans="1:21" x14ac:dyDescent="0.2">
      <c r="A664" s="285"/>
      <c r="B664" s="399"/>
      <c r="C664"/>
      <c r="D664" s="368"/>
      <c r="E664"/>
      <c r="F664" s="368"/>
      <c r="G664"/>
      <c r="H664"/>
      <c r="I664"/>
      <c r="J664"/>
      <c r="K664"/>
      <c r="L664"/>
      <c r="M664"/>
      <c r="N664"/>
      <c r="O664"/>
      <c r="P664" s="368"/>
      <c r="Q664"/>
      <c r="R664"/>
      <c r="S664"/>
      <c r="T664"/>
      <c r="U664"/>
    </row>
    <row r="665" spans="1:21" x14ac:dyDescent="0.2">
      <c r="A665" s="285"/>
      <c r="B665" s="399"/>
      <c r="C665"/>
      <c r="D665" s="368"/>
      <c r="E665"/>
      <c r="F665" s="368"/>
      <c r="G665"/>
      <c r="H665"/>
      <c r="I665"/>
      <c r="J665"/>
      <c r="K665"/>
      <c r="L665"/>
      <c r="M665"/>
      <c r="N665"/>
      <c r="O665"/>
      <c r="P665" s="368"/>
      <c r="Q665"/>
      <c r="R665"/>
      <c r="S665"/>
      <c r="T665"/>
      <c r="U665"/>
    </row>
    <row r="666" spans="1:21" x14ac:dyDescent="0.2">
      <c r="A666" s="285"/>
      <c r="B666" s="399"/>
      <c r="C666"/>
      <c r="D666" s="368"/>
      <c r="E666"/>
      <c r="F666" s="368"/>
      <c r="G666"/>
      <c r="H666"/>
      <c r="I666"/>
      <c r="J666"/>
      <c r="K666"/>
      <c r="L666"/>
      <c r="M666"/>
      <c r="N666"/>
      <c r="O666"/>
      <c r="P666" s="368"/>
      <c r="Q666"/>
      <c r="R666"/>
      <c r="S666"/>
      <c r="T666"/>
      <c r="U666"/>
    </row>
    <row r="667" spans="1:21" x14ac:dyDescent="0.2">
      <c r="A667" s="285"/>
      <c r="B667" s="399"/>
      <c r="C667"/>
      <c r="D667" s="368"/>
      <c r="E667"/>
      <c r="F667" s="368"/>
      <c r="G667"/>
      <c r="H667"/>
      <c r="I667"/>
      <c r="J667"/>
      <c r="K667"/>
      <c r="L667"/>
      <c r="M667"/>
      <c r="N667"/>
      <c r="O667"/>
      <c r="P667" s="368"/>
      <c r="Q667"/>
      <c r="R667"/>
      <c r="S667"/>
      <c r="T667"/>
      <c r="U667"/>
    </row>
    <row r="668" spans="1:21" x14ac:dyDescent="0.2">
      <c r="A668" s="285"/>
      <c r="B668" s="399"/>
      <c r="C668"/>
      <c r="D668" s="368"/>
      <c r="E668"/>
      <c r="F668" s="368"/>
      <c r="G668"/>
      <c r="H668"/>
      <c r="I668"/>
      <c r="J668"/>
      <c r="K668"/>
      <c r="L668"/>
      <c r="M668"/>
      <c r="N668"/>
      <c r="O668"/>
      <c r="P668" s="368"/>
      <c r="Q668"/>
      <c r="R668"/>
      <c r="S668"/>
      <c r="T668"/>
      <c r="U668"/>
    </row>
    <row r="669" spans="1:21" x14ac:dyDescent="0.2">
      <c r="A669" s="285"/>
      <c r="B669" s="399"/>
      <c r="C669"/>
      <c r="D669" s="368"/>
      <c r="E669"/>
      <c r="F669" s="368"/>
      <c r="G669"/>
      <c r="H669"/>
      <c r="I669"/>
      <c r="J669"/>
      <c r="K669"/>
      <c r="L669"/>
      <c r="M669"/>
      <c r="N669"/>
      <c r="O669"/>
      <c r="P669" s="368"/>
      <c r="Q669"/>
      <c r="R669"/>
      <c r="S669"/>
      <c r="T669"/>
      <c r="U669"/>
    </row>
    <row r="670" spans="1:21" x14ac:dyDescent="0.2">
      <c r="A670" s="285"/>
      <c r="B670" s="399"/>
      <c r="C670"/>
      <c r="D670" s="368"/>
      <c r="E670"/>
      <c r="F670" s="368"/>
      <c r="G670"/>
      <c r="H670"/>
      <c r="I670"/>
      <c r="J670"/>
      <c r="K670"/>
      <c r="L670"/>
      <c r="M670"/>
      <c r="N670"/>
      <c r="O670"/>
      <c r="P670" s="368"/>
      <c r="Q670"/>
      <c r="R670"/>
      <c r="S670"/>
      <c r="T670"/>
      <c r="U670"/>
    </row>
    <row r="671" spans="1:21" x14ac:dyDescent="0.2">
      <c r="A671" s="285"/>
      <c r="B671" s="399"/>
      <c r="C671"/>
      <c r="D671" s="368"/>
      <c r="E671"/>
      <c r="F671" s="368"/>
      <c r="G671"/>
      <c r="H671"/>
      <c r="I671"/>
      <c r="J671"/>
      <c r="K671"/>
      <c r="L671"/>
      <c r="M671"/>
      <c r="N671"/>
      <c r="O671"/>
      <c r="P671" s="368"/>
      <c r="Q671"/>
      <c r="R671"/>
      <c r="S671"/>
      <c r="T671"/>
      <c r="U671"/>
    </row>
    <row r="672" spans="1:21" x14ac:dyDescent="0.2">
      <c r="A672" s="285"/>
      <c r="B672" s="399"/>
      <c r="C672"/>
      <c r="D672" s="368"/>
      <c r="E672"/>
      <c r="F672" s="368"/>
      <c r="G672"/>
      <c r="H672"/>
      <c r="I672"/>
      <c r="J672"/>
      <c r="K672"/>
      <c r="L672"/>
      <c r="M672"/>
      <c r="N672"/>
      <c r="O672"/>
      <c r="P672" s="368"/>
      <c r="Q672"/>
      <c r="R672"/>
      <c r="S672"/>
      <c r="T672"/>
      <c r="U672"/>
    </row>
    <row r="673" spans="1:21" x14ac:dyDescent="0.2">
      <c r="A673" s="285"/>
      <c r="B673" s="399"/>
      <c r="C673"/>
      <c r="D673" s="368"/>
      <c r="E673"/>
      <c r="F673" s="368"/>
      <c r="G673"/>
      <c r="H673"/>
      <c r="I673"/>
      <c r="J673"/>
      <c r="K673"/>
      <c r="L673"/>
      <c r="M673"/>
      <c r="N673"/>
      <c r="O673"/>
      <c r="P673" s="368"/>
      <c r="Q673"/>
      <c r="R673"/>
      <c r="S673"/>
      <c r="T673"/>
      <c r="U673"/>
    </row>
    <row r="674" spans="1:21" x14ac:dyDescent="0.2">
      <c r="A674" s="285"/>
      <c r="B674" s="399"/>
      <c r="C674"/>
      <c r="D674" s="368"/>
      <c r="E674"/>
      <c r="F674" s="368"/>
      <c r="G674"/>
      <c r="H674"/>
      <c r="I674"/>
      <c r="J674"/>
      <c r="K674"/>
      <c r="L674"/>
      <c r="M674"/>
      <c r="N674"/>
      <c r="O674"/>
      <c r="P674" s="368"/>
      <c r="Q674"/>
      <c r="R674"/>
      <c r="S674"/>
      <c r="T674"/>
      <c r="U674"/>
    </row>
    <row r="675" spans="1:21" x14ac:dyDescent="0.2">
      <c r="A675" s="285"/>
      <c r="B675" s="399"/>
      <c r="C675"/>
      <c r="D675" s="368"/>
      <c r="E675"/>
      <c r="F675" s="368"/>
      <c r="G675"/>
      <c r="H675"/>
      <c r="I675"/>
      <c r="J675"/>
      <c r="K675"/>
      <c r="L675"/>
      <c r="M675"/>
      <c r="N675"/>
      <c r="O675"/>
      <c r="P675" s="368"/>
      <c r="Q675"/>
      <c r="R675"/>
      <c r="S675"/>
      <c r="T675"/>
      <c r="U675"/>
    </row>
    <row r="676" spans="1:21" x14ac:dyDescent="0.2">
      <c r="A676" s="285"/>
      <c r="B676" s="399"/>
      <c r="C676"/>
      <c r="D676" s="368"/>
      <c r="E676"/>
      <c r="F676" s="368"/>
      <c r="G676"/>
      <c r="H676"/>
      <c r="I676"/>
      <c r="J676"/>
      <c r="K676"/>
      <c r="L676"/>
      <c r="M676"/>
      <c r="N676"/>
      <c r="O676"/>
      <c r="P676" s="368"/>
      <c r="Q676"/>
      <c r="R676"/>
      <c r="S676"/>
      <c r="T676"/>
      <c r="U676"/>
    </row>
    <row r="677" spans="1:21" x14ac:dyDescent="0.2">
      <c r="A677" s="285"/>
      <c r="B677" s="399"/>
      <c r="C677"/>
      <c r="D677" s="368"/>
      <c r="E677"/>
      <c r="F677" s="368"/>
      <c r="G677"/>
      <c r="H677"/>
      <c r="I677"/>
      <c r="J677"/>
      <c r="K677"/>
      <c r="L677"/>
      <c r="M677"/>
      <c r="N677"/>
      <c r="O677"/>
      <c r="P677" s="368"/>
      <c r="Q677"/>
      <c r="R677"/>
      <c r="S677"/>
      <c r="T677"/>
      <c r="U677"/>
    </row>
    <row r="678" spans="1:21" x14ac:dyDescent="0.2">
      <c r="A678" s="285"/>
      <c r="B678" s="399"/>
      <c r="C678"/>
      <c r="D678" s="368"/>
      <c r="E678"/>
      <c r="F678" s="368"/>
      <c r="G678"/>
      <c r="H678"/>
      <c r="I678"/>
      <c r="J678"/>
      <c r="K678"/>
      <c r="L678"/>
      <c r="M678"/>
      <c r="N678"/>
      <c r="O678"/>
      <c r="P678" s="368"/>
      <c r="Q678"/>
      <c r="R678"/>
      <c r="S678"/>
      <c r="T678"/>
      <c r="U678"/>
    </row>
    <row r="679" spans="1:21" x14ac:dyDescent="0.2">
      <c r="A679" s="285"/>
      <c r="B679" s="399"/>
      <c r="C679"/>
      <c r="D679" s="368"/>
      <c r="E679"/>
      <c r="F679" s="368"/>
      <c r="G679"/>
      <c r="H679"/>
      <c r="I679"/>
      <c r="J679"/>
      <c r="K679"/>
      <c r="L679"/>
      <c r="M679"/>
      <c r="N679"/>
      <c r="O679"/>
      <c r="P679" s="368"/>
      <c r="Q679"/>
      <c r="R679"/>
      <c r="S679"/>
      <c r="T679"/>
      <c r="U679"/>
    </row>
    <row r="680" spans="1:21" x14ac:dyDescent="0.2">
      <c r="A680" s="285"/>
      <c r="B680" s="399"/>
      <c r="C680"/>
      <c r="D680" s="368"/>
      <c r="E680"/>
      <c r="F680" s="368"/>
      <c r="G680"/>
      <c r="H680"/>
      <c r="I680"/>
      <c r="J680"/>
      <c r="K680"/>
      <c r="L680"/>
      <c r="M680"/>
      <c r="N680"/>
      <c r="O680"/>
      <c r="P680" s="368"/>
      <c r="Q680"/>
      <c r="R680"/>
      <c r="S680"/>
      <c r="T680"/>
      <c r="U680"/>
    </row>
    <row r="681" spans="1:21" x14ac:dyDescent="0.2">
      <c r="A681" s="285"/>
      <c r="B681" s="399"/>
      <c r="C681"/>
      <c r="D681" s="368"/>
      <c r="E681"/>
      <c r="F681" s="368"/>
      <c r="G681"/>
      <c r="H681"/>
      <c r="I681"/>
      <c r="J681"/>
      <c r="K681"/>
      <c r="L681"/>
      <c r="M681"/>
      <c r="N681"/>
      <c r="O681"/>
      <c r="P681" s="368"/>
      <c r="Q681"/>
      <c r="R681"/>
      <c r="S681"/>
      <c r="T681"/>
      <c r="U681"/>
    </row>
    <row r="682" spans="1:21" x14ac:dyDescent="0.2">
      <c r="A682" s="285"/>
      <c r="B682" s="399"/>
      <c r="C682"/>
      <c r="D682" s="368"/>
      <c r="E682"/>
      <c r="F682" s="368"/>
      <c r="G682"/>
      <c r="H682"/>
      <c r="I682"/>
      <c r="J682"/>
      <c r="K682"/>
      <c r="L682"/>
      <c r="M682"/>
      <c r="N682"/>
      <c r="O682"/>
      <c r="P682" s="368"/>
      <c r="Q682"/>
      <c r="R682"/>
      <c r="S682"/>
      <c r="T682"/>
      <c r="U682"/>
    </row>
    <row r="683" spans="1:21" x14ac:dyDescent="0.2">
      <c r="A683" s="285"/>
      <c r="B683" s="399"/>
      <c r="C683"/>
      <c r="D683" s="368"/>
      <c r="E683"/>
      <c r="F683" s="368"/>
      <c r="G683"/>
      <c r="H683"/>
      <c r="I683"/>
      <c r="J683"/>
      <c r="K683"/>
      <c r="L683"/>
      <c r="M683"/>
      <c r="N683"/>
      <c r="O683"/>
      <c r="P683" s="368"/>
      <c r="Q683"/>
      <c r="R683"/>
      <c r="S683"/>
      <c r="T683"/>
      <c r="U683"/>
    </row>
    <row r="684" spans="1:21" x14ac:dyDescent="0.2">
      <c r="A684" s="285"/>
      <c r="B684" s="399"/>
      <c r="C684"/>
      <c r="D684" s="368"/>
      <c r="E684"/>
      <c r="F684" s="368"/>
      <c r="G684"/>
      <c r="H684"/>
      <c r="I684"/>
      <c r="J684"/>
      <c r="K684"/>
      <c r="L684"/>
      <c r="M684"/>
      <c r="N684"/>
      <c r="O684"/>
      <c r="P684" s="368"/>
      <c r="Q684"/>
      <c r="R684"/>
      <c r="S684"/>
      <c r="T684"/>
      <c r="U684"/>
    </row>
    <row r="685" spans="1:21" x14ac:dyDescent="0.2">
      <c r="A685" s="285"/>
      <c r="B685" s="399"/>
      <c r="C685"/>
      <c r="D685" s="368"/>
      <c r="E685"/>
      <c r="F685" s="368"/>
      <c r="G685"/>
      <c r="H685"/>
      <c r="I685"/>
      <c r="J685"/>
      <c r="K685"/>
      <c r="L685"/>
      <c r="M685"/>
      <c r="N685"/>
      <c r="O685"/>
      <c r="P685" s="368"/>
      <c r="Q685"/>
      <c r="R685"/>
      <c r="S685"/>
      <c r="T685"/>
      <c r="U685"/>
    </row>
    <row r="686" spans="1:21" x14ac:dyDescent="0.2">
      <c r="A686" s="285"/>
      <c r="B686" s="399"/>
      <c r="C686"/>
      <c r="D686" s="368"/>
      <c r="E686"/>
      <c r="F686" s="368"/>
      <c r="G686"/>
      <c r="H686"/>
      <c r="I686"/>
      <c r="J686"/>
      <c r="K686"/>
      <c r="L686"/>
      <c r="M686"/>
      <c r="N686"/>
      <c r="O686"/>
      <c r="P686" s="368"/>
      <c r="Q686"/>
      <c r="R686"/>
      <c r="S686"/>
      <c r="T686"/>
      <c r="U686"/>
    </row>
    <row r="687" spans="1:21" x14ac:dyDescent="0.2">
      <c r="A687" s="285"/>
      <c r="B687" s="399"/>
      <c r="C687"/>
      <c r="D687" s="368"/>
      <c r="E687"/>
      <c r="F687" s="368"/>
      <c r="G687"/>
      <c r="H687"/>
      <c r="I687"/>
      <c r="J687"/>
      <c r="K687"/>
      <c r="L687"/>
      <c r="M687"/>
      <c r="N687"/>
      <c r="O687"/>
      <c r="P687" s="368"/>
      <c r="Q687"/>
      <c r="R687"/>
      <c r="S687"/>
      <c r="T687"/>
      <c r="U687"/>
    </row>
    <row r="688" spans="1:21" x14ac:dyDescent="0.2">
      <c r="A688" s="285"/>
      <c r="B688" s="399"/>
      <c r="C688"/>
      <c r="D688" s="368"/>
      <c r="E688"/>
      <c r="F688" s="368"/>
      <c r="G688"/>
      <c r="H688"/>
      <c r="I688"/>
      <c r="J688"/>
      <c r="K688"/>
      <c r="L688"/>
      <c r="M688"/>
      <c r="N688"/>
      <c r="O688"/>
      <c r="P688" s="368"/>
      <c r="Q688"/>
      <c r="R688"/>
      <c r="S688"/>
      <c r="T688"/>
      <c r="U688"/>
    </row>
    <row r="689" spans="1:21" x14ac:dyDescent="0.2">
      <c r="A689" s="285"/>
      <c r="B689" s="399"/>
      <c r="C689"/>
      <c r="D689" s="368"/>
      <c r="E689"/>
      <c r="F689" s="368"/>
      <c r="G689"/>
      <c r="H689"/>
      <c r="I689"/>
      <c r="J689"/>
      <c r="K689"/>
      <c r="L689"/>
      <c r="M689"/>
      <c r="N689"/>
      <c r="O689"/>
      <c r="P689" s="368"/>
      <c r="Q689"/>
      <c r="R689"/>
      <c r="S689"/>
      <c r="T689"/>
      <c r="U689"/>
    </row>
    <row r="690" spans="1:21" x14ac:dyDescent="0.2">
      <c r="A690" s="285"/>
      <c r="B690" s="399"/>
      <c r="C690"/>
      <c r="D690" s="368"/>
      <c r="E690"/>
      <c r="F690" s="368"/>
      <c r="G690"/>
      <c r="H690"/>
      <c r="I690"/>
      <c r="J690"/>
      <c r="K690"/>
      <c r="L690"/>
      <c r="M690"/>
      <c r="N690"/>
      <c r="O690"/>
      <c r="P690" s="368"/>
      <c r="Q690"/>
      <c r="R690"/>
      <c r="S690"/>
      <c r="T690"/>
      <c r="U690"/>
    </row>
    <row r="691" spans="1:21" x14ac:dyDescent="0.2">
      <c r="A691" s="285"/>
      <c r="B691" s="399"/>
      <c r="C691"/>
      <c r="D691" s="368"/>
      <c r="E691"/>
      <c r="F691" s="368"/>
      <c r="G691"/>
      <c r="H691"/>
      <c r="I691"/>
      <c r="J691"/>
      <c r="K691"/>
      <c r="L691"/>
      <c r="M691"/>
      <c r="N691"/>
      <c r="O691"/>
      <c r="P691" s="368"/>
      <c r="Q691"/>
      <c r="R691"/>
      <c r="S691"/>
      <c r="T691"/>
      <c r="U691"/>
    </row>
    <row r="692" spans="1:21" x14ac:dyDescent="0.2">
      <c r="A692" s="285"/>
      <c r="B692" s="399"/>
      <c r="C692"/>
      <c r="D692" s="368"/>
      <c r="E692"/>
      <c r="F692" s="368"/>
      <c r="G692"/>
      <c r="H692"/>
      <c r="I692"/>
      <c r="J692"/>
      <c r="K692"/>
      <c r="L692"/>
      <c r="M692"/>
      <c r="N692"/>
      <c r="O692"/>
      <c r="P692" s="368"/>
      <c r="Q692"/>
      <c r="R692"/>
      <c r="S692"/>
      <c r="T692"/>
      <c r="U692"/>
    </row>
    <row r="693" spans="1:21" x14ac:dyDescent="0.2">
      <c r="A693" s="285"/>
      <c r="B693" s="399"/>
      <c r="C693"/>
      <c r="D693" s="368"/>
      <c r="E693"/>
      <c r="F693" s="368"/>
      <c r="G693"/>
      <c r="H693"/>
      <c r="I693"/>
      <c r="J693"/>
      <c r="K693"/>
      <c r="L693"/>
      <c r="M693"/>
      <c r="N693"/>
      <c r="O693"/>
      <c r="P693" s="368"/>
      <c r="Q693"/>
      <c r="R693"/>
      <c r="S693"/>
      <c r="T693"/>
      <c r="U693"/>
    </row>
    <row r="694" spans="1:21" x14ac:dyDescent="0.2">
      <c r="A694" s="285"/>
      <c r="B694" s="399"/>
      <c r="C694"/>
      <c r="D694" s="368"/>
      <c r="E694"/>
      <c r="F694" s="368"/>
      <c r="G694"/>
      <c r="H694"/>
      <c r="I694"/>
      <c r="J694"/>
      <c r="K694"/>
      <c r="L694"/>
      <c r="M694"/>
      <c r="N694"/>
      <c r="O694"/>
      <c r="P694" s="368"/>
      <c r="Q694"/>
      <c r="R694"/>
      <c r="S694"/>
      <c r="T694"/>
      <c r="U694"/>
    </row>
    <row r="695" spans="1:21" x14ac:dyDescent="0.2">
      <c r="A695" s="285"/>
      <c r="B695" s="399"/>
      <c r="C695"/>
      <c r="D695" s="368"/>
      <c r="E695"/>
      <c r="F695" s="368"/>
      <c r="G695"/>
      <c r="H695"/>
      <c r="I695"/>
      <c r="J695"/>
      <c r="K695"/>
      <c r="L695"/>
      <c r="M695"/>
      <c r="N695"/>
      <c r="O695"/>
      <c r="P695" s="368"/>
      <c r="Q695"/>
      <c r="R695"/>
      <c r="S695"/>
      <c r="T695"/>
      <c r="U695"/>
    </row>
    <row r="696" spans="1:21" x14ac:dyDescent="0.2">
      <c r="A696" s="285"/>
      <c r="B696" s="399"/>
      <c r="C696"/>
      <c r="D696" s="368"/>
      <c r="E696"/>
      <c r="F696" s="368"/>
      <c r="G696"/>
      <c r="H696"/>
      <c r="I696"/>
      <c r="J696"/>
      <c r="K696"/>
      <c r="L696"/>
      <c r="M696"/>
      <c r="N696"/>
      <c r="O696"/>
      <c r="P696" s="368"/>
      <c r="Q696"/>
      <c r="R696"/>
      <c r="S696"/>
      <c r="T696"/>
      <c r="U696"/>
    </row>
    <row r="697" spans="1:21" x14ac:dyDescent="0.2">
      <c r="A697" s="285"/>
      <c r="B697" s="399"/>
      <c r="C697"/>
      <c r="D697" s="368"/>
      <c r="E697"/>
      <c r="F697" s="368"/>
      <c r="G697"/>
      <c r="H697"/>
      <c r="I697"/>
      <c r="J697"/>
      <c r="K697"/>
      <c r="L697"/>
      <c r="M697"/>
      <c r="N697"/>
      <c r="O697"/>
      <c r="P697" s="368"/>
      <c r="Q697"/>
      <c r="R697"/>
      <c r="S697"/>
      <c r="T697"/>
      <c r="U697"/>
    </row>
    <row r="698" spans="1:21" x14ac:dyDescent="0.2">
      <c r="A698" s="285"/>
      <c r="B698" s="399"/>
      <c r="C698"/>
      <c r="D698" s="368"/>
      <c r="E698"/>
      <c r="F698" s="368"/>
      <c r="G698"/>
      <c r="H698"/>
      <c r="I698"/>
      <c r="J698"/>
      <c r="K698"/>
      <c r="L698"/>
      <c r="M698"/>
      <c r="N698"/>
      <c r="O698"/>
      <c r="P698" s="368"/>
      <c r="Q698"/>
      <c r="R698"/>
      <c r="S698"/>
      <c r="T698"/>
      <c r="U698"/>
    </row>
    <row r="699" spans="1:21" x14ac:dyDescent="0.2">
      <c r="A699" s="285"/>
      <c r="B699" s="399"/>
      <c r="C699"/>
      <c r="D699" s="368"/>
      <c r="E699"/>
      <c r="F699" s="368"/>
      <c r="G699"/>
      <c r="H699"/>
      <c r="I699"/>
      <c r="J699"/>
      <c r="K699"/>
      <c r="L699"/>
      <c r="M699"/>
      <c r="N699"/>
      <c r="O699"/>
      <c r="P699" s="368"/>
      <c r="Q699"/>
      <c r="R699"/>
      <c r="S699"/>
      <c r="T699"/>
      <c r="U699"/>
    </row>
    <row r="700" spans="1:21" x14ac:dyDescent="0.2">
      <c r="A700" s="285"/>
      <c r="B700" s="399"/>
      <c r="C700"/>
      <c r="D700" s="368"/>
      <c r="E700"/>
      <c r="F700" s="368"/>
      <c r="G700"/>
      <c r="H700"/>
      <c r="I700"/>
      <c r="J700"/>
      <c r="K700"/>
      <c r="L700"/>
      <c r="M700"/>
      <c r="N700"/>
      <c r="O700"/>
      <c r="P700" s="368"/>
      <c r="Q700"/>
      <c r="R700"/>
      <c r="S700"/>
      <c r="T700"/>
      <c r="U700"/>
    </row>
    <row r="701" spans="1:21" x14ac:dyDescent="0.2">
      <c r="A701" s="285"/>
      <c r="B701" s="399"/>
      <c r="C701"/>
      <c r="D701" s="368"/>
      <c r="E701"/>
      <c r="F701" s="368"/>
      <c r="G701"/>
      <c r="H701"/>
      <c r="I701"/>
      <c r="J701"/>
      <c r="K701"/>
      <c r="L701"/>
      <c r="M701"/>
      <c r="N701"/>
      <c r="O701"/>
      <c r="P701" s="368"/>
      <c r="Q701"/>
      <c r="R701"/>
      <c r="S701"/>
      <c r="T701"/>
      <c r="U701"/>
    </row>
    <row r="702" spans="1:21" x14ac:dyDescent="0.2">
      <c r="A702" s="285"/>
      <c r="B702" s="399"/>
      <c r="C702"/>
      <c r="D702" s="368"/>
      <c r="E702"/>
      <c r="F702" s="368"/>
      <c r="G702"/>
      <c r="H702"/>
      <c r="I702"/>
      <c r="J702"/>
      <c r="K702"/>
      <c r="L702"/>
      <c r="M702"/>
      <c r="N702"/>
      <c r="O702"/>
      <c r="P702" s="368"/>
      <c r="Q702"/>
      <c r="R702"/>
      <c r="S702"/>
      <c r="T702"/>
      <c r="U702"/>
    </row>
    <row r="703" spans="1:21" x14ac:dyDescent="0.2">
      <c r="A703" s="285"/>
      <c r="B703" s="399"/>
      <c r="C703"/>
      <c r="D703" s="368"/>
      <c r="E703"/>
      <c r="F703" s="368"/>
      <c r="G703"/>
      <c r="H703"/>
      <c r="I703"/>
      <c r="J703"/>
      <c r="K703"/>
      <c r="L703"/>
      <c r="M703"/>
      <c r="N703"/>
      <c r="O703"/>
      <c r="P703" s="368"/>
      <c r="Q703"/>
      <c r="R703"/>
      <c r="S703"/>
      <c r="T703"/>
      <c r="U703"/>
    </row>
    <row r="704" spans="1:21" x14ac:dyDescent="0.2">
      <c r="A704" s="285"/>
      <c r="B704" s="399"/>
      <c r="C704"/>
      <c r="D704" s="368"/>
      <c r="E704"/>
      <c r="F704" s="368"/>
      <c r="G704"/>
      <c r="H704"/>
      <c r="I704"/>
      <c r="J704"/>
      <c r="K704"/>
      <c r="L704"/>
      <c r="M704"/>
      <c r="N704"/>
      <c r="O704"/>
      <c r="P704" s="368"/>
      <c r="Q704"/>
      <c r="R704"/>
      <c r="S704"/>
      <c r="T704"/>
      <c r="U704"/>
    </row>
    <row r="705" spans="1:21" x14ac:dyDescent="0.2">
      <c r="A705" s="285"/>
      <c r="B705" s="399"/>
      <c r="C705"/>
      <c r="D705" s="368"/>
      <c r="E705"/>
      <c r="F705" s="368"/>
      <c r="G705"/>
      <c r="H705"/>
      <c r="I705"/>
      <c r="J705"/>
      <c r="K705"/>
      <c r="L705"/>
      <c r="M705"/>
      <c r="N705"/>
      <c r="O705"/>
      <c r="P705" s="368"/>
      <c r="Q705"/>
      <c r="R705"/>
      <c r="S705"/>
      <c r="T705"/>
      <c r="U705"/>
    </row>
    <row r="706" spans="1:21" x14ac:dyDescent="0.2">
      <c r="A706" s="285"/>
      <c r="B706" s="399"/>
      <c r="C706"/>
      <c r="D706" s="368"/>
      <c r="E706"/>
      <c r="F706" s="368"/>
      <c r="G706"/>
      <c r="H706"/>
      <c r="I706"/>
      <c r="J706"/>
      <c r="K706"/>
      <c r="L706"/>
      <c r="M706"/>
      <c r="N706"/>
      <c r="O706"/>
      <c r="P706" s="368"/>
      <c r="Q706"/>
      <c r="R706"/>
      <c r="S706"/>
      <c r="T706"/>
      <c r="U706"/>
    </row>
    <row r="707" spans="1:21" x14ac:dyDescent="0.2">
      <c r="A707" s="285"/>
      <c r="B707" s="399"/>
      <c r="C707"/>
      <c r="D707" s="368"/>
      <c r="E707"/>
      <c r="F707" s="368"/>
      <c r="G707"/>
      <c r="H707"/>
      <c r="I707"/>
      <c r="J707"/>
      <c r="K707"/>
      <c r="L707"/>
      <c r="M707"/>
      <c r="N707"/>
      <c r="O707"/>
      <c r="P707" s="368"/>
      <c r="Q707"/>
      <c r="R707"/>
      <c r="S707"/>
      <c r="T707"/>
      <c r="U707"/>
    </row>
    <row r="708" spans="1:21" x14ac:dyDescent="0.2">
      <c r="A708" s="285"/>
      <c r="B708" s="399"/>
      <c r="C708"/>
      <c r="D708" s="368"/>
      <c r="E708"/>
      <c r="F708" s="368"/>
      <c r="G708"/>
      <c r="H708"/>
      <c r="I708"/>
      <c r="J708"/>
      <c r="K708"/>
      <c r="L708"/>
      <c r="M708"/>
      <c r="N708"/>
      <c r="O708"/>
      <c r="P708" s="368"/>
      <c r="Q708"/>
      <c r="R708"/>
      <c r="S708"/>
      <c r="T708"/>
      <c r="U708"/>
    </row>
    <row r="709" spans="1:21" x14ac:dyDescent="0.2">
      <c r="A709" s="285"/>
      <c r="B709" s="399"/>
      <c r="C709"/>
      <c r="D709" s="368"/>
      <c r="E709"/>
      <c r="F709" s="368"/>
      <c r="G709"/>
      <c r="H709"/>
      <c r="I709"/>
      <c r="J709"/>
      <c r="K709"/>
      <c r="L709"/>
      <c r="M709"/>
      <c r="N709"/>
      <c r="O709"/>
      <c r="P709" s="368"/>
      <c r="Q709"/>
      <c r="R709"/>
      <c r="S709"/>
      <c r="T709"/>
      <c r="U709"/>
    </row>
    <row r="710" spans="1:21" x14ac:dyDescent="0.2">
      <c r="A710" s="285"/>
      <c r="B710" s="399"/>
      <c r="C710"/>
      <c r="D710" s="368"/>
      <c r="E710"/>
      <c r="F710" s="368"/>
      <c r="G710"/>
      <c r="H710"/>
      <c r="I710"/>
      <c r="J710"/>
      <c r="K710"/>
      <c r="L710"/>
      <c r="M710"/>
      <c r="N710"/>
      <c r="O710"/>
      <c r="P710" s="368"/>
      <c r="Q710"/>
      <c r="R710"/>
      <c r="S710"/>
      <c r="T710"/>
      <c r="U710"/>
    </row>
    <row r="711" spans="1:21" x14ac:dyDescent="0.2">
      <c r="A711" s="285"/>
      <c r="B711" s="399"/>
      <c r="C711"/>
      <c r="D711" s="368"/>
      <c r="E711"/>
      <c r="F711" s="368"/>
      <c r="G711"/>
      <c r="H711"/>
      <c r="I711"/>
      <c r="J711"/>
      <c r="K711"/>
      <c r="L711"/>
      <c r="M711"/>
      <c r="N711"/>
      <c r="O711"/>
      <c r="P711" s="368"/>
      <c r="Q711"/>
      <c r="R711"/>
      <c r="S711"/>
      <c r="T711"/>
      <c r="U711"/>
    </row>
    <row r="712" spans="1:21" x14ac:dyDescent="0.2">
      <c r="A712" s="285"/>
      <c r="B712" s="399"/>
      <c r="C712"/>
      <c r="D712" s="368"/>
      <c r="E712"/>
      <c r="F712" s="368"/>
      <c r="G712"/>
      <c r="H712"/>
      <c r="I712"/>
      <c r="J712"/>
      <c r="K712"/>
      <c r="L712"/>
      <c r="M712"/>
      <c r="N712"/>
      <c r="O712"/>
      <c r="P712" s="368"/>
      <c r="Q712"/>
      <c r="R712"/>
      <c r="S712"/>
      <c r="T712"/>
      <c r="U712"/>
    </row>
    <row r="713" spans="1:21" x14ac:dyDescent="0.2">
      <c r="A713" s="285"/>
      <c r="B713" s="399"/>
      <c r="C713"/>
      <c r="D713" s="368"/>
      <c r="E713"/>
      <c r="F713" s="368"/>
      <c r="G713"/>
      <c r="H713"/>
      <c r="I713"/>
      <c r="J713"/>
      <c r="K713"/>
      <c r="L713"/>
      <c r="M713"/>
      <c r="N713"/>
      <c r="O713"/>
      <c r="P713" s="368"/>
      <c r="Q713"/>
      <c r="R713"/>
      <c r="S713"/>
      <c r="T713"/>
      <c r="U713"/>
    </row>
    <row r="714" spans="1:21" x14ac:dyDescent="0.2">
      <c r="A714" s="285"/>
      <c r="B714" s="399"/>
      <c r="C714"/>
      <c r="D714" s="368"/>
      <c r="E714"/>
      <c r="F714" s="368"/>
      <c r="G714"/>
      <c r="H714"/>
      <c r="I714"/>
      <c r="J714"/>
      <c r="K714"/>
      <c r="L714"/>
      <c r="M714"/>
      <c r="N714"/>
      <c r="O714"/>
      <c r="P714" s="368"/>
      <c r="Q714"/>
      <c r="R714"/>
      <c r="S714"/>
      <c r="T714"/>
      <c r="U714"/>
    </row>
    <row r="715" spans="1:21" x14ac:dyDescent="0.2">
      <c r="A715" s="285"/>
      <c r="B715" s="399"/>
      <c r="C715"/>
      <c r="D715" s="368"/>
      <c r="E715"/>
      <c r="F715" s="368"/>
      <c r="G715"/>
      <c r="H715"/>
      <c r="I715"/>
      <c r="J715"/>
      <c r="K715"/>
      <c r="L715"/>
      <c r="M715"/>
      <c r="N715"/>
      <c r="O715"/>
      <c r="P715" s="368"/>
      <c r="Q715"/>
      <c r="R715"/>
      <c r="S715"/>
      <c r="T715"/>
      <c r="U715"/>
    </row>
    <row r="716" spans="1:21" x14ac:dyDescent="0.2">
      <c r="A716" s="285"/>
      <c r="B716" s="399"/>
      <c r="C716"/>
      <c r="D716" s="368"/>
      <c r="E716"/>
      <c r="F716" s="368"/>
      <c r="G716"/>
      <c r="H716"/>
      <c r="I716"/>
      <c r="J716"/>
      <c r="K716"/>
      <c r="L716"/>
      <c r="M716"/>
      <c r="N716"/>
      <c r="O716"/>
      <c r="P716" s="368"/>
      <c r="Q716"/>
      <c r="R716"/>
      <c r="S716"/>
      <c r="T716"/>
      <c r="U716"/>
    </row>
    <row r="717" spans="1:21" x14ac:dyDescent="0.2">
      <c r="A717" s="285"/>
      <c r="B717" s="399"/>
      <c r="C717"/>
      <c r="D717" s="368"/>
      <c r="E717"/>
      <c r="F717" s="368"/>
      <c r="G717"/>
      <c r="H717"/>
      <c r="I717"/>
      <c r="J717"/>
      <c r="K717"/>
      <c r="L717"/>
      <c r="M717"/>
      <c r="N717"/>
      <c r="O717"/>
      <c r="P717" s="368"/>
      <c r="Q717"/>
      <c r="R717"/>
      <c r="S717"/>
      <c r="T717"/>
      <c r="U717"/>
    </row>
    <row r="718" spans="1:21" x14ac:dyDescent="0.2">
      <c r="A718" s="285"/>
      <c r="B718" s="399"/>
      <c r="C718"/>
      <c r="D718" s="368"/>
      <c r="E718"/>
      <c r="F718" s="368"/>
      <c r="G718"/>
      <c r="H718"/>
      <c r="I718"/>
      <c r="J718"/>
      <c r="K718"/>
      <c r="L718"/>
      <c r="M718"/>
      <c r="N718"/>
      <c r="O718"/>
      <c r="P718" s="368"/>
      <c r="Q718"/>
      <c r="R718"/>
      <c r="S718"/>
      <c r="T718"/>
      <c r="U718"/>
    </row>
    <row r="719" spans="1:21" x14ac:dyDescent="0.2">
      <c r="A719" s="285"/>
      <c r="B719" s="399"/>
      <c r="C719"/>
      <c r="D719" s="368"/>
      <c r="E719"/>
      <c r="F719" s="368"/>
      <c r="G719"/>
      <c r="H719"/>
      <c r="I719"/>
      <c r="J719"/>
      <c r="K719"/>
      <c r="L719"/>
      <c r="M719"/>
      <c r="N719"/>
      <c r="O719"/>
      <c r="P719" s="368"/>
      <c r="Q719"/>
      <c r="R719"/>
      <c r="S719"/>
      <c r="T719"/>
      <c r="U719"/>
    </row>
    <row r="720" spans="1:21" x14ac:dyDescent="0.2">
      <c r="A720" s="285"/>
      <c r="B720" s="399"/>
      <c r="C720"/>
      <c r="D720" s="368"/>
      <c r="E720"/>
      <c r="F720" s="368"/>
      <c r="G720"/>
      <c r="H720"/>
      <c r="I720"/>
      <c r="J720"/>
      <c r="K720"/>
      <c r="L720"/>
      <c r="M720"/>
      <c r="N720"/>
      <c r="O720"/>
      <c r="P720" s="368"/>
      <c r="Q720"/>
      <c r="R720"/>
      <c r="S720"/>
      <c r="T720"/>
      <c r="U720"/>
    </row>
    <row r="721" spans="1:21" x14ac:dyDescent="0.2">
      <c r="A721" s="285"/>
      <c r="B721" s="399"/>
      <c r="C721"/>
      <c r="D721" s="368"/>
      <c r="E721"/>
      <c r="F721" s="368"/>
      <c r="G721"/>
      <c r="H721"/>
      <c r="I721"/>
      <c r="J721"/>
      <c r="K721"/>
      <c r="L721"/>
      <c r="M721"/>
      <c r="N721"/>
      <c r="O721"/>
      <c r="P721" s="368"/>
      <c r="Q721"/>
      <c r="R721"/>
      <c r="S721"/>
      <c r="T721"/>
      <c r="U721"/>
    </row>
    <row r="722" spans="1:21" x14ac:dyDescent="0.2">
      <c r="A722" s="285"/>
      <c r="B722" s="399"/>
      <c r="C722"/>
      <c r="D722" s="368"/>
      <c r="E722"/>
      <c r="F722" s="368"/>
      <c r="G722"/>
      <c r="H722"/>
      <c r="I722"/>
      <c r="J722"/>
      <c r="K722"/>
      <c r="L722"/>
      <c r="M722"/>
      <c r="N722"/>
      <c r="O722"/>
      <c r="P722" s="368"/>
      <c r="Q722"/>
      <c r="R722"/>
      <c r="S722"/>
      <c r="T722"/>
      <c r="U722"/>
    </row>
    <row r="723" spans="1:21" x14ac:dyDescent="0.2">
      <c r="A723" s="285"/>
      <c r="B723" s="399"/>
      <c r="C723"/>
      <c r="D723" s="368"/>
      <c r="E723"/>
      <c r="F723" s="368"/>
      <c r="G723"/>
      <c r="H723"/>
      <c r="I723"/>
      <c r="J723"/>
      <c r="K723"/>
      <c r="L723"/>
      <c r="M723"/>
      <c r="N723"/>
      <c r="O723"/>
      <c r="P723" s="368"/>
      <c r="Q723"/>
      <c r="R723"/>
      <c r="S723"/>
      <c r="T723"/>
      <c r="U723"/>
    </row>
    <row r="724" spans="1:21" x14ac:dyDescent="0.2">
      <c r="A724" s="285"/>
      <c r="B724" s="399"/>
      <c r="C724"/>
      <c r="D724" s="368"/>
      <c r="E724"/>
      <c r="F724" s="368"/>
      <c r="G724"/>
      <c r="H724"/>
      <c r="I724"/>
      <c r="J724"/>
      <c r="K724"/>
      <c r="L724"/>
      <c r="M724"/>
      <c r="N724"/>
      <c r="O724"/>
      <c r="P724" s="368"/>
      <c r="Q724"/>
      <c r="R724"/>
      <c r="S724"/>
      <c r="T724"/>
      <c r="U724"/>
    </row>
    <row r="725" spans="1:21" x14ac:dyDescent="0.2">
      <c r="A725" s="285"/>
      <c r="B725" s="399"/>
      <c r="C725"/>
      <c r="D725" s="368"/>
      <c r="E725"/>
      <c r="F725" s="368"/>
      <c r="G725"/>
      <c r="H725"/>
      <c r="I725"/>
      <c r="J725"/>
      <c r="K725"/>
      <c r="L725"/>
      <c r="M725"/>
      <c r="N725"/>
      <c r="O725"/>
      <c r="P725" s="368"/>
      <c r="Q725"/>
      <c r="R725"/>
      <c r="S725"/>
      <c r="T725"/>
      <c r="U725"/>
    </row>
    <row r="726" spans="1:21" x14ac:dyDescent="0.2">
      <c r="A726" s="285"/>
      <c r="B726" s="399"/>
      <c r="C726"/>
      <c r="D726" s="368"/>
      <c r="E726"/>
      <c r="F726" s="368"/>
      <c r="G726"/>
      <c r="H726"/>
      <c r="I726"/>
      <c r="J726"/>
      <c r="K726"/>
      <c r="L726"/>
      <c r="M726"/>
      <c r="N726"/>
      <c r="O726"/>
      <c r="P726" s="368"/>
      <c r="Q726"/>
      <c r="R726"/>
      <c r="S726"/>
      <c r="T726"/>
      <c r="U726"/>
    </row>
    <row r="727" spans="1:21" x14ac:dyDescent="0.2">
      <c r="A727" s="285"/>
      <c r="B727" s="399"/>
      <c r="C727"/>
      <c r="D727" s="368"/>
      <c r="E727"/>
      <c r="F727" s="368"/>
      <c r="G727"/>
      <c r="H727"/>
      <c r="I727"/>
      <c r="J727"/>
      <c r="K727"/>
      <c r="L727"/>
      <c r="M727"/>
      <c r="N727"/>
      <c r="O727"/>
      <c r="P727" s="368"/>
      <c r="Q727"/>
      <c r="R727"/>
      <c r="S727"/>
      <c r="T727"/>
      <c r="U727"/>
    </row>
    <row r="728" spans="1:21" x14ac:dyDescent="0.2">
      <c r="A728" s="285"/>
      <c r="B728" s="399"/>
      <c r="C728"/>
      <c r="D728" s="368"/>
      <c r="E728"/>
      <c r="F728" s="368"/>
      <c r="G728"/>
      <c r="H728"/>
      <c r="I728"/>
      <c r="J728"/>
      <c r="K728"/>
      <c r="L728"/>
      <c r="M728"/>
      <c r="N728"/>
      <c r="O728"/>
      <c r="P728" s="368"/>
      <c r="Q728"/>
      <c r="R728"/>
      <c r="S728"/>
      <c r="T728"/>
      <c r="U728"/>
    </row>
    <row r="729" spans="1:21" x14ac:dyDescent="0.2">
      <c r="A729" s="285"/>
      <c r="B729" s="399"/>
      <c r="C729"/>
      <c r="D729" s="368"/>
      <c r="E729"/>
      <c r="F729" s="368"/>
      <c r="G729"/>
      <c r="H729"/>
      <c r="I729"/>
      <c r="J729"/>
      <c r="K729"/>
      <c r="L729"/>
      <c r="M729"/>
      <c r="N729"/>
      <c r="O729"/>
      <c r="P729" s="368"/>
      <c r="Q729"/>
      <c r="R729"/>
      <c r="S729"/>
      <c r="T729"/>
      <c r="U729"/>
    </row>
    <row r="730" spans="1:21" x14ac:dyDescent="0.2">
      <c r="A730" s="285"/>
      <c r="B730" s="399"/>
      <c r="C730"/>
      <c r="D730" s="368"/>
      <c r="E730"/>
      <c r="F730" s="368"/>
      <c r="G730"/>
      <c r="H730"/>
      <c r="I730"/>
      <c r="J730"/>
      <c r="K730"/>
      <c r="L730"/>
      <c r="M730"/>
      <c r="N730"/>
      <c r="O730"/>
      <c r="P730" s="368"/>
      <c r="Q730"/>
      <c r="R730"/>
      <c r="S730"/>
      <c r="T730"/>
      <c r="U730"/>
    </row>
    <row r="731" spans="1:21" x14ac:dyDescent="0.2">
      <c r="A731" s="285"/>
      <c r="B731" s="399"/>
      <c r="C731"/>
      <c r="D731" s="368"/>
      <c r="E731"/>
      <c r="F731" s="368"/>
      <c r="G731"/>
      <c r="H731"/>
      <c r="I731"/>
      <c r="J731"/>
      <c r="K731"/>
      <c r="L731"/>
      <c r="M731"/>
      <c r="N731"/>
      <c r="O731"/>
      <c r="P731" s="368"/>
      <c r="Q731"/>
      <c r="R731"/>
      <c r="S731"/>
      <c r="T731"/>
      <c r="U731"/>
    </row>
    <row r="732" spans="1:21" x14ac:dyDescent="0.2">
      <c r="A732" s="285"/>
      <c r="B732" s="399"/>
      <c r="C732"/>
      <c r="D732" s="368"/>
      <c r="E732"/>
      <c r="F732" s="368"/>
      <c r="G732"/>
      <c r="H732"/>
      <c r="I732"/>
      <c r="J732"/>
      <c r="K732"/>
      <c r="L732"/>
      <c r="M732"/>
      <c r="N732"/>
      <c r="O732"/>
      <c r="P732" s="368"/>
      <c r="Q732"/>
      <c r="R732"/>
      <c r="S732"/>
      <c r="T732"/>
      <c r="U732"/>
    </row>
    <row r="733" spans="1:21" x14ac:dyDescent="0.2">
      <c r="A733" s="285"/>
      <c r="B733" s="399"/>
      <c r="C733"/>
      <c r="D733" s="368"/>
      <c r="E733"/>
      <c r="F733" s="368"/>
      <c r="G733"/>
      <c r="H733"/>
      <c r="I733"/>
      <c r="J733"/>
      <c r="K733"/>
      <c r="L733"/>
      <c r="M733"/>
      <c r="N733"/>
      <c r="O733"/>
      <c r="P733" s="368"/>
      <c r="Q733"/>
      <c r="R733"/>
      <c r="S733"/>
      <c r="T733"/>
      <c r="U733"/>
    </row>
    <row r="734" spans="1:21" x14ac:dyDescent="0.2">
      <c r="A734" s="285"/>
      <c r="B734" s="399"/>
      <c r="C734"/>
      <c r="D734" s="368"/>
      <c r="E734"/>
      <c r="F734" s="368"/>
      <c r="G734"/>
      <c r="H734"/>
      <c r="I734"/>
      <c r="J734"/>
      <c r="K734"/>
      <c r="L734"/>
      <c r="M734"/>
      <c r="N734"/>
      <c r="O734"/>
      <c r="P734" s="368"/>
      <c r="Q734"/>
      <c r="R734"/>
      <c r="S734"/>
      <c r="T734"/>
      <c r="U734"/>
    </row>
    <row r="735" spans="1:21" x14ac:dyDescent="0.2">
      <c r="A735" s="285"/>
      <c r="B735" s="399"/>
      <c r="C735"/>
      <c r="D735" s="368"/>
      <c r="E735"/>
      <c r="F735" s="368"/>
      <c r="G735"/>
      <c r="H735"/>
      <c r="I735"/>
      <c r="J735"/>
      <c r="K735"/>
      <c r="L735"/>
      <c r="M735"/>
      <c r="N735"/>
      <c r="O735"/>
      <c r="P735" s="368"/>
      <c r="Q735"/>
      <c r="R735"/>
      <c r="S735"/>
      <c r="T735"/>
      <c r="U735"/>
    </row>
    <row r="736" spans="1:21" x14ac:dyDescent="0.2">
      <c r="A736" s="285"/>
      <c r="B736" s="399"/>
      <c r="C736"/>
      <c r="D736" s="368"/>
      <c r="E736"/>
      <c r="F736" s="368"/>
      <c r="G736"/>
      <c r="H736"/>
      <c r="I736"/>
      <c r="J736"/>
      <c r="K736"/>
      <c r="L736"/>
      <c r="M736"/>
      <c r="N736"/>
      <c r="O736"/>
      <c r="P736" s="368"/>
      <c r="Q736"/>
      <c r="R736"/>
      <c r="S736"/>
      <c r="T736"/>
      <c r="U736"/>
    </row>
    <row r="737" spans="1:21" x14ac:dyDescent="0.2">
      <c r="A737" s="285"/>
      <c r="B737" s="399"/>
      <c r="C737"/>
      <c r="D737" s="368"/>
      <c r="E737"/>
      <c r="F737" s="368"/>
      <c r="G737"/>
      <c r="H737"/>
      <c r="I737"/>
      <c r="J737"/>
      <c r="K737"/>
      <c r="L737"/>
      <c r="M737"/>
      <c r="N737"/>
      <c r="O737"/>
      <c r="P737" s="368"/>
      <c r="Q737"/>
      <c r="R737"/>
      <c r="S737"/>
      <c r="T737"/>
      <c r="U737"/>
    </row>
    <row r="738" spans="1:21" x14ac:dyDescent="0.2">
      <c r="A738" s="285"/>
      <c r="B738" s="399"/>
      <c r="C738"/>
      <c r="D738" s="368"/>
      <c r="E738"/>
      <c r="F738" s="368"/>
      <c r="G738"/>
      <c r="H738"/>
      <c r="I738"/>
      <c r="J738"/>
      <c r="K738"/>
      <c r="L738"/>
      <c r="M738"/>
      <c r="N738"/>
      <c r="O738"/>
      <c r="P738" s="368"/>
      <c r="Q738"/>
      <c r="R738"/>
      <c r="S738"/>
      <c r="T738"/>
      <c r="U738"/>
    </row>
    <row r="739" spans="1:21" x14ac:dyDescent="0.2">
      <c r="A739" s="285"/>
      <c r="B739" s="399"/>
      <c r="C739"/>
      <c r="D739" s="368"/>
      <c r="E739"/>
      <c r="F739" s="368"/>
      <c r="G739"/>
      <c r="H739"/>
      <c r="I739"/>
      <c r="J739"/>
      <c r="K739"/>
      <c r="L739"/>
      <c r="M739"/>
      <c r="N739"/>
      <c r="O739"/>
      <c r="P739" s="368"/>
      <c r="Q739"/>
      <c r="R739"/>
      <c r="S739"/>
      <c r="T739"/>
      <c r="U739"/>
    </row>
    <row r="740" spans="1:21" x14ac:dyDescent="0.2">
      <c r="A740" s="285"/>
      <c r="B740" s="399"/>
      <c r="C740"/>
      <c r="D740" s="368"/>
      <c r="E740"/>
      <c r="F740" s="368"/>
      <c r="G740"/>
      <c r="H740"/>
      <c r="I740"/>
      <c r="J740"/>
      <c r="K740"/>
      <c r="L740"/>
      <c r="M740"/>
      <c r="N740"/>
      <c r="O740"/>
      <c r="P740" s="368"/>
      <c r="Q740"/>
      <c r="R740"/>
      <c r="S740"/>
      <c r="T740"/>
      <c r="U740"/>
    </row>
    <row r="741" spans="1:21" x14ac:dyDescent="0.2">
      <c r="A741" s="285"/>
      <c r="B741" s="399"/>
      <c r="C741"/>
      <c r="D741" s="368"/>
      <c r="E741"/>
      <c r="F741" s="368"/>
      <c r="G741"/>
      <c r="H741"/>
      <c r="I741"/>
      <c r="J741"/>
      <c r="K741"/>
      <c r="L741"/>
      <c r="M741"/>
      <c r="N741"/>
      <c r="O741"/>
      <c r="P741" s="368"/>
      <c r="Q741"/>
      <c r="R741"/>
      <c r="S741"/>
      <c r="T741"/>
      <c r="U741"/>
    </row>
    <row r="742" spans="1:21" x14ac:dyDescent="0.2">
      <c r="A742" s="285"/>
      <c r="B742" s="399"/>
      <c r="C742"/>
      <c r="D742" s="368"/>
      <c r="E742"/>
      <c r="F742" s="368"/>
      <c r="G742"/>
      <c r="H742"/>
      <c r="I742"/>
      <c r="J742"/>
      <c r="K742"/>
      <c r="L742"/>
      <c r="M742"/>
      <c r="N742"/>
      <c r="O742"/>
      <c r="P742" s="368"/>
      <c r="Q742"/>
      <c r="R742"/>
      <c r="S742"/>
      <c r="T742"/>
      <c r="U742"/>
    </row>
    <row r="743" spans="1:21" x14ac:dyDescent="0.2">
      <c r="A743" s="285"/>
      <c r="B743" s="399"/>
      <c r="C743"/>
      <c r="D743" s="368"/>
      <c r="E743"/>
      <c r="F743" s="368"/>
      <c r="G743"/>
      <c r="H743"/>
      <c r="I743"/>
      <c r="J743"/>
      <c r="K743"/>
      <c r="L743"/>
      <c r="M743"/>
      <c r="N743"/>
      <c r="O743"/>
      <c r="P743" s="368"/>
      <c r="Q743"/>
      <c r="R743"/>
      <c r="S743"/>
      <c r="T743"/>
      <c r="U743"/>
    </row>
    <row r="744" spans="1:21" x14ac:dyDescent="0.2">
      <c r="A744" s="285"/>
      <c r="B744" s="399"/>
      <c r="C744"/>
      <c r="D744" s="368"/>
      <c r="E744"/>
      <c r="F744" s="368"/>
      <c r="G744"/>
      <c r="H744"/>
      <c r="I744"/>
      <c r="J744"/>
      <c r="K744"/>
      <c r="L744"/>
      <c r="M744"/>
      <c r="N744"/>
      <c r="O744"/>
      <c r="P744" s="368"/>
      <c r="Q744"/>
      <c r="R744"/>
      <c r="S744"/>
      <c r="T744"/>
      <c r="U744"/>
    </row>
    <row r="745" spans="1:21" x14ac:dyDescent="0.2">
      <c r="A745" s="285"/>
      <c r="B745" s="399"/>
      <c r="C745"/>
      <c r="D745" s="368"/>
      <c r="E745"/>
      <c r="F745" s="368"/>
      <c r="G745"/>
      <c r="H745"/>
      <c r="I745"/>
      <c r="J745"/>
      <c r="K745"/>
      <c r="L745"/>
      <c r="M745"/>
      <c r="N745"/>
      <c r="O745"/>
      <c r="P745" s="368"/>
      <c r="Q745"/>
      <c r="R745"/>
      <c r="S745"/>
      <c r="T745"/>
      <c r="U745"/>
    </row>
    <row r="746" spans="1:21" x14ac:dyDescent="0.2">
      <c r="A746" s="285"/>
      <c r="B746" s="399"/>
      <c r="C746"/>
      <c r="D746" s="368"/>
      <c r="E746"/>
      <c r="F746" s="368"/>
      <c r="G746"/>
      <c r="H746"/>
      <c r="I746"/>
      <c r="J746"/>
      <c r="K746"/>
      <c r="L746"/>
      <c r="M746"/>
      <c r="N746"/>
      <c r="O746"/>
      <c r="P746" s="368"/>
      <c r="Q746"/>
      <c r="R746"/>
      <c r="S746"/>
      <c r="T746"/>
      <c r="U746"/>
    </row>
    <row r="747" spans="1:21" x14ac:dyDescent="0.2">
      <c r="A747" s="285"/>
      <c r="B747" s="399"/>
      <c r="C747"/>
      <c r="D747" s="368"/>
      <c r="E747"/>
      <c r="F747" s="368"/>
      <c r="G747"/>
      <c r="H747"/>
      <c r="I747"/>
      <c r="J747"/>
      <c r="K747"/>
      <c r="L747"/>
      <c r="M747"/>
      <c r="N747"/>
      <c r="O747"/>
      <c r="P747" s="368"/>
      <c r="Q747"/>
      <c r="R747"/>
      <c r="S747"/>
      <c r="T747"/>
      <c r="U747"/>
    </row>
    <row r="748" spans="1:21" x14ac:dyDescent="0.2">
      <c r="A748" s="285"/>
      <c r="B748" s="399"/>
      <c r="C748"/>
      <c r="D748" s="368"/>
      <c r="E748"/>
      <c r="F748" s="368"/>
      <c r="G748"/>
      <c r="H748"/>
      <c r="I748"/>
      <c r="J748"/>
      <c r="K748"/>
      <c r="L748"/>
      <c r="M748"/>
      <c r="N748"/>
      <c r="O748"/>
      <c r="P748" s="368"/>
      <c r="Q748"/>
      <c r="R748"/>
      <c r="S748"/>
      <c r="T748"/>
      <c r="U748"/>
    </row>
    <row r="749" spans="1:21" x14ac:dyDescent="0.2">
      <c r="A749" s="285"/>
      <c r="B749" s="399"/>
      <c r="C749"/>
      <c r="D749" s="368"/>
      <c r="E749"/>
      <c r="F749" s="368"/>
      <c r="G749"/>
      <c r="H749"/>
      <c r="I749"/>
      <c r="J749"/>
      <c r="K749"/>
      <c r="L749"/>
      <c r="M749"/>
      <c r="N749"/>
      <c r="O749"/>
      <c r="P749" s="368"/>
      <c r="Q749"/>
      <c r="R749"/>
      <c r="S749"/>
      <c r="T749"/>
      <c r="U749"/>
    </row>
    <row r="750" spans="1:21" x14ac:dyDescent="0.2">
      <c r="A750" s="285"/>
      <c r="B750" s="399"/>
      <c r="C750"/>
      <c r="D750" s="368"/>
      <c r="E750"/>
      <c r="F750" s="368"/>
      <c r="G750"/>
      <c r="H750"/>
      <c r="I750"/>
      <c r="J750"/>
      <c r="K750"/>
      <c r="L750"/>
      <c r="M750"/>
      <c r="N750"/>
      <c r="O750"/>
      <c r="P750" s="368"/>
      <c r="Q750"/>
      <c r="R750"/>
      <c r="S750"/>
      <c r="T750"/>
      <c r="U750"/>
    </row>
    <row r="751" spans="1:21" x14ac:dyDescent="0.2">
      <c r="A751" s="285"/>
      <c r="B751" s="399"/>
      <c r="C751"/>
      <c r="D751" s="368"/>
      <c r="E751"/>
      <c r="F751" s="368"/>
      <c r="G751"/>
      <c r="H751"/>
      <c r="I751"/>
      <c r="J751"/>
      <c r="K751"/>
      <c r="L751"/>
      <c r="M751"/>
      <c r="N751"/>
      <c r="O751"/>
      <c r="P751" s="368"/>
      <c r="Q751"/>
      <c r="R751"/>
      <c r="S751"/>
      <c r="T751"/>
      <c r="U751"/>
    </row>
    <row r="752" spans="1:21" x14ac:dyDescent="0.2">
      <c r="A752" s="285"/>
      <c r="B752" s="399"/>
      <c r="C752"/>
      <c r="D752" s="368"/>
      <c r="E752"/>
      <c r="F752" s="368"/>
      <c r="G752"/>
      <c r="H752"/>
      <c r="I752"/>
      <c r="J752"/>
      <c r="K752"/>
      <c r="L752"/>
      <c r="M752"/>
      <c r="N752"/>
      <c r="O752"/>
      <c r="P752" s="368"/>
      <c r="Q752"/>
      <c r="R752"/>
      <c r="S752"/>
      <c r="T752"/>
      <c r="U752"/>
    </row>
    <row r="753" spans="1:21" x14ac:dyDescent="0.2">
      <c r="A753" s="285"/>
      <c r="B753" s="399"/>
      <c r="C753"/>
      <c r="D753" s="368"/>
      <c r="E753"/>
      <c r="F753" s="368"/>
      <c r="G753"/>
      <c r="H753"/>
      <c r="I753"/>
      <c r="J753"/>
      <c r="K753"/>
      <c r="L753"/>
      <c r="M753"/>
      <c r="N753"/>
      <c r="O753"/>
      <c r="P753" s="368"/>
      <c r="Q753"/>
      <c r="R753"/>
      <c r="S753"/>
      <c r="T753"/>
      <c r="U753"/>
    </row>
    <row r="754" spans="1:21" x14ac:dyDescent="0.2">
      <c r="A754" s="285"/>
      <c r="B754" s="399"/>
      <c r="C754"/>
      <c r="D754" s="368"/>
      <c r="E754"/>
      <c r="F754" s="368"/>
      <c r="G754"/>
      <c r="H754"/>
      <c r="I754"/>
      <c r="J754"/>
      <c r="K754"/>
      <c r="L754"/>
      <c r="M754"/>
      <c r="N754"/>
      <c r="O754"/>
      <c r="P754" s="368"/>
      <c r="Q754"/>
      <c r="R754"/>
      <c r="S754"/>
      <c r="T754"/>
      <c r="U754"/>
    </row>
    <row r="755" spans="1:21" x14ac:dyDescent="0.2">
      <c r="A755" s="285"/>
      <c r="B755" s="399"/>
      <c r="C755"/>
      <c r="D755" s="368"/>
      <c r="E755"/>
      <c r="F755" s="368"/>
      <c r="G755"/>
      <c r="H755"/>
      <c r="I755"/>
      <c r="J755"/>
      <c r="K755"/>
      <c r="L755"/>
      <c r="M755"/>
      <c r="N755"/>
      <c r="O755"/>
      <c r="P755" s="368"/>
      <c r="Q755"/>
      <c r="R755"/>
      <c r="S755"/>
      <c r="T755"/>
      <c r="U755"/>
    </row>
    <row r="756" spans="1:21" x14ac:dyDescent="0.2">
      <c r="A756" s="285"/>
      <c r="B756" s="399"/>
      <c r="C756"/>
      <c r="D756" s="368"/>
      <c r="E756"/>
      <c r="F756" s="368"/>
      <c r="G756"/>
      <c r="H756"/>
      <c r="I756"/>
      <c r="J756"/>
      <c r="K756"/>
      <c r="L756"/>
      <c r="M756"/>
      <c r="N756"/>
      <c r="O756"/>
      <c r="P756" s="368"/>
      <c r="Q756"/>
      <c r="R756"/>
      <c r="S756"/>
      <c r="T756"/>
      <c r="U756"/>
    </row>
    <row r="757" spans="1:21" x14ac:dyDescent="0.2">
      <c r="A757" s="285"/>
      <c r="B757" s="399"/>
      <c r="C757"/>
      <c r="D757" s="368"/>
      <c r="E757"/>
      <c r="F757" s="368"/>
      <c r="G757"/>
      <c r="H757"/>
      <c r="I757"/>
      <c r="J757"/>
      <c r="K757"/>
      <c r="L757"/>
      <c r="M757"/>
      <c r="N757"/>
      <c r="O757"/>
      <c r="P757" s="368"/>
      <c r="Q757"/>
      <c r="R757"/>
      <c r="S757"/>
      <c r="T757"/>
      <c r="U757"/>
    </row>
    <row r="758" spans="1:21" x14ac:dyDescent="0.2">
      <c r="A758" s="285"/>
      <c r="B758" s="399"/>
      <c r="C758"/>
      <c r="D758" s="368"/>
      <c r="E758"/>
      <c r="F758" s="368"/>
      <c r="G758"/>
      <c r="H758"/>
      <c r="I758"/>
      <c r="J758"/>
      <c r="K758"/>
      <c r="L758"/>
      <c r="M758"/>
      <c r="N758"/>
      <c r="O758"/>
      <c r="P758" s="368"/>
      <c r="Q758"/>
      <c r="R758"/>
      <c r="S758"/>
      <c r="T758"/>
      <c r="U758"/>
    </row>
    <row r="759" spans="1:21" x14ac:dyDescent="0.2">
      <c r="A759" s="285"/>
      <c r="B759" s="399"/>
      <c r="C759"/>
      <c r="D759" s="368"/>
      <c r="E759"/>
      <c r="F759" s="368"/>
      <c r="G759"/>
      <c r="H759"/>
      <c r="I759"/>
      <c r="J759"/>
      <c r="K759"/>
      <c r="L759"/>
      <c r="M759"/>
      <c r="N759"/>
      <c r="O759"/>
      <c r="P759" s="368"/>
      <c r="Q759"/>
      <c r="R759"/>
      <c r="S759"/>
      <c r="T759"/>
      <c r="U759"/>
    </row>
    <row r="760" spans="1:21" x14ac:dyDescent="0.2">
      <c r="A760" s="285"/>
      <c r="B760" s="399"/>
      <c r="C760"/>
      <c r="D760" s="368"/>
      <c r="E760"/>
      <c r="F760" s="368"/>
      <c r="G760"/>
      <c r="H760"/>
      <c r="I760"/>
      <c r="J760"/>
      <c r="K760"/>
      <c r="L760"/>
      <c r="M760"/>
      <c r="N760"/>
      <c r="O760"/>
      <c r="P760" s="368"/>
      <c r="Q760"/>
      <c r="R760"/>
      <c r="S760"/>
      <c r="T760"/>
      <c r="U760"/>
    </row>
    <row r="761" spans="1:21" x14ac:dyDescent="0.2">
      <c r="A761" s="285"/>
      <c r="B761" s="399"/>
      <c r="C761"/>
      <c r="D761" s="368"/>
      <c r="E761"/>
      <c r="F761" s="368"/>
      <c r="G761"/>
      <c r="H761"/>
      <c r="I761"/>
      <c r="J761"/>
      <c r="K761"/>
      <c r="L761"/>
      <c r="M761"/>
      <c r="N761"/>
      <c r="O761"/>
      <c r="P761" s="368"/>
      <c r="Q761"/>
      <c r="R761"/>
      <c r="S761"/>
      <c r="T761"/>
      <c r="U761"/>
    </row>
    <row r="762" spans="1:21" x14ac:dyDescent="0.2">
      <c r="A762" s="285"/>
      <c r="B762" s="399"/>
      <c r="C762"/>
      <c r="D762" s="368"/>
      <c r="E762"/>
      <c r="F762" s="368"/>
      <c r="G762"/>
      <c r="H762"/>
      <c r="I762"/>
      <c r="J762"/>
      <c r="K762"/>
      <c r="L762"/>
      <c r="M762"/>
      <c r="N762"/>
      <c r="O762"/>
      <c r="P762" s="368"/>
      <c r="Q762"/>
      <c r="R762"/>
      <c r="S762"/>
      <c r="T762"/>
      <c r="U762"/>
    </row>
    <row r="763" spans="1:21" x14ac:dyDescent="0.2">
      <c r="A763" s="285"/>
      <c r="B763" s="399"/>
      <c r="C763"/>
      <c r="D763" s="368"/>
      <c r="E763"/>
      <c r="F763" s="368"/>
      <c r="G763"/>
      <c r="H763"/>
      <c r="I763"/>
      <c r="J763"/>
      <c r="K763"/>
      <c r="L763"/>
      <c r="M763"/>
      <c r="N763"/>
      <c r="O763"/>
      <c r="P763" s="368"/>
      <c r="Q763"/>
      <c r="R763"/>
      <c r="S763"/>
      <c r="T763"/>
      <c r="U763"/>
    </row>
    <row r="764" spans="1:21" x14ac:dyDescent="0.2">
      <c r="A764" s="285"/>
      <c r="B764" s="399"/>
      <c r="C764"/>
      <c r="D764" s="368"/>
      <c r="E764"/>
      <c r="F764" s="368"/>
      <c r="G764"/>
      <c r="H764"/>
      <c r="I764"/>
      <c r="J764"/>
      <c r="K764"/>
      <c r="L764"/>
      <c r="M764"/>
      <c r="N764"/>
      <c r="O764"/>
      <c r="P764" s="368"/>
      <c r="Q764"/>
      <c r="R764"/>
      <c r="S764"/>
      <c r="T764"/>
      <c r="U764"/>
    </row>
    <row r="765" spans="1:21" x14ac:dyDescent="0.2">
      <c r="A765" s="285"/>
      <c r="B765" s="399"/>
      <c r="C765"/>
      <c r="D765" s="368"/>
      <c r="E765"/>
      <c r="F765" s="368"/>
      <c r="G765"/>
      <c r="H765"/>
      <c r="I765"/>
      <c r="J765"/>
      <c r="K765"/>
      <c r="L765"/>
      <c r="M765"/>
      <c r="N765"/>
      <c r="O765"/>
      <c r="P765" s="368"/>
      <c r="Q765"/>
      <c r="R765"/>
      <c r="S765"/>
      <c r="T765"/>
      <c r="U765"/>
    </row>
    <row r="766" spans="1:21" x14ac:dyDescent="0.2">
      <c r="A766" s="285"/>
      <c r="B766" s="399"/>
      <c r="C766"/>
      <c r="D766" s="368"/>
      <c r="E766"/>
      <c r="F766" s="368"/>
      <c r="G766"/>
      <c r="H766"/>
      <c r="I766"/>
      <c r="J766"/>
      <c r="K766"/>
      <c r="L766"/>
      <c r="M766"/>
      <c r="N766"/>
      <c r="O766"/>
      <c r="P766" s="368"/>
      <c r="Q766"/>
      <c r="R766"/>
      <c r="S766"/>
      <c r="T766"/>
      <c r="U766"/>
    </row>
    <row r="767" spans="1:21" x14ac:dyDescent="0.2">
      <c r="A767" s="285"/>
      <c r="B767" s="399"/>
      <c r="C767"/>
      <c r="D767" s="368"/>
      <c r="E767"/>
      <c r="F767" s="368"/>
      <c r="G767"/>
      <c r="H767"/>
      <c r="I767"/>
      <c r="J767"/>
      <c r="K767"/>
      <c r="L767"/>
      <c r="M767"/>
      <c r="N767"/>
      <c r="O767"/>
      <c r="P767" s="368"/>
      <c r="Q767"/>
      <c r="R767"/>
      <c r="S767"/>
      <c r="T767"/>
      <c r="U767"/>
    </row>
    <row r="768" spans="1:21" x14ac:dyDescent="0.2">
      <c r="A768" s="285"/>
      <c r="B768" s="399"/>
      <c r="C768"/>
      <c r="D768" s="368"/>
      <c r="E768"/>
      <c r="F768" s="368"/>
      <c r="G768"/>
      <c r="H768"/>
      <c r="I768"/>
      <c r="J768"/>
      <c r="K768"/>
      <c r="L768"/>
      <c r="M768"/>
      <c r="N768"/>
      <c r="O768"/>
      <c r="P768" s="368"/>
      <c r="Q768"/>
      <c r="R768"/>
      <c r="S768"/>
      <c r="T768"/>
      <c r="U768"/>
    </row>
    <row r="769" spans="1:21" x14ac:dyDescent="0.2">
      <c r="A769" s="285"/>
      <c r="B769" s="399"/>
      <c r="C769"/>
      <c r="D769" s="368"/>
      <c r="E769"/>
      <c r="F769" s="368"/>
      <c r="G769"/>
      <c r="H769"/>
      <c r="I769"/>
      <c r="J769"/>
      <c r="K769"/>
      <c r="L769"/>
      <c r="M769"/>
      <c r="N769"/>
      <c r="O769"/>
      <c r="P769" s="368"/>
      <c r="Q769"/>
      <c r="R769"/>
      <c r="S769"/>
      <c r="T769"/>
      <c r="U769"/>
    </row>
    <row r="770" spans="1:21" x14ac:dyDescent="0.2">
      <c r="A770" s="285"/>
      <c r="B770" s="399"/>
      <c r="C770"/>
      <c r="D770" s="368"/>
      <c r="E770"/>
      <c r="F770" s="368"/>
      <c r="G770"/>
      <c r="H770"/>
      <c r="I770"/>
      <c r="J770"/>
      <c r="K770"/>
      <c r="L770"/>
      <c r="M770"/>
      <c r="N770"/>
      <c r="O770"/>
      <c r="P770" s="368"/>
      <c r="Q770"/>
      <c r="R770"/>
      <c r="S770"/>
      <c r="T770"/>
      <c r="U770"/>
    </row>
    <row r="771" spans="1:21" x14ac:dyDescent="0.2">
      <c r="A771" s="285"/>
      <c r="B771" s="399"/>
      <c r="C771"/>
      <c r="D771" s="368"/>
      <c r="E771"/>
      <c r="F771" s="368"/>
      <c r="G771"/>
      <c r="H771"/>
      <c r="I771"/>
      <c r="J771"/>
      <c r="K771"/>
      <c r="L771"/>
      <c r="M771"/>
      <c r="N771"/>
      <c r="O771"/>
      <c r="P771" s="368"/>
      <c r="Q771"/>
      <c r="R771"/>
      <c r="S771"/>
      <c r="T771"/>
      <c r="U771"/>
    </row>
    <row r="772" spans="1:21" x14ac:dyDescent="0.2">
      <c r="A772" s="285"/>
      <c r="B772" s="399"/>
      <c r="C772"/>
      <c r="D772" s="368"/>
      <c r="E772"/>
      <c r="F772" s="368"/>
      <c r="G772"/>
      <c r="H772"/>
      <c r="I772"/>
      <c r="J772"/>
      <c r="K772"/>
      <c r="L772"/>
      <c r="M772"/>
      <c r="N772"/>
      <c r="O772"/>
      <c r="P772" s="368"/>
      <c r="Q772"/>
      <c r="R772"/>
      <c r="S772"/>
      <c r="T772"/>
      <c r="U772"/>
    </row>
    <row r="773" spans="1:21" x14ac:dyDescent="0.2">
      <c r="A773" s="285"/>
      <c r="B773" s="399"/>
      <c r="C773"/>
      <c r="D773" s="368"/>
      <c r="E773"/>
      <c r="F773" s="368"/>
      <c r="G773"/>
      <c r="H773"/>
      <c r="I773"/>
      <c r="J773"/>
      <c r="K773"/>
      <c r="L773"/>
      <c r="M773"/>
      <c r="N773"/>
      <c r="O773"/>
      <c r="P773" s="368"/>
      <c r="Q773"/>
      <c r="R773"/>
      <c r="S773"/>
      <c r="T773"/>
      <c r="U773"/>
    </row>
    <row r="774" spans="1:21" x14ac:dyDescent="0.2">
      <c r="A774" s="285"/>
      <c r="B774" s="399"/>
      <c r="C774"/>
      <c r="D774" s="368"/>
      <c r="E774"/>
      <c r="F774" s="368"/>
      <c r="G774"/>
      <c r="H774"/>
      <c r="I774"/>
      <c r="J774"/>
      <c r="K774"/>
      <c r="L774"/>
      <c r="M774"/>
      <c r="N774"/>
      <c r="O774"/>
      <c r="P774" s="368"/>
      <c r="Q774"/>
      <c r="R774"/>
      <c r="S774"/>
      <c r="T774"/>
      <c r="U774"/>
    </row>
    <row r="775" spans="1:21" x14ac:dyDescent="0.2">
      <c r="A775" s="285"/>
      <c r="B775" s="399"/>
      <c r="C775"/>
      <c r="D775" s="368"/>
      <c r="E775"/>
      <c r="F775" s="368"/>
      <c r="G775"/>
      <c r="H775"/>
      <c r="I775"/>
      <c r="J775"/>
      <c r="K775"/>
      <c r="L775"/>
      <c r="M775"/>
      <c r="N775"/>
      <c r="O775"/>
      <c r="P775" s="368"/>
      <c r="Q775"/>
      <c r="R775"/>
      <c r="S775"/>
      <c r="T775"/>
      <c r="U775"/>
    </row>
    <row r="776" spans="1:21" x14ac:dyDescent="0.2">
      <c r="A776" s="285"/>
      <c r="B776" s="399"/>
      <c r="C776"/>
      <c r="D776" s="368"/>
      <c r="E776"/>
      <c r="F776" s="368"/>
      <c r="G776"/>
      <c r="H776"/>
      <c r="I776"/>
      <c r="J776"/>
      <c r="K776"/>
      <c r="L776"/>
      <c r="M776"/>
      <c r="N776"/>
      <c r="O776"/>
      <c r="P776" s="368"/>
      <c r="Q776"/>
      <c r="R776"/>
      <c r="S776"/>
      <c r="T776"/>
      <c r="U776"/>
    </row>
    <row r="777" spans="1:21" x14ac:dyDescent="0.2">
      <c r="A777" s="285"/>
      <c r="B777" s="399"/>
      <c r="C777"/>
      <c r="D777" s="368"/>
      <c r="E777"/>
      <c r="F777" s="368"/>
      <c r="G777"/>
      <c r="H777"/>
      <c r="I777"/>
      <c r="J777"/>
      <c r="K777"/>
      <c r="L777"/>
      <c r="M777"/>
      <c r="N777"/>
      <c r="O777"/>
      <c r="P777" s="368"/>
      <c r="Q777"/>
      <c r="R777"/>
      <c r="S777"/>
      <c r="T777"/>
      <c r="U777"/>
    </row>
    <row r="778" spans="1:21" x14ac:dyDescent="0.2">
      <c r="A778" s="285"/>
      <c r="B778" s="399"/>
      <c r="C778"/>
      <c r="D778" s="368"/>
      <c r="E778"/>
      <c r="F778" s="368"/>
      <c r="G778"/>
      <c r="H778"/>
      <c r="I778"/>
      <c r="J778"/>
      <c r="K778"/>
      <c r="L778"/>
      <c r="M778"/>
      <c r="N778"/>
      <c r="O778"/>
      <c r="P778" s="368"/>
      <c r="Q778"/>
      <c r="R778"/>
      <c r="S778"/>
      <c r="T778"/>
      <c r="U778"/>
    </row>
    <row r="779" spans="1:21" x14ac:dyDescent="0.2">
      <c r="A779" s="285"/>
      <c r="B779" s="399"/>
      <c r="C779"/>
      <c r="D779" s="368"/>
      <c r="E779"/>
      <c r="F779" s="368"/>
      <c r="G779"/>
      <c r="H779"/>
      <c r="I779"/>
      <c r="J779"/>
      <c r="K779"/>
      <c r="L779"/>
      <c r="M779"/>
      <c r="N779"/>
      <c r="O779"/>
      <c r="P779" s="368"/>
      <c r="Q779"/>
      <c r="R779"/>
      <c r="S779"/>
      <c r="T779"/>
      <c r="U779"/>
    </row>
    <row r="780" spans="1:21" x14ac:dyDescent="0.2">
      <c r="A780" s="285"/>
      <c r="B780" s="399"/>
      <c r="C780"/>
      <c r="D780" s="368"/>
      <c r="E780"/>
      <c r="F780" s="368"/>
      <c r="G780"/>
      <c r="H780"/>
      <c r="I780"/>
      <c r="J780"/>
      <c r="K780"/>
      <c r="L780"/>
      <c r="M780"/>
      <c r="N780"/>
      <c r="O780"/>
      <c r="P780" s="368"/>
      <c r="Q780"/>
      <c r="R780"/>
      <c r="S780"/>
      <c r="T780"/>
      <c r="U780"/>
    </row>
    <row r="781" spans="1:21" x14ac:dyDescent="0.2">
      <c r="A781" s="285"/>
      <c r="B781" s="399"/>
      <c r="C781"/>
      <c r="D781" s="368"/>
      <c r="E781"/>
      <c r="F781" s="368"/>
      <c r="G781"/>
      <c r="H781"/>
      <c r="I781"/>
      <c r="J781"/>
      <c r="K781"/>
      <c r="L781"/>
      <c r="M781"/>
      <c r="N781"/>
      <c r="O781"/>
      <c r="P781" s="368"/>
      <c r="Q781"/>
      <c r="R781"/>
      <c r="S781"/>
      <c r="T781"/>
      <c r="U781"/>
    </row>
    <row r="782" spans="1:21" x14ac:dyDescent="0.2">
      <c r="A782" s="285"/>
      <c r="B782" s="399"/>
      <c r="C782"/>
      <c r="D782" s="368"/>
      <c r="E782"/>
      <c r="F782" s="368"/>
      <c r="G782"/>
      <c r="H782"/>
      <c r="I782"/>
      <c r="J782"/>
      <c r="K782"/>
      <c r="L782"/>
      <c r="M782"/>
      <c r="N782"/>
      <c r="O782"/>
      <c r="P782" s="368"/>
      <c r="Q782"/>
      <c r="R782"/>
      <c r="S782"/>
      <c r="T782"/>
      <c r="U782"/>
    </row>
    <row r="783" spans="1:21" x14ac:dyDescent="0.2">
      <c r="A783" s="285"/>
      <c r="B783" s="399"/>
      <c r="C783"/>
      <c r="D783" s="368"/>
      <c r="E783"/>
      <c r="F783" s="368"/>
      <c r="G783"/>
      <c r="H783"/>
      <c r="I783"/>
      <c r="J783"/>
      <c r="K783"/>
      <c r="L783"/>
      <c r="M783"/>
      <c r="N783"/>
      <c r="O783"/>
      <c r="P783" s="368"/>
      <c r="Q783"/>
      <c r="R783"/>
      <c r="S783"/>
      <c r="T783"/>
      <c r="U783"/>
    </row>
    <row r="784" spans="1:21" x14ac:dyDescent="0.2">
      <c r="A784" s="285"/>
      <c r="B784" s="399"/>
      <c r="C784"/>
      <c r="D784" s="368"/>
      <c r="E784"/>
      <c r="F784" s="368"/>
      <c r="G784"/>
      <c r="H784"/>
      <c r="I784"/>
      <c r="J784"/>
      <c r="K784"/>
      <c r="L784"/>
      <c r="M784"/>
      <c r="N784"/>
      <c r="O784"/>
      <c r="P784" s="368"/>
      <c r="Q784"/>
      <c r="R784"/>
      <c r="S784"/>
      <c r="T784"/>
      <c r="U784"/>
    </row>
    <row r="785" spans="1:21" x14ac:dyDescent="0.2">
      <c r="A785" s="285"/>
      <c r="B785" s="399"/>
      <c r="C785"/>
      <c r="D785" s="368"/>
      <c r="E785"/>
      <c r="F785" s="368"/>
      <c r="G785"/>
      <c r="H785"/>
      <c r="I785"/>
      <c r="J785"/>
      <c r="K785"/>
      <c r="L785"/>
      <c r="M785"/>
      <c r="N785"/>
      <c r="O785"/>
      <c r="P785" s="368"/>
      <c r="Q785"/>
      <c r="R785"/>
      <c r="S785"/>
      <c r="T785"/>
      <c r="U785"/>
    </row>
    <row r="786" spans="1:21" x14ac:dyDescent="0.2">
      <c r="A786" s="285"/>
      <c r="B786" s="399"/>
      <c r="C786"/>
      <c r="D786" s="368"/>
      <c r="E786"/>
      <c r="F786" s="368"/>
      <c r="G786"/>
      <c r="H786"/>
      <c r="I786"/>
      <c r="J786"/>
      <c r="K786"/>
      <c r="L786"/>
      <c r="M786"/>
      <c r="N786"/>
      <c r="O786"/>
      <c r="P786" s="368"/>
      <c r="Q786"/>
      <c r="R786"/>
      <c r="S786"/>
      <c r="T786"/>
      <c r="U786"/>
    </row>
    <row r="787" spans="1:21" x14ac:dyDescent="0.2">
      <c r="A787" s="285"/>
      <c r="B787" s="399"/>
      <c r="C787"/>
      <c r="D787" s="368"/>
      <c r="E787"/>
      <c r="F787" s="368"/>
      <c r="G787"/>
      <c r="H787"/>
      <c r="I787"/>
      <c r="J787"/>
      <c r="K787"/>
      <c r="L787"/>
      <c r="M787"/>
      <c r="N787"/>
      <c r="O787"/>
      <c r="P787" s="368"/>
      <c r="Q787"/>
      <c r="R787"/>
      <c r="S787"/>
      <c r="T787"/>
      <c r="U787"/>
    </row>
    <row r="788" spans="1:21" x14ac:dyDescent="0.2">
      <c r="A788" s="285"/>
      <c r="B788" s="399"/>
      <c r="C788"/>
      <c r="D788" s="368"/>
      <c r="E788"/>
      <c r="F788" s="368"/>
      <c r="G788"/>
      <c r="H788"/>
      <c r="I788"/>
      <c r="J788"/>
      <c r="K788"/>
      <c r="L788"/>
      <c r="M788"/>
      <c r="N788"/>
      <c r="O788"/>
      <c r="P788" s="368"/>
      <c r="Q788"/>
      <c r="R788"/>
      <c r="S788"/>
      <c r="T788"/>
      <c r="U788"/>
    </row>
    <row r="789" spans="1:21" x14ac:dyDescent="0.2">
      <c r="A789" s="285"/>
      <c r="B789" s="399"/>
      <c r="C789"/>
      <c r="D789" s="368"/>
      <c r="E789"/>
      <c r="F789" s="368"/>
      <c r="G789"/>
      <c r="H789"/>
      <c r="I789"/>
      <c r="J789"/>
      <c r="K789"/>
      <c r="L789"/>
      <c r="M789"/>
      <c r="N789"/>
      <c r="O789"/>
      <c r="P789" s="368"/>
      <c r="Q789"/>
      <c r="R789"/>
      <c r="S789"/>
      <c r="T789"/>
      <c r="U789"/>
    </row>
    <row r="790" spans="1:21" x14ac:dyDescent="0.2">
      <c r="A790" s="285"/>
      <c r="B790" s="399"/>
      <c r="C790"/>
      <c r="D790" s="368"/>
      <c r="E790"/>
      <c r="F790" s="368"/>
      <c r="G790"/>
      <c r="H790"/>
      <c r="I790"/>
      <c r="J790"/>
      <c r="K790"/>
      <c r="L790"/>
      <c r="M790"/>
      <c r="N790"/>
      <c r="O790"/>
      <c r="P790" s="368"/>
      <c r="Q790"/>
      <c r="R790"/>
      <c r="S790"/>
      <c r="T790"/>
      <c r="U790"/>
    </row>
    <row r="791" spans="1:21" x14ac:dyDescent="0.2">
      <c r="A791" s="285"/>
      <c r="B791" s="399"/>
      <c r="C791"/>
      <c r="D791" s="368"/>
      <c r="E791"/>
      <c r="F791" s="368"/>
      <c r="G791"/>
      <c r="H791"/>
      <c r="I791"/>
      <c r="J791"/>
      <c r="K791"/>
      <c r="L791"/>
      <c r="M791"/>
      <c r="N791"/>
      <c r="O791"/>
      <c r="P791" s="368"/>
      <c r="Q791"/>
      <c r="R791"/>
      <c r="S791"/>
      <c r="T791"/>
      <c r="U791"/>
    </row>
    <row r="792" spans="1:21" x14ac:dyDescent="0.2">
      <c r="A792"/>
      <c r="B792" s="399"/>
      <c r="C792"/>
      <c r="D792" s="368"/>
      <c r="E792"/>
      <c r="F792" s="368"/>
      <c r="G792"/>
      <c r="H792"/>
      <c r="I792"/>
      <c r="J792"/>
      <c r="K792"/>
      <c r="L792"/>
      <c r="M792"/>
      <c r="N792"/>
      <c r="O792"/>
      <c r="P792" s="368"/>
      <c r="Q792"/>
      <c r="R792"/>
      <c r="S792"/>
      <c r="T792"/>
      <c r="U792"/>
    </row>
    <row r="793" spans="1:21" x14ac:dyDescent="0.2">
      <c r="A793"/>
      <c r="B793" s="399"/>
      <c r="C793"/>
      <c r="D793" s="368"/>
      <c r="E793"/>
      <c r="F793" s="368"/>
      <c r="G793"/>
      <c r="H793"/>
      <c r="I793"/>
      <c r="J793"/>
      <c r="K793"/>
      <c r="L793"/>
      <c r="M793"/>
      <c r="N793"/>
      <c r="O793"/>
      <c r="P793" s="368"/>
      <c r="Q793"/>
      <c r="R793"/>
      <c r="S793"/>
      <c r="T793"/>
      <c r="U793"/>
    </row>
    <row r="794" spans="1:21" x14ac:dyDescent="0.2">
      <c r="A794"/>
      <c r="B794" s="399"/>
      <c r="C794"/>
      <c r="D794" s="368"/>
      <c r="E794"/>
      <c r="F794" s="368"/>
      <c r="G794"/>
      <c r="H794"/>
      <c r="I794"/>
      <c r="J794"/>
      <c r="K794"/>
      <c r="L794"/>
      <c r="M794"/>
      <c r="N794"/>
      <c r="O794"/>
      <c r="P794" s="368"/>
      <c r="Q794"/>
      <c r="R794"/>
      <c r="S794"/>
      <c r="T794"/>
      <c r="U794"/>
    </row>
    <row r="795" spans="1:21" x14ac:dyDescent="0.2">
      <c r="A795"/>
      <c r="B795" s="399"/>
      <c r="C795"/>
      <c r="D795" s="368"/>
      <c r="E795"/>
      <c r="F795" s="368"/>
      <c r="G795"/>
      <c r="H795"/>
      <c r="I795"/>
      <c r="J795"/>
      <c r="K795"/>
      <c r="L795"/>
      <c r="M795"/>
      <c r="N795"/>
      <c r="O795"/>
      <c r="P795" s="368"/>
      <c r="Q795"/>
      <c r="R795"/>
      <c r="S795"/>
      <c r="T795"/>
      <c r="U795"/>
    </row>
    <row r="796" spans="1:21" x14ac:dyDescent="0.2">
      <c r="A796"/>
      <c r="B796" s="399"/>
      <c r="C796"/>
      <c r="D796" s="368"/>
      <c r="E796"/>
      <c r="F796" s="368"/>
      <c r="G796"/>
      <c r="H796"/>
      <c r="I796"/>
      <c r="J796"/>
      <c r="K796"/>
      <c r="L796"/>
      <c r="M796"/>
      <c r="N796"/>
      <c r="O796"/>
      <c r="P796" s="368"/>
      <c r="Q796"/>
      <c r="R796"/>
      <c r="S796"/>
      <c r="T796"/>
      <c r="U796"/>
    </row>
    <row r="797" spans="1:21" x14ac:dyDescent="0.2">
      <c r="A797"/>
      <c r="B797" s="399"/>
      <c r="C797"/>
      <c r="D797" s="368"/>
      <c r="E797"/>
      <c r="F797" s="368"/>
      <c r="G797"/>
      <c r="H797"/>
      <c r="I797"/>
      <c r="J797"/>
      <c r="K797"/>
      <c r="L797"/>
      <c r="M797"/>
      <c r="N797"/>
      <c r="O797"/>
      <c r="P797" s="368"/>
      <c r="Q797"/>
      <c r="R797"/>
      <c r="S797"/>
      <c r="T797"/>
      <c r="U797"/>
    </row>
    <row r="798" spans="1:21" x14ac:dyDescent="0.2">
      <c r="A798"/>
      <c r="B798" s="399"/>
      <c r="C798"/>
      <c r="D798" s="368"/>
      <c r="E798"/>
      <c r="F798" s="368"/>
      <c r="G798"/>
      <c r="H798"/>
      <c r="I798"/>
      <c r="J798"/>
      <c r="K798"/>
      <c r="L798"/>
      <c r="M798"/>
      <c r="N798"/>
      <c r="O798"/>
      <c r="P798" s="368"/>
      <c r="Q798"/>
      <c r="R798"/>
      <c r="S798"/>
      <c r="T798"/>
      <c r="U798"/>
    </row>
    <row r="799" spans="1:21" x14ac:dyDescent="0.2">
      <c r="A799"/>
      <c r="B799" s="399"/>
      <c r="C799"/>
      <c r="D799" s="368"/>
      <c r="E799"/>
      <c r="F799" s="368"/>
      <c r="G799"/>
      <c r="H799"/>
      <c r="I799"/>
      <c r="J799"/>
      <c r="K799"/>
      <c r="L799"/>
      <c r="M799"/>
      <c r="N799"/>
      <c r="O799"/>
      <c r="P799" s="368"/>
      <c r="Q799"/>
      <c r="R799"/>
      <c r="S799"/>
      <c r="T799"/>
      <c r="U799"/>
    </row>
    <row r="800" spans="1:21" x14ac:dyDescent="0.2">
      <c r="A800"/>
      <c r="B800" s="399"/>
      <c r="C800"/>
      <c r="D800" s="368"/>
      <c r="E800"/>
      <c r="F800" s="368"/>
      <c r="G800"/>
      <c r="H800"/>
      <c r="I800"/>
      <c r="J800"/>
      <c r="K800"/>
      <c r="L800"/>
      <c r="M800"/>
      <c r="N800"/>
      <c r="O800"/>
      <c r="P800" s="368"/>
      <c r="Q800"/>
      <c r="R800"/>
      <c r="S800"/>
      <c r="T800"/>
      <c r="U800"/>
    </row>
    <row r="801" spans="1:21" x14ac:dyDescent="0.2">
      <c r="A801"/>
      <c r="B801" s="399"/>
      <c r="C801"/>
      <c r="D801" s="368"/>
      <c r="E801"/>
      <c r="F801" s="368"/>
      <c r="G801"/>
      <c r="H801"/>
      <c r="I801"/>
      <c r="J801"/>
      <c r="K801"/>
      <c r="L801"/>
      <c r="M801"/>
      <c r="N801"/>
      <c r="O801"/>
      <c r="P801" s="368"/>
      <c r="Q801"/>
      <c r="R801"/>
      <c r="S801"/>
      <c r="T801"/>
      <c r="U801"/>
    </row>
    <row r="802" spans="1:21" x14ac:dyDescent="0.2">
      <c r="A802"/>
      <c r="B802" s="399"/>
      <c r="C802"/>
      <c r="D802" s="368"/>
      <c r="E802"/>
      <c r="F802" s="368"/>
      <c r="G802"/>
      <c r="H802"/>
      <c r="I802"/>
      <c r="J802"/>
      <c r="K802"/>
      <c r="L802"/>
      <c r="M802"/>
      <c r="N802"/>
      <c r="O802"/>
      <c r="P802" s="368"/>
      <c r="Q802"/>
      <c r="R802"/>
      <c r="S802"/>
      <c r="T802"/>
      <c r="U802"/>
    </row>
    <row r="803" spans="1:21" x14ac:dyDescent="0.2">
      <c r="A803"/>
      <c r="B803" s="399"/>
      <c r="C803"/>
      <c r="D803" s="368"/>
      <c r="E803"/>
      <c r="F803" s="368"/>
      <c r="G803"/>
      <c r="H803"/>
      <c r="I803"/>
      <c r="J803"/>
      <c r="K803"/>
      <c r="L803"/>
      <c r="M803"/>
      <c r="N803"/>
      <c r="O803"/>
      <c r="P803" s="368"/>
      <c r="Q803"/>
      <c r="R803"/>
      <c r="S803"/>
      <c r="T803"/>
      <c r="U803"/>
    </row>
    <row r="804" spans="1:21" x14ac:dyDescent="0.2">
      <c r="A804"/>
      <c r="B804" s="399"/>
      <c r="C804"/>
      <c r="D804" s="368"/>
      <c r="E804"/>
      <c r="F804" s="368"/>
      <c r="G804"/>
      <c r="H804"/>
      <c r="I804"/>
      <c r="J804"/>
      <c r="K804"/>
      <c r="L804"/>
      <c r="M804"/>
      <c r="N804"/>
      <c r="O804"/>
      <c r="P804" s="368"/>
      <c r="Q804"/>
      <c r="R804"/>
      <c r="S804"/>
      <c r="T804"/>
      <c r="U804"/>
    </row>
    <row r="805" spans="1:21" x14ac:dyDescent="0.2">
      <c r="A805"/>
      <c r="B805" s="399"/>
      <c r="C805"/>
      <c r="D805" s="368"/>
      <c r="E805"/>
      <c r="F805" s="368"/>
      <c r="G805"/>
      <c r="H805"/>
      <c r="I805"/>
      <c r="J805"/>
      <c r="K805"/>
      <c r="L805"/>
      <c r="M805"/>
      <c r="N805"/>
      <c r="O805"/>
      <c r="P805" s="368"/>
      <c r="Q805"/>
      <c r="R805"/>
      <c r="S805"/>
      <c r="T805"/>
      <c r="U805"/>
    </row>
    <row r="806" spans="1:21" x14ac:dyDescent="0.2">
      <c r="A806"/>
      <c r="B806" s="399"/>
      <c r="C806"/>
      <c r="D806" s="368"/>
      <c r="E806"/>
      <c r="F806" s="368"/>
      <c r="G806"/>
      <c r="H806"/>
      <c r="I806"/>
      <c r="J806"/>
      <c r="K806"/>
      <c r="L806"/>
      <c r="M806"/>
      <c r="N806"/>
      <c r="O806"/>
      <c r="P806" s="368"/>
      <c r="Q806"/>
      <c r="R806"/>
      <c r="S806"/>
      <c r="T806"/>
      <c r="U806"/>
    </row>
    <row r="807" spans="1:21" x14ac:dyDescent="0.2">
      <c r="A807"/>
      <c r="B807" s="399"/>
      <c r="C807"/>
      <c r="D807" s="368"/>
      <c r="E807"/>
      <c r="F807" s="368"/>
      <c r="G807"/>
      <c r="H807"/>
      <c r="I807"/>
      <c r="J807"/>
      <c r="K807"/>
      <c r="L807"/>
      <c r="M807"/>
      <c r="N807"/>
      <c r="O807"/>
      <c r="P807" s="368"/>
      <c r="Q807"/>
      <c r="R807"/>
      <c r="S807"/>
      <c r="T807"/>
      <c r="U807"/>
    </row>
    <row r="808" spans="1:21" x14ac:dyDescent="0.2">
      <c r="A808"/>
      <c r="B808" s="399"/>
      <c r="C808"/>
      <c r="D808" s="368"/>
      <c r="E808"/>
      <c r="F808" s="368"/>
      <c r="G808"/>
      <c r="H808"/>
      <c r="I808"/>
      <c r="J808"/>
      <c r="K808"/>
      <c r="L808"/>
      <c r="M808"/>
      <c r="N808"/>
      <c r="O808"/>
      <c r="P808" s="368"/>
      <c r="Q808"/>
      <c r="R808"/>
      <c r="S808"/>
      <c r="T808"/>
      <c r="U808"/>
    </row>
    <row r="809" spans="1:21" x14ac:dyDescent="0.2">
      <c r="A809"/>
      <c r="B809" s="399"/>
      <c r="C809"/>
      <c r="D809" s="368"/>
      <c r="E809"/>
      <c r="F809" s="368"/>
      <c r="G809"/>
      <c r="H809"/>
      <c r="I809"/>
      <c r="J809"/>
      <c r="K809"/>
      <c r="L809"/>
      <c r="M809"/>
      <c r="N809"/>
      <c r="O809"/>
      <c r="P809" s="368"/>
      <c r="Q809"/>
      <c r="R809"/>
      <c r="S809"/>
      <c r="T809"/>
      <c r="U809"/>
    </row>
    <row r="810" spans="1:21" x14ac:dyDescent="0.2">
      <c r="A810"/>
      <c r="B810" s="399"/>
      <c r="C810"/>
      <c r="D810" s="368"/>
      <c r="E810"/>
      <c r="F810" s="368"/>
      <c r="G810"/>
      <c r="H810"/>
      <c r="I810"/>
      <c r="J810"/>
      <c r="K810"/>
      <c r="L810"/>
      <c r="M810"/>
      <c r="N810"/>
      <c r="O810"/>
      <c r="P810" s="368"/>
      <c r="Q810"/>
      <c r="R810"/>
      <c r="S810"/>
      <c r="T810"/>
      <c r="U810"/>
    </row>
    <row r="811" spans="1:21" x14ac:dyDescent="0.2">
      <c r="A811"/>
      <c r="B811" s="399"/>
      <c r="C811"/>
      <c r="D811" s="368"/>
      <c r="E811"/>
      <c r="F811" s="368"/>
      <c r="G811"/>
      <c r="H811"/>
      <c r="I811"/>
      <c r="J811"/>
      <c r="K811"/>
      <c r="L811"/>
      <c r="M811"/>
      <c r="N811"/>
      <c r="O811"/>
      <c r="P811" s="368"/>
      <c r="Q811"/>
      <c r="R811"/>
      <c r="S811"/>
      <c r="T811"/>
      <c r="U811"/>
    </row>
    <row r="812" spans="1:21" x14ac:dyDescent="0.2">
      <c r="A812"/>
      <c r="B812" s="399"/>
      <c r="C812"/>
      <c r="D812" s="368"/>
      <c r="E812"/>
      <c r="F812" s="368"/>
      <c r="G812"/>
      <c r="H812"/>
      <c r="I812"/>
      <c r="J812"/>
      <c r="K812"/>
      <c r="L812"/>
      <c r="M812"/>
      <c r="N812"/>
      <c r="O812"/>
      <c r="P812" s="368"/>
      <c r="Q812"/>
      <c r="R812"/>
      <c r="S812"/>
      <c r="T812"/>
      <c r="U812"/>
    </row>
    <row r="813" spans="1:21" x14ac:dyDescent="0.2">
      <c r="A813"/>
      <c r="B813" s="399"/>
      <c r="C813"/>
      <c r="D813" s="368"/>
      <c r="E813"/>
      <c r="F813" s="368"/>
      <c r="G813"/>
      <c r="H813"/>
      <c r="I813"/>
      <c r="J813"/>
      <c r="K813"/>
      <c r="L813"/>
      <c r="M813"/>
      <c r="N813"/>
      <c r="O813"/>
      <c r="P813" s="368"/>
      <c r="Q813"/>
      <c r="R813"/>
      <c r="S813"/>
      <c r="T813"/>
      <c r="U813"/>
    </row>
    <row r="814" spans="1:21" x14ac:dyDescent="0.2">
      <c r="A814"/>
      <c r="B814" s="399"/>
      <c r="C814"/>
      <c r="D814" s="368"/>
      <c r="E814"/>
      <c r="F814" s="368"/>
      <c r="G814"/>
      <c r="H814"/>
      <c r="I814"/>
      <c r="J814"/>
      <c r="K814"/>
      <c r="L814"/>
      <c r="M814"/>
      <c r="N814"/>
      <c r="O814"/>
      <c r="P814" s="368"/>
      <c r="Q814"/>
      <c r="R814"/>
      <c r="S814"/>
      <c r="T814"/>
      <c r="U814"/>
    </row>
    <row r="815" spans="1:21" x14ac:dyDescent="0.2">
      <c r="A815"/>
      <c r="B815" s="399"/>
      <c r="C815"/>
      <c r="D815" s="368"/>
      <c r="E815"/>
      <c r="F815" s="368"/>
      <c r="G815"/>
      <c r="H815"/>
      <c r="I815"/>
      <c r="J815"/>
      <c r="K815"/>
      <c r="L815"/>
      <c r="M815"/>
      <c r="N815"/>
      <c r="O815"/>
      <c r="P815" s="368"/>
      <c r="Q815"/>
      <c r="R815"/>
      <c r="S815"/>
      <c r="T815"/>
      <c r="U815"/>
    </row>
    <row r="816" spans="1:21" x14ac:dyDescent="0.2">
      <c r="A816"/>
      <c r="B816" s="399"/>
      <c r="C816"/>
      <c r="D816" s="368"/>
      <c r="E816"/>
      <c r="F816" s="368"/>
      <c r="G816"/>
      <c r="H816"/>
      <c r="I816"/>
      <c r="J816"/>
      <c r="K816"/>
      <c r="L816"/>
      <c r="M816"/>
      <c r="N816"/>
      <c r="O816"/>
      <c r="P816" s="368"/>
      <c r="Q816"/>
      <c r="R816"/>
      <c r="S816"/>
      <c r="T816"/>
      <c r="U816"/>
    </row>
    <row r="817" spans="1:21" x14ac:dyDescent="0.2">
      <c r="A817"/>
      <c r="B817" s="399"/>
      <c r="C817"/>
      <c r="D817" s="368"/>
      <c r="E817"/>
      <c r="F817" s="368"/>
      <c r="G817"/>
      <c r="H817"/>
      <c r="I817"/>
      <c r="J817"/>
      <c r="K817"/>
      <c r="L817"/>
      <c r="M817"/>
      <c r="N817"/>
      <c r="O817"/>
      <c r="P817" s="368"/>
      <c r="Q817"/>
      <c r="R817"/>
      <c r="S817"/>
      <c r="T817"/>
      <c r="U817"/>
    </row>
    <row r="818" spans="1:21" x14ac:dyDescent="0.2">
      <c r="A818"/>
      <c r="B818" s="399"/>
      <c r="C818"/>
      <c r="D818" s="368"/>
      <c r="E818"/>
      <c r="F818" s="368"/>
      <c r="G818"/>
      <c r="H818"/>
      <c r="I818"/>
      <c r="J818"/>
      <c r="K818"/>
      <c r="L818"/>
      <c r="M818"/>
      <c r="N818"/>
      <c r="O818"/>
      <c r="P818" s="368"/>
      <c r="Q818"/>
      <c r="R818"/>
      <c r="S818"/>
      <c r="T818"/>
      <c r="U818"/>
    </row>
    <row r="819" spans="1:21" x14ac:dyDescent="0.2">
      <c r="A819"/>
      <c r="B819" s="399"/>
      <c r="C819"/>
      <c r="D819" s="368"/>
      <c r="E819"/>
      <c r="F819" s="368"/>
      <c r="G819"/>
      <c r="H819"/>
      <c r="I819"/>
      <c r="J819"/>
      <c r="K819"/>
      <c r="L819"/>
      <c r="M819"/>
      <c r="N819"/>
      <c r="O819"/>
      <c r="P819" s="368"/>
      <c r="Q819"/>
      <c r="R819"/>
      <c r="S819"/>
      <c r="T819"/>
      <c r="U819"/>
    </row>
    <row r="820" spans="1:21" x14ac:dyDescent="0.2">
      <c r="A820"/>
      <c r="B820" s="399"/>
      <c r="C820"/>
      <c r="D820" s="368"/>
      <c r="E820"/>
      <c r="F820" s="368"/>
      <c r="G820"/>
      <c r="H820"/>
      <c r="I820"/>
      <c r="J820"/>
      <c r="K820"/>
      <c r="L820"/>
      <c r="M820"/>
      <c r="N820"/>
      <c r="O820"/>
      <c r="P820" s="368"/>
      <c r="Q820"/>
      <c r="R820"/>
      <c r="S820"/>
      <c r="T820"/>
      <c r="U820"/>
    </row>
    <row r="821" spans="1:21" x14ac:dyDescent="0.2">
      <c r="A821"/>
      <c r="B821" s="399"/>
      <c r="C821"/>
      <c r="D821" s="368"/>
      <c r="E821"/>
      <c r="F821" s="368"/>
      <c r="G821"/>
      <c r="H821"/>
      <c r="I821"/>
      <c r="J821"/>
      <c r="K821"/>
      <c r="L821"/>
      <c r="M821"/>
      <c r="N821"/>
      <c r="O821"/>
      <c r="P821" s="368"/>
      <c r="Q821"/>
      <c r="R821"/>
      <c r="S821"/>
      <c r="T821"/>
      <c r="U821"/>
    </row>
    <row r="822" spans="1:21" x14ac:dyDescent="0.2">
      <c r="A822"/>
      <c r="B822" s="399"/>
      <c r="C822"/>
      <c r="D822" s="368"/>
      <c r="E822"/>
      <c r="F822" s="368"/>
      <c r="G822"/>
      <c r="H822"/>
      <c r="I822"/>
      <c r="J822"/>
      <c r="K822"/>
      <c r="L822"/>
      <c r="M822"/>
      <c r="N822"/>
      <c r="O822"/>
      <c r="P822" s="368"/>
      <c r="Q822"/>
      <c r="R822"/>
      <c r="S822"/>
      <c r="T822"/>
      <c r="U822"/>
    </row>
    <row r="823" spans="1:21" x14ac:dyDescent="0.2">
      <c r="A823"/>
      <c r="B823" s="399"/>
      <c r="C823"/>
      <c r="D823" s="368"/>
      <c r="E823"/>
      <c r="F823" s="368"/>
      <c r="G823"/>
      <c r="H823"/>
      <c r="I823"/>
      <c r="J823"/>
      <c r="K823"/>
      <c r="L823"/>
      <c r="M823"/>
      <c r="N823"/>
      <c r="O823"/>
      <c r="P823" s="368"/>
      <c r="Q823"/>
      <c r="R823"/>
      <c r="S823"/>
      <c r="T823"/>
      <c r="U823"/>
    </row>
    <row r="824" spans="1:21" x14ac:dyDescent="0.2">
      <c r="A824"/>
      <c r="B824" s="399"/>
      <c r="C824"/>
      <c r="D824" s="368"/>
      <c r="E824"/>
      <c r="F824" s="368"/>
      <c r="G824"/>
      <c r="H824"/>
      <c r="I824"/>
      <c r="J824"/>
      <c r="K824"/>
      <c r="L824"/>
      <c r="M824"/>
      <c r="N824"/>
      <c r="O824"/>
      <c r="P824" s="368"/>
      <c r="Q824"/>
      <c r="R824"/>
      <c r="S824"/>
      <c r="T824"/>
      <c r="U824"/>
    </row>
    <row r="825" spans="1:21" x14ac:dyDescent="0.2">
      <c r="A825"/>
      <c r="B825" s="399"/>
      <c r="C825"/>
      <c r="D825" s="368"/>
      <c r="E825"/>
      <c r="F825" s="368"/>
      <c r="G825"/>
      <c r="H825"/>
      <c r="I825"/>
      <c r="J825"/>
      <c r="K825"/>
      <c r="L825"/>
      <c r="M825"/>
      <c r="N825"/>
      <c r="O825"/>
      <c r="P825" s="368"/>
      <c r="Q825"/>
      <c r="R825"/>
      <c r="S825"/>
      <c r="T825"/>
      <c r="U825"/>
    </row>
    <row r="826" spans="1:21" x14ac:dyDescent="0.2">
      <c r="A826"/>
      <c r="B826" s="399"/>
      <c r="C826"/>
      <c r="D826" s="368"/>
      <c r="E826"/>
      <c r="F826" s="368"/>
      <c r="G826"/>
      <c r="H826"/>
      <c r="I826"/>
      <c r="J826"/>
      <c r="K826"/>
      <c r="L826"/>
      <c r="M826"/>
      <c r="N826"/>
      <c r="O826"/>
      <c r="P826" s="368"/>
      <c r="Q826"/>
      <c r="R826"/>
      <c r="S826"/>
      <c r="T826"/>
      <c r="U826"/>
    </row>
    <row r="827" spans="1:21" x14ac:dyDescent="0.2">
      <c r="A827"/>
      <c r="B827" s="399"/>
      <c r="C827"/>
      <c r="D827" s="368"/>
      <c r="E827"/>
      <c r="F827" s="368"/>
      <c r="G827"/>
      <c r="H827"/>
      <c r="I827"/>
      <c r="J827"/>
      <c r="K827"/>
      <c r="L827"/>
      <c r="M827"/>
      <c r="N827"/>
      <c r="O827"/>
      <c r="P827" s="368"/>
      <c r="Q827"/>
      <c r="R827"/>
      <c r="S827"/>
      <c r="T827"/>
      <c r="U827"/>
    </row>
    <row r="828" spans="1:21" x14ac:dyDescent="0.2">
      <c r="A828"/>
      <c r="B828" s="399"/>
      <c r="C828"/>
      <c r="D828" s="368"/>
      <c r="E828"/>
      <c r="F828" s="368"/>
      <c r="G828"/>
      <c r="H828"/>
      <c r="I828"/>
      <c r="J828"/>
      <c r="K828"/>
      <c r="L828"/>
      <c r="M828"/>
      <c r="N828"/>
      <c r="O828"/>
      <c r="P828" s="368"/>
      <c r="Q828"/>
      <c r="R828"/>
      <c r="S828"/>
      <c r="T828"/>
      <c r="U828"/>
    </row>
    <row r="829" spans="1:21" x14ac:dyDescent="0.2">
      <c r="A829"/>
      <c r="B829" s="399"/>
      <c r="C829"/>
      <c r="D829" s="368"/>
      <c r="E829"/>
      <c r="F829" s="368"/>
      <c r="G829"/>
      <c r="H829"/>
      <c r="I829"/>
      <c r="J829"/>
      <c r="K829"/>
      <c r="L829"/>
      <c r="M829"/>
      <c r="N829"/>
      <c r="O829"/>
      <c r="P829" s="368"/>
      <c r="Q829"/>
      <c r="R829"/>
      <c r="S829"/>
      <c r="T829"/>
      <c r="U829"/>
    </row>
    <row r="830" spans="1:21" x14ac:dyDescent="0.2">
      <c r="A830"/>
      <c r="B830" s="399"/>
      <c r="C830"/>
      <c r="D830" s="368"/>
      <c r="E830"/>
      <c r="F830" s="368"/>
      <c r="G830"/>
      <c r="H830"/>
      <c r="I830"/>
      <c r="J830"/>
      <c r="K830"/>
      <c r="L830"/>
      <c r="M830"/>
      <c r="N830"/>
      <c r="O830"/>
      <c r="P830" s="368"/>
      <c r="Q830"/>
      <c r="R830"/>
      <c r="S830"/>
      <c r="T830"/>
      <c r="U830"/>
    </row>
    <row r="831" spans="1:21" x14ac:dyDescent="0.2">
      <c r="A831"/>
      <c r="B831" s="399"/>
      <c r="C831"/>
      <c r="D831" s="368"/>
      <c r="E831"/>
      <c r="F831" s="368"/>
      <c r="G831"/>
      <c r="H831"/>
      <c r="I831"/>
      <c r="J831"/>
      <c r="K831"/>
      <c r="L831"/>
      <c r="M831"/>
      <c r="N831"/>
      <c r="O831"/>
      <c r="P831" s="368"/>
      <c r="Q831"/>
      <c r="R831"/>
      <c r="S831"/>
      <c r="T831"/>
      <c r="U831"/>
    </row>
    <row r="832" spans="1:21" x14ac:dyDescent="0.2">
      <c r="A832"/>
      <c r="B832" s="399"/>
      <c r="C832"/>
      <c r="D832" s="368"/>
      <c r="E832"/>
      <c r="F832" s="368"/>
      <c r="G832"/>
      <c r="H832"/>
      <c r="I832"/>
      <c r="J832"/>
      <c r="K832"/>
      <c r="L832"/>
      <c r="M832"/>
      <c r="N832"/>
      <c r="O832"/>
      <c r="P832" s="368"/>
      <c r="Q832"/>
      <c r="R832"/>
      <c r="S832"/>
      <c r="T832"/>
      <c r="U832"/>
    </row>
    <row r="833" spans="1:21" x14ac:dyDescent="0.2">
      <c r="A833"/>
      <c r="B833" s="399"/>
      <c r="C833"/>
      <c r="D833" s="368"/>
      <c r="E833"/>
      <c r="F833" s="368"/>
      <c r="G833"/>
      <c r="H833"/>
      <c r="I833"/>
      <c r="J833"/>
      <c r="K833"/>
      <c r="L833"/>
      <c r="M833"/>
      <c r="N833"/>
      <c r="O833"/>
      <c r="P833" s="368"/>
      <c r="Q833"/>
      <c r="R833"/>
      <c r="S833"/>
      <c r="T833"/>
      <c r="U833"/>
    </row>
    <row r="834" spans="1:21" x14ac:dyDescent="0.2">
      <c r="A834"/>
      <c r="B834" s="399"/>
      <c r="C834"/>
      <c r="D834" s="368"/>
      <c r="E834"/>
      <c r="F834" s="368"/>
      <c r="G834"/>
      <c r="H834"/>
      <c r="I834"/>
      <c r="J834"/>
      <c r="K834"/>
      <c r="L834"/>
      <c r="M834"/>
      <c r="N834"/>
      <c r="O834"/>
      <c r="P834" s="368"/>
      <c r="Q834"/>
      <c r="R834"/>
      <c r="S834"/>
      <c r="T834"/>
      <c r="U834"/>
    </row>
    <row r="835" spans="1:21" x14ac:dyDescent="0.2">
      <c r="A835"/>
      <c r="B835" s="399"/>
      <c r="C835"/>
      <c r="D835" s="368"/>
      <c r="E835"/>
      <c r="F835" s="368"/>
      <c r="G835"/>
      <c r="H835"/>
      <c r="I835"/>
      <c r="J835"/>
      <c r="K835"/>
      <c r="L835"/>
      <c r="M835"/>
      <c r="N835"/>
      <c r="O835"/>
      <c r="P835" s="368"/>
      <c r="Q835"/>
      <c r="R835"/>
      <c r="S835"/>
      <c r="T835"/>
      <c r="U835"/>
    </row>
    <row r="836" spans="1:21" x14ac:dyDescent="0.2">
      <c r="A836"/>
      <c r="B836" s="399"/>
      <c r="C836"/>
      <c r="D836" s="368"/>
      <c r="E836"/>
      <c r="F836" s="368"/>
      <c r="G836"/>
      <c r="H836"/>
      <c r="I836"/>
      <c r="J836"/>
      <c r="K836"/>
      <c r="L836"/>
      <c r="M836"/>
      <c r="N836"/>
      <c r="O836"/>
      <c r="P836" s="368"/>
      <c r="Q836"/>
      <c r="R836"/>
      <c r="S836"/>
      <c r="T836"/>
      <c r="U836"/>
    </row>
    <row r="837" spans="1:21" x14ac:dyDescent="0.2">
      <c r="A837"/>
      <c r="B837" s="399"/>
      <c r="C837"/>
      <c r="D837" s="368"/>
      <c r="E837"/>
      <c r="F837" s="368"/>
      <c r="G837"/>
      <c r="H837"/>
      <c r="I837"/>
      <c r="J837"/>
      <c r="K837"/>
      <c r="L837"/>
      <c r="M837"/>
      <c r="N837"/>
      <c r="O837"/>
      <c r="P837" s="368"/>
      <c r="Q837"/>
      <c r="R837"/>
      <c r="S837"/>
      <c r="T837"/>
      <c r="U837"/>
    </row>
    <row r="838" spans="1:21" x14ac:dyDescent="0.2">
      <c r="A838"/>
      <c r="B838" s="399"/>
      <c r="C838"/>
      <c r="D838" s="368"/>
      <c r="E838"/>
      <c r="F838" s="368"/>
      <c r="G838"/>
      <c r="H838"/>
      <c r="I838"/>
      <c r="J838"/>
      <c r="K838"/>
      <c r="L838"/>
      <c r="M838"/>
      <c r="N838"/>
      <c r="O838"/>
      <c r="P838" s="368"/>
      <c r="Q838"/>
      <c r="R838"/>
      <c r="S838"/>
      <c r="T838"/>
      <c r="U838"/>
    </row>
    <row r="839" spans="1:21" x14ac:dyDescent="0.2">
      <c r="A839" s="285"/>
      <c r="B839" s="399"/>
      <c r="C839" s="297"/>
      <c r="D839" s="394"/>
      <c r="E839" s="297"/>
      <c r="F839" s="394"/>
      <c r="G839" s="297"/>
      <c r="H839" s="297"/>
      <c r="I839" s="297"/>
      <c r="J839" s="297"/>
      <c r="K839" s="297"/>
      <c r="L839" s="297"/>
      <c r="M839" s="297"/>
      <c r="N839" s="297"/>
      <c r="O839" s="297"/>
      <c r="P839" s="365"/>
      <c r="Q839"/>
      <c r="R839"/>
      <c r="S839"/>
      <c r="T839"/>
      <c r="U839"/>
    </row>
    <row r="840" spans="1:21" x14ac:dyDescent="0.2">
      <c r="A840" s="285"/>
      <c r="B840" s="399"/>
      <c r="C840" s="297"/>
      <c r="D840" s="394"/>
      <c r="E840" s="297"/>
      <c r="F840" s="394"/>
      <c r="G840" s="297"/>
      <c r="H840" s="297"/>
      <c r="I840" s="297"/>
      <c r="J840" s="297"/>
      <c r="K840" s="297"/>
      <c r="L840" s="297"/>
      <c r="M840" s="297"/>
      <c r="N840" s="297"/>
      <c r="O840" s="297"/>
      <c r="P840" s="365"/>
      <c r="Q840"/>
      <c r="R840"/>
      <c r="S840"/>
      <c r="T840"/>
      <c r="U840"/>
    </row>
    <row r="841" spans="1:21" x14ac:dyDescent="0.2">
      <c r="A841" s="285"/>
      <c r="B841" s="399"/>
      <c r="C841" s="297"/>
      <c r="D841" s="394"/>
      <c r="E841" s="297"/>
      <c r="F841" s="394"/>
      <c r="G841" s="297"/>
      <c r="H841" s="297"/>
      <c r="I841" s="297"/>
      <c r="J841" s="297"/>
      <c r="K841" s="297"/>
      <c r="L841" s="297"/>
      <c r="M841" s="297"/>
      <c r="N841" s="297"/>
      <c r="O841" s="297"/>
      <c r="P841" s="365"/>
      <c r="Q841"/>
      <c r="R841"/>
      <c r="S841"/>
      <c r="T841"/>
      <c r="U841"/>
    </row>
    <row r="842" spans="1:21" x14ac:dyDescent="0.2">
      <c r="A842" s="285"/>
      <c r="B842" s="399"/>
      <c r="C842" s="297"/>
      <c r="D842" s="394"/>
      <c r="E842" s="297"/>
      <c r="F842" s="394"/>
      <c r="G842" s="297"/>
      <c r="H842" s="297"/>
      <c r="I842" s="297"/>
      <c r="J842" s="297"/>
      <c r="K842" s="297"/>
      <c r="L842" s="297"/>
      <c r="M842" s="297"/>
      <c r="N842" s="297"/>
      <c r="O842" s="297"/>
      <c r="P842" s="365"/>
      <c r="Q842"/>
      <c r="R842"/>
      <c r="S842"/>
      <c r="T842"/>
      <c r="U842"/>
    </row>
    <row r="843" spans="1:21" x14ac:dyDescent="0.2">
      <c r="A843" s="285"/>
      <c r="B843" s="399"/>
      <c r="C843" s="297"/>
      <c r="D843" s="394"/>
      <c r="E843" s="297"/>
      <c r="F843" s="394"/>
      <c r="G843" s="297"/>
      <c r="H843" s="297"/>
      <c r="I843" s="297"/>
      <c r="J843" s="297"/>
      <c r="K843" s="297"/>
      <c r="L843" s="297"/>
      <c r="M843" s="297"/>
      <c r="N843" s="297"/>
      <c r="O843" s="297"/>
      <c r="P843" s="365"/>
      <c r="Q843"/>
      <c r="R843"/>
      <c r="S843"/>
      <c r="T843"/>
      <c r="U843"/>
    </row>
    <row r="844" spans="1:21" x14ac:dyDescent="0.2">
      <c r="A844" s="285"/>
      <c r="B844" s="399"/>
      <c r="C844" s="297"/>
      <c r="D844" s="394"/>
      <c r="E844" s="297"/>
      <c r="F844" s="394"/>
      <c r="G844" s="297"/>
      <c r="H844" s="297"/>
      <c r="I844" s="297"/>
      <c r="J844" s="297"/>
      <c r="K844" s="297"/>
      <c r="L844" s="297"/>
      <c r="M844" s="297"/>
      <c r="N844" s="297"/>
      <c r="O844" s="297"/>
      <c r="P844" s="365"/>
      <c r="Q844"/>
      <c r="R844"/>
      <c r="S844"/>
      <c r="T844"/>
      <c r="U844"/>
    </row>
    <row r="845" spans="1:21" x14ac:dyDescent="0.2">
      <c r="A845" s="285"/>
      <c r="B845" s="399"/>
      <c r="C845" s="297"/>
      <c r="D845" s="394"/>
      <c r="E845" s="297"/>
      <c r="F845" s="394"/>
      <c r="G845" s="297"/>
      <c r="H845" s="297"/>
      <c r="I845" s="297"/>
      <c r="J845" s="297"/>
      <c r="K845" s="297"/>
      <c r="L845" s="297"/>
      <c r="M845" s="297"/>
      <c r="N845" s="297"/>
      <c r="O845" s="297"/>
      <c r="P845" s="365"/>
      <c r="Q845"/>
      <c r="R845"/>
      <c r="S845"/>
      <c r="T845"/>
      <c r="U845"/>
    </row>
    <row r="846" spans="1:21" x14ac:dyDescent="0.2">
      <c r="A846" s="285"/>
      <c r="B846" s="399"/>
      <c r="C846" s="297"/>
      <c r="D846" s="394"/>
      <c r="E846" s="297"/>
      <c r="F846" s="394"/>
      <c r="G846" s="297"/>
      <c r="H846" s="297"/>
      <c r="I846" s="297"/>
      <c r="J846" s="297"/>
      <c r="K846" s="297"/>
      <c r="L846" s="297"/>
      <c r="M846" s="297"/>
      <c r="N846" s="297"/>
      <c r="O846" s="297"/>
      <c r="P846" s="365"/>
      <c r="Q846"/>
      <c r="R846"/>
      <c r="S846"/>
      <c r="T846"/>
      <c r="U846"/>
    </row>
    <row r="847" spans="1:21" x14ac:dyDescent="0.2">
      <c r="A847" s="285"/>
      <c r="B847" s="399"/>
      <c r="C847" s="297"/>
      <c r="D847" s="394"/>
      <c r="E847" s="297"/>
      <c r="F847" s="394"/>
      <c r="G847" s="297"/>
      <c r="H847" s="297"/>
      <c r="I847" s="297"/>
      <c r="J847" s="297"/>
      <c r="K847" s="297"/>
      <c r="L847" s="297"/>
      <c r="M847" s="297"/>
      <c r="N847" s="297"/>
      <c r="O847" s="297"/>
      <c r="P847" s="365"/>
      <c r="Q847"/>
      <c r="R847"/>
      <c r="S847"/>
      <c r="T847"/>
      <c r="U847"/>
    </row>
    <row r="848" spans="1:21" x14ac:dyDescent="0.2">
      <c r="A848" s="285"/>
      <c r="B848" s="399"/>
      <c r="C848" s="297"/>
      <c r="D848" s="394"/>
      <c r="E848" s="297"/>
      <c r="F848" s="394"/>
      <c r="G848" s="297"/>
      <c r="H848" s="297"/>
      <c r="I848" s="297"/>
      <c r="J848" s="297"/>
      <c r="K848" s="297"/>
      <c r="L848" s="297"/>
      <c r="M848" s="297"/>
      <c r="N848" s="297"/>
      <c r="O848" s="297"/>
      <c r="P848" s="365"/>
      <c r="Q848"/>
      <c r="R848"/>
      <c r="S848"/>
      <c r="T848"/>
      <c r="U848"/>
    </row>
    <row r="849" spans="1:21" x14ac:dyDescent="0.2">
      <c r="A849" s="285"/>
      <c r="B849" s="399"/>
      <c r="C849" s="297"/>
      <c r="D849" s="394"/>
      <c r="E849" s="297"/>
      <c r="F849" s="394"/>
      <c r="G849" s="297"/>
      <c r="H849" s="297"/>
      <c r="I849" s="297"/>
      <c r="J849" s="297"/>
      <c r="K849" s="297"/>
      <c r="L849" s="297"/>
      <c r="M849" s="297"/>
      <c r="N849" s="297"/>
      <c r="O849" s="297"/>
      <c r="P849" s="365"/>
      <c r="Q849"/>
      <c r="R849"/>
      <c r="S849"/>
      <c r="T849"/>
      <c r="U849"/>
    </row>
    <row r="850" spans="1:21" x14ac:dyDescent="0.2">
      <c r="A850" s="285"/>
      <c r="B850" s="399"/>
      <c r="C850" s="297"/>
      <c r="D850" s="394"/>
      <c r="E850" s="297"/>
      <c r="F850" s="394"/>
      <c r="G850" s="297"/>
      <c r="H850" s="297"/>
      <c r="I850" s="297"/>
      <c r="J850" s="297"/>
      <c r="K850" s="297"/>
      <c r="L850" s="297"/>
      <c r="M850" s="297"/>
      <c r="N850" s="297"/>
      <c r="O850" s="297"/>
      <c r="P850" s="365"/>
      <c r="Q850"/>
      <c r="R850"/>
      <c r="S850"/>
      <c r="T850"/>
      <c r="U850"/>
    </row>
    <row r="851" spans="1:21" x14ac:dyDescent="0.2">
      <c r="A851" s="285"/>
      <c r="B851" s="399"/>
      <c r="C851" s="297"/>
      <c r="D851" s="394"/>
      <c r="E851" s="297"/>
      <c r="F851" s="394"/>
      <c r="G851" s="297"/>
      <c r="H851" s="297"/>
      <c r="I851" s="297"/>
      <c r="J851" s="297"/>
      <c r="K851" s="297"/>
      <c r="L851" s="297"/>
      <c r="M851" s="297"/>
      <c r="N851" s="297"/>
      <c r="O851" s="297"/>
      <c r="P851" s="365"/>
      <c r="Q851"/>
      <c r="R851"/>
      <c r="S851"/>
      <c r="T851"/>
      <c r="U851"/>
    </row>
    <row r="852" spans="1:21" x14ac:dyDescent="0.2">
      <c r="A852" s="285"/>
      <c r="B852" s="399"/>
      <c r="C852" s="297"/>
      <c r="D852" s="394"/>
      <c r="E852" s="297"/>
      <c r="F852" s="394"/>
      <c r="G852" s="297"/>
      <c r="H852" s="297"/>
      <c r="I852" s="297"/>
      <c r="J852" s="297"/>
      <c r="K852" s="297"/>
      <c r="L852" s="297"/>
      <c r="M852" s="297"/>
      <c r="N852" s="297"/>
      <c r="O852" s="297"/>
      <c r="P852" s="365"/>
      <c r="Q852"/>
      <c r="R852"/>
      <c r="S852"/>
      <c r="T852"/>
      <c r="U852"/>
    </row>
    <row r="853" spans="1:21" x14ac:dyDescent="0.2">
      <c r="A853" s="285"/>
      <c r="B853" s="399"/>
      <c r="C853" s="297"/>
      <c r="D853" s="394"/>
      <c r="E853" s="297"/>
      <c r="F853" s="394"/>
      <c r="G853" s="297"/>
      <c r="H853" s="297"/>
      <c r="I853" s="297"/>
      <c r="J853" s="297"/>
      <c r="K853" s="297"/>
      <c r="L853" s="297"/>
      <c r="M853" s="297"/>
      <c r="N853" s="297"/>
      <c r="O853" s="297"/>
      <c r="P853" s="365"/>
      <c r="Q853"/>
      <c r="R853"/>
      <c r="S853"/>
      <c r="T853"/>
      <c r="U853"/>
    </row>
    <row r="854" spans="1:21" x14ac:dyDescent="0.2">
      <c r="A854" s="285"/>
      <c r="B854" s="399"/>
      <c r="C854" s="297"/>
      <c r="D854" s="394"/>
      <c r="E854" s="297"/>
      <c r="F854" s="394"/>
      <c r="G854" s="297"/>
      <c r="H854" s="297"/>
      <c r="I854" s="297"/>
      <c r="J854" s="297"/>
      <c r="K854" s="297"/>
      <c r="L854" s="297"/>
      <c r="M854" s="297"/>
      <c r="N854" s="297"/>
      <c r="O854" s="297"/>
      <c r="P854" s="365"/>
      <c r="Q854"/>
      <c r="R854"/>
      <c r="S854"/>
      <c r="T854"/>
      <c r="U854"/>
    </row>
    <row r="855" spans="1:21" x14ac:dyDescent="0.2">
      <c r="A855" s="285"/>
      <c r="B855" s="399"/>
      <c r="C855" s="297"/>
      <c r="D855" s="394"/>
      <c r="E855" s="297"/>
      <c r="F855" s="394"/>
      <c r="G855" s="297"/>
      <c r="H855" s="297"/>
      <c r="I855" s="297"/>
      <c r="J855" s="297"/>
      <c r="K855" s="297"/>
      <c r="L855" s="297"/>
      <c r="M855" s="297"/>
      <c r="N855" s="297"/>
      <c r="O855" s="297"/>
      <c r="P855" s="365"/>
      <c r="Q855"/>
      <c r="R855"/>
      <c r="S855"/>
      <c r="T855"/>
      <c r="U855"/>
    </row>
    <row r="856" spans="1:21" x14ac:dyDescent="0.2">
      <c r="A856" s="285"/>
      <c r="B856" s="399"/>
      <c r="C856" s="297"/>
      <c r="D856" s="394"/>
      <c r="E856" s="297"/>
      <c r="F856" s="394"/>
      <c r="G856" s="297"/>
      <c r="H856" s="297"/>
      <c r="I856" s="297"/>
      <c r="J856" s="297"/>
      <c r="K856" s="297"/>
      <c r="L856" s="297"/>
      <c r="M856" s="297"/>
      <c r="N856" s="297"/>
      <c r="O856" s="297"/>
      <c r="P856" s="365"/>
      <c r="Q856"/>
      <c r="R856"/>
      <c r="S856"/>
      <c r="T856"/>
      <c r="U856"/>
    </row>
    <row r="857" spans="1:21" x14ac:dyDescent="0.2">
      <c r="A857" s="285"/>
      <c r="B857" s="399"/>
      <c r="C857" s="297"/>
      <c r="D857" s="394"/>
      <c r="E857" s="297"/>
      <c r="F857" s="394"/>
      <c r="G857" s="297"/>
      <c r="H857" s="297"/>
      <c r="I857" s="297"/>
      <c r="J857" s="297"/>
      <c r="K857" s="297"/>
      <c r="L857" s="297"/>
      <c r="M857" s="297"/>
      <c r="N857" s="297"/>
      <c r="O857" s="297"/>
      <c r="P857" s="365"/>
      <c r="Q857"/>
      <c r="R857"/>
      <c r="S857"/>
      <c r="T857"/>
      <c r="U857"/>
    </row>
    <row r="858" spans="1:21" x14ac:dyDescent="0.2">
      <c r="A858" s="285"/>
      <c r="B858" s="399"/>
      <c r="C858" s="297"/>
      <c r="D858" s="394"/>
      <c r="E858" s="297"/>
      <c r="F858" s="394"/>
      <c r="G858" s="297"/>
      <c r="H858" s="297"/>
      <c r="I858" s="297"/>
      <c r="J858" s="297"/>
      <c r="K858" s="297"/>
      <c r="L858" s="297"/>
      <c r="M858" s="297"/>
      <c r="N858" s="297"/>
      <c r="O858" s="297"/>
      <c r="P858" s="365"/>
      <c r="Q858"/>
      <c r="R858"/>
      <c r="S858"/>
      <c r="T858"/>
      <c r="U858"/>
    </row>
    <row r="859" spans="1:21" x14ac:dyDescent="0.2">
      <c r="A859" s="285"/>
      <c r="B859" s="399"/>
      <c r="C859" s="297"/>
      <c r="D859" s="394"/>
      <c r="E859" s="297"/>
      <c r="F859" s="394"/>
      <c r="G859" s="297"/>
      <c r="H859" s="297"/>
      <c r="I859" s="297"/>
      <c r="J859" s="297"/>
      <c r="K859" s="297"/>
      <c r="L859" s="297"/>
      <c r="M859" s="297"/>
      <c r="N859" s="297"/>
      <c r="O859" s="297"/>
      <c r="P859" s="365"/>
      <c r="Q859"/>
      <c r="R859"/>
      <c r="S859"/>
      <c r="T859"/>
      <c r="U859"/>
    </row>
    <row r="860" spans="1:21" x14ac:dyDescent="0.2">
      <c r="A860" s="285"/>
      <c r="B860" s="399"/>
      <c r="C860" s="297"/>
      <c r="D860" s="394"/>
      <c r="E860" s="297"/>
      <c r="F860" s="394"/>
      <c r="G860" s="297"/>
      <c r="H860" s="297"/>
      <c r="I860" s="297"/>
      <c r="J860" s="297"/>
      <c r="K860" s="297"/>
      <c r="L860" s="297"/>
      <c r="M860" s="297"/>
      <c r="N860" s="297"/>
      <c r="O860" s="297"/>
      <c r="P860" s="365"/>
      <c r="Q860"/>
      <c r="R860"/>
      <c r="S860"/>
      <c r="T860"/>
      <c r="U860"/>
    </row>
    <row r="861" spans="1:21" x14ac:dyDescent="0.2">
      <c r="A861" s="285"/>
      <c r="B861" s="399"/>
      <c r="C861" s="297"/>
      <c r="D861" s="394"/>
      <c r="E861" s="297"/>
      <c r="F861" s="394"/>
      <c r="G861" s="297"/>
      <c r="H861" s="297"/>
      <c r="I861" s="297"/>
      <c r="J861" s="297"/>
      <c r="K861" s="297"/>
      <c r="L861" s="297"/>
      <c r="M861" s="297"/>
      <c r="N861" s="297"/>
      <c r="O861" s="297"/>
      <c r="P861" s="365"/>
      <c r="Q861"/>
      <c r="R861"/>
      <c r="S861"/>
      <c r="T861"/>
      <c r="U861"/>
    </row>
    <row r="862" spans="1:21" x14ac:dyDescent="0.2">
      <c r="A862" s="285"/>
      <c r="B862" s="399"/>
      <c r="C862" s="297"/>
      <c r="D862" s="394"/>
      <c r="E862" s="297"/>
      <c r="F862" s="394"/>
      <c r="G862" s="297"/>
      <c r="H862" s="297"/>
      <c r="I862" s="297"/>
      <c r="J862" s="297"/>
      <c r="K862" s="297"/>
      <c r="L862" s="297"/>
      <c r="M862" s="297"/>
      <c r="N862" s="297"/>
      <c r="O862" s="297"/>
      <c r="P862" s="365"/>
      <c r="Q862"/>
      <c r="R862"/>
      <c r="S862"/>
      <c r="T862"/>
      <c r="U862"/>
    </row>
    <row r="863" spans="1:21" x14ac:dyDescent="0.2">
      <c r="A863" s="285"/>
      <c r="B863" s="399"/>
      <c r="C863" s="297"/>
      <c r="D863" s="394"/>
      <c r="E863" s="297"/>
      <c r="F863" s="394"/>
      <c r="G863" s="297"/>
      <c r="H863" s="297"/>
      <c r="I863" s="297"/>
      <c r="J863" s="297"/>
      <c r="K863" s="297"/>
      <c r="L863" s="297"/>
      <c r="M863" s="297"/>
      <c r="N863" s="297"/>
      <c r="O863" s="297"/>
      <c r="P863" s="365"/>
      <c r="Q863"/>
      <c r="R863"/>
      <c r="S863"/>
      <c r="T863"/>
      <c r="U863"/>
    </row>
    <row r="864" spans="1:21" x14ac:dyDescent="0.2">
      <c r="A864" s="285"/>
      <c r="B864" s="399"/>
      <c r="C864" s="297"/>
      <c r="D864" s="394"/>
      <c r="E864" s="297"/>
      <c r="F864" s="394"/>
      <c r="G864" s="297"/>
      <c r="H864" s="297"/>
      <c r="I864" s="297"/>
      <c r="J864" s="297"/>
      <c r="K864" s="297"/>
      <c r="L864" s="297"/>
      <c r="M864" s="297"/>
      <c r="N864" s="297"/>
      <c r="O864" s="297"/>
      <c r="P864" s="365"/>
      <c r="Q864"/>
      <c r="R864"/>
      <c r="S864"/>
      <c r="T864"/>
      <c r="U864"/>
    </row>
    <row r="865" spans="1:21" x14ac:dyDescent="0.2">
      <c r="A865" s="285"/>
      <c r="B865" s="399"/>
      <c r="C865" s="297"/>
      <c r="D865" s="394"/>
      <c r="E865" s="297"/>
      <c r="F865" s="394"/>
      <c r="G865" s="297"/>
      <c r="H865" s="297"/>
      <c r="I865" s="297"/>
      <c r="J865" s="297"/>
      <c r="K865" s="297"/>
      <c r="L865" s="297"/>
      <c r="M865" s="297"/>
      <c r="N865" s="297"/>
      <c r="O865" s="297"/>
      <c r="P865" s="363"/>
      <c r="Q865"/>
      <c r="R865"/>
      <c r="S865"/>
      <c r="T865"/>
      <c r="U865"/>
    </row>
    <row r="866" spans="1:21" x14ac:dyDescent="0.2">
      <c r="A866" s="285"/>
      <c r="B866" s="399"/>
      <c r="C866" s="297"/>
      <c r="D866" s="394"/>
      <c r="E866" s="297"/>
      <c r="F866" s="394"/>
      <c r="G866" s="297"/>
      <c r="H866" s="297"/>
      <c r="I866" s="297"/>
      <c r="J866" s="297"/>
      <c r="K866" s="297"/>
      <c r="L866" s="297"/>
      <c r="M866" s="297"/>
      <c r="N866" s="297"/>
      <c r="O866" s="297"/>
      <c r="P866" s="363"/>
      <c r="Q866"/>
      <c r="R866"/>
      <c r="S866"/>
      <c r="T866"/>
      <c r="U866"/>
    </row>
    <row r="867" spans="1:21" x14ac:dyDescent="0.2">
      <c r="A867"/>
      <c r="B867" s="399"/>
      <c r="C867" s="297"/>
      <c r="D867" s="394"/>
      <c r="E867" s="297"/>
      <c r="F867" s="394"/>
      <c r="G867" s="297"/>
      <c r="H867" s="297"/>
      <c r="I867" s="297"/>
      <c r="J867" s="297"/>
      <c r="K867" s="297"/>
      <c r="L867" s="297"/>
      <c r="M867" s="297"/>
      <c r="N867" s="297"/>
      <c r="O867" s="297"/>
      <c r="P867"/>
      <c r="Q867"/>
      <c r="R867"/>
      <c r="S867"/>
      <c r="T867"/>
      <c r="U867"/>
    </row>
    <row r="868" spans="1:21" x14ac:dyDescent="0.2">
      <c r="A868"/>
      <c r="B868" s="399"/>
      <c r="C868" s="297"/>
      <c r="D868" s="394"/>
      <c r="E868" s="297"/>
      <c r="F868" s="394"/>
      <c r="G868" s="297"/>
      <c r="H868" s="297"/>
      <c r="I868" s="297"/>
      <c r="J868" s="297"/>
      <c r="K868" s="297"/>
      <c r="L868" s="297"/>
      <c r="M868" s="297"/>
      <c r="N868" s="297"/>
      <c r="O868" s="297"/>
      <c r="P868"/>
      <c r="Q868"/>
      <c r="R868"/>
      <c r="S868"/>
      <c r="T868"/>
      <c r="U868"/>
    </row>
    <row r="869" spans="1:21" x14ac:dyDescent="0.2">
      <c r="A869"/>
      <c r="B869" s="399"/>
      <c r="C869" s="297"/>
      <c r="D869" s="394"/>
      <c r="E869" s="297"/>
      <c r="F869" s="394"/>
      <c r="G869" s="297"/>
      <c r="H869" s="297"/>
      <c r="I869" s="297"/>
      <c r="J869" s="297"/>
      <c r="K869" s="297"/>
      <c r="L869" s="297"/>
      <c r="M869" s="297"/>
      <c r="N869" s="297"/>
      <c r="O869" s="297"/>
      <c r="P869"/>
      <c r="Q869"/>
      <c r="R869"/>
      <c r="S869"/>
      <c r="T869"/>
      <c r="U869"/>
    </row>
    <row r="870" spans="1:21" x14ac:dyDescent="0.2">
      <c r="A870"/>
      <c r="B870" s="399"/>
      <c r="C870" s="297"/>
      <c r="D870" s="394"/>
      <c r="E870" s="297"/>
      <c r="F870" s="394"/>
      <c r="G870" s="297"/>
      <c r="H870" s="297"/>
      <c r="I870" s="297"/>
      <c r="J870" s="297"/>
      <c r="K870" s="297"/>
      <c r="L870" s="297"/>
      <c r="M870" s="297"/>
      <c r="N870" s="297"/>
      <c r="O870" s="297"/>
      <c r="P870"/>
      <c r="Q870"/>
      <c r="R870"/>
      <c r="S870"/>
      <c r="T870"/>
      <c r="U870"/>
    </row>
    <row r="871" spans="1:21" x14ac:dyDescent="0.2">
      <c r="A871"/>
      <c r="B871" s="399"/>
      <c r="C871" s="297"/>
      <c r="D871" s="394"/>
      <c r="E871" s="297"/>
      <c r="F871" s="394"/>
      <c r="G871" s="297"/>
      <c r="H871" s="297"/>
      <c r="I871" s="297"/>
      <c r="J871" s="297"/>
      <c r="K871" s="297"/>
      <c r="L871" s="297"/>
      <c r="M871" s="297"/>
      <c r="N871" s="297"/>
      <c r="O871" s="297"/>
      <c r="P871"/>
      <c r="Q871"/>
      <c r="R871"/>
      <c r="S871"/>
      <c r="T871"/>
      <c r="U871"/>
    </row>
    <row r="872" spans="1:21" x14ac:dyDescent="0.2">
      <c r="A872"/>
      <c r="B872" s="399"/>
      <c r="C872" s="297"/>
      <c r="D872" s="394"/>
      <c r="E872" s="297"/>
      <c r="F872" s="394"/>
      <c r="G872" s="297"/>
      <c r="H872" s="297"/>
      <c r="I872" s="297"/>
      <c r="J872" s="297"/>
      <c r="K872" s="297"/>
      <c r="L872" s="297"/>
      <c r="M872" s="297"/>
      <c r="N872" s="297"/>
      <c r="O872" s="297"/>
      <c r="P872"/>
      <c r="Q872"/>
      <c r="R872"/>
      <c r="S872"/>
      <c r="T872"/>
      <c r="U872"/>
    </row>
    <row r="873" spans="1:21" x14ac:dyDescent="0.2">
      <c r="A873"/>
      <c r="B873" s="399"/>
      <c r="C873" s="297"/>
      <c r="D873" s="394"/>
      <c r="E873" s="297"/>
      <c r="F873" s="394"/>
      <c r="G873" s="297"/>
      <c r="H873" s="297"/>
      <c r="I873" s="297"/>
      <c r="J873" s="297"/>
      <c r="K873" s="297"/>
      <c r="L873" s="297"/>
      <c r="M873" s="297"/>
      <c r="N873" s="297"/>
      <c r="O873" s="297"/>
      <c r="P873"/>
      <c r="Q873"/>
      <c r="R873"/>
      <c r="S873"/>
      <c r="T873"/>
      <c r="U873"/>
    </row>
    <row r="874" spans="1:21" x14ac:dyDescent="0.2">
      <c r="A874"/>
      <c r="B874" s="399"/>
      <c r="C874" s="297"/>
      <c r="D874" s="394"/>
      <c r="E874" s="297"/>
      <c r="F874" s="394"/>
      <c r="G874" s="297"/>
      <c r="H874" s="297"/>
      <c r="I874" s="297"/>
      <c r="J874" s="297"/>
      <c r="K874" s="297"/>
      <c r="L874" s="297"/>
      <c r="M874" s="297"/>
      <c r="N874" s="297"/>
      <c r="O874" s="297"/>
      <c r="P874"/>
      <c r="Q874"/>
      <c r="R874"/>
      <c r="S874"/>
      <c r="T874"/>
      <c r="U874"/>
    </row>
    <row r="875" spans="1:21" x14ac:dyDescent="0.2">
      <c r="A875"/>
      <c r="B875" s="399"/>
      <c r="C875" s="297"/>
      <c r="D875" s="394"/>
      <c r="E875" s="297"/>
      <c r="F875" s="394"/>
      <c r="G875" s="297"/>
      <c r="H875" s="297"/>
      <c r="I875" s="297"/>
      <c r="J875" s="297"/>
      <c r="K875" s="297"/>
      <c r="L875" s="297"/>
      <c r="M875" s="297"/>
      <c r="N875" s="297"/>
      <c r="O875" s="297"/>
      <c r="P875"/>
      <c r="Q875"/>
      <c r="R875"/>
      <c r="S875"/>
      <c r="T875"/>
      <c r="U875"/>
    </row>
    <row r="876" spans="1:21" x14ac:dyDescent="0.2">
      <c r="A876"/>
      <c r="B876" s="399"/>
      <c r="C876" s="297"/>
      <c r="D876" s="394"/>
      <c r="E876" s="297"/>
      <c r="F876" s="394"/>
      <c r="G876" s="297"/>
      <c r="H876" s="297"/>
      <c r="I876" s="297"/>
      <c r="J876" s="297"/>
      <c r="K876" s="297"/>
      <c r="L876" s="297"/>
      <c r="M876" s="297"/>
      <c r="N876" s="297"/>
      <c r="O876" s="297"/>
      <c r="P876"/>
      <c r="Q876"/>
      <c r="R876"/>
      <c r="S876"/>
      <c r="T876"/>
      <c r="U876"/>
    </row>
    <row r="877" spans="1:21" x14ac:dyDescent="0.2">
      <c r="A877"/>
      <c r="B877" s="399"/>
      <c r="C877" s="297"/>
      <c r="D877" s="394"/>
      <c r="E877" s="297"/>
      <c r="F877" s="394"/>
      <c r="G877" s="297"/>
      <c r="H877" s="297"/>
      <c r="I877" s="297"/>
      <c r="J877" s="297"/>
      <c r="K877" s="297"/>
      <c r="L877" s="297"/>
      <c r="M877" s="297"/>
      <c r="N877" s="297"/>
      <c r="O877" s="297"/>
      <c r="P877"/>
      <c r="Q877"/>
      <c r="R877"/>
      <c r="S877"/>
      <c r="T877"/>
      <c r="U877"/>
    </row>
    <row r="878" spans="1:21" x14ac:dyDescent="0.2">
      <c r="A878"/>
      <c r="B878" s="399"/>
      <c r="C878" s="297"/>
      <c r="D878" s="394"/>
      <c r="E878" s="297"/>
      <c r="F878" s="394"/>
      <c r="G878" s="297"/>
      <c r="H878" s="297"/>
      <c r="I878" s="297"/>
      <c r="J878" s="297"/>
      <c r="K878" s="297"/>
      <c r="L878" s="297"/>
      <c r="M878" s="297"/>
      <c r="N878" s="297"/>
      <c r="O878" s="297"/>
      <c r="P878"/>
      <c r="Q878"/>
      <c r="R878"/>
      <c r="S878"/>
      <c r="T878"/>
      <c r="U878"/>
    </row>
    <row r="879" spans="1:21" x14ac:dyDescent="0.2">
      <c r="A879"/>
      <c r="B879" s="399"/>
      <c r="C879" s="297"/>
      <c r="D879" s="394"/>
      <c r="E879" s="297"/>
      <c r="F879" s="394"/>
      <c r="G879" s="297"/>
      <c r="H879" s="297"/>
      <c r="I879" s="297"/>
      <c r="J879" s="297"/>
      <c r="K879" s="297"/>
      <c r="L879" s="297"/>
      <c r="M879" s="297"/>
      <c r="N879" s="297"/>
      <c r="O879" s="297"/>
      <c r="P879"/>
      <c r="Q879"/>
      <c r="R879"/>
      <c r="S879"/>
      <c r="T879"/>
      <c r="U879"/>
    </row>
    <row r="880" spans="1:21" x14ac:dyDescent="0.2">
      <c r="A880"/>
      <c r="B880" s="399"/>
      <c r="C880" s="297"/>
      <c r="D880" s="394"/>
      <c r="E880" s="297"/>
      <c r="F880" s="394"/>
      <c r="G880" s="297"/>
      <c r="H880" s="297"/>
      <c r="I880" s="297"/>
      <c r="J880" s="297"/>
      <c r="K880" s="297"/>
      <c r="L880" s="297"/>
      <c r="M880" s="297"/>
      <c r="N880" s="297"/>
      <c r="O880" s="297"/>
      <c r="P880"/>
      <c r="Q880"/>
      <c r="R880"/>
      <c r="S880"/>
      <c r="T880"/>
      <c r="U880"/>
    </row>
    <row r="881" spans="1:21" x14ac:dyDescent="0.2">
      <c r="A881"/>
      <c r="B881" s="399"/>
      <c r="C881" s="297"/>
      <c r="D881" s="394"/>
      <c r="E881" s="297"/>
      <c r="F881" s="394"/>
      <c r="G881" s="297"/>
      <c r="H881" s="297"/>
      <c r="I881" s="297"/>
      <c r="J881" s="297"/>
      <c r="K881" s="297"/>
      <c r="L881" s="297"/>
      <c r="M881" s="297"/>
      <c r="N881" s="297"/>
      <c r="O881" s="297"/>
      <c r="P881"/>
      <c r="Q881"/>
      <c r="R881"/>
      <c r="S881"/>
      <c r="T881"/>
      <c r="U881"/>
    </row>
    <row r="882" spans="1:21" x14ac:dyDescent="0.2">
      <c r="A882"/>
      <c r="B882" s="399"/>
      <c r="C882" s="297"/>
      <c r="D882" s="394"/>
      <c r="E882" s="297"/>
      <c r="F882" s="394"/>
      <c r="G882" s="297"/>
      <c r="H882" s="297"/>
      <c r="I882" s="297"/>
      <c r="J882" s="297"/>
      <c r="K882" s="297"/>
      <c r="L882" s="297"/>
      <c r="M882" s="297"/>
      <c r="N882" s="297"/>
      <c r="O882" s="297"/>
      <c r="P882"/>
      <c r="Q882"/>
      <c r="R882"/>
      <c r="S882"/>
      <c r="T882"/>
      <c r="U882"/>
    </row>
    <row r="883" spans="1:21" x14ac:dyDescent="0.2">
      <c r="A883"/>
      <c r="B883" s="399"/>
      <c r="C883" s="297"/>
      <c r="D883" s="394"/>
      <c r="E883" s="297"/>
      <c r="F883" s="394"/>
      <c r="G883" s="297"/>
      <c r="H883" s="297"/>
      <c r="I883" s="297"/>
      <c r="J883" s="297"/>
      <c r="K883" s="297"/>
      <c r="L883" s="297"/>
      <c r="M883" s="297"/>
      <c r="N883" s="297"/>
      <c r="O883" s="297"/>
      <c r="P883"/>
      <c r="Q883"/>
      <c r="R883"/>
      <c r="S883"/>
      <c r="T883"/>
      <c r="U883"/>
    </row>
    <row r="884" spans="1:21" x14ac:dyDescent="0.2">
      <c r="A884"/>
      <c r="B884" s="399"/>
      <c r="C884" s="297"/>
      <c r="D884" s="394"/>
      <c r="E884" s="297"/>
      <c r="F884" s="394"/>
      <c r="G884" s="297"/>
      <c r="H884" s="297"/>
      <c r="I884" s="297"/>
      <c r="J884" s="297"/>
      <c r="K884" s="297"/>
      <c r="L884" s="297"/>
      <c r="M884" s="297"/>
      <c r="N884" s="297"/>
      <c r="O884" s="297"/>
      <c r="P884"/>
      <c r="Q884"/>
      <c r="R884"/>
      <c r="S884"/>
      <c r="T884"/>
      <c r="U884"/>
    </row>
    <row r="885" spans="1:21" x14ac:dyDescent="0.2">
      <c r="A885"/>
      <c r="B885" s="399"/>
      <c r="C885" s="297"/>
      <c r="D885" s="394"/>
      <c r="E885" s="297"/>
      <c r="F885" s="394"/>
      <c r="G885" s="297"/>
      <c r="H885" s="297"/>
      <c r="I885" s="297"/>
      <c r="J885" s="297"/>
      <c r="K885" s="297"/>
      <c r="L885" s="297"/>
      <c r="M885" s="297"/>
      <c r="N885" s="297"/>
      <c r="O885" s="297"/>
      <c r="P885"/>
      <c r="Q885"/>
      <c r="R885"/>
      <c r="S885"/>
      <c r="T885"/>
      <c r="U885"/>
    </row>
    <row r="886" spans="1:21" x14ac:dyDescent="0.2">
      <c r="A886"/>
      <c r="B886" s="399"/>
      <c r="C886" s="297"/>
      <c r="D886" s="394"/>
      <c r="E886" s="297"/>
      <c r="F886" s="394"/>
      <c r="G886" s="297"/>
      <c r="H886" s="297"/>
      <c r="I886" s="297"/>
      <c r="J886" s="297"/>
      <c r="K886" s="297"/>
      <c r="L886" s="297"/>
      <c r="M886" s="297"/>
      <c r="N886" s="297"/>
      <c r="O886" s="297"/>
      <c r="P886"/>
      <c r="Q886"/>
      <c r="R886"/>
      <c r="S886"/>
      <c r="T886"/>
      <c r="U886"/>
    </row>
    <row r="887" spans="1:21" x14ac:dyDescent="0.2">
      <c r="A887"/>
      <c r="B887" s="399"/>
      <c r="C887" s="297"/>
      <c r="D887" s="394"/>
      <c r="E887" s="297"/>
      <c r="F887" s="394"/>
      <c r="G887" s="297"/>
      <c r="H887" s="297"/>
      <c r="I887" s="297"/>
      <c r="J887" s="297"/>
      <c r="K887" s="297"/>
      <c r="L887" s="297"/>
      <c r="M887" s="297"/>
      <c r="N887" s="297"/>
      <c r="O887" s="297"/>
      <c r="P887"/>
      <c r="Q887"/>
      <c r="R887"/>
      <c r="S887"/>
      <c r="T887"/>
      <c r="U887"/>
    </row>
    <row r="888" spans="1:21" x14ac:dyDescent="0.2">
      <c r="A888"/>
      <c r="B888" s="399"/>
      <c r="C888" s="297"/>
      <c r="D888" s="394"/>
      <c r="E888" s="297"/>
      <c r="F888" s="394"/>
      <c r="G888" s="297"/>
      <c r="H888" s="297"/>
      <c r="I888" s="297"/>
      <c r="J888" s="297"/>
      <c r="K888" s="297"/>
      <c r="L888" s="297"/>
      <c r="M888" s="297"/>
      <c r="N888" s="297"/>
      <c r="O888" s="297"/>
      <c r="P888"/>
      <c r="Q888"/>
      <c r="R888"/>
      <c r="S888"/>
      <c r="T888"/>
      <c r="U888"/>
    </row>
    <row r="889" spans="1:21" x14ac:dyDescent="0.2">
      <c r="A889"/>
      <c r="B889" s="399"/>
      <c r="C889" s="297"/>
      <c r="D889" s="394"/>
      <c r="E889" s="297"/>
      <c r="F889" s="394"/>
      <c r="G889" s="297"/>
      <c r="H889" s="297"/>
      <c r="I889" s="297"/>
      <c r="J889" s="297"/>
      <c r="K889" s="297"/>
      <c r="L889" s="297"/>
      <c r="M889" s="297"/>
      <c r="N889" s="297"/>
      <c r="O889" s="297"/>
      <c r="P889"/>
      <c r="Q889"/>
      <c r="R889"/>
      <c r="S889"/>
      <c r="T889"/>
      <c r="U889"/>
    </row>
    <row r="890" spans="1:21" x14ac:dyDescent="0.2">
      <c r="A890"/>
      <c r="B890" s="399"/>
      <c r="C890" s="297"/>
      <c r="D890" s="394"/>
      <c r="E890" s="297"/>
      <c r="F890" s="394"/>
      <c r="G890" s="297"/>
      <c r="H890" s="297"/>
      <c r="I890" s="297"/>
      <c r="J890" s="297"/>
      <c r="K890" s="297"/>
      <c r="L890" s="297"/>
      <c r="M890" s="297"/>
      <c r="N890" s="297"/>
      <c r="O890" s="297"/>
      <c r="P890"/>
      <c r="Q890"/>
      <c r="R890"/>
      <c r="S890"/>
      <c r="T890"/>
      <c r="U890"/>
    </row>
    <row r="891" spans="1:21" x14ac:dyDescent="0.2">
      <c r="A891"/>
      <c r="B891" s="399"/>
      <c r="C891" s="297"/>
      <c r="D891" s="394"/>
      <c r="E891" s="297"/>
      <c r="F891" s="394"/>
      <c r="G891" s="297"/>
      <c r="H891" s="297"/>
      <c r="I891" s="297"/>
      <c r="J891" s="297"/>
      <c r="K891" s="297"/>
      <c r="L891" s="297"/>
      <c r="M891" s="297"/>
      <c r="N891" s="297"/>
      <c r="O891" s="297"/>
      <c r="P891"/>
      <c r="Q891"/>
      <c r="R891"/>
      <c r="S891"/>
      <c r="T891"/>
      <c r="U891"/>
    </row>
    <row r="892" spans="1:21" x14ac:dyDescent="0.2">
      <c r="A892"/>
      <c r="B892" s="399"/>
      <c r="C892" s="297"/>
      <c r="D892" s="394"/>
      <c r="E892" s="297"/>
      <c r="F892" s="394"/>
      <c r="G892" s="297"/>
      <c r="H892" s="297"/>
      <c r="I892" s="297"/>
      <c r="J892" s="297"/>
      <c r="K892" s="297"/>
      <c r="L892" s="297"/>
      <c r="M892" s="297"/>
      <c r="N892" s="297"/>
      <c r="O892" s="297"/>
      <c r="P892"/>
      <c r="Q892"/>
      <c r="R892"/>
      <c r="S892"/>
      <c r="T892"/>
      <c r="U892"/>
    </row>
    <row r="893" spans="1:21" x14ac:dyDescent="0.2">
      <c r="A893"/>
      <c r="B893" s="399"/>
      <c r="C893" s="297"/>
      <c r="D893" s="394"/>
      <c r="E893" s="297"/>
      <c r="F893" s="394"/>
      <c r="G893" s="297"/>
      <c r="H893" s="297"/>
      <c r="I893" s="297"/>
      <c r="J893" s="297"/>
      <c r="K893" s="297"/>
      <c r="L893" s="297"/>
      <c r="M893" s="297"/>
      <c r="N893" s="297"/>
      <c r="O893" s="297"/>
      <c r="P893"/>
      <c r="Q893"/>
      <c r="R893"/>
      <c r="S893"/>
      <c r="T893"/>
      <c r="U893"/>
    </row>
    <row r="894" spans="1:21" x14ac:dyDescent="0.2">
      <c r="A894"/>
      <c r="B894" s="399"/>
      <c r="C894" s="297"/>
      <c r="D894" s="394"/>
      <c r="E894" s="297"/>
      <c r="F894" s="394"/>
      <c r="G894" s="297"/>
      <c r="H894" s="297"/>
      <c r="I894" s="297"/>
      <c r="J894" s="297"/>
      <c r="K894" s="297"/>
      <c r="L894" s="297"/>
      <c r="M894" s="297"/>
      <c r="N894" s="297"/>
      <c r="O894" s="297"/>
      <c r="P894"/>
      <c r="Q894"/>
      <c r="R894"/>
      <c r="S894"/>
      <c r="T894"/>
      <c r="U894"/>
    </row>
    <row r="895" spans="1:21" x14ac:dyDescent="0.2">
      <c r="A895"/>
      <c r="B895" s="399"/>
      <c r="C895" s="297"/>
      <c r="D895" s="394"/>
      <c r="E895" s="297"/>
      <c r="F895" s="394"/>
      <c r="G895" s="297"/>
      <c r="H895" s="297"/>
      <c r="I895" s="297"/>
      <c r="J895" s="297"/>
      <c r="K895" s="297"/>
      <c r="L895" s="297"/>
      <c r="M895" s="297"/>
      <c r="N895" s="297"/>
      <c r="O895" s="297"/>
      <c r="P895"/>
      <c r="Q895"/>
      <c r="R895"/>
      <c r="S895"/>
      <c r="T895"/>
      <c r="U895"/>
    </row>
    <row r="896" spans="1:21" x14ac:dyDescent="0.2">
      <c r="A896"/>
      <c r="B896" s="399"/>
      <c r="C896" s="297"/>
      <c r="D896" s="394"/>
      <c r="E896" s="297"/>
      <c r="F896" s="394"/>
      <c r="G896" s="297"/>
      <c r="H896" s="297"/>
      <c r="I896" s="297"/>
      <c r="J896" s="297"/>
      <c r="K896" s="297"/>
      <c r="L896" s="297"/>
      <c r="M896" s="297"/>
      <c r="N896" s="297"/>
      <c r="O896" s="297"/>
      <c r="P896"/>
      <c r="Q896"/>
      <c r="R896"/>
      <c r="S896"/>
      <c r="T896"/>
      <c r="U896"/>
    </row>
    <row r="897" spans="1:21" x14ac:dyDescent="0.2">
      <c r="A897"/>
      <c r="B897" s="399"/>
      <c r="C897" s="297"/>
      <c r="D897" s="394"/>
      <c r="E897" s="297"/>
      <c r="F897" s="394"/>
      <c r="G897" s="297"/>
      <c r="H897" s="297"/>
      <c r="I897" s="297"/>
      <c r="J897" s="297"/>
      <c r="K897" s="297"/>
      <c r="L897" s="297"/>
      <c r="M897" s="297"/>
      <c r="N897" s="297"/>
      <c r="O897" s="297"/>
      <c r="P897"/>
      <c r="Q897"/>
      <c r="R897"/>
      <c r="S897"/>
      <c r="T897"/>
      <c r="U897"/>
    </row>
    <row r="898" spans="1:21" x14ac:dyDescent="0.2">
      <c r="A898"/>
      <c r="B898" s="399"/>
      <c r="C898" s="297"/>
      <c r="D898" s="394"/>
      <c r="E898" s="297"/>
      <c r="F898" s="394"/>
      <c r="G898" s="297"/>
      <c r="H898" s="297"/>
      <c r="I898" s="297"/>
      <c r="J898" s="297"/>
      <c r="K898" s="297"/>
      <c r="L898" s="297"/>
      <c r="M898" s="297"/>
      <c r="N898" s="297"/>
      <c r="O898" s="297"/>
      <c r="P898"/>
      <c r="Q898"/>
      <c r="R898"/>
      <c r="S898"/>
      <c r="T898"/>
      <c r="U898"/>
    </row>
    <row r="899" spans="1:21" x14ac:dyDescent="0.2">
      <c r="A899"/>
      <c r="B899" s="399"/>
      <c r="C899" s="297"/>
      <c r="D899" s="394"/>
      <c r="E899" s="297"/>
      <c r="F899" s="394"/>
      <c r="G899" s="297"/>
      <c r="H899" s="297"/>
      <c r="I899" s="297"/>
      <c r="J899" s="297"/>
      <c r="K899" s="297"/>
      <c r="L899" s="297"/>
      <c r="M899" s="297"/>
      <c r="N899" s="297"/>
      <c r="O899" s="297"/>
      <c r="P899"/>
      <c r="Q899"/>
      <c r="R899"/>
      <c r="S899"/>
      <c r="T899"/>
      <c r="U899"/>
    </row>
    <row r="900" spans="1:21" x14ac:dyDescent="0.2">
      <c r="A900"/>
      <c r="B900" s="399"/>
      <c r="C900" s="297"/>
      <c r="D900" s="394"/>
      <c r="E900" s="297"/>
      <c r="F900" s="394"/>
      <c r="G900" s="297"/>
      <c r="H900" s="297"/>
      <c r="I900" s="297"/>
      <c r="J900" s="297"/>
      <c r="K900" s="297"/>
      <c r="L900" s="297"/>
      <c r="M900" s="297"/>
      <c r="N900" s="297"/>
      <c r="O900" s="297"/>
      <c r="P900"/>
      <c r="Q900"/>
      <c r="R900"/>
      <c r="S900"/>
      <c r="T900"/>
      <c r="U900"/>
    </row>
    <row r="901" spans="1:21" x14ac:dyDescent="0.2">
      <c r="A901"/>
      <c r="B901" s="399"/>
      <c r="C901" s="297"/>
      <c r="D901" s="394"/>
      <c r="E901" s="297"/>
      <c r="F901" s="394"/>
      <c r="G901" s="297"/>
      <c r="H901" s="297"/>
      <c r="I901" s="297"/>
      <c r="J901" s="297"/>
      <c r="K901" s="297"/>
      <c r="L901" s="297"/>
      <c r="M901" s="297"/>
      <c r="N901" s="297"/>
      <c r="O901" s="297"/>
      <c r="P901"/>
      <c r="Q901"/>
      <c r="R901"/>
      <c r="S901"/>
      <c r="T901"/>
      <c r="U901"/>
    </row>
    <row r="902" spans="1:21" x14ac:dyDescent="0.2">
      <c r="A902"/>
      <c r="B902" s="399"/>
      <c r="C902" s="297"/>
      <c r="D902" s="394"/>
      <c r="E902" s="297"/>
      <c r="F902" s="394"/>
      <c r="G902" s="297"/>
      <c r="H902" s="297"/>
      <c r="I902" s="297"/>
      <c r="J902" s="297"/>
      <c r="K902" s="297"/>
      <c r="L902" s="297"/>
      <c r="M902" s="297"/>
      <c r="N902" s="297"/>
      <c r="O902" s="297"/>
      <c r="P902"/>
      <c r="Q902"/>
      <c r="R902"/>
      <c r="S902"/>
      <c r="T902"/>
      <c r="U902"/>
    </row>
    <row r="903" spans="1:21" x14ac:dyDescent="0.2">
      <c r="A903"/>
      <c r="B903" s="399"/>
      <c r="C903" s="297"/>
      <c r="D903" s="394"/>
      <c r="E903" s="297"/>
      <c r="F903" s="394"/>
      <c r="G903" s="297"/>
      <c r="H903" s="297"/>
      <c r="I903" s="297"/>
      <c r="J903" s="297"/>
      <c r="K903" s="297"/>
      <c r="L903" s="297"/>
      <c r="M903" s="297"/>
      <c r="N903" s="297"/>
      <c r="O903" s="297"/>
      <c r="P903"/>
      <c r="Q903"/>
      <c r="R903"/>
      <c r="S903"/>
      <c r="T903"/>
      <c r="U903"/>
    </row>
    <row r="904" spans="1:21" x14ac:dyDescent="0.2">
      <c r="A904"/>
      <c r="B904" s="399"/>
      <c r="C904" s="297"/>
      <c r="D904" s="394"/>
      <c r="E904" s="297"/>
      <c r="F904" s="394"/>
      <c r="G904" s="297"/>
      <c r="H904" s="297"/>
      <c r="I904" s="297"/>
      <c r="J904" s="297"/>
      <c r="K904" s="297"/>
      <c r="L904" s="297"/>
      <c r="M904" s="297"/>
      <c r="N904" s="297"/>
      <c r="O904" s="297"/>
      <c r="P904"/>
      <c r="Q904"/>
      <c r="R904"/>
      <c r="S904"/>
      <c r="T904"/>
      <c r="U904"/>
    </row>
    <row r="905" spans="1:21" x14ac:dyDescent="0.2">
      <c r="A905"/>
      <c r="B905" s="399"/>
      <c r="C905" s="297"/>
      <c r="D905" s="394"/>
      <c r="E905" s="297"/>
      <c r="F905" s="394"/>
      <c r="G905" s="297"/>
      <c r="H905" s="297"/>
      <c r="I905" s="297"/>
      <c r="J905" s="297"/>
      <c r="K905" s="297"/>
      <c r="L905" s="297"/>
      <c r="M905" s="297"/>
      <c r="N905" s="297"/>
      <c r="O905" s="297"/>
      <c r="P905"/>
      <c r="Q905"/>
      <c r="R905"/>
      <c r="S905"/>
      <c r="T905"/>
      <c r="U905"/>
    </row>
    <row r="906" spans="1:21" x14ac:dyDescent="0.2">
      <c r="A906"/>
      <c r="B906" s="399"/>
      <c r="C906" s="297"/>
      <c r="D906" s="394"/>
      <c r="E906" s="297"/>
      <c r="F906" s="394"/>
      <c r="G906" s="297"/>
      <c r="H906" s="297"/>
      <c r="I906" s="297"/>
      <c r="J906" s="297"/>
      <c r="K906" s="297"/>
      <c r="L906" s="297"/>
      <c r="M906" s="297"/>
      <c r="N906" s="297"/>
      <c r="O906" s="297"/>
      <c r="P906"/>
      <c r="Q906"/>
      <c r="R906"/>
      <c r="S906"/>
      <c r="T906"/>
      <c r="U906"/>
    </row>
    <row r="907" spans="1:21" x14ac:dyDescent="0.2">
      <c r="A907"/>
      <c r="B907" s="399"/>
      <c r="C907" s="297"/>
      <c r="D907" s="394"/>
      <c r="E907" s="297"/>
      <c r="F907" s="394"/>
      <c r="G907" s="297"/>
      <c r="H907" s="297"/>
      <c r="I907" s="297"/>
      <c r="J907" s="297"/>
      <c r="K907" s="297"/>
      <c r="L907" s="297"/>
      <c r="M907" s="297"/>
      <c r="N907" s="297"/>
      <c r="O907" s="297"/>
      <c r="P907"/>
      <c r="Q907"/>
      <c r="R907"/>
      <c r="S907"/>
      <c r="T907"/>
      <c r="U907"/>
    </row>
    <row r="908" spans="1:21" x14ac:dyDescent="0.2">
      <c r="A908"/>
      <c r="B908" s="399"/>
      <c r="C908" s="297"/>
      <c r="D908" s="394"/>
      <c r="E908" s="297"/>
      <c r="F908" s="394"/>
      <c r="G908" s="297"/>
      <c r="H908" s="297"/>
      <c r="I908" s="297"/>
      <c r="J908" s="297"/>
      <c r="K908" s="297"/>
      <c r="L908" s="297"/>
      <c r="M908" s="297"/>
      <c r="N908" s="297"/>
      <c r="O908" s="297"/>
      <c r="P908"/>
      <c r="Q908"/>
      <c r="R908"/>
      <c r="S908"/>
      <c r="T908"/>
      <c r="U908"/>
    </row>
    <row r="909" spans="1:21" x14ac:dyDescent="0.2">
      <c r="A909"/>
      <c r="B909" s="399"/>
      <c r="C909" s="297"/>
      <c r="D909" s="394"/>
      <c r="E909" s="297"/>
      <c r="F909" s="394"/>
      <c r="G909" s="297"/>
      <c r="H909" s="297"/>
      <c r="I909" s="297"/>
      <c r="J909" s="297"/>
      <c r="K909" s="297"/>
      <c r="L909" s="297"/>
      <c r="M909" s="297"/>
      <c r="N909" s="297"/>
      <c r="O909" s="297"/>
      <c r="P909"/>
      <c r="Q909"/>
      <c r="R909"/>
      <c r="S909"/>
      <c r="T909"/>
      <c r="U909"/>
    </row>
    <row r="910" spans="1:21" x14ac:dyDescent="0.2">
      <c r="A910"/>
      <c r="B910" s="399"/>
      <c r="C910" s="297"/>
      <c r="D910" s="394"/>
      <c r="E910" s="297"/>
      <c r="F910" s="394"/>
      <c r="G910" s="297"/>
      <c r="H910" s="297"/>
      <c r="I910" s="297"/>
      <c r="J910" s="297"/>
      <c r="K910" s="297"/>
      <c r="L910" s="297"/>
      <c r="M910" s="297"/>
      <c r="N910" s="297"/>
      <c r="O910" s="297"/>
      <c r="P910"/>
      <c r="Q910"/>
      <c r="R910"/>
      <c r="S910"/>
      <c r="T910"/>
      <c r="U910"/>
    </row>
    <row r="911" spans="1:21" x14ac:dyDescent="0.2">
      <c r="A911"/>
      <c r="B911" s="399"/>
      <c r="C911" s="297"/>
      <c r="D911" s="394"/>
      <c r="E911" s="297"/>
      <c r="F911" s="394"/>
      <c r="G911" s="297"/>
      <c r="H911" s="297"/>
      <c r="I911" s="297"/>
      <c r="J911" s="297"/>
      <c r="K911" s="297"/>
      <c r="L911" s="297"/>
      <c r="M911" s="297"/>
      <c r="N911" s="297"/>
      <c r="O911" s="297"/>
      <c r="P911"/>
      <c r="Q911"/>
      <c r="R911"/>
      <c r="S911"/>
      <c r="T911"/>
      <c r="U911"/>
    </row>
    <row r="912" spans="1:21" x14ac:dyDescent="0.2">
      <c r="A912"/>
      <c r="B912" s="399"/>
      <c r="C912" s="297"/>
      <c r="D912" s="394"/>
      <c r="E912" s="297"/>
      <c r="F912" s="394"/>
      <c r="G912" s="297"/>
      <c r="H912" s="297"/>
      <c r="I912" s="297"/>
      <c r="J912" s="297"/>
      <c r="K912" s="297"/>
      <c r="L912" s="297"/>
      <c r="M912" s="297"/>
      <c r="N912" s="297"/>
      <c r="O912" s="297"/>
      <c r="P912"/>
      <c r="Q912"/>
      <c r="R912"/>
      <c r="S912"/>
      <c r="T912"/>
      <c r="U912"/>
    </row>
    <row r="913" spans="1:21" x14ac:dyDescent="0.2">
      <c r="A913"/>
      <c r="B913" s="399"/>
      <c r="C913" s="297"/>
      <c r="D913" s="394"/>
      <c r="E913" s="297"/>
      <c r="F913" s="394"/>
      <c r="G913" s="297"/>
      <c r="H913" s="297"/>
      <c r="I913" s="297"/>
      <c r="J913" s="297"/>
      <c r="K913" s="297"/>
      <c r="L913" s="297"/>
      <c r="M913" s="297"/>
      <c r="N913" s="297"/>
      <c r="O913" s="297"/>
      <c r="P913"/>
      <c r="Q913"/>
      <c r="R913"/>
      <c r="S913"/>
      <c r="T913"/>
      <c r="U913"/>
    </row>
    <row r="914" spans="1:21" x14ac:dyDescent="0.2">
      <c r="A914"/>
      <c r="B914" s="399"/>
      <c r="C914" s="297"/>
      <c r="D914" s="394"/>
      <c r="E914" s="297"/>
      <c r="F914" s="394"/>
      <c r="G914" s="297"/>
      <c r="H914" s="297"/>
      <c r="I914" s="297"/>
      <c r="J914" s="297"/>
      <c r="K914" s="297"/>
      <c r="L914" s="297"/>
      <c r="M914" s="297"/>
      <c r="N914" s="297"/>
      <c r="O914" s="297"/>
      <c r="P914"/>
      <c r="Q914"/>
      <c r="R914"/>
      <c r="S914"/>
      <c r="T914"/>
      <c r="U914"/>
    </row>
    <row r="915" spans="1:21" x14ac:dyDescent="0.2">
      <c r="A915"/>
      <c r="B915" s="399"/>
      <c r="C915" s="297"/>
      <c r="D915" s="394"/>
      <c r="E915" s="297"/>
      <c r="F915" s="394"/>
      <c r="G915" s="297"/>
      <c r="H915" s="297"/>
      <c r="I915" s="297"/>
      <c r="J915" s="297"/>
      <c r="K915" s="297"/>
      <c r="L915" s="297"/>
      <c r="M915" s="297"/>
      <c r="N915" s="297"/>
      <c r="O915" s="297"/>
      <c r="P915"/>
      <c r="Q915"/>
      <c r="R915"/>
      <c r="S915"/>
      <c r="T915"/>
      <c r="U915"/>
    </row>
    <row r="916" spans="1:21" x14ac:dyDescent="0.2">
      <c r="A916"/>
      <c r="B916" s="399"/>
      <c r="C916" s="297"/>
      <c r="D916" s="394"/>
      <c r="E916" s="297"/>
      <c r="F916" s="394"/>
      <c r="G916" s="297"/>
      <c r="H916" s="297"/>
      <c r="I916" s="297"/>
      <c r="J916" s="297"/>
      <c r="K916" s="297"/>
      <c r="L916" s="297"/>
      <c r="M916" s="297"/>
      <c r="N916" s="297"/>
      <c r="O916" s="297"/>
      <c r="P916"/>
      <c r="Q916"/>
      <c r="R916"/>
      <c r="S916"/>
      <c r="T916"/>
      <c r="U916"/>
    </row>
    <row r="917" spans="1:21" x14ac:dyDescent="0.2">
      <c r="A917"/>
      <c r="B917" s="399"/>
      <c r="C917" s="297"/>
      <c r="D917" s="394"/>
      <c r="E917" s="297"/>
      <c r="F917" s="394"/>
      <c r="G917" s="297"/>
      <c r="H917" s="297"/>
      <c r="I917" s="297"/>
      <c r="J917" s="297"/>
      <c r="K917" s="297"/>
      <c r="L917" s="297"/>
      <c r="M917" s="297"/>
      <c r="N917" s="297"/>
      <c r="O917" s="297"/>
      <c r="P917"/>
      <c r="Q917"/>
      <c r="R917"/>
      <c r="S917"/>
      <c r="T917"/>
      <c r="U917"/>
    </row>
    <row r="918" spans="1:21" x14ac:dyDescent="0.2">
      <c r="A918"/>
      <c r="B918" s="399"/>
      <c r="C918" s="297"/>
      <c r="D918" s="394"/>
      <c r="E918" s="297"/>
      <c r="F918" s="394"/>
      <c r="G918" s="297"/>
      <c r="H918" s="297"/>
      <c r="I918" s="297"/>
      <c r="J918" s="297"/>
      <c r="K918" s="297"/>
      <c r="L918" s="297"/>
      <c r="M918" s="297"/>
      <c r="N918" s="297"/>
      <c r="O918" s="297"/>
      <c r="P918"/>
      <c r="Q918"/>
      <c r="R918"/>
      <c r="S918"/>
      <c r="T918"/>
      <c r="U918"/>
    </row>
    <row r="919" spans="1:21" x14ac:dyDescent="0.2">
      <c r="A919"/>
      <c r="B919" s="399"/>
      <c r="C919" s="297"/>
      <c r="D919" s="394"/>
      <c r="E919" s="297"/>
      <c r="F919" s="394"/>
      <c r="G919" s="297"/>
      <c r="H919" s="297"/>
      <c r="I919" s="297"/>
      <c r="J919" s="297"/>
      <c r="K919" s="297"/>
      <c r="L919" s="297"/>
      <c r="M919" s="297"/>
      <c r="N919" s="297"/>
      <c r="O919" s="297"/>
      <c r="P919"/>
      <c r="Q919"/>
      <c r="R919"/>
      <c r="S919"/>
      <c r="T919"/>
      <c r="U919"/>
    </row>
    <row r="920" spans="1:21" x14ac:dyDescent="0.2">
      <c r="A920"/>
      <c r="B920" s="399"/>
      <c r="C920" s="297"/>
      <c r="D920" s="394"/>
      <c r="E920" s="297"/>
      <c r="F920" s="394"/>
      <c r="G920" s="297"/>
      <c r="H920" s="297"/>
      <c r="I920" s="297"/>
      <c r="J920" s="297"/>
      <c r="K920" s="297"/>
      <c r="L920" s="297"/>
      <c r="M920" s="297"/>
      <c r="N920" s="297"/>
      <c r="O920" s="297"/>
      <c r="P920"/>
      <c r="Q920"/>
      <c r="R920"/>
      <c r="S920"/>
      <c r="T920"/>
      <c r="U920"/>
    </row>
    <row r="921" spans="1:21" x14ac:dyDescent="0.2">
      <c r="A921"/>
      <c r="B921" s="399"/>
      <c r="C921" s="297"/>
      <c r="D921" s="394"/>
      <c r="E921" s="297"/>
      <c r="F921" s="394"/>
      <c r="G921" s="297"/>
      <c r="H921" s="297"/>
      <c r="I921" s="297"/>
      <c r="J921" s="297"/>
      <c r="K921" s="297"/>
      <c r="L921" s="297"/>
      <c r="M921" s="297"/>
      <c r="N921" s="297"/>
      <c r="O921" s="297"/>
      <c r="P921"/>
      <c r="Q921"/>
      <c r="R921"/>
      <c r="S921"/>
      <c r="T921"/>
      <c r="U921"/>
    </row>
    <row r="922" spans="1:21" x14ac:dyDescent="0.2">
      <c r="A922"/>
      <c r="B922" s="399"/>
      <c r="C922" s="297"/>
      <c r="D922" s="394"/>
      <c r="E922" s="297"/>
      <c r="F922" s="394"/>
      <c r="G922" s="297"/>
      <c r="H922" s="297"/>
      <c r="I922" s="297"/>
      <c r="J922" s="297"/>
      <c r="K922" s="297"/>
      <c r="L922" s="297"/>
      <c r="M922" s="297"/>
      <c r="N922" s="297"/>
      <c r="O922" s="297"/>
      <c r="P922"/>
      <c r="Q922"/>
      <c r="R922"/>
      <c r="S922"/>
      <c r="T922"/>
      <c r="U922"/>
    </row>
    <row r="923" spans="1:21" x14ac:dyDescent="0.2">
      <c r="A923"/>
      <c r="B923" s="399"/>
      <c r="C923" s="297"/>
      <c r="D923" s="394"/>
      <c r="E923" s="297"/>
      <c r="F923" s="394"/>
      <c r="G923" s="297"/>
      <c r="H923" s="297"/>
      <c r="I923" s="297"/>
      <c r="J923" s="297"/>
      <c r="K923" s="297"/>
      <c r="L923" s="297"/>
      <c r="M923" s="297"/>
      <c r="N923" s="297"/>
      <c r="O923" s="297"/>
      <c r="P923"/>
      <c r="Q923"/>
      <c r="R923"/>
      <c r="S923"/>
      <c r="T923"/>
      <c r="U923"/>
    </row>
    <row r="924" spans="1:21" x14ac:dyDescent="0.2">
      <c r="A924"/>
      <c r="B924" s="399"/>
      <c r="C924" s="297"/>
      <c r="D924" s="394"/>
      <c r="E924" s="297"/>
      <c r="F924" s="394"/>
      <c r="G924" s="297"/>
      <c r="H924" s="297"/>
      <c r="I924" s="297"/>
      <c r="J924" s="297"/>
      <c r="K924" s="297"/>
      <c r="L924" s="297"/>
      <c r="M924" s="297"/>
      <c r="N924" s="297"/>
      <c r="O924" s="297"/>
      <c r="P924"/>
      <c r="Q924"/>
      <c r="R924"/>
      <c r="S924"/>
      <c r="T924"/>
      <c r="U924"/>
    </row>
    <row r="925" spans="1:21" x14ac:dyDescent="0.2">
      <c r="A925"/>
      <c r="B925" s="399"/>
      <c r="C925" s="297"/>
      <c r="D925" s="394"/>
      <c r="E925" s="297"/>
      <c r="F925" s="394"/>
      <c r="G925" s="297"/>
      <c r="H925" s="297"/>
      <c r="I925" s="297"/>
      <c r="J925" s="297"/>
      <c r="K925" s="297"/>
      <c r="L925" s="297"/>
      <c r="M925" s="297"/>
      <c r="N925" s="297"/>
      <c r="O925" s="297"/>
      <c r="P925"/>
      <c r="Q925"/>
      <c r="R925"/>
      <c r="S925"/>
      <c r="T925"/>
      <c r="U925"/>
    </row>
    <row r="926" spans="1:21" x14ac:dyDescent="0.2">
      <c r="A926"/>
      <c r="B926" s="399"/>
      <c r="C926" s="297"/>
      <c r="D926" s="394"/>
      <c r="E926" s="297"/>
      <c r="F926" s="394"/>
      <c r="G926" s="297"/>
      <c r="H926" s="297"/>
      <c r="I926" s="297"/>
      <c r="J926" s="297"/>
      <c r="K926" s="297"/>
      <c r="L926" s="297"/>
      <c r="M926" s="297"/>
      <c r="N926" s="297"/>
      <c r="O926" s="297"/>
      <c r="P926"/>
      <c r="Q926"/>
      <c r="R926"/>
      <c r="S926"/>
      <c r="T926"/>
      <c r="U926"/>
    </row>
    <row r="927" spans="1:21" x14ac:dyDescent="0.2">
      <c r="A927"/>
      <c r="B927" s="399"/>
      <c r="C927" s="297"/>
      <c r="D927" s="394"/>
      <c r="E927" s="297"/>
      <c r="F927" s="394"/>
      <c r="G927" s="297"/>
      <c r="H927" s="297"/>
      <c r="I927" s="297"/>
      <c r="J927" s="297"/>
      <c r="K927" s="297"/>
      <c r="L927" s="297"/>
      <c r="M927" s="297"/>
      <c r="N927" s="297"/>
      <c r="O927" s="297"/>
      <c r="P927"/>
      <c r="Q927"/>
      <c r="R927"/>
      <c r="S927"/>
      <c r="T927"/>
      <c r="U927"/>
    </row>
    <row r="928" spans="1:21" x14ac:dyDescent="0.2">
      <c r="A928"/>
      <c r="B928" s="399"/>
      <c r="C928" s="297"/>
      <c r="D928" s="394"/>
      <c r="E928" s="297"/>
      <c r="F928" s="394"/>
      <c r="G928" s="297"/>
      <c r="H928" s="297"/>
      <c r="I928" s="297"/>
      <c r="J928" s="297"/>
      <c r="K928" s="297"/>
      <c r="L928" s="297"/>
      <c r="M928" s="297"/>
      <c r="N928" s="297"/>
      <c r="O928" s="297"/>
      <c r="P928"/>
      <c r="Q928"/>
      <c r="R928"/>
      <c r="S928"/>
      <c r="T928"/>
      <c r="U928"/>
    </row>
    <row r="929" spans="1:21" x14ac:dyDescent="0.2">
      <c r="A929"/>
      <c r="B929" s="399"/>
      <c r="C929" s="297"/>
      <c r="D929" s="394"/>
      <c r="E929" s="297"/>
      <c r="F929" s="394"/>
      <c r="G929" s="297"/>
      <c r="H929" s="297"/>
      <c r="I929" s="297"/>
      <c r="J929" s="297"/>
      <c r="K929" s="297"/>
      <c r="L929" s="297"/>
      <c r="M929" s="297"/>
      <c r="N929" s="297"/>
      <c r="O929" s="297"/>
      <c r="P929"/>
      <c r="Q929"/>
      <c r="R929"/>
      <c r="S929"/>
      <c r="T929"/>
      <c r="U929"/>
    </row>
    <row r="930" spans="1:21" x14ac:dyDescent="0.2">
      <c r="A930"/>
      <c r="B930" s="399"/>
      <c r="C930" s="297"/>
      <c r="D930" s="394"/>
      <c r="E930" s="297"/>
      <c r="F930" s="394"/>
      <c r="G930" s="297"/>
      <c r="H930" s="297"/>
      <c r="I930" s="297"/>
      <c r="J930" s="297"/>
      <c r="K930" s="297"/>
      <c r="L930" s="297"/>
      <c r="M930" s="297"/>
      <c r="N930" s="297"/>
      <c r="O930" s="297"/>
      <c r="P930"/>
      <c r="Q930"/>
      <c r="R930"/>
      <c r="S930"/>
      <c r="T930"/>
      <c r="U930"/>
    </row>
    <row r="931" spans="1:21" x14ac:dyDescent="0.2">
      <c r="A931"/>
      <c r="B931" s="399"/>
      <c r="C931" s="297"/>
      <c r="D931" s="394"/>
      <c r="E931" s="297"/>
      <c r="F931" s="394"/>
      <c r="G931" s="297"/>
      <c r="H931" s="297"/>
      <c r="I931" s="297"/>
      <c r="J931" s="297"/>
      <c r="K931" s="297"/>
      <c r="L931" s="297"/>
      <c r="M931" s="297"/>
      <c r="N931" s="297"/>
      <c r="O931" s="297"/>
      <c r="P931"/>
      <c r="Q931"/>
      <c r="R931"/>
      <c r="S931"/>
      <c r="T931"/>
      <c r="U931"/>
    </row>
    <row r="932" spans="1:21" x14ac:dyDescent="0.2">
      <c r="A932"/>
      <c r="B932" s="399"/>
      <c r="C932" s="297"/>
      <c r="D932" s="394"/>
      <c r="E932" s="297"/>
      <c r="F932" s="394"/>
      <c r="G932" s="297"/>
      <c r="H932" s="297"/>
      <c r="I932" s="297"/>
      <c r="J932" s="297"/>
      <c r="K932" s="297"/>
      <c r="L932" s="297"/>
      <c r="M932" s="297"/>
      <c r="N932" s="297"/>
      <c r="O932" s="297"/>
      <c r="P932"/>
      <c r="Q932"/>
      <c r="R932"/>
      <c r="S932"/>
      <c r="T932"/>
      <c r="U932"/>
    </row>
    <row r="933" spans="1:21" x14ac:dyDescent="0.2">
      <c r="A933"/>
      <c r="B933" s="399"/>
      <c r="C933" s="297"/>
      <c r="D933" s="394"/>
      <c r="E933" s="297"/>
      <c r="F933" s="394"/>
      <c r="G933" s="297"/>
      <c r="H933" s="297"/>
      <c r="I933" s="297"/>
      <c r="J933" s="297"/>
      <c r="K933" s="297"/>
      <c r="L933" s="297"/>
      <c r="M933" s="297"/>
      <c r="N933" s="297"/>
      <c r="O933" s="297"/>
      <c r="P933"/>
      <c r="Q933"/>
      <c r="R933"/>
      <c r="S933"/>
      <c r="T933"/>
      <c r="U933"/>
    </row>
    <row r="934" spans="1:21" x14ac:dyDescent="0.2">
      <c r="A934"/>
      <c r="B934" s="399"/>
      <c r="C934" s="297"/>
      <c r="D934" s="394"/>
      <c r="E934" s="297"/>
      <c r="F934" s="394"/>
      <c r="G934" s="297"/>
      <c r="H934" s="297"/>
      <c r="I934" s="297"/>
      <c r="J934" s="297"/>
      <c r="K934" s="297"/>
      <c r="L934" s="297"/>
      <c r="M934" s="297"/>
      <c r="N934" s="297"/>
      <c r="O934" s="297"/>
      <c r="P934"/>
      <c r="Q934"/>
      <c r="R934"/>
      <c r="S934"/>
      <c r="T934"/>
      <c r="U934"/>
    </row>
    <row r="935" spans="1:21" x14ac:dyDescent="0.2">
      <c r="A935"/>
      <c r="B935" s="399"/>
      <c r="C935" s="297"/>
      <c r="D935" s="394"/>
      <c r="E935" s="297"/>
      <c r="F935" s="394"/>
      <c r="G935" s="297"/>
      <c r="H935" s="297"/>
      <c r="I935" s="297"/>
      <c r="J935" s="297"/>
      <c r="K935" s="297"/>
      <c r="L935" s="297"/>
      <c r="M935" s="297"/>
      <c r="N935" s="297"/>
      <c r="O935" s="297"/>
      <c r="P935"/>
      <c r="Q935"/>
      <c r="R935"/>
      <c r="S935"/>
      <c r="T935"/>
      <c r="U935"/>
    </row>
    <row r="936" spans="1:21" x14ac:dyDescent="0.2">
      <c r="A936"/>
      <c r="B936" s="399"/>
      <c r="C936" s="297"/>
      <c r="D936" s="394"/>
      <c r="E936" s="297"/>
      <c r="F936" s="394"/>
      <c r="G936" s="297"/>
      <c r="H936" s="297"/>
      <c r="I936" s="297"/>
      <c r="J936" s="297"/>
      <c r="K936" s="297"/>
      <c r="L936" s="297"/>
      <c r="M936" s="297"/>
      <c r="N936" s="297"/>
      <c r="O936" s="297"/>
      <c r="P936"/>
      <c r="Q936"/>
      <c r="R936"/>
      <c r="S936"/>
      <c r="T936"/>
      <c r="U936"/>
    </row>
    <row r="937" spans="1:21" x14ac:dyDescent="0.2">
      <c r="A937"/>
      <c r="B937" s="399"/>
      <c r="C937" s="297"/>
      <c r="D937" s="394"/>
      <c r="E937" s="297"/>
      <c r="F937" s="394"/>
      <c r="G937" s="297"/>
      <c r="H937" s="297"/>
      <c r="I937" s="297"/>
      <c r="J937" s="297"/>
      <c r="K937" s="297"/>
      <c r="L937" s="297"/>
      <c r="M937" s="297"/>
      <c r="N937" s="297"/>
      <c r="O937" s="297"/>
      <c r="P937"/>
      <c r="Q937"/>
      <c r="R937"/>
      <c r="S937"/>
      <c r="T937"/>
      <c r="U937"/>
    </row>
    <row r="938" spans="1:21" x14ac:dyDescent="0.2">
      <c r="A938"/>
      <c r="B938" s="399"/>
      <c r="C938" s="297"/>
      <c r="D938" s="394"/>
      <c r="E938" s="297"/>
      <c r="F938" s="394"/>
      <c r="G938" s="297"/>
      <c r="H938" s="297"/>
      <c r="I938" s="297"/>
      <c r="J938" s="297"/>
      <c r="K938" s="297"/>
      <c r="L938" s="297"/>
      <c r="M938" s="297"/>
      <c r="N938" s="297"/>
      <c r="O938" s="297"/>
      <c r="P938"/>
      <c r="Q938"/>
      <c r="R938"/>
      <c r="S938"/>
      <c r="T938"/>
      <c r="U938"/>
    </row>
    <row r="939" spans="1:21" x14ac:dyDescent="0.2">
      <c r="A939"/>
      <c r="B939" s="399"/>
      <c r="C939" s="297"/>
      <c r="D939" s="394"/>
      <c r="E939" s="297"/>
      <c r="F939" s="394"/>
      <c r="G939" s="297"/>
      <c r="H939" s="297"/>
      <c r="I939" s="297"/>
      <c r="J939" s="297"/>
      <c r="K939" s="297"/>
      <c r="L939" s="297"/>
      <c r="M939" s="297"/>
      <c r="N939" s="297"/>
      <c r="O939" s="297"/>
      <c r="P939"/>
      <c r="Q939"/>
      <c r="R939"/>
      <c r="S939"/>
      <c r="T939"/>
      <c r="U939"/>
    </row>
    <row r="940" spans="1:21" x14ac:dyDescent="0.2">
      <c r="A940"/>
      <c r="B940" s="399"/>
      <c r="C940" s="297"/>
      <c r="D940" s="394"/>
      <c r="E940" s="297"/>
      <c r="F940" s="394"/>
      <c r="G940" s="297"/>
      <c r="H940" s="297"/>
      <c r="I940" s="297"/>
      <c r="J940" s="297"/>
      <c r="K940" s="297"/>
      <c r="L940" s="297"/>
      <c r="M940" s="297"/>
      <c r="N940" s="297"/>
      <c r="O940" s="297"/>
      <c r="P940"/>
      <c r="Q940"/>
      <c r="R940"/>
      <c r="S940"/>
      <c r="T940"/>
      <c r="U940"/>
    </row>
    <row r="941" spans="1:21" x14ac:dyDescent="0.2">
      <c r="A941"/>
      <c r="B941" s="399"/>
      <c r="C941" s="297"/>
      <c r="D941" s="394"/>
      <c r="E941" s="297"/>
      <c r="F941" s="394"/>
      <c r="G941" s="297"/>
      <c r="H941" s="297"/>
      <c r="I941" s="297"/>
      <c r="J941" s="297"/>
      <c r="K941" s="297"/>
      <c r="L941" s="297"/>
      <c r="M941" s="297"/>
      <c r="N941" s="297"/>
      <c r="O941" s="297"/>
      <c r="P941"/>
      <c r="Q941"/>
      <c r="R941"/>
      <c r="S941"/>
      <c r="T941"/>
      <c r="U941"/>
    </row>
    <row r="942" spans="1:21" x14ac:dyDescent="0.2">
      <c r="A942"/>
      <c r="B942" s="399"/>
      <c r="C942" s="297"/>
      <c r="D942" s="394"/>
      <c r="E942" s="297"/>
      <c r="F942" s="394"/>
      <c r="G942" s="297"/>
      <c r="H942" s="297"/>
      <c r="I942" s="297"/>
      <c r="J942" s="297"/>
      <c r="K942" s="297"/>
      <c r="L942" s="297"/>
      <c r="M942" s="297"/>
      <c r="N942" s="297"/>
      <c r="O942" s="297"/>
      <c r="P942"/>
      <c r="Q942"/>
      <c r="R942"/>
      <c r="S942"/>
      <c r="T942"/>
      <c r="U942"/>
    </row>
    <row r="943" spans="1:21" x14ac:dyDescent="0.2">
      <c r="A943"/>
      <c r="B943" s="399"/>
      <c r="C943" s="297"/>
      <c r="D943" s="394"/>
      <c r="E943" s="297"/>
      <c r="F943" s="394"/>
      <c r="G943" s="297"/>
      <c r="H943" s="297"/>
      <c r="I943" s="297"/>
      <c r="J943" s="297"/>
      <c r="K943" s="297"/>
      <c r="L943" s="297"/>
      <c r="M943" s="297"/>
      <c r="N943" s="297"/>
      <c r="O943" s="297"/>
      <c r="P943"/>
      <c r="Q943"/>
      <c r="R943"/>
      <c r="S943"/>
      <c r="T943"/>
      <c r="U943"/>
    </row>
    <row r="944" spans="1:21" x14ac:dyDescent="0.2">
      <c r="A944"/>
      <c r="B944" s="399"/>
      <c r="C944" s="297"/>
      <c r="D944" s="394"/>
      <c r="E944" s="297"/>
      <c r="F944" s="394"/>
      <c r="G944" s="297"/>
      <c r="H944" s="297"/>
      <c r="I944" s="297"/>
      <c r="J944" s="297"/>
      <c r="K944" s="297"/>
      <c r="L944" s="297"/>
      <c r="M944" s="297"/>
      <c r="N944" s="297"/>
      <c r="O944" s="297"/>
      <c r="P944"/>
      <c r="Q944"/>
      <c r="R944"/>
      <c r="S944"/>
      <c r="T944"/>
      <c r="U944"/>
    </row>
    <row r="945" spans="1:21" x14ac:dyDescent="0.2">
      <c r="A945"/>
      <c r="B945" s="399"/>
      <c r="C945" s="297"/>
      <c r="D945" s="394"/>
      <c r="E945" s="297"/>
      <c r="F945" s="394"/>
      <c r="G945" s="297"/>
      <c r="H945" s="297"/>
      <c r="I945" s="297"/>
      <c r="J945" s="297"/>
      <c r="K945" s="297"/>
      <c r="L945" s="297"/>
      <c r="M945" s="297"/>
      <c r="N945" s="297"/>
      <c r="O945" s="297"/>
      <c r="P945"/>
      <c r="Q945"/>
      <c r="R945"/>
      <c r="S945"/>
      <c r="T945"/>
      <c r="U945"/>
    </row>
    <row r="946" spans="1:21" x14ac:dyDescent="0.2">
      <c r="A946"/>
      <c r="B946" s="399"/>
      <c r="C946" s="297"/>
      <c r="D946" s="394"/>
      <c r="E946" s="297"/>
      <c r="F946" s="394"/>
      <c r="G946" s="297"/>
      <c r="H946" s="297"/>
      <c r="I946" s="297"/>
      <c r="J946" s="297"/>
      <c r="K946" s="297"/>
      <c r="L946" s="297"/>
      <c r="M946" s="297"/>
      <c r="N946" s="297"/>
      <c r="O946" s="297"/>
      <c r="P946"/>
      <c r="Q946"/>
      <c r="R946"/>
      <c r="S946"/>
      <c r="T946"/>
      <c r="U946"/>
    </row>
    <row r="947" spans="1:21" x14ac:dyDescent="0.2">
      <c r="A947"/>
      <c r="B947" s="399"/>
      <c r="C947" s="297"/>
      <c r="D947" s="394"/>
      <c r="E947" s="297"/>
      <c r="F947" s="394"/>
      <c r="G947" s="297"/>
      <c r="H947" s="297"/>
      <c r="I947" s="297"/>
      <c r="J947" s="297"/>
      <c r="K947" s="297"/>
      <c r="L947" s="297"/>
      <c r="M947" s="297"/>
      <c r="N947" s="297"/>
      <c r="O947" s="297"/>
      <c r="P947"/>
      <c r="Q947"/>
      <c r="R947"/>
      <c r="S947"/>
      <c r="T947"/>
      <c r="U947"/>
    </row>
    <row r="948" spans="1:21" x14ac:dyDescent="0.2">
      <c r="A948"/>
      <c r="B948" s="399"/>
      <c r="C948" s="297"/>
      <c r="D948" s="394"/>
      <c r="E948" s="297"/>
      <c r="F948" s="394"/>
      <c r="G948" s="297"/>
      <c r="H948" s="297"/>
      <c r="I948" s="297"/>
      <c r="J948" s="297"/>
      <c r="K948" s="297"/>
      <c r="L948" s="297"/>
      <c r="M948" s="297"/>
      <c r="N948" s="297"/>
      <c r="O948" s="297"/>
      <c r="P948"/>
      <c r="Q948"/>
      <c r="R948"/>
      <c r="S948"/>
      <c r="T948"/>
      <c r="U948"/>
    </row>
    <row r="949" spans="1:21" x14ac:dyDescent="0.2">
      <c r="A949"/>
      <c r="B949" s="399"/>
      <c r="C949" s="297"/>
      <c r="D949" s="394"/>
      <c r="E949" s="297"/>
      <c r="F949" s="394"/>
      <c r="G949" s="297"/>
      <c r="H949" s="297"/>
      <c r="I949" s="297"/>
      <c r="J949" s="297"/>
      <c r="K949" s="297"/>
      <c r="L949" s="297"/>
      <c r="M949" s="297"/>
      <c r="N949" s="297"/>
      <c r="O949" s="297"/>
      <c r="P949"/>
      <c r="Q949"/>
      <c r="R949"/>
      <c r="S949"/>
      <c r="T949"/>
      <c r="U949"/>
    </row>
    <row r="950" spans="1:21" x14ac:dyDescent="0.2">
      <c r="A950"/>
      <c r="B950" s="399"/>
      <c r="C950" s="297"/>
      <c r="D950" s="394"/>
      <c r="E950" s="297"/>
      <c r="F950" s="394"/>
      <c r="G950" s="297"/>
      <c r="H950" s="297"/>
      <c r="I950" s="297"/>
      <c r="J950" s="297"/>
      <c r="K950" s="297"/>
      <c r="L950" s="297"/>
      <c r="M950" s="297"/>
      <c r="N950" s="297"/>
      <c r="O950" s="297"/>
      <c r="P950"/>
      <c r="Q950"/>
      <c r="R950"/>
      <c r="S950"/>
      <c r="T950"/>
      <c r="U950"/>
    </row>
    <row r="951" spans="1:21" x14ac:dyDescent="0.2">
      <c r="A951"/>
      <c r="B951" s="399"/>
      <c r="C951" s="297"/>
      <c r="D951" s="394"/>
      <c r="E951" s="297"/>
      <c r="F951" s="394"/>
      <c r="G951" s="297"/>
      <c r="H951" s="297"/>
      <c r="I951" s="297"/>
      <c r="J951" s="297"/>
      <c r="K951" s="297"/>
      <c r="L951" s="297"/>
      <c r="M951" s="297"/>
      <c r="N951" s="297"/>
      <c r="O951" s="297"/>
      <c r="P951"/>
      <c r="Q951"/>
      <c r="R951"/>
      <c r="S951"/>
      <c r="T951"/>
      <c r="U951"/>
    </row>
    <row r="952" spans="1:21" x14ac:dyDescent="0.2">
      <c r="A952"/>
      <c r="B952" s="399"/>
      <c r="C952" s="297"/>
      <c r="D952" s="394"/>
      <c r="E952" s="297"/>
      <c r="F952" s="394"/>
      <c r="G952" s="297"/>
      <c r="H952" s="297"/>
      <c r="I952" s="297"/>
      <c r="J952" s="297"/>
      <c r="K952" s="297"/>
      <c r="L952" s="297"/>
      <c r="M952" s="297"/>
      <c r="N952" s="297"/>
      <c r="O952" s="297"/>
      <c r="P952"/>
      <c r="Q952"/>
      <c r="R952"/>
      <c r="S952"/>
      <c r="T952"/>
      <c r="U952"/>
    </row>
    <row r="953" spans="1:21" x14ac:dyDescent="0.2">
      <c r="A953"/>
      <c r="B953" s="399"/>
      <c r="C953" s="297"/>
      <c r="D953" s="394"/>
      <c r="E953" s="297"/>
      <c r="F953" s="394"/>
      <c r="G953" s="297"/>
      <c r="H953" s="297"/>
      <c r="I953" s="297"/>
      <c r="J953" s="297"/>
      <c r="K953" s="297"/>
      <c r="L953" s="297"/>
      <c r="M953" s="297"/>
      <c r="N953" s="297"/>
      <c r="O953" s="297"/>
      <c r="P953"/>
      <c r="Q953"/>
      <c r="R953"/>
      <c r="S953"/>
      <c r="T953"/>
      <c r="U953"/>
    </row>
    <row r="954" spans="1:21" x14ac:dyDescent="0.2">
      <c r="A954"/>
      <c r="B954" s="399"/>
      <c r="C954" s="297"/>
      <c r="D954" s="394"/>
      <c r="E954" s="297"/>
      <c r="F954" s="394"/>
      <c r="G954" s="297"/>
      <c r="H954" s="297"/>
      <c r="I954" s="297"/>
      <c r="J954" s="297"/>
      <c r="K954" s="297"/>
      <c r="L954" s="297"/>
      <c r="M954" s="297"/>
      <c r="N954" s="297"/>
      <c r="O954" s="297"/>
      <c r="P954"/>
      <c r="Q954"/>
      <c r="R954"/>
      <c r="S954"/>
      <c r="T954"/>
      <c r="U954"/>
    </row>
    <row r="955" spans="1:21" x14ac:dyDescent="0.2">
      <c r="A955"/>
      <c r="B955" s="399"/>
      <c r="C955" s="297"/>
      <c r="D955" s="394"/>
      <c r="E955" s="297"/>
      <c r="F955" s="394"/>
      <c r="G955" s="297"/>
      <c r="H955" s="297"/>
      <c r="I955" s="297"/>
      <c r="J955" s="297"/>
      <c r="K955" s="297"/>
      <c r="L955" s="297"/>
      <c r="M955" s="297"/>
      <c r="N955" s="297"/>
      <c r="O955" s="297"/>
      <c r="P955"/>
      <c r="Q955"/>
      <c r="R955"/>
      <c r="S955"/>
      <c r="T955"/>
      <c r="U955"/>
    </row>
    <row r="956" spans="1:21" x14ac:dyDescent="0.2">
      <c r="A956"/>
      <c r="B956" s="399"/>
      <c r="C956" s="297"/>
      <c r="D956" s="394"/>
      <c r="E956" s="297"/>
      <c r="F956" s="394"/>
      <c r="G956" s="297"/>
      <c r="H956" s="297"/>
      <c r="I956" s="297"/>
      <c r="J956" s="297"/>
      <c r="K956" s="297"/>
      <c r="L956" s="297"/>
      <c r="M956" s="297"/>
      <c r="N956" s="297"/>
      <c r="O956" s="297"/>
      <c r="P956"/>
      <c r="Q956"/>
      <c r="R956"/>
      <c r="S956"/>
      <c r="T956"/>
      <c r="U956"/>
    </row>
    <row r="957" spans="1:21" x14ac:dyDescent="0.2">
      <c r="A957"/>
      <c r="B957" s="399"/>
      <c r="C957" s="297"/>
      <c r="D957" s="394"/>
      <c r="E957" s="297"/>
      <c r="F957" s="394"/>
      <c r="G957" s="297"/>
      <c r="H957" s="297"/>
      <c r="I957" s="297"/>
      <c r="J957" s="297"/>
      <c r="K957" s="297"/>
      <c r="L957" s="297"/>
      <c r="M957" s="297"/>
      <c r="N957" s="297"/>
      <c r="O957" s="297"/>
      <c r="P957"/>
      <c r="Q957"/>
      <c r="R957"/>
      <c r="S957"/>
      <c r="T957"/>
      <c r="U957"/>
    </row>
    <row r="958" spans="1:21" x14ac:dyDescent="0.2">
      <c r="A958"/>
      <c r="B958" s="399"/>
      <c r="C958" s="297"/>
      <c r="D958" s="394"/>
      <c r="E958" s="297"/>
      <c r="F958" s="394"/>
      <c r="G958" s="297"/>
      <c r="H958" s="297"/>
      <c r="I958" s="297"/>
      <c r="J958" s="297"/>
      <c r="K958" s="297"/>
      <c r="L958" s="297"/>
      <c r="M958" s="297"/>
      <c r="N958" s="297"/>
      <c r="O958" s="297"/>
      <c r="P958"/>
      <c r="Q958"/>
      <c r="R958"/>
      <c r="S958"/>
      <c r="T958"/>
      <c r="U958"/>
    </row>
    <row r="959" spans="1:21" x14ac:dyDescent="0.2">
      <c r="A959"/>
      <c r="B959" s="399"/>
      <c r="C959" s="297"/>
      <c r="D959" s="394"/>
      <c r="E959" s="297"/>
      <c r="F959" s="394"/>
      <c r="G959" s="297"/>
      <c r="H959" s="297"/>
      <c r="I959" s="297"/>
      <c r="J959" s="297"/>
      <c r="K959" s="297"/>
      <c r="L959" s="297"/>
      <c r="M959" s="297"/>
      <c r="N959" s="297"/>
      <c r="O959" s="297"/>
      <c r="P959"/>
      <c r="Q959"/>
      <c r="R959"/>
      <c r="S959"/>
      <c r="T959"/>
      <c r="U959"/>
    </row>
    <row r="960" spans="1:21" x14ac:dyDescent="0.2">
      <c r="A960"/>
      <c r="B960" s="399"/>
      <c r="C960" s="297"/>
      <c r="D960" s="394"/>
      <c r="E960" s="297"/>
      <c r="F960" s="394"/>
      <c r="G960" s="297"/>
      <c r="H960" s="297"/>
      <c r="I960" s="297"/>
      <c r="J960" s="297"/>
      <c r="K960" s="297"/>
      <c r="L960" s="297"/>
      <c r="M960" s="297"/>
      <c r="N960" s="297"/>
      <c r="O960" s="297"/>
      <c r="P960"/>
      <c r="Q960"/>
      <c r="R960"/>
      <c r="S960"/>
      <c r="T960"/>
      <c r="U960"/>
    </row>
    <row r="961" spans="1:21" x14ac:dyDescent="0.2">
      <c r="A961"/>
      <c r="B961" s="399"/>
      <c r="C961" s="297"/>
      <c r="D961" s="394"/>
      <c r="E961" s="297"/>
      <c r="F961" s="394"/>
      <c r="G961" s="297"/>
      <c r="H961" s="297"/>
      <c r="I961" s="297"/>
      <c r="J961" s="297"/>
      <c r="K961" s="297"/>
      <c r="L961" s="297"/>
      <c r="M961" s="297"/>
      <c r="N961" s="297"/>
      <c r="O961" s="297"/>
      <c r="P961"/>
      <c r="Q961"/>
      <c r="R961"/>
      <c r="S961"/>
      <c r="T961"/>
      <c r="U961"/>
    </row>
    <row r="962" spans="1:21" x14ac:dyDescent="0.2">
      <c r="A962"/>
      <c r="B962" s="399"/>
      <c r="C962" s="297"/>
      <c r="D962" s="394"/>
      <c r="E962" s="297"/>
      <c r="F962" s="394"/>
      <c r="G962" s="297"/>
      <c r="H962" s="297"/>
      <c r="I962" s="297"/>
      <c r="J962" s="297"/>
      <c r="K962" s="297"/>
      <c r="L962" s="297"/>
      <c r="M962" s="297"/>
      <c r="N962" s="297"/>
      <c r="O962" s="297"/>
      <c r="P962"/>
      <c r="Q962"/>
      <c r="R962"/>
      <c r="S962"/>
      <c r="T962"/>
      <c r="U962"/>
    </row>
    <row r="963" spans="1:21" x14ac:dyDescent="0.2">
      <c r="A963"/>
      <c r="B963" s="399"/>
      <c r="C963" s="297"/>
      <c r="D963" s="394"/>
      <c r="E963" s="297"/>
      <c r="F963" s="394"/>
      <c r="G963" s="297"/>
      <c r="H963" s="297"/>
      <c r="I963" s="297"/>
      <c r="J963" s="297"/>
      <c r="K963" s="297"/>
      <c r="L963" s="297"/>
      <c r="M963" s="297"/>
      <c r="N963" s="297"/>
      <c r="O963" s="297"/>
      <c r="P963"/>
      <c r="Q963"/>
      <c r="R963"/>
      <c r="S963"/>
      <c r="T963"/>
      <c r="U963"/>
    </row>
    <row r="964" spans="1:21" x14ac:dyDescent="0.2">
      <c r="A964"/>
      <c r="B964" s="399"/>
      <c r="C964" s="297"/>
      <c r="D964" s="394"/>
      <c r="E964" s="297"/>
      <c r="F964" s="394"/>
      <c r="G964" s="297"/>
      <c r="H964" s="297"/>
      <c r="I964" s="297"/>
      <c r="J964" s="297"/>
      <c r="K964" s="297"/>
      <c r="L964" s="297"/>
      <c r="M964" s="297"/>
      <c r="N964" s="297"/>
      <c r="O964" s="297"/>
      <c r="P964"/>
      <c r="Q964"/>
      <c r="R964"/>
      <c r="S964"/>
      <c r="T964"/>
      <c r="U964"/>
    </row>
    <row r="965" spans="1:21" x14ac:dyDescent="0.2">
      <c r="A965"/>
      <c r="B965" s="399"/>
      <c r="C965" s="297"/>
      <c r="D965" s="394"/>
      <c r="E965" s="297"/>
      <c r="F965" s="394"/>
      <c r="G965" s="297"/>
      <c r="H965" s="297"/>
      <c r="I965" s="297"/>
      <c r="J965" s="297"/>
      <c r="K965" s="297"/>
      <c r="L965" s="297"/>
      <c r="M965" s="297"/>
      <c r="N965" s="297"/>
      <c r="O965" s="297"/>
      <c r="P965"/>
      <c r="Q965"/>
      <c r="R965"/>
      <c r="S965"/>
      <c r="T965"/>
      <c r="U965"/>
    </row>
    <row r="966" spans="1:21" x14ac:dyDescent="0.2">
      <c r="A966"/>
      <c r="B966" s="399"/>
      <c r="C966" s="297"/>
      <c r="D966" s="394"/>
      <c r="E966" s="297"/>
      <c r="F966" s="394"/>
      <c r="G966" s="297"/>
      <c r="H966" s="297"/>
      <c r="I966" s="297"/>
      <c r="J966" s="297"/>
      <c r="K966" s="297"/>
      <c r="L966" s="297"/>
      <c r="M966" s="297"/>
      <c r="N966" s="297"/>
      <c r="O966" s="297"/>
      <c r="P966"/>
      <c r="Q966"/>
      <c r="R966"/>
      <c r="S966"/>
      <c r="T966"/>
      <c r="U966"/>
    </row>
    <row r="967" spans="1:21" x14ac:dyDescent="0.2">
      <c r="A967"/>
      <c r="B967" s="399"/>
      <c r="C967" s="297"/>
      <c r="D967" s="394"/>
      <c r="E967" s="297"/>
      <c r="F967" s="394"/>
      <c r="G967" s="297"/>
      <c r="H967" s="297"/>
      <c r="I967" s="297"/>
      <c r="J967" s="297"/>
      <c r="K967" s="297"/>
      <c r="L967" s="297"/>
      <c r="M967" s="297"/>
      <c r="N967" s="297"/>
      <c r="O967" s="297"/>
      <c r="P967"/>
      <c r="Q967"/>
      <c r="R967"/>
      <c r="S967"/>
      <c r="T967"/>
      <c r="U967"/>
    </row>
    <row r="968" spans="1:21" x14ac:dyDescent="0.2">
      <c r="A968"/>
      <c r="B968" s="399"/>
      <c r="C968" s="297"/>
      <c r="D968" s="394"/>
      <c r="E968" s="297"/>
      <c r="F968" s="394"/>
      <c r="G968" s="297"/>
      <c r="H968" s="297"/>
      <c r="I968" s="297"/>
      <c r="J968" s="297"/>
      <c r="K968" s="297"/>
      <c r="L968" s="297"/>
      <c r="M968" s="297"/>
      <c r="N968" s="297"/>
      <c r="O968" s="297"/>
      <c r="P968"/>
      <c r="Q968"/>
      <c r="R968"/>
      <c r="S968"/>
      <c r="T968"/>
      <c r="U968"/>
    </row>
    <row r="969" spans="1:21" x14ac:dyDescent="0.2">
      <c r="A969"/>
      <c r="B969" s="399"/>
      <c r="C969" s="297"/>
      <c r="D969" s="394"/>
      <c r="E969" s="297"/>
      <c r="F969" s="394"/>
      <c r="G969" s="297"/>
      <c r="H969" s="297"/>
      <c r="I969" s="297"/>
      <c r="J969" s="297"/>
      <c r="K969" s="297"/>
      <c r="L969" s="297"/>
      <c r="M969" s="297"/>
      <c r="N969" s="297"/>
      <c r="O969" s="297"/>
      <c r="P969"/>
      <c r="Q969"/>
      <c r="R969"/>
      <c r="S969"/>
      <c r="T969"/>
      <c r="U969"/>
    </row>
    <row r="970" spans="1:21" x14ac:dyDescent="0.2">
      <c r="A970"/>
      <c r="B970" s="399"/>
      <c r="C970" s="297"/>
      <c r="D970" s="394"/>
      <c r="E970" s="297"/>
      <c r="F970" s="394"/>
      <c r="G970" s="297"/>
      <c r="H970" s="297"/>
      <c r="I970" s="297"/>
      <c r="J970" s="297"/>
      <c r="K970" s="297"/>
      <c r="L970" s="297"/>
      <c r="M970" s="297"/>
      <c r="N970" s="297"/>
      <c r="O970" s="297"/>
      <c r="P970"/>
      <c r="Q970"/>
      <c r="R970"/>
      <c r="S970"/>
      <c r="T970"/>
      <c r="U970"/>
    </row>
    <row r="971" spans="1:21" x14ac:dyDescent="0.2">
      <c r="A971"/>
      <c r="B971" s="399"/>
      <c r="C971" s="297"/>
      <c r="D971" s="394"/>
      <c r="E971" s="297"/>
      <c r="F971" s="394"/>
      <c r="G971" s="297"/>
      <c r="H971" s="297"/>
      <c r="I971" s="297"/>
      <c r="J971" s="297"/>
      <c r="K971" s="297"/>
      <c r="L971" s="297"/>
      <c r="M971" s="297"/>
      <c r="N971" s="297"/>
      <c r="O971" s="297"/>
      <c r="P971"/>
      <c r="Q971"/>
      <c r="R971"/>
      <c r="S971"/>
      <c r="T971"/>
      <c r="U971"/>
    </row>
    <row r="972" spans="1:21" x14ac:dyDescent="0.2">
      <c r="A972"/>
      <c r="B972" s="399"/>
      <c r="C972" s="297"/>
      <c r="D972" s="394"/>
      <c r="E972" s="297"/>
      <c r="F972" s="394"/>
      <c r="G972" s="297"/>
      <c r="H972" s="297"/>
      <c r="I972" s="297"/>
      <c r="J972" s="297"/>
      <c r="K972" s="297"/>
      <c r="L972" s="297"/>
      <c r="M972" s="297"/>
      <c r="N972" s="297"/>
      <c r="O972" s="297"/>
      <c r="P972"/>
      <c r="Q972"/>
      <c r="R972"/>
      <c r="S972"/>
      <c r="T972"/>
      <c r="U972"/>
    </row>
    <row r="973" spans="1:21" x14ac:dyDescent="0.2">
      <c r="A973"/>
      <c r="B973" s="399"/>
      <c r="C973" s="297"/>
      <c r="D973" s="394"/>
      <c r="E973" s="297"/>
      <c r="F973" s="394"/>
      <c r="G973" s="297"/>
      <c r="H973" s="297"/>
      <c r="I973" s="297"/>
      <c r="J973" s="297"/>
      <c r="K973" s="297"/>
      <c r="L973" s="297"/>
      <c r="M973" s="297"/>
      <c r="N973" s="297"/>
      <c r="O973" s="297"/>
      <c r="P973"/>
      <c r="Q973"/>
      <c r="R973"/>
      <c r="S973"/>
      <c r="T973"/>
      <c r="U973"/>
    </row>
    <row r="974" spans="1:21" x14ac:dyDescent="0.2">
      <c r="A974"/>
      <c r="B974" s="399"/>
      <c r="C974" s="297"/>
      <c r="D974" s="394"/>
      <c r="E974" s="297"/>
      <c r="F974" s="394"/>
      <c r="G974" s="297"/>
      <c r="H974" s="297"/>
      <c r="I974" s="297"/>
      <c r="J974" s="297"/>
      <c r="K974" s="297"/>
      <c r="L974" s="297"/>
      <c r="M974" s="297"/>
      <c r="N974" s="297"/>
      <c r="O974" s="297"/>
      <c r="P974"/>
      <c r="Q974"/>
      <c r="R974"/>
      <c r="S974"/>
      <c r="T974"/>
      <c r="U974"/>
    </row>
    <row r="975" spans="1:21" x14ac:dyDescent="0.2">
      <c r="A975"/>
      <c r="B975" s="399"/>
      <c r="C975" s="297"/>
      <c r="D975" s="394"/>
      <c r="E975" s="297"/>
      <c r="F975" s="394"/>
      <c r="G975" s="297"/>
      <c r="H975" s="297"/>
      <c r="I975" s="297"/>
      <c r="J975" s="297"/>
      <c r="K975" s="297"/>
      <c r="L975" s="297"/>
      <c r="M975" s="297"/>
      <c r="N975" s="297"/>
      <c r="O975" s="297"/>
      <c r="P975"/>
      <c r="Q975"/>
      <c r="R975"/>
      <c r="S975"/>
      <c r="T975"/>
      <c r="U975"/>
    </row>
    <row r="976" spans="1:21" x14ac:dyDescent="0.2">
      <c r="A976"/>
      <c r="B976" s="399"/>
      <c r="C976" s="297"/>
      <c r="D976" s="394"/>
      <c r="E976" s="297"/>
      <c r="F976" s="394"/>
      <c r="G976" s="297"/>
      <c r="H976" s="297"/>
      <c r="I976" s="297"/>
      <c r="J976" s="297"/>
      <c r="K976" s="297"/>
      <c r="L976" s="297"/>
      <c r="M976" s="297"/>
      <c r="N976" s="297"/>
      <c r="O976" s="297"/>
      <c r="P976"/>
      <c r="Q976"/>
      <c r="R976"/>
      <c r="S976"/>
      <c r="T976"/>
      <c r="U976"/>
    </row>
    <row r="977" spans="1:21" x14ac:dyDescent="0.2">
      <c r="A977"/>
      <c r="B977" s="399"/>
      <c r="C977" s="297"/>
      <c r="D977" s="394"/>
      <c r="E977" s="297"/>
      <c r="F977" s="394"/>
      <c r="G977" s="297"/>
      <c r="H977" s="297"/>
      <c r="I977" s="297"/>
      <c r="J977" s="297"/>
      <c r="K977" s="297"/>
      <c r="L977" s="297"/>
      <c r="M977" s="297"/>
      <c r="N977" s="297"/>
      <c r="O977" s="297"/>
      <c r="P977"/>
      <c r="Q977"/>
      <c r="R977"/>
      <c r="S977"/>
      <c r="T977"/>
      <c r="U977"/>
    </row>
    <row r="978" spans="1:21" x14ac:dyDescent="0.2">
      <c r="A978"/>
      <c r="B978" s="399"/>
      <c r="C978" s="297"/>
      <c r="D978" s="394"/>
      <c r="E978" s="297"/>
      <c r="F978" s="394"/>
      <c r="G978" s="297"/>
      <c r="H978" s="297"/>
      <c r="I978" s="297"/>
      <c r="J978" s="297"/>
      <c r="K978" s="297"/>
      <c r="L978" s="297"/>
      <c r="M978" s="297"/>
      <c r="N978" s="297"/>
      <c r="O978" s="297"/>
      <c r="P978"/>
      <c r="Q978"/>
      <c r="R978"/>
      <c r="S978"/>
      <c r="T978"/>
      <c r="U978"/>
    </row>
    <row r="979" spans="1:21" x14ac:dyDescent="0.2">
      <c r="A979"/>
      <c r="B979" s="399"/>
      <c r="C979" s="297"/>
      <c r="D979" s="394"/>
      <c r="E979" s="297"/>
      <c r="F979" s="394"/>
      <c r="G979" s="297"/>
      <c r="H979" s="297"/>
      <c r="I979" s="297"/>
      <c r="J979" s="297"/>
      <c r="K979" s="297"/>
      <c r="L979" s="297"/>
      <c r="M979" s="297"/>
      <c r="N979" s="297"/>
      <c r="O979" s="297"/>
      <c r="P979"/>
      <c r="Q979"/>
      <c r="R979"/>
      <c r="S979"/>
      <c r="T979"/>
      <c r="U979"/>
    </row>
    <row r="980" spans="1:21" x14ac:dyDescent="0.2">
      <c r="A980"/>
      <c r="B980" s="399"/>
      <c r="C980" s="297"/>
      <c r="D980" s="394"/>
      <c r="E980" s="297"/>
      <c r="F980" s="394"/>
      <c r="G980" s="297"/>
      <c r="H980" s="297"/>
      <c r="I980" s="297"/>
      <c r="J980" s="297"/>
      <c r="K980" s="297"/>
      <c r="L980" s="297"/>
      <c r="M980" s="297"/>
      <c r="N980" s="297"/>
      <c r="O980" s="297"/>
      <c r="P980"/>
      <c r="Q980"/>
      <c r="R980"/>
      <c r="S980"/>
      <c r="T980"/>
      <c r="U980"/>
    </row>
    <row r="981" spans="1:21" x14ac:dyDescent="0.2">
      <c r="A981"/>
      <c r="B981" s="399"/>
      <c r="C981" s="297"/>
      <c r="D981" s="394"/>
      <c r="E981" s="297"/>
      <c r="F981" s="394"/>
      <c r="G981" s="297"/>
      <c r="H981" s="297"/>
      <c r="I981" s="297"/>
      <c r="J981" s="297"/>
      <c r="K981" s="297"/>
      <c r="L981" s="297"/>
      <c r="M981" s="297"/>
      <c r="N981" s="297"/>
      <c r="O981" s="297"/>
      <c r="P981"/>
      <c r="Q981"/>
      <c r="R981"/>
      <c r="S981"/>
      <c r="T981"/>
      <c r="U981"/>
    </row>
    <row r="982" spans="1:21" x14ac:dyDescent="0.2">
      <c r="A982"/>
      <c r="B982" s="399"/>
      <c r="C982" s="297"/>
      <c r="D982" s="394"/>
      <c r="E982" s="297"/>
      <c r="F982" s="394"/>
      <c r="G982" s="297"/>
      <c r="H982" s="297"/>
      <c r="I982" s="297"/>
      <c r="J982" s="297"/>
      <c r="K982" s="297"/>
      <c r="L982" s="297"/>
      <c r="M982" s="297"/>
      <c r="N982" s="297"/>
      <c r="O982" s="297"/>
      <c r="P982"/>
      <c r="Q982"/>
      <c r="R982"/>
      <c r="S982"/>
      <c r="T982"/>
      <c r="U982"/>
    </row>
    <row r="983" spans="1:21" x14ac:dyDescent="0.2">
      <c r="A983"/>
      <c r="B983" s="399"/>
      <c r="C983" s="297"/>
      <c r="D983" s="394"/>
      <c r="E983" s="297"/>
      <c r="F983" s="394"/>
      <c r="G983" s="297"/>
      <c r="H983" s="297"/>
      <c r="I983" s="297"/>
      <c r="J983" s="297"/>
      <c r="K983" s="297"/>
      <c r="L983" s="297"/>
      <c r="M983" s="297"/>
      <c r="N983" s="297"/>
      <c r="O983" s="297"/>
      <c r="P983"/>
      <c r="Q983"/>
      <c r="R983"/>
      <c r="S983"/>
      <c r="T983"/>
      <c r="U983"/>
    </row>
    <row r="984" spans="1:21" x14ac:dyDescent="0.2">
      <c r="A984"/>
      <c r="B984" s="399"/>
      <c r="C984" s="297"/>
      <c r="D984" s="394"/>
      <c r="E984" s="297"/>
      <c r="F984" s="394"/>
      <c r="G984" s="297"/>
      <c r="H984" s="297"/>
      <c r="I984" s="297"/>
      <c r="J984" s="297"/>
      <c r="K984" s="297"/>
      <c r="L984" s="297"/>
      <c r="M984" s="297"/>
      <c r="N984" s="297"/>
      <c r="O984" s="297"/>
      <c r="P984"/>
      <c r="Q984"/>
      <c r="R984"/>
      <c r="S984"/>
      <c r="T984"/>
      <c r="U984"/>
    </row>
    <row r="985" spans="1:21" x14ac:dyDescent="0.2">
      <c r="A985"/>
      <c r="B985" s="399"/>
      <c r="C985" s="297"/>
      <c r="D985" s="394"/>
      <c r="E985" s="297"/>
      <c r="F985" s="394"/>
      <c r="G985" s="297"/>
      <c r="H985" s="297"/>
      <c r="I985" s="297"/>
      <c r="J985" s="297"/>
      <c r="K985" s="297"/>
      <c r="L985" s="297"/>
      <c r="M985" s="297"/>
      <c r="N985" s="297"/>
      <c r="O985" s="297"/>
      <c r="P985"/>
      <c r="Q985"/>
      <c r="R985"/>
      <c r="S985"/>
      <c r="T985"/>
      <c r="U985"/>
    </row>
    <row r="986" spans="1:21" x14ac:dyDescent="0.2">
      <c r="A986"/>
      <c r="B986" s="399"/>
      <c r="C986" s="297"/>
      <c r="D986" s="394"/>
      <c r="E986" s="297"/>
      <c r="F986" s="394"/>
      <c r="G986" s="297"/>
      <c r="H986" s="297"/>
      <c r="I986" s="297"/>
      <c r="J986" s="297"/>
      <c r="K986" s="297"/>
      <c r="L986" s="297"/>
      <c r="M986" s="297"/>
      <c r="N986" s="297"/>
      <c r="O986" s="297"/>
      <c r="P986"/>
      <c r="Q986"/>
      <c r="R986"/>
      <c r="S986"/>
      <c r="T986"/>
      <c r="U986"/>
    </row>
    <row r="987" spans="1:21" x14ac:dyDescent="0.2">
      <c r="A987"/>
      <c r="B987" s="399"/>
      <c r="C987" s="297"/>
      <c r="D987" s="394"/>
      <c r="E987" s="297"/>
      <c r="F987" s="394"/>
      <c r="G987" s="297"/>
      <c r="H987" s="297"/>
      <c r="I987" s="297"/>
      <c r="J987" s="297"/>
      <c r="K987" s="297"/>
      <c r="L987" s="297"/>
      <c r="M987" s="297"/>
      <c r="N987" s="297"/>
      <c r="O987" s="297"/>
      <c r="P987"/>
      <c r="Q987"/>
      <c r="R987"/>
      <c r="S987"/>
      <c r="T987"/>
      <c r="U987"/>
    </row>
    <row r="988" spans="1:21" x14ac:dyDescent="0.2">
      <c r="A988"/>
      <c r="B988" s="399"/>
      <c r="C988" s="297"/>
      <c r="D988" s="394"/>
      <c r="E988" s="297"/>
      <c r="F988" s="394"/>
      <c r="G988" s="297"/>
      <c r="H988" s="297"/>
      <c r="I988" s="297"/>
      <c r="J988" s="297"/>
      <c r="K988" s="297"/>
      <c r="L988" s="297"/>
      <c r="M988" s="297"/>
      <c r="N988" s="297"/>
      <c r="O988" s="297"/>
      <c r="P988"/>
      <c r="Q988"/>
      <c r="R988"/>
      <c r="S988"/>
      <c r="T988"/>
      <c r="U988"/>
    </row>
    <row r="989" spans="1:21" x14ac:dyDescent="0.2">
      <c r="A989"/>
      <c r="B989" s="399"/>
      <c r="C989" s="297"/>
      <c r="D989" s="394"/>
      <c r="E989" s="297"/>
      <c r="F989" s="394"/>
      <c r="G989" s="297"/>
      <c r="H989" s="297"/>
      <c r="I989" s="297"/>
      <c r="J989" s="297"/>
      <c r="K989" s="297"/>
      <c r="L989" s="297"/>
      <c r="M989" s="297"/>
      <c r="N989" s="297"/>
      <c r="O989" s="297"/>
      <c r="P989"/>
      <c r="Q989"/>
      <c r="R989"/>
      <c r="S989"/>
      <c r="T989"/>
      <c r="U989"/>
    </row>
    <row r="990" spans="1:21" x14ac:dyDescent="0.2">
      <c r="A990"/>
      <c r="B990" s="399"/>
      <c r="C990" s="297"/>
      <c r="D990" s="394"/>
      <c r="E990" s="297"/>
      <c r="F990" s="394"/>
      <c r="G990" s="297"/>
      <c r="H990" s="297"/>
      <c r="I990" s="297"/>
      <c r="J990" s="297"/>
      <c r="K990" s="297"/>
      <c r="L990" s="297"/>
      <c r="M990" s="297"/>
      <c r="N990" s="297"/>
      <c r="O990" s="297"/>
      <c r="P990"/>
      <c r="Q990"/>
      <c r="R990"/>
      <c r="S990"/>
      <c r="T990"/>
      <c r="U990"/>
    </row>
    <row r="991" spans="1:21" x14ac:dyDescent="0.2">
      <c r="A991"/>
      <c r="B991" s="399"/>
      <c r="C991" s="297"/>
      <c r="D991" s="394"/>
      <c r="E991" s="297"/>
      <c r="F991" s="394"/>
      <c r="G991" s="297"/>
      <c r="H991" s="297"/>
      <c r="I991" s="297"/>
      <c r="J991" s="297"/>
      <c r="K991" s="297"/>
      <c r="L991" s="297"/>
      <c r="M991" s="297"/>
      <c r="N991" s="297"/>
      <c r="O991" s="297"/>
      <c r="P991"/>
      <c r="Q991"/>
      <c r="R991"/>
      <c r="S991"/>
      <c r="T991"/>
      <c r="U991"/>
    </row>
    <row r="992" spans="1:21" x14ac:dyDescent="0.2">
      <c r="A992"/>
      <c r="B992" s="399"/>
      <c r="C992" s="297"/>
      <c r="D992" s="394"/>
      <c r="E992" s="297"/>
      <c r="F992" s="394"/>
      <c r="G992" s="297"/>
      <c r="H992" s="297"/>
      <c r="I992" s="297"/>
      <c r="J992" s="297"/>
      <c r="K992" s="297"/>
      <c r="L992" s="297"/>
      <c r="M992" s="297"/>
      <c r="N992" s="297"/>
      <c r="O992" s="297"/>
      <c r="P992"/>
      <c r="Q992"/>
      <c r="R992"/>
      <c r="S992"/>
      <c r="T992"/>
      <c r="U992"/>
    </row>
    <row r="993" spans="1:21" x14ac:dyDescent="0.2">
      <c r="A993"/>
      <c r="B993" s="399"/>
      <c r="C993" s="297"/>
      <c r="D993" s="394"/>
      <c r="E993" s="297"/>
      <c r="F993" s="394"/>
      <c r="G993" s="297"/>
      <c r="H993" s="297"/>
      <c r="I993" s="297"/>
      <c r="J993" s="297"/>
      <c r="K993" s="297"/>
      <c r="L993" s="297"/>
      <c r="M993" s="297"/>
      <c r="N993" s="297"/>
      <c r="O993" s="297"/>
      <c r="P993"/>
      <c r="Q993"/>
      <c r="R993"/>
      <c r="S993"/>
      <c r="T993"/>
      <c r="U993"/>
    </row>
    <row r="994" spans="1:21" x14ac:dyDescent="0.2">
      <c r="A994"/>
      <c r="B994" s="399"/>
      <c r="C994" s="297"/>
      <c r="D994" s="394"/>
      <c r="E994" s="297"/>
      <c r="F994" s="394"/>
      <c r="G994" s="297"/>
      <c r="H994" s="297"/>
      <c r="I994" s="297"/>
      <c r="J994" s="297"/>
      <c r="K994" s="297"/>
      <c r="L994" s="297"/>
      <c r="M994" s="297"/>
      <c r="N994" s="297"/>
      <c r="O994" s="297"/>
      <c r="P994"/>
      <c r="Q994"/>
      <c r="R994"/>
      <c r="S994"/>
      <c r="T994"/>
      <c r="U994"/>
    </row>
    <row r="995" spans="1:21" x14ac:dyDescent="0.2">
      <c r="A995"/>
      <c r="B995" s="399"/>
      <c r="C995" s="297"/>
      <c r="D995" s="394"/>
      <c r="E995" s="297"/>
      <c r="F995" s="394"/>
      <c r="G995" s="297"/>
      <c r="H995" s="297"/>
      <c r="I995" s="297"/>
      <c r="J995" s="297"/>
      <c r="K995" s="297"/>
      <c r="L995" s="297"/>
      <c r="M995" s="297"/>
      <c r="N995" s="297"/>
      <c r="O995" s="297"/>
      <c r="P995"/>
      <c r="Q995"/>
      <c r="R995"/>
      <c r="S995"/>
      <c r="T995"/>
      <c r="U995"/>
    </row>
    <row r="996" spans="1:21" x14ac:dyDescent="0.2">
      <c r="A996"/>
      <c r="B996" s="399"/>
      <c r="C996" s="297"/>
      <c r="D996" s="394"/>
      <c r="E996" s="297"/>
      <c r="F996" s="394"/>
      <c r="G996" s="297"/>
      <c r="H996" s="297"/>
      <c r="I996" s="297"/>
      <c r="J996" s="297"/>
      <c r="K996" s="297"/>
      <c r="L996" s="297"/>
      <c r="M996" s="297"/>
      <c r="N996" s="297"/>
      <c r="O996" s="297"/>
      <c r="P996"/>
      <c r="Q996"/>
      <c r="R996"/>
      <c r="S996"/>
      <c r="T996"/>
      <c r="U996"/>
    </row>
    <row r="997" spans="1:21" x14ac:dyDescent="0.2">
      <c r="A997"/>
      <c r="B997" s="399"/>
      <c r="C997" s="297"/>
      <c r="D997" s="394"/>
      <c r="E997" s="297"/>
      <c r="F997" s="394"/>
      <c r="G997" s="297"/>
      <c r="H997" s="297"/>
      <c r="I997" s="297"/>
      <c r="J997" s="297"/>
      <c r="K997" s="297"/>
      <c r="L997" s="297"/>
      <c r="M997" s="297"/>
      <c r="N997" s="297"/>
      <c r="O997" s="297"/>
      <c r="P997"/>
      <c r="Q997"/>
      <c r="R997"/>
      <c r="S997"/>
      <c r="T997"/>
      <c r="U997"/>
    </row>
    <row r="998" spans="1:21" x14ac:dyDescent="0.2">
      <c r="A998"/>
      <c r="B998" s="399"/>
      <c r="C998" s="297"/>
      <c r="D998" s="394"/>
      <c r="E998" s="297"/>
      <c r="F998" s="394"/>
      <c r="G998" s="297"/>
      <c r="H998" s="297"/>
      <c r="I998" s="297"/>
      <c r="J998" s="297"/>
      <c r="K998" s="297"/>
      <c r="L998" s="297"/>
      <c r="M998" s="297"/>
      <c r="N998" s="297"/>
      <c r="O998" s="297"/>
      <c r="P998"/>
      <c r="Q998"/>
      <c r="R998"/>
      <c r="S998"/>
      <c r="T998"/>
      <c r="U998"/>
    </row>
    <row r="999" spans="1:21" x14ac:dyDescent="0.2">
      <c r="A999"/>
      <c r="B999" s="399"/>
      <c r="C999" s="297"/>
      <c r="D999" s="394"/>
      <c r="E999" s="297"/>
      <c r="F999" s="394"/>
      <c r="G999" s="297"/>
      <c r="H999" s="297"/>
      <c r="I999" s="297"/>
      <c r="J999" s="297"/>
      <c r="K999" s="297"/>
      <c r="L999" s="297"/>
      <c r="M999" s="297"/>
      <c r="N999" s="297"/>
      <c r="O999" s="297"/>
      <c r="P999"/>
      <c r="Q999"/>
      <c r="R999"/>
      <c r="S999"/>
      <c r="T999"/>
      <c r="U999"/>
    </row>
    <row r="1000" spans="1:21" x14ac:dyDescent="0.2">
      <c r="A1000"/>
      <c r="B1000" s="399"/>
      <c r="C1000" s="297"/>
      <c r="D1000" s="394"/>
      <c r="E1000" s="297"/>
      <c r="F1000" s="394"/>
      <c r="G1000" s="297"/>
      <c r="H1000" s="297"/>
      <c r="I1000" s="297"/>
      <c r="J1000" s="297"/>
      <c r="K1000" s="297"/>
      <c r="L1000" s="297"/>
      <c r="M1000" s="297"/>
      <c r="N1000" s="297"/>
      <c r="O1000" s="297"/>
      <c r="P1000"/>
      <c r="Q1000"/>
      <c r="R1000"/>
      <c r="S1000"/>
      <c r="T1000"/>
      <c r="U1000"/>
    </row>
    <row r="1001" spans="1:21" x14ac:dyDescent="0.2">
      <c r="A1001"/>
      <c r="B1001" s="399"/>
      <c r="C1001" s="297"/>
      <c r="D1001" s="394"/>
      <c r="E1001" s="297"/>
      <c r="F1001" s="394"/>
      <c r="G1001" s="297"/>
      <c r="H1001" s="297"/>
      <c r="I1001" s="297"/>
      <c r="J1001" s="297"/>
      <c r="K1001" s="297"/>
      <c r="L1001" s="297"/>
      <c r="M1001" s="297"/>
      <c r="N1001" s="297"/>
      <c r="O1001" s="297"/>
      <c r="P1001"/>
      <c r="Q1001"/>
      <c r="R1001"/>
      <c r="S1001"/>
      <c r="T1001"/>
      <c r="U1001"/>
    </row>
    <row r="1002" spans="1:21" x14ac:dyDescent="0.2">
      <c r="A1002"/>
      <c r="B1002" s="399"/>
      <c r="C1002" s="297"/>
      <c r="D1002" s="394"/>
      <c r="E1002" s="297"/>
      <c r="F1002" s="394"/>
      <c r="G1002" s="297"/>
      <c r="H1002" s="297"/>
      <c r="I1002" s="297"/>
      <c r="J1002" s="297"/>
      <c r="K1002" s="297"/>
      <c r="L1002" s="297"/>
      <c r="M1002" s="297"/>
      <c r="N1002" s="297"/>
      <c r="O1002" s="297"/>
      <c r="P1002"/>
      <c r="Q1002"/>
      <c r="R1002"/>
      <c r="S1002"/>
      <c r="T1002"/>
      <c r="U1002"/>
    </row>
    <row r="1003" spans="1:21" x14ac:dyDescent="0.2">
      <c r="A1003"/>
      <c r="B1003" s="399"/>
      <c r="C1003" s="297"/>
      <c r="D1003" s="394"/>
      <c r="E1003" s="297"/>
      <c r="F1003" s="394"/>
      <c r="G1003" s="297"/>
      <c r="H1003" s="297"/>
      <c r="I1003" s="297"/>
      <c r="J1003" s="297"/>
      <c r="K1003" s="297"/>
      <c r="L1003" s="297"/>
      <c r="M1003" s="297"/>
      <c r="N1003" s="297"/>
      <c r="O1003" s="297"/>
      <c r="P1003"/>
      <c r="Q1003"/>
      <c r="R1003"/>
      <c r="S1003"/>
      <c r="T1003"/>
      <c r="U1003"/>
    </row>
    <row r="1004" spans="1:21" x14ac:dyDescent="0.2">
      <c r="A1004"/>
      <c r="B1004" s="399"/>
      <c r="C1004" s="297"/>
      <c r="D1004" s="394"/>
      <c r="E1004" s="297"/>
      <c r="F1004" s="394"/>
      <c r="G1004" s="297"/>
      <c r="H1004" s="297"/>
      <c r="I1004" s="297"/>
      <c r="J1004" s="297"/>
      <c r="K1004" s="297"/>
      <c r="L1004" s="297"/>
      <c r="M1004" s="297"/>
      <c r="N1004" s="297"/>
      <c r="O1004" s="297"/>
      <c r="P1004"/>
      <c r="Q1004"/>
      <c r="R1004"/>
      <c r="S1004"/>
      <c r="T1004"/>
      <c r="U1004"/>
    </row>
    <row r="1005" spans="1:21" x14ac:dyDescent="0.2">
      <c r="A1005"/>
      <c r="B1005" s="399"/>
      <c r="C1005" s="297"/>
      <c r="D1005" s="394"/>
      <c r="E1005" s="297"/>
      <c r="F1005" s="394"/>
      <c r="G1005" s="297"/>
      <c r="H1005" s="297"/>
      <c r="I1005" s="297"/>
      <c r="J1005" s="297"/>
      <c r="K1005" s="297"/>
      <c r="L1005" s="297"/>
      <c r="M1005" s="297"/>
      <c r="N1005" s="297"/>
      <c r="O1005" s="297"/>
      <c r="P1005"/>
      <c r="Q1005"/>
      <c r="R1005"/>
      <c r="S1005"/>
      <c r="T1005"/>
      <c r="U1005"/>
    </row>
    <row r="1006" spans="1:21" x14ac:dyDescent="0.2">
      <c r="A1006"/>
      <c r="B1006" s="399"/>
      <c r="C1006" s="297"/>
      <c r="D1006" s="394"/>
      <c r="E1006" s="297"/>
      <c r="F1006" s="394"/>
      <c r="G1006" s="297"/>
      <c r="H1006" s="297"/>
      <c r="I1006" s="297"/>
      <c r="J1006" s="297"/>
      <c r="K1006" s="297"/>
      <c r="L1006" s="297"/>
      <c r="M1006" s="297"/>
      <c r="N1006" s="297"/>
      <c r="O1006" s="297"/>
      <c r="P1006"/>
      <c r="Q1006"/>
      <c r="R1006"/>
      <c r="S1006"/>
      <c r="T1006"/>
      <c r="U1006"/>
    </row>
    <row r="1007" spans="1:21" x14ac:dyDescent="0.2">
      <c r="A1007"/>
      <c r="B1007" s="399"/>
      <c r="C1007" s="297"/>
      <c r="D1007" s="394"/>
      <c r="E1007" s="297"/>
      <c r="F1007" s="394"/>
      <c r="G1007" s="297"/>
      <c r="H1007" s="297"/>
      <c r="I1007" s="297"/>
      <c r="J1007" s="297"/>
      <c r="K1007" s="297"/>
      <c r="L1007" s="297"/>
      <c r="M1007" s="297"/>
      <c r="N1007" s="297"/>
      <c r="O1007" s="297"/>
      <c r="P1007"/>
      <c r="Q1007"/>
      <c r="R1007"/>
      <c r="S1007"/>
      <c r="T1007"/>
      <c r="U1007"/>
    </row>
    <row r="1008" spans="1:21" x14ac:dyDescent="0.2">
      <c r="A1008"/>
      <c r="B1008" s="399"/>
      <c r="C1008" s="297"/>
      <c r="D1008" s="394"/>
      <c r="E1008" s="297"/>
      <c r="F1008" s="394"/>
      <c r="G1008" s="297"/>
      <c r="H1008" s="297"/>
      <c r="I1008" s="297"/>
      <c r="J1008" s="297"/>
      <c r="K1008" s="297"/>
      <c r="L1008" s="297"/>
      <c r="M1008" s="297"/>
      <c r="N1008" s="297"/>
      <c r="O1008" s="297"/>
      <c r="P1008"/>
      <c r="Q1008"/>
      <c r="R1008"/>
      <c r="S1008"/>
      <c r="T1008"/>
      <c r="U1008"/>
    </row>
    <row r="1009" spans="1:21" x14ac:dyDescent="0.2">
      <c r="A1009"/>
      <c r="B1009" s="399"/>
      <c r="C1009" s="297"/>
      <c r="D1009" s="394"/>
      <c r="E1009" s="297"/>
      <c r="F1009" s="394"/>
      <c r="G1009" s="297"/>
      <c r="H1009" s="297"/>
      <c r="I1009" s="297"/>
      <c r="J1009" s="297"/>
      <c r="K1009" s="297"/>
      <c r="L1009" s="297"/>
      <c r="M1009" s="297"/>
      <c r="N1009" s="297"/>
      <c r="O1009" s="297"/>
      <c r="P1009"/>
      <c r="Q1009"/>
      <c r="R1009"/>
      <c r="S1009"/>
      <c r="T1009"/>
      <c r="U1009"/>
    </row>
    <row r="1010" spans="1:21" x14ac:dyDescent="0.2">
      <c r="A1010"/>
      <c r="B1010" s="399"/>
      <c r="C1010" s="297"/>
      <c r="D1010" s="394"/>
      <c r="E1010" s="297"/>
      <c r="F1010" s="394"/>
      <c r="G1010" s="297"/>
      <c r="H1010" s="297"/>
      <c r="I1010" s="297"/>
      <c r="J1010" s="297"/>
      <c r="K1010" s="297"/>
      <c r="L1010" s="297"/>
      <c r="M1010" s="297"/>
      <c r="N1010" s="297"/>
      <c r="O1010" s="297"/>
      <c r="P1010"/>
      <c r="Q1010"/>
      <c r="R1010"/>
      <c r="S1010"/>
      <c r="T1010"/>
      <c r="U1010"/>
    </row>
    <row r="1011" spans="1:21" x14ac:dyDescent="0.2">
      <c r="A1011"/>
      <c r="B1011" s="399"/>
      <c r="C1011" s="297"/>
      <c r="D1011" s="394"/>
      <c r="E1011" s="297"/>
      <c r="F1011" s="394"/>
      <c r="G1011" s="297"/>
      <c r="H1011" s="297"/>
      <c r="I1011" s="297"/>
      <c r="J1011" s="297"/>
      <c r="K1011" s="297"/>
      <c r="L1011" s="297"/>
      <c r="M1011" s="297"/>
      <c r="N1011" s="297"/>
      <c r="O1011" s="297"/>
      <c r="P1011"/>
      <c r="Q1011"/>
      <c r="R1011"/>
      <c r="S1011"/>
      <c r="T1011"/>
      <c r="U1011"/>
    </row>
    <row r="1012" spans="1:21" x14ac:dyDescent="0.2">
      <c r="A1012"/>
      <c r="B1012" s="399"/>
      <c r="C1012" s="297"/>
      <c r="D1012" s="394"/>
      <c r="E1012" s="297"/>
      <c r="F1012" s="394"/>
      <c r="G1012" s="297"/>
      <c r="H1012" s="297"/>
      <c r="I1012" s="297"/>
      <c r="J1012" s="297"/>
      <c r="K1012" s="297"/>
      <c r="L1012" s="297"/>
      <c r="M1012" s="297"/>
      <c r="N1012" s="297"/>
      <c r="O1012" s="297"/>
      <c r="P1012"/>
      <c r="Q1012"/>
      <c r="R1012"/>
      <c r="S1012"/>
      <c r="T1012"/>
      <c r="U1012"/>
    </row>
    <row r="1013" spans="1:21" x14ac:dyDescent="0.2">
      <c r="A1013"/>
      <c r="B1013" s="399"/>
      <c r="C1013" s="297"/>
      <c r="D1013" s="394"/>
      <c r="E1013" s="297"/>
      <c r="F1013" s="394"/>
      <c r="G1013" s="297"/>
      <c r="H1013" s="297"/>
      <c r="I1013" s="297"/>
      <c r="J1013" s="297"/>
      <c r="K1013" s="297"/>
      <c r="L1013" s="297"/>
      <c r="M1013" s="297"/>
      <c r="N1013" s="297"/>
      <c r="O1013" s="297"/>
      <c r="P1013"/>
      <c r="Q1013"/>
      <c r="R1013"/>
      <c r="S1013"/>
      <c r="T1013"/>
      <c r="U1013"/>
    </row>
    <row r="1014" spans="1:21" x14ac:dyDescent="0.2">
      <c r="A1014"/>
      <c r="B1014" s="399"/>
      <c r="C1014" s="297"/>
      <c r="D1014" s="394"/>
      <c r="E1014" s="297"/>
      <c r="F1014" s="394"/>
      <c r="G1014" s="297"/>
      <c r="H1014" s="297"/>
      <c r="I1014" s="297"/>
      <c r="J1014" s="297"/>
      <c r="K1014" s="297"/>
      <c r="L1014" s="297"/>
      <c r="M1014" s="297"/>
      <c r="N1014" s="297"/>
      <c r="O1014" s="297"/>
      <c r="P1014"/>
      <c r="Q1014"/>
      <c r="R1014"/>
      <c r="S1014"/>
      <c r="T1014"/>
      <c r="U1014"/>
    </row>
    <row r="1015" spans="1:21" x14ac:dyDescent="0.2">
      <c r="A1015"/>
      <c r="B1015" s="399"/>
      <c r="C1015" s="297"/>
      <c r="D1015" s="394"/>
      <c r="E1015" s="297"/>
      <c r="F1015" s="394"/>
      <c r="G1015" s="297"/>
      <c r="H1015" s="297"/>
      <c r="I1015" s="297"/>
      <c r="J1015" s="297"/>
      <c r="K1015" s="297"/>
      <c r="L1015" s="297"/>
      <c r="M1015" s="297"/>
      <c r="N1015" s="297"/>
      <c r="O1015" s="297"/>
      <c r="P1015"/>
      <c r="Q1015"/>
      <c r="R1015"/>
      <c r="S1015"/>
      <c r="T1015"/>
      <c r="U1015"/>
    </row>
    <row r="1016" spans="1:21" x14ac:dyDescent="0.2">
      <c r="A1016"/>
      <c r="B1016" s="399"/>
      <c r="C1016" s="297"/>
      <c r="D1016" s="394"/>
      <c r="E1016" s="297"/>
      <c r="F1016" s="394"/>
      <c r="G1016" s="297"/>
      <c r="H1016" s="297"/>
      <c r="I1016" s="297"/>
      <c r="J1016" s="297"/>
      <c r="K1016" s="297"/>
      <c r="L1016" s="297"/>
      <c r="M1016" s="297"/>
      <c r="N1016" s="297"/>
      <c r="O1016" s="297"/>
      <c r="P1016"/>
      <c r="Q1016"/>
      <c r="R1016"/>
      <c r="S1016"/>
      <c r="T1016"/>
      <c r="U1016"/>
    </row>
    <row r="1017" spans="1:21" x14ac:dyDescent="0.2">
      <c r="A1017"/>
      <c r="B1017" s="399"/>
      <c r="C1017" s="297"/>
      <c r="D1017" s="394"/>
      <c r="E1017" s="297"/>
      <c r="F1017" s="394"/>
      <c r="G1017" s="297"/>
      <c r="H1017" s="297"/>
      <c r="I1017" s="297"/>
      <c r="J1017" s="297"/>
      <c r="K1017" s="297"/>
      <c r="L1017" s="297"/>
      <c r="M1017" s="297"/>
      <c r="N1017" s="297"/>
      <c r="O1017" s="297"/>
      <c r="P1017"/>
      <c r="Q1017"/>
      <c r="R1017"/>
      <c r="S1017"/>
      <c r="T1017"/>
      <c r="U1017"/>
    </row>
    <row r="1018" spans="1:21" x14ac:dyDescent="0.2">
      <c r="A1018"/>
      <c r="B1018" s="399"/>
      <c r="C1018" s="297"/>
      <c r="D1018" s="394"/>
      <c r="E1018" s="297"/>
      <c r="F1018" s="394"/>
      <c r="G1018" s="297"/>
      <c r="H1018" s="297"/>
      <c r="I1018" s="297"/>
      <c r="J1018" s="297"/>
      <c r="K1018" s="297"/>
      <c r="L1018" s="297"/>
      <c r="M1018" s="297"/>
      <c r="N1018" s="297"/>
      <c r="O1018" s="297"/>
      <c r="P1018"/>
      <c r="Q1018"/>
      <c r="R1018"/>
      <c r="S1018"/>
      <c r="T1018"/>
      <c r="U1018"/>
    </row>
    <row r="1019" spans="1:21" x14ac:dyDescent="0.2">
      <c r="A1019"/>
      <c r="B1019" s="399"/>
      <c r="C1019" s="297"/>
      <c r="D1019" s="394"/>
      <c r="E1019" s="297"/>
      <c r="F1019" s="394"/>
      <c r="G1019" s="297"/>
      <c r="H1019" s="297"/>
      <c r="I1019" s="297"/>
      <c r="J1019" s="297"/>
      <c r="K1019" s="297"/>
      <c r="L1019" s="297"/>
      <c r="M1019" s="297"/>
      <c r="N1019" s="297"/>
      <c r="O1019" s="297"/>
      <c r="P1019"/>
      <c r="Q1019"/>
      <c r="R1019"/>
      <c r="S1019"/>
      <c r="T1019"/>
      <c r="U1019"/>
    </row>
    <row r="1020" spans="1:21" x14ac:dyDescent="0.2">
      <c r="A1020"/>
      <c r="B1020" s="399"/>
      <c r="C1020" s="297"/>
      <c r="D1020" s="394"/>
      <c r="E1020" s="297"/>
      <c r="F1020" s="394"/>
      <c r="G1020" s="297"/>
      <c r="H1020" s="297"/>
      <c r="I1020" s="297"/>
      <c r="J1020" s="297"/>
      <c r="K1020" s="297"/>
      <c r="L1020" s="297"/>
      <c r="M1020" s="297"/>
      <c r="N1020" s="297"/>
      <c r="O1020" s="297"/>
      <c r="P1020"/>
      <c r="Q1020"/>
      <c r="R1020"/>
      <c r="S1020"/>
      <c r="T1020"/>
      <c r="U1020"/>
    </row>
    <row r="1021" spans="1:21" x14ac:dyDescent="0.2">
      <c r="A1021"/>
      <c r="B1021" s="399"/>
      <c r="C1021" s="297"/>
      <c r="D1021" s="394"/>
      <c r="E1021" s="297"/>
      <c r="F1021" s="394"/>
      <c r="G1021" s="297"/>
      <c r="H1021" s="297"/>
      <c r="I1021" s="297"/>
      <c r="J1021" s="297"/>
      <c r="K1021" s="297"/>
      <c r="L1021" s="297"/>
      <c r="M1021" s="297"/>
      <c r="N1021" s="297"/>
      <c r="O1021" s="297"/>
      <c r="P1021"/>
      <c r="Q1021"/>
      <c r="R1021"/>
      <c r="S1021"/>
      <c r="T1021"/>
      <c r="U1021"/>
    </row>
    <row r="1022" spans="1:21" x14ac:dyDescent="0.2">
      <c r="A1022"/>
      <c r="B1022" s="399"/>
      <c r="C1022" s="297"/>
      <c r="D1022" s="394"/>
      <c r="E1022" s="297"/>
      <c r="F1022" s="394"/>
      <c r="G1022" s="297"/>
      <c r="H1022" s="297"/>
      <c r="I1022" s="297"/>
      <c r="J1022" s="297"/>
      <c r="K1022" s="297"/>
      <c r="L1022" s="297"/>
      <c r="M1022" s="297"/>
      <c r="N1022" s="297"/>
      <c r="O1022" s="297"/>
      <c r="P1022"/>
      <c r="Q1022"/>
      <c r="R1022"/>
      <c r="S1022"/>
      <c r="T1022"/>
      <c r="U1022"/>
    </row>
    <row r="1023" spans="1:21" x14ac:dyDescent="0.2">
      <c r="A1023"/>
      <c r="B1023" s="399"/>
      <c r="C1023" s="297"/>
      <c r="D1023" s="394"/>
      <c r="E1023" s="297"/>
      <c r="F1023" s="394"/>
      <c r="G1023" s="297"/>
      <c r="H1023" s="297"/>
      <c r="I1023" s="297"/>
      <c r="J1023" s="297"/>
      <c r="K1023" s="297"/>
      <c r="L1023" s="297"/>
      <c r="M1023" s="297"/>
      <c r="N1023" s="297"/>
      <c r="O1023" s="297"/>
      <c r="P1023"/>
      <c r="Q1023"/>
      <c r="R1023"/>
      <c r="S1023"/>
      <c r="T1023"/>
      <c r="U1023"/>
    </row>
    <row r="1024" spans="1:21" x14ac:dyDescent="0.2">
      <c r="A1024"/>
      <c r="B1024" s="399"/>
      <c r="C1024" s="297"/>
      <c r="D1024" s="394"/>
      <c r="E1024" s="297"/>
      <c r="F1024" s="394"/>
      <c r="G1024" s="297"/>
      <c r="H1024" s="297"/>
      <c r="I1024" s="297"/>
      <c r="J1024" s="297"/>
      <c r="K1024" s="297"/>
      <c r="L1024" s="297"/>
      <c r="M1024" s="297"/>
      <c r="N1024" s="297"/>
      <c r="O1024" s="297"/>
      <c r="P1024"/>
      <c r="Q1024"/>
      <c r="R1024"/>
      <c r="S1024"/>
      <c r="T1024"/>
      <c r="U1024"/>
    </row>
    <row r="1025" spans="1:21" x14ac:dyDescent="0.2">
      <c r="A1025"/>
      <c r="B1025" s="399"/>
      <c r="C1025" s="297"/>
      <c r="D1025" s="394"/>
      <c r="E1025" s="297"/>
      <c r="F1025" s="394"/>
      <c r="G1025" s="297"/>
      <c r="H1025" s="297"/>
      <c r="I1025" s="297"/>
      <c r="J1025" s="297"/>
      <c r="K1025" s="297"/>
      <c r="L1025" s="297"/>
      <c r="M1025" s="297"/>
      <c r="N1025" s="297"/>
      <c r="O1025" s="297"/>
      <c r="P1025"/>
      <c r="Q1025"/>
      <c r="R1025"/>
      <c r="S1025"/>
      <c r="T1025"/>
      <c r="U1025"/>
    </row>
    <row r="1026" spans="1:21" x14ac:dyDescent="0.2">
      <c r="A1026"/>
      <c r="B1026" s="399"/>
      <c r="C1026" s="297"/>
      <c r="D1026" s="394"/>
      <c r="E1026" s="297"/>
      <c r="F1026" s="394"/>
      <c r="G1026" s="297"/>
      <c r="H1026" s="297"/>
      <c r="I1026" s="297"/>
      <c r="J1026" s="297"/>
      <c r="K1026" s="297"/>
      <c r="L1026" s="297"/>
      <c r="M1026" s="297"/>
      <c r="N1026" s="297"/>
      <c r="O1026" s="297"/>
      <c r="P1026"/>
      <c r="Q1026"/>
      <c r="R1026"/>
      <c r="S1026"/>
      <c r="T1026"/>
      <c r="U1026"/>
    </row>
    <row r="1027" spans="1:21" x14ac:dyDescent="0.2">
      <c r="A1027"/>
      <c r="B1027" s="399"/>
      <c r="C1027" s="297"/>
      <c r="D1027" s="394"/>
      <c r="E1027" s="297"/>
      <c r="F1027" s="394"/>
      <c r="G1027" s="297"/>
      <c r="H1027" s="297"/>
      <c r="I1027" s="297"/>
      <c r="J1027" s="297"/>
      <c r="K1027" s="297"/>
      <c r="L1027" s="297"/>
      <c r="M1027" s="297"/>
      <c r="N1027" s="297"/>
      <c r="O1027" s="297"/>
      <c r="P1027"/>
      <c r="Q1027"/>
      <c r="R1027"/>
      <c r="S1027"/>
      <c r="T1027"/>
      <c r="U1027"/>
    </row>
    <row r="1028" spans="1:21" x14ac:dyDescent="0.2">
      <c r="A1028"/>
      <c r="B1028" s="399"/>
      <c r="C1028" s="297"/>
      <c r="D1028" s="394"/>
      <c r="E1028" s="297"/>
      <c r="F1028" s="394"/>
      <c r="G1028" s="297"/>
      <c r="H1028" s="297"/>
      <c r="I1028" s="297"/>
      <c r="J1028" s="297"/>
      <c r="K1028" s="297"/>
      <c r="L1028" s="297"/>
      <c r="M1028" s="297"/>
      <c r="N1028" s="297"/>
      <c r="O1028" s="297"/>
      <c r="P1028"/>
      <c r="Q1028"/>
      <c r="R1028"/>
      <c r="S1028"/>
      <c r="T1028"/>
      <c r="U1028"/>
    </row>
    <row r="1029" spans="1:21" x14ac:dyDescent="0.2">
      <c r="A1029"/>
      <c r="B1029" s="399"/>
      <c r="C1029" s="297"/>
      <c r="D1029" s="394"/>
      <c r="E1029" s="297"/>
      <c r="F1029" s="394"/>
      <c r="G1029" s="297"/>
      <c r="H1029" s="297"/>
      <c r="I1029" s="297"/>
      <c r="J1029" s="297"/>
      <c r="K1029" s="297"/>
      <c r="L1029" s="297"/>
      <c r="M1029" s="297"/>
      <c r="N1029" s="297"/>
      <c r="O1029" s="297"/>
      <c r="P1029"/>
      <c r="Q1029"/>
      <c r="R1029"/>
      <c r="S1029"/>
      <c r="T1029"/>
      <c r="U1029"/>
    </row>
    <row r="1030" spans="1:21" x14ac:dyDescent="0.2">
      <c r="A1030"/>
      <c r="B1030" s="399"/>
      <c r="C1030" s="297"/>
      <c r="D1030" s="394"/>
      <c r="E1030" s="297"/>
      <c r="F1030" s="394"/>
      <c r="G1030" s="297"/>
      <c r="H1030" s="297"/>
      <c r="I1030" s="297"/>
      <c r="J1030" s="297"/>
      <c r="K1030" s="297"/>
      <c r="L1030" s="297"/>
      <c r="M1030" s="297"/>
      <c r="N1030" s="297"/>
      <c r="O1030" s="297"/>
      <c r="P1030"/>
      <c r="Q1030"/>
      <c r="R1030"/>
      <c r="S1030"/>
      <c r="T1030"/>
      <c r="U1030"/>
    </row>
    <row r="1031" spans="1:21" x14ac:dyDescent="0.2">
      <c r="A1031"/>
      <c r="B1031" s="399"/>
      <c r="C1031" s="297"/>
      <c r="D1031" s="394"/>
      <c r="E1031" s="297"/>
      <c r="F1031" s="394"/>
      <c r="G1031" s="297"/>
      <c r="H1031" s="297"/>
      <c r="I1031" s="297"/>
      <c r="J1031" s="297"/>
      <c r="K1031" s="297"/>
      <c r="L1031" s="297"/>
      <c r="M1031" s="297"/>
      <c r="N1031" s="297"/>
      <c r="O1031" s="297"/>
      <c r="P1031"/>
      <c r="Q1031"/>
      <c r="R1031"/>
      <c r="S1031"/>
      <c r="T1031"/>
      <c r="U1031"/>
    </row>
    <row r="1032" spans="1:21" x14ac:dyDescent="0.2">
      <c r="A1032"/>
      <c r="B1032" s="399"/>
      <c r="C1032" s="297"/>
      <c r="D1032" s="394"/>
      <c r="E1032" s="297"/>
      <c r="F1032" s="394"/>
      <c r="G1032" s="297"/>
      <c r="H1032" s="297"/>
      <c r="I1032" s="297"/>
      <c r="J1032" s="297"/>
      <c r="K1032" s="297"/>
      <c r="L1032" s="297"/>
      <c r="M1032" s="297"/>
      <c r="N1032" s="297"/>
      <c r="O1032" s="297"/>
      <c r="P1032"/>
      <c r="Q1032"/>
      <c r="R1032"/>
      <c r="S1032"/>
      <c r="T1032"/>
      <c r="U1032"/>
    </row>
    <row r="1033" spans="1:21" x14ac:dyDescent="0.2">
      <c r="A1033"/>
      <c r="B1033" s="399"/>
      <c r="C1033" s="297"/>
      <c r="D1033" s="394"/>
      <c r="E1033" s="297"/>
      <c r="F1033" s="394"/>
      <c r="G1033" s="297"/>
      <c r="H1033" s="297"/>
      <c r="I1033" s="297"/>
      <c r="J1033" s="297"/>
      <c r="K1033" s="297"/>
      <c r="L1033" s="297"/>
      <c r="M1033" s="297"/>
      <c r="N1033" s="297"/>
      <c r="O1033" s="297"/>
      <c r="P1033"/>
      <c r="Q1033"/>
      <c r="R1033"/>
      <c r="S1033"/>
      <c r="T1033"/>
      <c r="U1033"/>
    </row>
    <row r="1034" spans="1:21" x14ac:dyDescent="0.2">
      <c r="A1034"/>
      <c r="B1034" s="399"/>
      <c r="C1034" s="297"/>
      <c r="D1034" s="394"/>
      <c r="E1034" s="297"/>
      <c r="F1034" s="394"/>
      <c r="G1034" s="297"/>
      <c r="H1034" s="297"/>
      <c r="I1034" s="297"/>
      <c r="J1034" s="297"/>
      <c r="K1034" s="297"/>
      <c r="L1034" s="297"/>
      <c r="M1034" s="297"/>
      <c r="N1034" s="297"/>
      <c r="O1034" s="297"/>
      <c r="P1034"/>
      <c r="Q1034"/>
      <c r="R1034"/>
      <c r="S1034"/>
      <c r="T1034"/>
      <c r="U1034"/>
    </row>
    <row r="1035" spans="1:21" x14ac:dyDescent="0.2">
      <c r="A1035"/>
      <c r="B1035" s="399"/>
      <c r="C1035" s="297"/>
      <c r="D1035" s="394"/>
      <c r="E1035" s="297"/>
      <c r="F1035" s="394"/>
      <c r="G1035" s="297"/>
      <c r="H1035" s="297"/>
      <c r="I1035" s="297"/>
      <c r="J1035" s="297"/>
      <c r="K1035" s="297"/>
      <c r="L1035" s="297"/>
      <c r="M1035" s="297"/>
      <c r="N1035" s="297"/>
      <c r="O1035" s="297"/>
      <c r="P1035"/>
      <c r="Q1035"/>
      <c r="R1035"/>
      <c r="S1035"/>
      <c r="T1035"/>
      <c r="U1035"/>
    </row>
    <row r="1036" spans="1:21" x14ac:dyDescent="0.2">
      <c r="A1036"/>
      <c r="B1036" s="399"/>
      <c r="C1036" s="297"/>
      <c r="D1036" s="394"/>
      <c r="E1036" s="297"/>
      <c r="F1036" s="394"/>
      <c r="G1036" s="297"/>
      <c r="H1036" s="297"/>
      <c r="I1036" s="297"/>
      <c r="J1036" s="297"/>
      <c r="K1036" s="297"/>
      <c r="L1036" s="297"/>
      <c r="M1036" s="297"/>
      <c r="N1036" s="297"/>
      <c r="O1036" s="297"/>
      <c r="P1036"/>
      <c r="Q1036"/>
      <c r="R1036"/>
      <c r="S1036"/>
      <c r="T1036"/>
      <c r="U1036"/>
    </row>
    <row r="1037" spans="1:21" x14ac:dyDescent="0.2">
      <c r="A1037"/>
      <c r="B1037" s="399"/>
      <c r="C1037" s="297"/>
      <c r="D1037" s="394"/>
      <c r="E1037" s="297"/>
      <c r="F1037" s="394"/>
      <c r="G1037" s="297"/>
      <c r="H1037" s="297"/>
      <c r="I1037" s="297"/>
      <c r="J1037" s="297"/>
      <c r="K1037" s="297"/>
      <c r="L1037" s="297"/>
      <c r="M1037" s="297"/>
      <c r="N1037" s="297"/>
      <c r="O1037" s="297"/>
      <c r="P1037"/>
      <c r="Q1037"/>
      <c r="R1037"/>
      <c r="S1037"/>
      <c r="T1037"/>
      <c r="U1037"/>
    </row>
    <row r="1038" spans="1:21" x14ac:dyDescent="0.2">
      <c r="A1038"/>
      <c r="B1038" s="399"/>
      <c r="C1038" s="297"/>
      <c r="D1038" s="394"/>
      <c r="E1038" s="297"/>
      <c r="F1038" s="394"/>
      <c r="G1038" s="297"/>
      <c r="H1038" s="297"/>
      <c r="I1038" s="297"/>
      <c r="J1038" s="297"/>
      <c r="K1038" s="297"/>
      <c r="L1038" s="297"/>
      <c r="M1038" s="297"/>
      <c r="N1038" s="297"/>
      <c r="O1038" s="297"/>
      <c r="P1038"/>
      <c r="Q1038"/>
      <c r="R1038"/>
      <c r="S1038"/>
      <c r="T1038"/>
      <c r="U1038"/>
    </row>
    <row r="1039" spans="1:21" x14ac:dyDescent="0.2">
      <c r="A1039"/>
      <c r="B1039" s="399"/>
      <c r="C1039" s="297"/>
      <c r="D1039" s="394"/>
      <c r="E1039" s="297"/>
      <c r="F1039" s="394"/>
      <c r="G1039" s="297"/>
      <c r="H1039" s="297"/>
      <c r="I1039" s="297"/>
      <c r="J1039" s="297"/>
      <c r="K1039" s="297"/>
      <c r="L1039" s="297"/>
      <c r="M1039" s="297"/>
      <c r="N1039" s="297"/>
      <c r="O1039" s="297"/>
      <c r="P1039"/>
      <c r="Q1039"/>
      <c r="R1039"/>
      <c r="S1039"/>
      <c r="T1039"/>
      <c r="U1039"/>
    </row>
    <row r="1040" spans="1:21" x14ac:dyDescent="0.2">
      <c r="A1040"/>
      <c r="B1040" s="399"/>
      <c r="C1040" s="297"/>
      <c r="D1040" s="394"/>
      <c r="E1040" s="297"/>
      <c r="F1040" s="394"/>
      <c r="G1040" s="297"/>
      <c r="H1040" s="297"/>
      <c r="I1040" s="297"/>
      <c r="J1040" s="297"/>
      <c r="K1040" s="297"/>
      <c r="L1040" s="297"/>
      <c r="M1040" s="297"/>
      <c r="N1040" s="297"/>
      <c r="O1040" s="297"/>
      <c r="P1040"/>
      <c r="Q1040"/>
      <c r="R1040"/>
      <c r="S1040"/>
      <c r="T1040"/>
      <c r="U1040"/>
    </row>
    <row r="1041" spans="1:21" x14ac:dyDescent="0.2">
      <c r="A1041"/>
      <c r="B1041" s="399"/>
      <c r="C1041" s="297"/>
      <c r="D1041" s="394"/>
      <c r="E1041" s="297"/>
      <c r="F1041" s="394"/>
      <c r="G1041" s="297"/>
      <c r="H1041" s="297"/>
      <c r="I1041" s="297"/>
      <c r="J1041" s="297"/>
      <c r="K1041" s="297"/>
      <c r="L1041" s="297"/>
      <c r="M1041" s="297"/>
      <c r="N1041" s="297"/>
      <c r="O1041" s="297"/>
      <c r="P1041"/>
      <c r="Q1041"/>
      <c r="R1041"/>
      <c r="S1041"/>
      <c r="T1041"/>
      <c r="U1041"/>
    </row>
    <row r="1042" spans="1:21" x14ac:dyDescent="0.2">
      <c r="A1042"/>
      <c r="B1042" s="399"/>
      <c r="C1042" s="297"/>
      <c r="D1042" s="394"/>
      <c r="E1042" s="297"/>
      <c r="F1042" s="394"/>
      <c r="G1042" s="297"/>
      <c r="H1042" s="297"/>
      <c r="I1042" s="297"/>
      <c r="J1042" s="297"/>
      <c r="K1042" s="297"/>
      <c r="L1042" s="297"/>
      <c r="M1042" s="297"/>
      <c r="N1042" s="297"/>
      <c r="O1042" s="297"/>
      <c r="P1042"/>
      <c r="Q1042"/>
      <c r="R1042"/>
      <c r="S1042"/>
      <c r="T1042"/>
      <c r="U1042"/>
    </row>
    <row r="1043" spans="1:21" x14ac:dyDescent="0.2">
      <c r="A1043"/>
      <c r="B1043" s="399"/>
      <c r="C1043" s="297"/>
      <c r="D1043" s="394"/>
      <c r="E1043" s="297"/>
      <c r="F1043" s="394"/>
      <c r="G1043" s="297"/>
      <c r="H1043" s="297"/>
      <c r="I1043" s="297"/>
      <c r="J1043" s="297"/>
      <c r="K1043" s="297"/>
      <c r="L1043" s="297"/>
      <c r="M1043" s="297"/>
      <c r="N1043" s="297"/>
      <c r="O1043" s="297"/>
      <c r="P1043"/>
      <c r="Q1043"/>
      <c r="R1043"/>
      <c r="S1043"/>
      <c r="T1043"/>
      <c r="U1043"/>
    </row>
    <row r="1044" spans="1:21" x14ac:dyDescent="0.2">
      <c r="A1044"/>
      <c r="B1044" s="399"/>
      <c r="C1044" s="297"/>
      <c r="D1044" s="394"/>
      <c r="E1044" s="297"/>
      <c r="F1044" s="394"/>
      <c r="G1044" s="297"/>
      <c r="H1044" s="297"/>
      <c r="I1044" s="297"/>
      <c r="J1044" s="297"/>
      <c r="K1044" s="297"/>
      <c r="L1044" s="297"/>
      <c r="M1044" s="297"/>
      <c r="N1044" s="297"/>
      <c r="O1044" s="297"/>
      <c r="P1044"/>
      <c r="Q1044"/>
      <c r="R1044"/>
      <c r="S1044"/>
      <c r="T1044"/>
      <c r="U1044"/>
    </row>
    <row r="1045" spans="1:21" x14ac:dyDescent="0.2">
      <c r="A1045"/>
      <c r="B1045" s="399"/>
      <c r="C1045" s="297"/>
      <c r="D1045" s="394"/>
      <c r="E1045" s="297"/>
      <c r="F1045" s="394"/>
      <c r="G1045" s="297"/>
      <c r="H1045" s="297"/>
      <c r="I1045" s="297"/>
      <c r="J1045" s="297"/>
      <c r="K1045" s="297"/>
      <c r="L1045" s="297"/>
      <c r="M1045" s="297"/>
      <c r="N1045" s="297"/>
      <c r="O1045" s="297"/>
      <c r="P1045"/>
      <c r="Q1045"/>
      <c r="R1045"/>
      <c r="S1045"/>
      <c r="T1045"/>
      <c r="U1045"/>
    </row>
    <row r="1046" spans="1:21" x14ac:dyDescent="0.2">
      <c r="A1046"/>
      <c r="B1046" s="399"/>
      <c r="C1046" s="297"/>
      <c r="D1046" s="394"/>
      <c r="E1046" s="297"/>
      <c r="F1046" s="394"/>
      <c r="G1046" s="297"/>
      <c r="H1046" s="297"/>
      <c r="I1046" s="297"/>
      <c r="J1046" s="297"/>
      <c r="K1046" s="297"/>
      <c r="L1046" s="297"/>
      <c r="M1046" s="297"/>
      <c r="N1046" s="297"/>
      <c r="O1046" s="297"/>
      <c r="P1046"/>
      <c r="Q1046"/>
      <c r="R1046"/>
      <c r="S1046"/>
      <c r="T1046"/>
      <c r="U1046"/>
    </row>
    <row r="1047" spans="1:21" x14ac:dyDescent="0.2">
      <c r="A1047"/>
      <c r="B1047" s="399"/>
      <c r="C1047" s="297"/>
      <c r="D1047" s="394"/>
      <c r="E1047" s="297"/>
      <c r="F1047" s="394"/>
      <c r="G1047" s="297"/>
      <c r="H1047" s="297"/>
      <c r="I1047" s="297"/>
      <c r="J1047" s="297"/>
      <c r="K1047" s="297"/>
      <c r="L1047" s="297"/>
      <c r="M1047" s="297"/>
      <c r="N1047" s="297"/>
      <c r="O1047" s="297"/>
      <c r="P1047"/>
      <c r="Q1047"/>
      <c r="R1047"/>
      <c r="S1047"/>
      <c r="T1047"/>
      <c r="U1047"/>
    </row>
    <row r="1048" spans="1:21" x14ac:dyDescent="0.2">
      <c r="A1048"/>
      <c r="B1048" s="399"/>
      <c r="C1048" s="297"/>
      <c r="D1048" s="394"/>
      <c r="E1048" s="297"/>
      <c r="F1048" s="394"/>
      <c r="G1048" s="297"/>
      <c r="H1048" s="297"/>
      <c r="I1048" s="297"/>
      <c r="J1048" s="297"/>
      <c r="K1048" s="297"/>
      <c r="L1048" s="297"/>
      <c r="M1048" s="297"/>
      <c r="N1048" s="297"/>
      <c r="O1048" s="297"/>
      <c r="P1048"/>
      <c r="Q1048"/>
      <c r="R1048"/>
      <c r="S1048"/>
      <c r="T1048"/>
      <c r="U1048"/>
    </row>
    <row r="1049" spans="1:21" x14ac:dyDescent="0.2">
      <c r="A1049"/>
      <c r="B1049" s="399"/>
      <c r="C1049" s="297"/>
      <c r="D1049" s="394"/>
      <c r="E1049" s="297"/>
      <c r="F1049" s="394"/>
      <c r="G1049" s="297"/>
      <c r="H1049" s="297"/>
      <c r="I1049" s="297"/>
      <c r="J1049" s="297"/>
      <c r="K1049" s="297"/>
      <c r="L1049" s="297"/>
      <c r="M1049" s="297"/>
      <c r="N1049" s="297"/>
      <c r="O1049" s="297"/>
      <c r="P1049"/>
      <c r="Q1049"/>
      <c r="R1049"/>
      <c r="S1049"/>
      <c r="T1049"/>
      <c r="U1049"/>
    </row>
    <row r="1050" spans="1:21" x14ac:dyDescent="0.2">
      <c r="A1050"/>
      <c r="B1050" s="399"/>
      <c r="C1050" s="297"/>
      <c r="D1050" s="394"/>
      <c r="E1050" s="297"/>
      <c r="F1050" s="394"/>
      <c r="G1050" s="297"/>
      <c r="H1050" s="297"/>
      <c r="I1050" s="297"/>
      <c r="J1050" s="297"/>
      <c r="K1050" s="297"/>
      <c r="L1050" s="297"/>
      <c r="M1050" s="297"/>
      <c r="N1050" s="297"/>
      <c r="O1050" s="297"/>
      <c r="P1050"/>
      <c r="Q1050"/>
      <c r="R1050"/>
      <c r="S1050"/>
      <c r="T1050"/>
      <c r="U1050"/>
    </row>
    <row r="1051" spans="1:21" x14ac:dyDescent="0.2">
      <c r="A1051"/>
      <c r="B1051" s="399"/>
      <c r="C1051" s="297"/>
      <c r="D1051" s="394"/>
      <c r="E1051" s="297"/>
      <c r="F1051" s="394"/>
      <c r="G1051" s="297"/>
      <c r="H1051" s="297"/>
      <c r="I1051" s="297"/>
      <c r="J1051" s="297"/>
      <c r="K1051" s="297"/>
      <c r="L1051" s="297"/>
      <c r="M1051" s="297"/>
      <c r="N1051" s="297"/>
      <c r="O1051" s="297"/>
      <c r="P1051"/>
      <c r="Q1051"/>
      <c r="R1051"/>
      <c r="S1051"/>
      <c r="T1051"/>
      <c r="U1051"/>
    </row>
    <row r="1052" spans="1:21" x14ac:dyDescent="0.2">
      <c r="A1052"/>
      <c r="B1052" s="399"/>
      <c r="C1052" s="297"/>
      <c r="D1052" s="394"/>
      <c r="E1052" s="297"/>
      <c r="F1052" s="394"/>
      <c r="G1052" s="297"/>
      <c r="H1052" s="297"/>
      <c r="I1052" s="297"/>
      <c r="J1052" s="297"/>
      <c r="K1052" s="297"/>
      <c r="L1052" s="297"/>
      <c r="M1052" s="297"/>
      <c r="N1052" s="297"/>
      <c r="O1052" s="297"/>
      <c r="P1052"/>
      <c r="Q1052"/>
      <c r="R1052"/>
      <c r="S1052"/>
      <c r="T1052"/>
      <c r="U1052"/>
    </row>
    <row r="1053" spans="1:21" x14ac:dyDescent="0.2">
      <c r="A1053"/>
      <c r="B1053" s="399"/>
      <c r="C1053" s="297"/>
      <c r="D1053" s="394"/>
      <c r="E1053" s="297"/>
      <c r="F1053" s="394"/>
      <c r="G1053" s="297"/>
      <c r="H1053" s="297"/>
      <c r="I1053" s="297"/>
      <c r="J1053" s="297"/>
      <c r="K1053" s="297"/>
      <c r="L1053" s="297"/>
      <c r="M1053" s="297"/>
      <c r="N1053" s="297"/>
      <c r="O1053" s="297"/>
      <c r="P1053"/>
      <c r="Q1053"/>
      <c r="R1053"/>
      <c r="S1053"/>
      <c r="T1053"/>
      <c r="U1053"/>
    </row>
    <row r="1054" spans="1:21" x14ac:dyDescent="0.2">
      <c r="A1054"/>
      <c r="B1054" s="399"/>
      <c r="C1054" s="297"/>
      <c r="D1054" s="394"/>
      <c r="E1054" s="297"/>
      <c r="F1054" s="394"/>
      <c r="G1054" s="297"/>
      <c r="H1054" s="297"/>
      <c r="I1054" s="297"/>
      <c r="J1054" s="297"/>
      <c r="K1054" s="297"/>
      <c r="L1054" s="297"/>
      <c r="M1054" s="297"/>
      <c r="N1054" s="297"/>
      <c r="O1054" s="297"/>
      <c r="P1054"/>
      <c r="Q1054"/>
      <c r="R1054"/>
      <c r="S1054"/>
      <c r="T1054"/>
      <c r="U1054"/>
    </row>
    <row r="1055" spans="1:21" x14ac:dyDescent="0.2">
      <c r="A1055"/>
      <c r="B1055" s="399"/>
      <c r="C1055" s="297"/>
      <c r="D1055" s="394"/>
      <c r="E1055" s="297"/>
      <c r="F1055" s="394"/>
      <c r="G1055" s="297"/>
      <c r="H1055" s="297"/>
      <c r="I1055" s="297"/>
      <c r="J1055" s="297"/>
      <c r="K1055" s="297"/>
      <c r="L1055" s="297"/>
      <c r="M1055" s="297"/>
      <c r="N1055" s="297"/>
      <c r="O1055" s="297"/>
      <c r="P1055"/>
      <c r="Q1055"/>
      <c r="R1055"/>
      <c r="S1055"/>
      <c r="T1055"/>
      <c r="U1055"/>
    </row>
    <row r="1056" spans="1:21" x14ac:dyDescent="0.2">
      <c r="A1056"/>
      <c r="B1056" s="399"/>
      <c r="C1056" s="297"/>
      <c r="D1056" s="394"/>
      <c r="E1056" s="297"/>
      <c r="F1056" s="394"/>
      <c r="G1056" s="297"/>
      <c r="H1056" s="297"/>
      <c r="I1056" s="297"/>
      <c r="J1056" s="297"/>
      <c r="K1056" s="297"/>
      <c r="L1056" s="297"/>
      <c r="M1056" s="297"/>
      <c r="N1056" s="297"/>
      <c r="O1056" s="297"/>
      <c r="P1056"/>
      <c r="Q1056"/>
      <c r="R1056"/>
      <c r="S1056"/>
      <c r="T1056"/>
      <c r="U1056"/>
    </row>
    <row r="1057" spans="1:21" x14ac:dyDescent="0.2">
      <c r="A1057"/>
      <c r="B1057" s="399"/>
      <c r="C1057" s="297"/>
      <c r="D1057" s="394"/>
      <c r="E1057" s="297"/>
      <c r="F1057" s="394"/>
      <c r="G1057" s="297"/>
      <c r="H1057" s="297"/>
      <c r="I1057" s="297"/>
      <c r="J1057" s="297"/>
      <c r="K1057" s="297"/>
      <c r="L1057" s="297"/>
      <c r="M1057" s="297"/>
      <c r="N1057" s="297"/>
      <c r="O1057" s="297"/>
      <c r="P1057"/>
      <c r="Q1057"/>
      <c r="R1057"/>
      <c r="S1057"/>
      <c r="T1057"/>
      <c r="U1057"/>
    </row>
    <row r="1058" spans="1:21" x14ac:dyDescent="0.2">
      <c r="A1058"/>
      <c r="B1058" s="399"/>
      <c r="C1058" s="297"/>
      <c r="D1058" s="394"/>
      <c r="E1058" s="297"/>
      <c r="F1058" s="394"/>
      <c r="G1058" s="297"/>
      <c r="H1058" s="297"/>
      <c r="I1058" s="297"/>
      <c r="J1058" s="297"/>
      <c r="K1058" s="297"/>
      <c r="L1058" s="297"/>
      <c r="M1058" s="297"/>
      <c r="N1058" s="297"/>
      <c r="O1058" s="297"/>
      <c r="P1058"/>
      <c r="Q1058"/>
      <c r="R1058"/>
      <c r="S1058"/>
      <c r="T1058"/>
      <c r="U1058"/>
    </row>
    <row r="1059" spans="1:21" x14ac:dyDescent="0.2">
      <c r="A1059"/>
      <c r="B1059" s="399"/>
      <c r="C1059" s="297"/>
      <c r="D1059" s="394"/>
      <c r="E1059" s="297"/>
      <c r="F1059" s="394"/>
      <c r="G1059" s="297"/>
      <c r="H1059" s="297"/>
      <c r="I1059" s="297"/>
      <c r="J1059" s="297"/>
      <c r="K1059" s="297"/>
      <c r="L1059" s="297"/>
      <c r="M1059" s="297"/>
      <c r="N1059" s="297"/>
      <c r="O1059" s="297"/>
      <c r="P1059"/>
      <c r="Q1059"/>
      <c r="R1059"/>
      <c r="S1059"/>
      <c r="T1059"/>
      <c r="U1059"/>
    </row>
    <row r="1060" spans="1:21" x14ac:dyDescent="0.2">
      <c r="A1060"/>
      <c r="B1060" s="399"/>
      <c r="C1060" s="297"/>
      <c r="D1060" s="394"/>
      <c r="E1060" s="297"/>
      <c r="F1060" s="394"/>
      <c r="G1060" s="297"/>
      <c r="H1060" s="297"/>
      <c r="I1060" s="297"/>
      <c r="J1060" s="297"/>
      <c r="K1060" s="297"/>
      <c r="L1060" s="297"/>
      <c r="M1060" s="297"/>
      <c r="N1060" s="297"/>
      <c r="O1060" s="297"/>
      <c r="P1060"/>
      <c r="Q1060"/>
      <c r="R1060"/>
      <c r="S1060"/>
      <c r="T1060"/>
      <c r="U1060"/>
    </row>
    <row r="1061" spans="1:21" x14ac:dyDescent="0.2">
      <c r="A1061"/>
      <c r="B1061" s="399"/>
      <c r="C1061" s="297"/>
      <c r="D1061" s="394"/>
      <c r="E1061" s="297"/>
      <c r="F1061" s="394"/>
      <c r="G1061" s="297"/>
      <c r="H1061" s="297"/>
      <c r="I1061" s="297"/>
      <c r="J1061" s="297"/>
      <c r="K1061" s="297"/>
      <c r="L1061" s="297"/>
      <c r="M1061" s="297"/>
      <c r="N1061" s="297"/>
      <c r="O1061" s="297"/>
      <c r="P1061"/>
      <c r="Q1061"/>
      <c r="R1061"/>
      <c r="S1061"/>
      <c r="T1061"/>
      <c r="U1061"/>
    </row>
    <row r="1062" spans="1:21" x14ac:dyDescent="0.2">
      <c r="A1062"/>
      <c r="B1062" s="399"/>
      <c r="C1062" s="297"/>
      <c r="D1062" s="394"/>
      <c r="E1062" s="297"/>
      <c r="F1062" s="394"/>
      <c r="G1062" s="297"/>
      <c r="H1062" s="297"/>
      <c r="I1062" s="297"/>
      <c r="J1062" s="297"/>
      <c r="K1062" s="297"/>
      <c r="L1062" s="297"/>
      <c r="M1062" s="297"/>
      <c r="N1062" s="297"/>
      <c r="O1062" s="297"/>
      <c r="P1062"/>
      <c r="Q1062"/>
      <c r="R1062"/>
      <c r="S1062"/>
      <c r="T1062"/>
      <c r="U1062"/>
    </row>
    <row r="1063" spans="1:21" x14ac:dyDescent="0.2">
      <c r="A1063"/>
      <c r="B1063" s="399"/>
      <c r="C1063" s="297"/>
      <c r="D1063" s="394"/>
      <c r="E1063" s="297"/>
      <c r="F1063" s="394"/>
      <c r="G1063" s="297"/>
      <c r="H1063" s="297"/>
      <c r="I1063" s="297"/>
      <c r="J1063" s="297"/>
      <c r="K1063" s="297"/>
      <c r="L1063" s="297"/>
      <c r="M1063" s="297"/>
      <c r="N1063" s="297"/>
      <c r="O1063" s="297"/>
      <c r="P1063"/>
      <c r="Q1063"/>
      <c r="R1063"/>
      <c r="S1063"/>
      <c r="T1063"/>
      <c r="U1063"/>
    </row>
    <row r="1064" spans="1:21" x14ac:dyDescent="0.2">
      <c r="A1064"/>
      <c r="B1064" s="399"/>
      <c r="C1064" s="297"/>
      <c r="D1064" s="394"/>
      <c r="E1064" s="297"/>
      <c r="F1064" s="394"/>
      <c r="G1064" s="297"/>
      <c r="H1064" s="297"/>
      <c r="I1064" s="297"/>
      <c r="J1064" s="297"/>
      <c r="K1064" s="297"/>
      <c r="L1064" s="297"/>
      <c r="M1064" s="297"/>
      <c r="N1064" s="297"/>
      <c r="O1064" s="297"/>
      <c r="P1064"/>
      <c r="Q1064"/>
      <c r="R1064"/>
      <c r="S1064"/>
      <c r="T1064"/>
      <c r="U1064"/>
    </row>
    <row r="1065" spans="1:21" x14ac:dyDescent="0.2">
      <c r="A1065"/>
      <c r="B1065" s="399"/>
      <c r="C1065" s="297"/>
      <c r="D1065" s="394"/>
      <c r="E1065" s="297"/>
      <c r="F1065" s="394"/>
      <c r="G1065" s="297"/>
      <c r="H1065" s="297"/>
      <c r="I1065" s="297"/>
      <c r="J1065" s="297"/>
      <c r="K1065" s="297"/>
      <c r="L1065" s="297"/>
      <c r="M1065" s="297"/>
      <c r="N1065" s="297"/>
      <c r="O1065" s="297"/>
      <c r="P1065"/>
      <c r="Q1065"/>
      <c r="R1065"/>
      <c r="S1065"/>
      <c r="T1065"/>
      <c r="U1065"/>
    </row>
    <row r="1066" spans="1:21" x14ac:dyDescent="0.2">
      <c r="A1066"/>
      <c r="B1066" s="399"/>
      <c r="C1066" s="297"/>
      <c r="D1066" s="394"/>
      <c r="E1066" s="297"/>
      <c r="F1066" s="394"/>
      <c r="G1066" s="297"/>
      <c r="H1066" s="297"/>
      <c r="I1066" s="297"/>
      <c r="J1066" s="297"/>
      <c r="K1066" s="297"/>
      <c r="L1066" s="297"/>
      <c r="M1066" s="297"/>
      <c r="N1066" s="297"/>
      <c r="O1066" s="297"/>
      <c r="P1066"/>
      <c r="Q1066"/>
      <c r="R1066"/>
      <c r="S1066"/>
      <c r="T1066"/>
      <c r="U1066"/>
    </row>
    <row r="1067" spans="1:21" x14ac:dyDescent="0.2">
      <c r="A1067"/>
      <c r="B1067" s="399"/>
      <c r="C1067" s="297"/>
      <c r="D1067" s="394"/>
      <c r="E1067" s="297"/>
      <c r="F1067" s="394"/>
      <c r="G1067" s="297"/>
      <c r="H1067" s="297"/>
      <c r="I1067" s="297"/>
      <c r="J1067" s="297"/>
      <c r="K1067" s="297"/>
      <c r="L1067" s="297"/>
      <c r="M1067" s="297"/>
      <c r="N1067" s="297"/>
      <c r="O1067" s="297"/>
      <c r="P1067"/>
      <c r="Q1067"/>
      <c r="R1067"/>
      <c r="S1067"/>
      <c r="T1067"/>
      <c r="U1067"/>
    </row>
    <row r="1068" spans="1:21" x14ac:dyDescent="0.2">
      <c r="A1068"/>
      <c r="B1068" s="399"/>
      <c r="C1068" s="297"/>
      <c r="D1068" s="394"/>
      <c r="E1068" s="297"/>
      <c r="F1068" s="394"/>
      <c r="G1068" s="297"/>
      <c r="H1068" s="297"/>
      <c r="I1068" s="297"/>
      <c r="J1068" s="297"/>
      <c r="K1068" s="297"/>
      <c r="L1068" s="297"/>
      <c r="M1068" s="297"/>
      <c r="N1068" s="297"/>
      <c r="O1068" s="297"/>
      <c r="P1068"/>
      <c r="Q1068"/>
      <c r="R1068"/>
      <c r="S1068"/>
      <c r="T1068"/>
      <c r="U1068"/>
    </row>
    <row r="1069" spans="1:21" x14ac:dyDescent="0.2">
      <c r="A1069"/>
      <c r="B1069" s="399"/>
      <c r="C1069" s="297"/>
      <c r="D1069" s="394"/>
      <c r="E1069" s="297"/>
      <c r="F1069" s="394"/>
      <c r="G1069" s="297"/>
      <c r="H1069" s="297"/>
      <c r="I1069" s="297"/>
      <c r="J1069" s="297"/>
      <c r="K1069" s="297"/>
      <c r="L1069" s="297"/>
      <c r="M1069" s="297"/>
      <c r="N1069" s="297"/>
      <c r="O1069" s="297"/>
      <c r="P1069"/>
      <c r="Q1069"/>
      <c r="R1069"/>
      <c r="S1069"/>
      <c r="T1069"/>
      <c r="U1069"/>
    </row>
    <row r="1070" spans="1:21" x14ac:dyDescent="0.2">
      <c r="A1070"/>
      <c r="B1070" s="399"/>
      <c r="C1070" s="297"/>
      <c r="D1070" s="394"/>
      <c r="E1070" s="297"/>
      <c r="F1070" s="394"/>
      <c r="G1070" s="297"/>
      <c r="H1070" s="297"/>
      <c r="I1070" s="297"/>
      <c r="J1070" s="297"/>
      <c r="K1070" s="297"/>
      <c r="L1070" s="297"/>
      <c r="M1070" s="297"/>
      <c r="N1070" s="297"/>
      <c r="O1070" s="297"/>
      <c r="P1070"/>
      <c r="Q1070"/>
      <c r="R1070"/>
      <c r="S1070"/>
      <c r="T1070"/>
      <c r="U1070"/>
    </row>
    <row r="1071" spans="1:21" x14ac:dyDescent="0.2">
      <c r="A1071"/>
      <c r="B1071" s="399"/>
      <c r="C1071" s="297"/>
      <c r="D1071" s="394"/>
      <c r="E1071" s="297"/>
      <c r="F1071" s="394"/>
      <c r="G1071" s="297"/>
      <c r="H1071" s="297"/>
      <c r="I1071" s="297"/>
      <c r="J1071" s="297"/>
      <c r="K1071" s="297"/>
      <c r="L1071" s="297"/>
      <c r="M1071" s="297"/>
      <c r="N1071" s="297"/>
      <c r="O1071" s="297"/>
      <c r="P1071"/>
      <c r="Q1071"/>
      <c r="R1071"/>
      <c r="S1071"/>
      <c r="T1071"/>
      <c r="U1071"/>
    </row>
    <row r="1072" spans="1:21" x14ac:dyDescent="0.2">
      <c r="A1072"/>
      <c r="B1072" s="399"/>
      <c r="C1072" s="297"/>
      <c r="D1072" s="394"/>
      <c r="E1072" s="297"/>
      <c r="F1072" s="394"/>
      <c r="G1072" s="297"/>
      <c r="H1072" s="297"/>
      <c r="I1072" s="297"/>
      <c r="J1072" s="297"/>
      <c r="K1072" s="297"/>
      <c r="L1072" s="297"/>
      <c r="M1072" s="297"/>
      <c r="N1072" s="297"/>
      <c r="O1072" s="297"/>
      <c r="P1072"/>
      <c r="Q1072"/>
      <c r="R1072"/>
      <c r="S1072"/>
      <c r="T1072"/>
      <c r="U1072"/>
    </row>
    <row r="1073" spans="1:21" x14ac:dyDescent="0.2">
      <c r="A1073"/>
      <c r="B1073" s="399"/>
      <c r="C1073" s="297"/>
      <c r="D1073" s="394"/>
      <c r="E1073" s="297"/>
      <c r="F1073" s="394"/>
      <c r="G1073" s="297"/>
      <c r="H1073" s="297"/>
      <c r="I1073" s="297"/>
      <c r="J1073" s="297"/>
      <c r="K1073" s="297"/>
      <c r="L1073" s="297"/>
      <c r="M1073" s="297"/>
      <c r="N1073" s="297"/>
      <c r="O1073" s="297"/>
      <c r="P1073"/>
      <c r="Q1073"/>
      <c r="R1073"/>
      <c r="S1073"/>
      <c r="T1073"/>
      <c r="U1073"/>
    </row>
    <row r="1074" spans="1:21" x14ac:dyDescent="0.2">
      <c r="A1074"/>
      <c r="B1074" s="399"/>
      <c r="C1074" s="297"/>
      <c r="D1074" s="394"/>
      <c r="E1074" s="297"/>
      <c r="F1074" s="394"/>
      <c r="G1074" s="297"/>
      <c r="H1074" s="297"/>
      <c r="I1074" s="297"/>
      <c r="J1074" s="297"/>
      <c r="K1074" s="297"/>
      <c r="L1074" s="297"/>
      <c r="M1074" s="297"/>
      <c r="N1074" s="297"/>
      <c r="O1074" s="297"/>
      <c r="P1074"/>
      <c r="Q1074"/>
      <c r="R1074"/>
      <c r="S1074"/>
      <c r="T1074"/>
      <c r="U1074"/>
    </row>
    <row r="1075" spans="1:21" x14ac:dyDescent="0.2">
      <c r="A1075"/>
      <c r="B1075" s="399"/>
      <c r="C1075" s="297"/>
      <c r="D1075" s="394"/>
      <c r="E1075" s="297"/>
      <c r="F1075" s="394"/>
      <c r="G1075" s="297"/>
      <c r="H1075" s="297"/>
      <c r="I1075" s="297"/>
      <c r="J1075" s="297"/>
      <c r="K1075" s="297"/>
      <c r="L1075" s="297"/>
      <c r="M1075" s="297"/>
      <c r="N1075" s="297"/>
      <c r="O1075" s="297"/>
      <c r="P1075"/>
      <c r="Q1075"/>
      <c r="R1075"/>
      <c r="S1075"/>
      <c r="T1075"/>
      <c r="U1075"/>
    </row>
    <row r="1076" spans="1:21" x14ac:dyDescent="0.2">
      <c r="A1076"/>
      <c r="B1076" s="399"/>
      <c r="C1076" s="297"/>
      <c r="D1076" s="394"/>
      <c r="E1076" s="297"/>
      <c r="F1076" s="394"/>
      <c r="G1076" s="297"/>
      <c r="H1076" s="297"/>
      <c r="I1076" s="297"/>
      <c r="J1076" s="297"/>
      <c r="K1076" s="297"/>
      <c r="L1076" s="297"/>
      <c r="M1076" s="297"/>
      <c r="N1076" s="297"/>
      <c r="O1076" s="297"/>
      <c r="P1076"/>
      <c r="Q1076"/>
      <c r="R1076"/>
      <c r="S1076"/>
      <c r="T1076"/>
      <c r="U1076"/>
    </row>
    <row r="1077" spans="1:21" x14ac:dyDescent="0.2">
      <c r="A1077"/>
      <c r="B1077" s="399"/>
      <c r="C1077" s="297"/>
      <c r="D1077" s="394"/>
      <c r="E1077" s="297"/>
      <c r="F1077" s="394"/>
      <c r="G1077" s="297"/>
      <c r="H1077" s="297"/>
      <c r="I1077" s="297"/>
      <c r="J1077" s="297"/>
      <c r="K1077" s="297"/>
      <c r="L1077" s="297"/>
      <c r="M1077" s="297"/>
      <c r="N1077" s="297"/>
      <c r="O1077" s="297"/>
      <c r="P1077"/>
      <c r="Q1077"/>
      <c r="R1077"/>
      <c r="S1077"/>
      <c r="T1077"/>
      <c r="U1077"/>
    </row>
    <row r="1078" spans="1:21" x14ac:dyDescent="0.2">
      <c r="A1078"/>
      <c r="B1078" s="399"/>
      <c r="C1078" s="297"/>
      <c r="D1078" s="394"/>
      <c r="E1078" s="297"/>
      <c r="F1078" s="394"/>
      <c r="G1078" s="297"/>
      <c r="H1078" s="297"/>
      <c r="I1078" s="297"/>
      <c r="J1078" s="297"/>
      <c r="K1078" s="297"/>
      <c r="L1078" s="297"/>
      <c r="M1078" s="297"/>
      <c r="N1078" s="297"/>
      <c r="O1078" s="297"/>
      <c r="P1078"/>
      <c r="Q1078"/>
      <c r="R1078"/>
      <c r="S1078"/>
      <c r="T1078"/>
      <c r="U1078"/>
    </row>
    <row r="1079" spans="1:21" x14ac:dyDescent="0.2">
      <c r="A1079"/>
      <c r="B1079" s="399"/>
      <c r="C1079" s="297"/>
      <c r="D1079" s="394"/>
      <c r="E1079" s="297"/>
      <c r="F1079" s="394"/>
      <c r="G1079" s="297"/>
      <c r="H1079" s="297"/>
      <c r="I1079" s="297"/>
      <c r="J1079" s="297"/>
      <c r="K1079" s="297"/>
      <c r="L1079" s="297"/>
      <c r="M1079" s="297"/>
      <c r="N1079" s="297"/>
      <c r="O1079" s="297"/>
      <c r="P1079"/>
      <c r="Q1079"/>
      <c r="R1079"/>
      <c r="S1079"/>
      <c r="T1079"/>
      <c r="U1079"/>
    </row>
    <row r="1080" spans="1:21" x14ac:dyDescent="0.2">
      <c r="A1080"/>
      <c r="B1080" s="399"/>
      <c r="C1080" s="297"/>
      <c r="D1080" s="394"/>
      <c r="E1080" s="297"/>
      <c r="F1080" s="394"/>
      <c r="G1080" s="297"/>
      <c r="H1080" s="297"/>
      <c r="I1080" s="297"/>
      <c r="J1080" s="297"/>
      <c r="K1080" s="297"/>
      <c r="L1080" s="297"/>
      <c r="M1080" s="297"/>
      <c r="N1080" s="297"/>
      <c r="O1080" s="297"/>
      <c r="P1080"/>
      <c r="Q1080"/>
      <c r="R1080"/>
      <c r="S1080"/>
      <c r="T1080"/>
      <c r="U1080"/>
    </row>
    <row r="1081" spans="1:21" x14ac:dyDescent="0.2">
      <c r="A1081"/>
      <c r="B1081" s="399"/>
      <c r="C1081" s="297"/>
      <c r="D1081" s="394"/>
      <c r="E1081" s="297"/>
      <c r="F1081" s="394"/>
      <c r="G1081" s="297"/>
      <c r="H1081" s="297"/>
      <c r="I1081" s="297"/>
      <c r="J1081" s="297"/>
      <c r="K1081" s="297"/>
      <c r="L1081" s="297"/>
      <c r="M1081" s="297"/>
      <c r="N1081" s="297"/>
      <c r="O1081" s="297"/>
      <c r="P1081"/>
      <c r="Q1081"/>
      <c r="R1081"/>
      <c r="S1081"/>
      <c r="T1081"/>
      <c r="U1081"/>
    </row>
    <row r="1082" spans="1:21" x14ac:dyDescent="0.2">
      <c r="A1082"/>
      <c r="B1082" s="399"/>
      <c r="C1082" s="297"/>
      <c r="D1082" s="394"/>
      <c r="E1082" s="297"/>
      <c r="F1082" s="394"/>
      <c r="G1082" s="297"/>
      <c r="H1082" s="297"/>
      <c r="I1082" s="297"/>
      <c r="J1082" s="297"/>
      <c r="K1082" s="297"/>
      <c r="L1082" s="297"/>
      <c r="M1082" s="297"/>
      <c r="N1082" s="297"/>
      <c r="O1082" s="297"/>
      <c r="P1082"/>
      <c r="Q1082"/>
      <c r="R1082"/>
      <c r="S1082"/>
      <c r="T1082"/>
      <c r="U1082"/>
    </row>
    <row r="1083" spans="1:21" x14ac:dyDescent="0.2">
      <c r="A1083"/>
      <c r="B1083" s="399"/>
      <c r="C1083" s="297"/>
      <c r="D1083" s="394"/>
      <c r="E1083" s="297"/>
      <c r="F1083" s="394"/>
      <c r="G1083" s="297"/>
      <c r="H1083" s="297"/>
      <c r="I1083" s="297"/>
      <c r="J1083" s="297"/>
      <c r="K1083" s="297"/>
      <c r="L1083" s="297"/>
      <c r="M1083" s="297"/>
      <c r="N1083" s="297"/>
      <c r="O1083" s="297"/>
      <c r="P1083"/>
      <c r="Q1083"/>
      <c r="R1083"/>
      <c r="S1083"/>
      <c r="T1083"/>
      <c r="U1083"/>
    </row>
    <row r="1084" spans="1:21" x14ac:dyDescent="0.2">
      <c r="A1084"/>
      <c r="B1084" s="399"/>
      <c r="C1084" s="297"/>
      <c r="D1084" s="394"/>
      <c r="E1084" s="297"/>
      <c r="F1084" s="394"/>
      <c r="G1084" s="297"/>
      <c r="H1084" s="297"/>
      <c r="I1084" s="297"/>
      <c r="J1084" s="297"/>
      <c r="K1084" s="297"/>
      <c r="L1084" s="297"/>
      <c r="M1084" s="297"/>
      <c r="N1084" s="297"/>
      <c r="O1084" s="297"/>
      <c r="P1084"/>
      <c r="Q1084"/>
      <c r="R1084"/>
      <c r="S1084"/>
      <c r="T1084"/>
      <c r="U1084"/>
    </row>
    <row r="1085" spans="1:21" x14ac:dyDescent="0.2">
      <c r="A1085"/>
      <c r="B1085" s="399"/>
      <c r="C1085" s="297"/>
      <c r="D1085" s="394"/>
      <c r="E1085" s="297"/>
      <c r="F1085" s="394"/>
      <c r="G1085" s="297"/>
      <c r="H1085" s="297"/>
      <c r="I1085" s="297"/>
      <c r="J1085" s="297"/>
      <c r="K1085" s="297"/>
      <c r="L1085" s="297"/>
      <c r="M1085" s="297"/>
      <c r="N1085" s="297"/>
      <c r="O1085" s="297"/>
      <c r="P1085"/>
      <c r="Q1085"/>
      <c r="R1085"/>
      <c r="S1085"/>
      <c r="T1085"/>
      <c r="U1085"/>
    </row>
    <row r="1086" spans="1:21" x14ac:dyDescent="0.2">
      <c r="A1086"/>
      <c r="B1086" s="399"/>
      <c r="C1086" s="297"/>
      <c r="D1086" s="394"/>
      <c r="E1086" s="297"/>
      <c r="F1086" s="394"/>
      <c r="G1086" s="297"/>
      <c r="H1086" s="297"/>
      <c r="I1086" s="297"/>
      <c r="J1086" s="297"/>
      <c r="K1086" s="297"/>
      <c r="L1086" s="297"/>
      <c r="M1086" s="297"/>
      <c r="N1086" s="297"/>
      <c r="O1086" s="297"/>
      <c r="P1086"/>
      <c r="Q1086"/>
      <c r="R1086"/>
      <c r="S1086"/>
      <c r="T1086"/>
      <c r="U1086"/>
    </row>
    <row r="1087" spans="1:21" x14ac:dyDescent="0.2">
      <c r="A1087"/>
      <c r="B1087" s="399"/>
      <c r="C1087" s="297"/>
      <c r="D1087" s="394"/>
      <c r="E1087" s="297"/>
      <c r="F1087" s="394"/>
      <c r="G1087" s="297"/>
      <c r="H1087" s="297"/>
      <c r="I1087" s="297"/>
      <c r="J1087" s="297"/>
      <c r="K1087" s="297"/>
      <c r="L1087" s="297"/>
      <c r="M1087" s="297"/>
      <c r="N1087" s="297"/>
      <c r="O1087" s="297"/>
      <c r="P1087"/>
      <c r="Q1087"/>
      <c r="R1087"/>
      <c r="S1087"/>
      <c r="T1087"/>
      <c r="U1087"/>
    </row>
    <row r="1088" spans="1:21" x14ac:dyDescent="0.2">
      <c r="A1088"/>
      <c r="B1088" s="399"/>
      <c r="C1088" s="297"/>
      <c r="D1088" s="394"/>
      <c r="E1088" s="297"/>
      <c r="F1088" s="394"/>
      <c r="G1088" s="297"/>
      <c r="H1088" s="297"/>
      <c r="I1088" s="297"/>
      <c r="J1088" s="297"/>
      <c r="K1088" s="297"/>
      <c r="L1088" s="297"/>
      <c r="M1088" s="297"/>
      <c r="N1088" s="297"/>
      <c r="O1088" s="297"/>
      <c r="P1088"/>
      <c r="Q1088"/>
      <c r="R1088"/>
      <c r="S1088"/>
      <c r="T1088"/>
      <c r="U1088"/>
    </row>
    <row r="1089" spans="1:21" x14ac:dyDescent="0.2">
      <c r="A1089"/>
      <c r="B1089" s="399"/>
      <c r="C1089" s="297"/>
      <c r="D1089" s="394"/>
      <c r="E1089" s="297"/>
      <c r="F1089" s="394"/>
      <c r="G1089" s="297"/>
      <c r="H1089" s="297"/>
      <c r="I1089" s="297"/>
      <c r="J1089" s="297"/>
      <c r="K1089" s="297"/>
      <c r="L1089" s="297"/>
      <c r="M1089" s="297"/>
      <c r="N1089" s="297"/>
      <c r="O1089" s="297"/>
      <c r="P1089"/>
      <c r="Q1089"/>
      <c r="R1089"/>
      <c r="S1089"/>
      <c r="T1089"/>
      <c r="U1089"/>
    </row>
    <row r="1090" spans="1:21" x14ac:dyDescent="0.2">
      <c r="A1090"/>
      <c r="B1090" s="399"/>
      <c r="C1090" s="297"/>
      <c r="D1090" s="394"/>
      <c r="E1090" s="297"/>
      <c r="F1090" s="394"/>
      <c r="G1090" s="297"/>
      <c r="H1090" s="297"/>
      <c r="I1090" s="297"/>
      <c r="J1090" s="297"/>
      <c r="K1090" s="297"/>
      <c r="L1090" s="297"/>
      <c r="M1090" s="297"/>
      <c r="N1090" s="297"/>
      <c r="O1090" s="297"/>
      <c r="P1090"/>
      <c r="Q1090"/>
      <c r="R1090"/>
      <c r="S1090"/>
      <c r="T1090"/>
      <c r="U1090"/>
    </row>
    <row r="1091" spans="1:21" x14ac:dyDescent="0.2">
      <c r="A1091"/>
      <c r="B1091" s="399"/>
      <c r="C1091" s="297"/>
      <c r="D1091" s="394"/>
      <c r="E1091" s="297"/>
      <c r="F1091" s="394"/>
      <c r="G1091" s="297"/>
      <c r="H1091" s="297"/>
      <c r="I1091" s="297"/>
      <c r="J1091" s="297"/>
      <c r="K1091" s="297"/>
      <c r="L1091" s="297"/>
      <c r="M1091" s="297"/>
      <c r="N1091" s="297"/>
      <c r="O1091" s="297"/>
      <c r="P1091"/>
      <c r="Q1091"/>
      <c r="R1091"/>
      <c r="S1091"/>
      <c r="T1091"/>
      <c r="U1091"/>
    </row>
    <row r="1092" spans="1:21" x14ac:dyDescent="0.2">
      <c r="A1092"/>
      <c r="B1092" s="399"/>
      <c r="C1092" s="297"/>
      <c r="D1092" s="394"/>
      <c r="E1092" s="297"/>
      <c r="F1092" s="394"/>
      <c r="G1092" s="297"/>
      <c r="H1092" s="297"/>
      <c r="I1092" s="297"/>
      <c r="J1092" s="297"/>
      <c r="K1092" s="297"/>
      <c r="L1092" s="297"/>
      <c r="M1092" s="297"/>
      <c r="N1092" s="297"/>
      <c r="O1092" s="297"/>
      <c r="P1092"/>
      <c r="Q1092"/>
      <c r="R1092"/>
      <c r="S1092"/>
      <c r="T1092"/>
      <c r="U1092"/>
    </row>
    <row r="1093" spans="1:21" x14ac:dyDescent="0.2">
      <c r="A1093"/>
      <c r="B1093" s="399"/>
      <c r="C1093" s="297"/>
      <c r="D1093" s="394"/>
      <c r="E1093" s="297"/>
      <c r="F1093" s="394"/>
      <c r="G1093" s="297"/>
      <c r="H1093" s="297"/>
      <c r="I1093" s="297"/>
      <c r="J1093" s="297"/>
      <c r="K1093" s="297"/>
      <c r="L1093" s="297"/>
      <c r="M1093" s="297"/>
      <c r="N1093" s="297"/>
      <c r="O1093" s="297"/>
      <c r="P1093"/>
      <c r="Q1093"/>
      <c r="R1093"/>
      <c r="S1093"/>
      <c r="T1093"/>
      <c r="U1093"/>
    </row>
    <row r="1094" spans="1:21" x14ac:dyDescent="0.2">
      <c r="A1094"/>
      <c r="B1094" s="399"/>
      <c r="C1094" s="297"/>
      <c r="D1094" s="394"/>
      <c r="E1094" s="297"/>
      <c r="F1094" s="394"/>
      <c r="G1094" s="297"/>
      <c r="H1094" s="297"/>
      <c r="I1094" s="297"/>
      <c r="J1094" s="297"/>
      <c r="K1094" s="297"/>
      <c r="L1094" s="297"/>
      <c r="M1094" s="297"/>
      <c r="N1094" s="297"/>
      <c r="O1094" s="297"/>
      <c r="P1094"/>
      <c r="Q1094"/>
      <c r="R1094"/>
      <c r="S1094"/>
      <c r="T1094"/>
      <c r="U1094"/>
    </row>
    <row r="1095" spans="1:21" x14ac:dyDescent="0.2">
      <c r="A1095"/>
      <c r="B1095" s="399"/>
      <c r="C1095" s="297"/>
      <c r="D1095" s="394"/>
      <c r="E1095" s="297"/>
      <c r="F1095" s="394"/>
      <c r="G1095" s="297"/>
      <c r="H1095" s="297"/>
      <c r="I1095" s="297"/>
      <c r="J1095" s="297"/>
      <c r="K1095" s="297"/>
      <c r="L1095" s="297"/>
      <c r="M1095" s="297"/>
      <c r="N1095" s="297"/>
      <c r="O1095" s="297"/>
      <c r="P1095"/>
      <c r="Q1095"/>
      <c r="R1095"/>
      <c r="S1095"/>
      <c r="T1095"/>
      <c r="U1095"/>
    </row>
    <row r="1096" spans="1:21" x14ac:dyDescent="0.2">
      <c r="A1096"/>
      <c r="B1096" s="399"/>
      <c r="C1096" s="297"/>
      <c r="D1096" s="394"/>
      <c r="E1096" s="297"/>
      <c r="F1096" s="394"/>
      <c r="G1096" s="297"/>
      <c r="H1096" s="297"/>
      <c r="I1096" s="297"/>
      <c r="J1096" s="297"/>
      <c r="K1096" s="297"/>
      <c r="L1096" s="297"/>
      <c r="M1096" s="297"/>
      <c r="N1096" s="297"/>
      <c r="O1096" s="297"/>
      <c r="P1096"/>
      <c r="Q1096"/>
      <c r="R1096"/>
      <c r="S1096"/>
      <c r="T1096"/>
      <c r="U1096"/>
    </row>
    <row r="1097" spans="1:21" x14ac:dyDescent="0.2">
      <c r="A1097"/>
      <c r="B1097" s="399"/>
      <c r="C1097" s="297"/>
      <c r="D1097" s="394"/>
      <c r="E1097" s="297"/>
      <c r="F1097" s="394"/>
      <c r="G1097" s="297"/>
      <c r="H1097" s="297"/>
      <c r="I1097" s="297"/>
      <c r="J1097" s="297"/>
      <c r="K1097" s="297"/>
      <c r="L1097" s="297"/>
      <c r="M1097" s="297"/>
      <c r="N1097" s="297"/>
      <c r="O1097" s="297"/>
      <c r="P1097"/>
      <c r="Q1097"/>
      <c r="R1097"/>
      <c r="S1097"/>
      <c r="T1097"/>
      <c r="U1097"/>
    </row>
    <row r="1098" spans="1:21" x14ac:dyDescent="0.2">
      <c r="A1098"/>
      <c r="B1098" s="399"/>
      <c r="C1098" s="297"/>
      <c r="D1098" s="394"/>
      <c r="E1098" s="297"/>
      <c r="F1098" s="394"/>
      <c r="G1098" s="297"/>
      <c r="H1098" s="297"/>
      <c r="I1098" s="297"/>
      <c r="J1098" s="297"/>
      <c r="K1098" s="297"/>
      <c r="L1098" s="297"/>
      <c r="M1098" s="297"/>
      <c r="N1098" s="297"/>
      <c r="O1098" s="297"/>
      <c r="P1098"/>
      <c r="Q1098"/>
      <c r="R1098"/>
      <c r="S1098"/>
      <c r="T1098"/>
      <c r="U1098"/>
    </row>
    <row r="1099" spans="1:21" x14ac:dyDescent="0.2">
      <c r="A1099"/>
      <c r="B1099" s="399"/>
      <c r="C1099" s="297"/>
      <c r="D1099" s="394"/>
      <c r="E1099" s="297"/>
      <c r="F1099" s="394"/>
      <c r="G1099" s="297"/>
      <c r="H1099" s="297"/>
      <c r="I1099" s="297"/>
      <c r="J1099" s="297"/>
      <c r="K1099" s="297"/>
      <c r="L1099" s="297"/>
      <c r="M1099" s="297"/>
      <c r="N1099" s="297"/>
      <c r="O1099" s="297"/>
      <c r="P1099"/>
      <c r="Q1099"/>
      <c r="R1099"/>
      <c r="S1099"/>
      <c r="T1099"/>
      <c r="U1099"/>
    </row>
    <row r="1100" spans="1:21" x14ac:dyDescent="0.2">
      <c r="A1100"/>
      <c r="B1100" s="399"/>
      <c r="C1100" s="297"/>
      <c r="D1100" s="394"/>
      <c r="E1100" s="297"/>
      <c r="F1100" s="394"/>
      <c r="G1100" s="297"/>
      <c r="H1100" s="297"/>
      <c r="I1100" s="297"/>
      <c r="J1100" s="297"/>
      <c r="K1100" s="297"/>
      <c r="L1100" s="297"/>
      <c r="M1100" s="297"/>
      <c r="N1100" s="297"/>
      <c r="O1100" s="297"/>
      <c r="P1100"/>
      <c r="Q1100"/>
      <c r="R1100"/>
      <c r="S1100"/>
      <c r="T1100"/>
      <c r="U1100"/>
    </row>
    <row r="1101" spans="1:21" x14ac:dyDescent="0.2">
      <c r="A1101"/>
      <c r="B1101" s="399"/>
      <c r="C1101" s="297"/>
      <c r="D1101" s="394"/>
      <c r="E1101" s="297"/>
      <c r="F1101" s="394"/>
      <c r="G1101" s="297"/>
      <c r="H1101" s="297"/>
      <c r="I1101" s="297"/>
      <c r="J1101" s="297"/>
      <c r="K1101" s="297"/>
      <c r="L1101" s="297"/>
      <c r="M1101" s="297"/>
      <c r="N1101" s="297"/>
      <c r="O1101" s="297"/>
      <c r="P1101"/>
      <c r="Q1101"/>
      <c r="R1101"/>
      <c r="S1101"/>
      <c r="T1101"/>
      <c r="U1101"/>
    </row>
    <row r="1102" spans="1:21" x14ac:dyDescent="0.2">
      <c r="A1102"/>
      <c r="B1102" s="399"/>
      <c r="C1102" s="297"/>
      <c r="D1102" s="394"/>
      <c r="E1102" s="297"/>
      <c r="F1102" s="394"/>
      <c r="G1102" s="297"/>
      <c r="H1102" s="297"/>
      <c r="I1102" s="297"/>
      <c r="J1102" s="297"/>
      <c r="K1102" s="297"/>
      <c r="L1102" s="297"/>
      <c r="M1102" s="297"/>
      <c r="N1102" s="297"/>
      <c r="O1102" s="297"/>
      <c r="P1102"/>
      <c r="Q1102"/>
      <c r="R1102"/>
      <c r="S1102"/>
      <c r="T1102"/>
      <c r="U1102"/>
    </row>
    <row r="1103" spans="1:21" x14ac:dyDescent="0.2">
      <c r="A1103"/>
      <c r="B1103" s="399"/>
      <c r="C1103" s="297"/>
      <c r="D1103" s="394"/>
      <c r="E1103" s="297"/>
      <c r="F1103" s="394"/>
      <c r="G1103" s="297"/>
      <c r="H1103" s="297"/>
      <c r="I1103" s="297"/>
      <c r="J1103" s="297"/>
      <c r="K1103" s="297"/>
      <c r="L1103" s="297"/>
      <c r="M1103" s="297"/>
      <c r="N1103" s="297"/>
      <c r="O1103" s="297"/>
      <c r="P1103"/>
      <c r="Q1103"/>
      <c r="R1103"/>
      <c r="S1103"/>
      <c r="T1103"/>
      <c r="U1103"/>
    </row>
    <row r="1104" spans="1:21" x14ac:dyDescent="0.2">
      <c r="A1104"/>
      <c r="B1104" s="399"/>
      <c r="C1104" s="297"/>
      <c r="D1104" s="394"/>
      <c r="E1104" s="297"/>
      <c r="F1104" s="394"/>
      <c r="G1104" s="297"/>
      <c r="H1104" s="297"/>
      <c r="I1104" s="297"/>
      <c r="J1104" s="297"/>
      <c r="K1104" s="297"/>
      <c r="L1104" s="297"/>
      <c r="M1104" s="297"/>
      <c r="N1104" s="297"/>
      <c r="O1104" s="297"/>
      <c r="P1104"/>
      <c r="Q1104"/>
      <c r="R1104"/>
      <c r="S1104"/>
      <c r="T1104"/>
      <c r="U1104"/>
    </row>
    <row r="1105" spans="1:21" x14ac:dyDescent="0.2">
      <c r="A1105"/>
      <c r="B1105" s="399"/>
      <c r="C1105" s="297"/>
      <c r="D1105" s="394"/>
      <c r="E1105" s="297"/>
      <c r="F1105" s="394"/>
      <c r="G1105" s="297"/>
      <c r="H1105" s="297"/>
      <c r="I1105" s="297"/>
      <c r="J1105" s="297"/>
      <c r="K1105" s="297"/>
      <c r="L1105" s="297"/>
      <c r="M1105" s="297"/>
      <c r="N1105" s="297"/>
      <c r="O1105" s="297"/>
      <c r="P1105"/>
      <c r="Q1105"/>
      <c r="R1105"/>
      <c r="S1105"/>
      <c r="T1105"/>
      <c r="U1105"/>
    </row>
    <row r="1106" spans="1:21" x14ac:dyDescent="0.2">
      <c r="A1106"/>
      <c r="B1106" s="399"/>
      <c r="C1106" s="297"/>
      <c r="D1106" s="394"/>
      <c r="E1106" s="297"/>
      <c r="F1106" s="394"/>
      <c r="G1106" s="297"/>
      <c r="H1106" s="297"/>
      <c r="I1106" s="297"/>
      <c r="J1106" s="297"/>
      <c r="K1106" s="297"/>
      <c r="L1106" s="297"/>
      <c r="M1106" s="297"/>
      <c r="N1106" s="297"/>
      <c r="O1106" s="297"/>
      <c r="P1106"/>
      <c r="Q1106"/>
      <c r="R1106"/>
      <c r="S1106"/>
      <c r="T1106"/>
      <c r="U1106"/>
    </row>
    <row r="1107" spans="1:21" x14ac:dyDescent="0.2">
      <c r="A1107"/>
      <c r="B1107" s="399"/>
      <c r="C1107" s="297"/>
      <c r="D1107" s="394"/>
      <c r="E1107" s="297"/>
      <c r="F1107" s="394"/>
      <c r="G1107" s="297"/>
      <c r="H1107" s="297"/>
      <c r="I1107" s="297"/>
      <c r="J1107" s="297"/>
      <c r="K1107" s="297"/>
      <c r="L1107" s="297"/>
      <c r="M1107" s="297"/>
      <c r="N1107" s="297"/>
      <c r="O1107" s="297"/>
      <c r="P1107"/>
      <c r="Q1107"/>
      <c r="R1107"/>
      <c r="S1107"/>
      <c r="T1107"/>
      <c r="U1107"/>
    </row>
    <row r="1108" spans="1:21" x14ac:dyDescent="0.2">
      <c r="A1108"/>
      <c r="B1108" s="399"/>
      <c r="C1108" s="297"/>
      <c r="D1108" s="394"/>
      <c r="E1108" s="297"/>
      <c r="F1108" s="394"/>
      <c r="G1108" s="297"/>
      <c r="H1108" s="297"/>
      <c r="I1108" s="297"/>
      <c r="J1108" s="297"/>
      <c r="K1108" s="297"/>
      <c r="L1108" s="297"/>
      <c r="M1108" s="297"/>
      <c r="N1108" s="297"/>
      <c r="O1108" s="297"/>
      <c r="P1108"/>
      <c r="Q1108"/>
      <c r="R1108"/>
      <c r="S1108"/>
      <c r="T1108"/>
      <c r="U1108"/>
    </row>
    <row r="1109" spans="1:21" x14ac:dyDescent="0.2">
      <c r="A1109"/>
      <c r="B1109" s="399"/>
      <c r="C1109" s="297"/>
      <c r="D1109" s="394"/>
      <c r="E1109" s="297"/>
      <c r="F1109" s="394"/>
      <c r="G1109" s="297"/>
      <c r="H1109" s="297"/>
      <c r="I1109" s="297"/>
      <c r="J1109" s="297"/>
      <c r="K1109" s="297"/>
      <c r="L1109" s="297"/>
      <c r="M1109" s="297"/>
      <c r="N1109" s="297"/>
      <c r="O1109" s="297"/>
      <c r="P1109"/>
      <c r="Q1109"/>
      <c r="R1109"/>
      <c r="S1109"/>
      <c r="T1109"/>
      <c r="U1109"/>
    </row>
    <row r="1110" spans="1:21" x14ac:dyDescent="0.2">
      <c r="A1110"/>
      <c r="B1110" s="399"/>
      <c r="C1110" s="297"/>
      <c r="D1110" s="394"/>
      <c r="E1110" s="297"/>
      <c r="F1110" s="394"/>
      <c r="G1110" s="297"/>
      <c r="H1110" s="297"/>
      <c r="I1110" s="297"/>
      <c r="J1110" s="297"/>
      <c r="K1110" s="297"/>
      <c r="L1110" s="297"/>
      <c r="M1110" s="297"/>
      <c r="N1110" s="297"/>
      <c r="O1110" s="297"/>
      <c r="P1110"/>
      <c r="Q1110"/>
      <c r="R1110"/>
      <c r="S1110"/>
      <c r="T1110"/>
      <c r="U1110"/>
    </row>
    <row r="1111" spans="1:21" x14ac:dyDescent="0.2">
      <c r="A1111"/>
      <c r="B1111" s="399"/>
      <c r="C1111" s="297"/>
      <c r="D1111" s="394"/>
      <c r="E1111" s="297"/>
      <c r="F1111" s="394"/>
      <c r="G1111" s="297"/>
      <c r="H1111" s="297"/>
      <c r="I1111" s="297"/>
      <c r="J1111" s="297"/>
      <c r="K1111" s="297"/>
      <c r="L1111" s="297"/>
      <c r="M1111" s="297"/>
      <c r="N1111" s="297"/>
      <c r="O1111" s="297"/>
      <c r="P1111"/>
      <c r="Q1111"/>
      <c r="R1111"/>
      <c r="S1111"/>
      <c r="T1111"/>
      <c r="U1111"/>
    </row>
    <row r="1112" spans="1:21" x14ac:dyDescent="0.2">
      <c r="A1112"/>
      <c r="B1112" s="399"/>
      <c r="C1112" s="297"/>
      <c r="D1112" s="394"/>
      <c r="E1112" s="297"/>
      <c r="F1112" s="394"/>
      <c r="G1112" s="297"/>
      <c r="H1112" s="297"/>
      <c r="I1112" s="297"/>
      <c r="J1112" s="297"/>
      <c r="K1112" s="297"/>
      <c r="L1112" s="297"/>
      <c r="M1112" s="297"/>
      <c r="N1112" s="297"/>
      <c r="O1112" s="297"/>
      <c r="P1112"/>
      <c r="Q1112"/>
      <c r="R1112"/>
      <c r="S1112"/>
      <c r="T1112"/>
      <c r="U1112"/>
    </row>
    <row r="1113" spans="1:21" x14ac:dyDescent="0.2">
      <c r="A1113"/>
      <c r="B1113" s="399"/>
      <c r="C1113" s="297"/>
      <c r="D1113" s="394"/>
      <c r="E1113" s="297"/>
      <c r="F1113" s="394"/>
      <c r="G1113" s="297"/>
      <c r="H1113" s="297"/>
      <c r="I1113" s="297"/>
      <c r="J1113" s="297"/>
      <c r="K1113" s="297"/>
      <c r="L1113" s="297"/>
      <c r="M1113" s="297"/>
      <c r="N1113" s="297"/>
      <c r="O1113" s="297"/>
      <c r="P1113"/>
      <c r="Q1113"/>
      <c r="R1113"/>
      <c r="S1113"/>
      <c r="T1113"/>
      <c r="U1113"/>
    </row>
    <row r="1114" spans="1:21" x14ac:dyDescent="0.2">
      <c r="A1114"/>
      <c r="B1114" s="399"/>
      <c r="C1114" s="297"/>
      <c r="D1114" s="394"/>
      <c r="E1114" s="297"/>
      <c r="F1114" s="394"/>
      <c r="G1114" s="297"/>
      <c r="H1114" s="297"/>
      <c r="I1114" s="297"/>
      <c r="J1114" s="297"/>
      <c r="K1114" s="297"/>
      <c r="L1114" s="297"/>
      <c r="M1114" s="297"/>
      <c r="N1114" s="297"/>
      <c r="O1114" s="297"/>
      <c r="P1114"/>
      <c r="Q1114"/>
      <c r="R1114"/>
      <c r="S1114"/>
      <c r="T1114"/>
      <c r="U1114"/>
    </row>
    <row r="1115" spans="1:21" x14ac:dyDescent="0.2">
      <c r="A1115"/>
      <c r="B1115" s="399"/>
      <c r="C1115" s="297"/>
      <c r="D1115" s="394"/>
      <c r="E1115" s="297"/>
      <c r="F1115" s="394"/>
      <c r="G1115" s="297"/>
      <c r="H1115" s="297"/>
      <c r="I1115" s="297"/>
      <c r="J1115" s="297"/>
      <c r="K1115" s="297"/>
      <c r="L1115" s="297"/>
      <c r="M1115" s="297"/>
      <c r="N1115" s="297"/>
      <c r="O1115" s="297"/>
      <c r="P1115"/>
      <c r="Q1115"/>
      <c r="R1115"/>
      <c r="S1115"/>
      <c r="T1115"/>
      <c r="U1115"/>
    </row>
    <row r="1116" spans="1:21" x14ac:dyDescent="0.2">
      <c r="A1116"/>
      <c r="B1116" s="399"/>
      <c r="C1116" s="297"/>
      <c r="D1116" s="394"/>
      <c r="E1116" s="297"/>
      <c r="F1116" s="394"/>
      <c r="G1116" s="297"/>
      <c r="H1116" s="297"/>
      <c r="I1116" s="297"/>
      <c r="J1116" s="297"/>
      <c r="K1116" s="297"/>
      <c r="L1116" s="297"/>
      <c r="M1116" s="297"/>
      <c r="N1116" s="297"/>
      <c r="O1116" s="297"/>
      <c r="P1116"/>
      <c r="Q1116"/>
      <c r="R1116"/>
      <c r="S1116"/>
      <c r="T1116"/>
      <c r="U1116"/>
    </row>
    <row r="1117" spans="1:21" x14ac:dyDescent="0.2">
      <c r="A1117"/>
      <c r="B1117" s="399"/>
      <c r="C1117" s="297"/>
      <c r="D1117" s="394"/>
      <c r="E1117" s="297"/>
      <c r="F1117" s="394"/>
      <c r="G1117" s="297"/>
      <c r="H1117" s="297"/>
      <c r="I1117" s="297"/>
      <c r="J1117" s="297"/>
      <c r="K1117" s="297"/>
      <c r="L1117" s="297"/>
      <c r="M1117" s="297"/>
      <c r="N1117" s="297"/>
      <c r="O1117" s="297"/>
      <c r="P1117"/>
      <c r="Q1117"/>
      <c r="R1117"/>
      <c r="S1117"/>
      <c r="T1117"/>
      <c r="U1117"/>
    </row>
    <row r="1118" spans="1:21" x14ac:dyDescent="0.2">
      <c r="A1118"/>
      <c r="B1118" s="399"/>
      <c r="C1118" s="297"/>
      <c r="D1118" s="394"/>
      <c r="E1118" s="297"/>
      <c r="F1118" s="394"/>
      <c r="G1118" s="297"/>
      <c r="H1118" s="297"/>
      <c r="I1118" s="297"/>
      <c r="J1118" s="297"/>
      <c r="K1118" s="297"/>
      <c r="L1118" s="297"/>
      <c r="M1118" s="297"/>
      <c r="N1118" s="297"/>
      <c r="O1118" s="297"/>
      <c r="P1118"/>
      <c r="Q1118"/>
      <c r="R1118"/>
      <c r="S1118"/>
      <c r="T1118"/>
      <c r="U1118"/>
    </row>
    <row r="1119" spans="1:21" x14ac:dyDescent="0.2">
      <c r="A1119"/>
      <c r="B1119" s="399"/>
      <c r="C1119" s="297"/>
      <c r="D1119" s="394"/>
      <c r="E1119" s="297"/>
      <c r="F1119" s="394"/>
      <c r="G1119" s="297"/>
      <c r="H1119" s="297"/>
      <c r="I1119" s="297"/>
      <c r="J1119" s="297"/>
      <c r="K1119" s="297"/>
      <c r="L1119" s="297"/>
      <c r="M1119" s="297"/>
      <c r="N1119" s="297"/>
      <c r="O1119" s="297"/>
      <c r="P1119"/>
      <c r="Q1119"/>
      <c r="R1119"/>
      <c r="S1119"/>
      <c r="T1119"/>
      <c r="U1119"/>
    </row>
    <row r="1120" spans="1:21" x14ac:dyDescent="0.2">
      <c r="A1120"/>
      <c r="B1120" s="399"/>
      <c r="C1120" s="297"/>
      <c r="D1120" s="394"/>
      <c r="E1120" s="297"/>
      <c r="F1120" s="394"/>
      <c r="G1120" s="297"/>
      <c r="H1120" s="297"/>
      <c r="I1120" s="297"/>
      <c r="J1120" s="297"/>
      <c r="K1120" s="297"/>
      <c r="L1120" s="297"/>
      <c r="M1120" s="297"/>
      <c r="N1120" s="297"/>
      <c r="O1120" s="297"/>
      <c r="P1120"/>
      <c r="Q1120"/>
      <c r="R1120"/>
      <c r="S1120"/>
      <c r="T1120"/>
      <c r="U1120"/>
    </row>
    <row r="1121" spans="1:21" x14ac:dyDescent="0.2">
      <c r="A1121"/>
      <c r="B1121" s="399"/>
      <c r="C1121" s="297"/>
      <c r="D1121" s="394"/>
      <c r="E1121" s="297"/>
      <c r="F1121" s="394"/>
      <c r="G1121" s="297"/>
      <c r="H1121" s="297"/>
      <c r="I1121" s="297"/>
      <c r="J1121" s="297"/>
      <c r="K1121" s="297"/>
      <c r="L1121" s="297"/>
      <c r="M1121" s="297"/>
      <c r="N1121" s="297"/>
      <c r="O1121" s="297"/>
      <c r="P1121"/>
      <c r="Q1121"/>
      <c r="R1121"/>
      <c r="S1121"/>
      <c r="T1121"/>
      <c r="U1121"/>
    </row>
    <row r="1122" spans="1:21" x14ac:dyDescent="0.2">
      <c r="A1122"/>
      <c r="B1122" s="399"/>
      <c r="C1122" s="297"/>
      <c r="D1122" s="394"/>
      <c r="E1122" s="297"/>
      <c r="F1122" s="394"/>
      <c r="G1122" s="297"/>
      <c r="H1122" s="297"/>
      <c r="I1122" s="297"/>
      <c r="J1122" s="297"/>
      <c r="K1122" s="297"/>
      <c r="L1122" s="297"/>
      <c r="M1122" s="297"/>
      <c r="N1122" s="297"/>
      <c r="O1122" s="297"/>
      <c r="P1122"/>
      <c r="Q1122"/>
      <c r="R1122"/>
      <c r="S1122"/>
      <c r="T1122"/>
      <c r="U1122"/>
    </row>
    <row r="1123" spans="1:21" x14ac:dyDescent="0.2">
      <c r="A1123"/>
      <c r="B1123" s="399"/>
      <c r="C1123" s="297"/>
      <c r="D1123" s="394"/>
      <c r="E1123" s="297"/>
      <c r="F1123" s="394"/>
      <c r="G1123" s="297"/>
      <c r="H1123" s="297"/>
      <c r="I1123" s="297"/>
      <c r="J1123" s="297"/>
      <c r="K1123" s="297"/>
      <c r="L1123" s="297"/>
      <c r="M1123" s="297"/>
      <c r="N1123" s="297"/>
      <c r="O1123" s="297"/>
      <c r="P1123"/>
      <c r="Q1123"/>
      <c r="R1123"/>
      <c r="S1123"/>
      <c r="T1123"/>
      <c r="U1123"/>
    </row>
    <row r="1124" spans="1:21" x14ac:dyDescent="0.2">
      <c r="A1124"/>
      <c r="B1124" s="399"/>
      <c r="C1124" s="297"/>
      <c r="D1124" s="394"/>
      <c r="E1124" s="297"/>
      <c r="F1124" s="394"/>
      <c r="G1124" s="297"/>
      <c r="H1124" s="297"/>
      <c r="I1124" s="297"/>
      <c r="J1124" s="297"/>
      <c r="K1124" s="297"/>
      <c r="L1124" s="297"/>
      <c r="M1124" s="297"/>
      <c r="N1124" s="297"/>
      <c r="O1124" s="297"/>
      <c r="P1124"/>
      <c r="Q1124"/>
      <c r="R1124"/>
      <c r="S1124"/>
      <c r="T1124"/>
      <c r="U1124"/>
    </row>
    <row r="1125" spans="1:21" x14ac:dyDescent="0.2">
      <c r="A1125"/>
      <c r="B1125" s="399"/>
      <c r="C1125" s="297"/>
      <c r="D1125" s="394"/>
      <c r="E1125" s="297"/>
      <c r="F1125" s="394"/>
      <c r="G1125" s="297"/>
      <c r="H1125" s="297"/>
      <c r="I1125" s="297"/>
      <c r="J1125" s="297"/>
      <c r="K1125" s="297"/>
      <c r="L1125" s="297"/>
      <c r="M1125" s="297"/>
      <c r="N1125" s="297"/>
      <c r="O1125" s="297"/>
      <c r="P1125"/>
      <c r="Q1125"/>
      <c r="R1125"/>
      <c r="S1125"/>
      <c r="T1125"/>
      <c r="U1125"/>
    </row>
    <row r="1126" spans="1:21" x14ac:dyDescent="0.2">
      <c r="A1126"/>
      <c r="B1126" s="399"/>
      <c r="C1126" s="297"/>
      <c r="D1126" s="394"/>
      <c r="E1126" s="297"/>
      <c r="F1126" s="394"/>
      <c r="G1126" s="297"/>
      <c r="H1126" s="297"/>
      <c r="I1126" s="297"/>
      <c r="J1126" s="297"/>
      <c r="K1126" s="297"/>
      <c r="L1126" s="297"/>
      <c r="M1126" s="297"/>
      <c r="N1126" s="297"/>
      <c r="O1126" s="297"/>
      <c r="P1126"/>
      <c r="Q1126"/>
      <c r="R1126"/>
      <c r="S1126"/>
      <c r="T1126"/>
      <c r="U1126"/>
    </row>
    <row r="1127" spans="1:21" x14ac:dyDescent="0.2">
      <c r="A1127"/>
      <c r="B1127" s="399"/>
      <c r="C1127" s="297"/>
      <c r="D1127" s="394"/>
      <c r="E1127" s="297"/>
      <c r="F1127" s="394"/>
      <c r="G1127" s="297"/>
      <c r="H1127" s="297"/>
      <c r="I1127" s="297"/>
      <c r="J1127" s="297"/>
      <c r="K1127" s="297"/>
      <c r="L1127" s="297"/>
      <c r="M1127" s="297"/>
      <c r="N1127" s="297"/>
      <c r="O1127" s="297"/>
      <c r="P1127"/>
      <c r="Q1127"/>
      <c r="R1127"/>
      <c r="S1127"/>
      <c r="T1127"/>
      <c r="U1127"/>
    </row>
    <row r="1128" spans="1:21" x14ac:dyDescent="0.2">
      <c r="A1128"/>
      <c r="B1128" s="399"/>
      <c r="C1128" s="297"/>
      <c r="D1128" s="394"/>
      <c r="E1128" s="297"/>
      <c r="F1128" s="394"/>
      <c r="G1128" s="297"/>
      <c r="H1128" s="297"/>
      <c r="I1128" s="297"/>
      <c r="J1128" s="297"/>
      <c r="K1128" s="297"/>
      <c r="L1128" s="297"/>
      <c r="M1128" s="297"/>
      <c r="N1128" s="297"/>
      <c r="O1128" s="297"/>
      <c r="P1128"/>
      <c r="Q1128"/>
      <c r="R1128"/>
      <c r="S1128"/>
      <c r="T1128"/>
      <c r="U1128"/>
    </row>
    <row r="1129" spans="1:21" x14ac:dyDescent="0.2">
      <c r="A1129"/>
      <c r="B1129" s="399"/>
      <c r="C1129" s="297"/>
      <c r="D1129" s="394"/>
      <c r="E1129" s="297"/>
      <c r="F1129" s="394"/>
      <c r="G1129" s="297"/>
      <c r="H1129" s="297"/>
      <c r="I1129" s="297"/>
      <c r="J1129" s="297"/>
      <c r="K1129" s="297"/>
      <c r="L1129" s="297"/>
      <c r="M1129" s="297"/>
      <c r="N1129" s="297"/>
      <c r="O1129" s="297"/>
      <c r="P1129"/>
      <c r="Q1129"/>
      <c r="R1129"/>
      <c r="S1129"/>
      <c r="T1129"/>
      <c r="U1129"/>
    </row>
    <row r="1130" spans="1:21" x14ac:dyDescent="0.2">
      <c r="A1130"/>
      <c r="B1130" s="399"/>
      <c r="C1130" s="297"/>
      <c r="D1130" s="394"/>
      <c r="E1130" s="297"/>
      <c r="F1130" s="394"/>
      <c r="G1130" s="297"/>
      <c r="H1130" s="297"/>
      <c r="I1130" s="297"/>
      <c r="J1130" s="297"/>
      <c r="K1130" s="297"/>
      <c r="L1130" s="297"/>
      <c r="M1130" s="297"/>
      <c r="N1130" s="297"/>
      <c r="O1130" s="297"/>
      <c r="P1130"/>
      <c r="Q1130"/>
      <c r="R1130"/>
      <c r="S1130"/>
      <c r="T1130"/>
      <c r="U1130"/>
    </row>
    <row r="1131" spans="1:21" x14ac:dyDescent="0.2">
      <c r="A1131"/>
      <c r="B1131" s="399"/>
      <c r="C1131" s="297"/>
      <c r="D1131" s="394"/>
      <c r="E1131" s="297"/>
      <c r="F1131" s="394"/>
      <c r="G1131" s="297"/>
      <c r="H1131" s="297"/>
      <c r="I1131" s="297"/>
      <c r="J1131" s="297"/>
      <c r="K1131" s="297"/>
      <c r="L1131" s="297"/>
      <c r="M1131" s="297"/>
      <c r="N1131" s="297"/>
      <c r="O1131" s="297"/>
      <c r="P1131"/>
      <c r="Q1131"/>
      <c r="R1131"/>
      <c r="S1131"/>
      <c r="T1131"/>
      <c r="U1131"/>
    </row>
    <row r="1132" spans="1:21" x14ac:dyDescent="0.2">
      <c r="A1132"/>
      <c r="B1132" s="399"/>
      <c r="C1132" s="297"/>
      <c r="D1132" s="394"/>
      <c r="E1132" s="297"/>
      <c r="F1132" s="394"/>
      <c r="G1132" s="297"/>
      <c r="H1132" s="297"/>
      <c r="I1132" s="297"/>
      <c r="J1132" s="297"/>
      <c r="K1132" s="297"/>
      <c r="L1132" s="297"/>
      <c r="M1132" s="297"/>
      <c r="N1132" s="297"/>
      <c r="O1132" s="297"/>
      <c r="P1132"/>
      <c r="Q1132"/>
      <c r="R1132"/>
      <c r="S1132"/>
      <c r="T1132"/>
      <c r="U1132"/>
    </row>
    <row r="1133" spans="1:21" x14ac:dyDescent="0.2">
      <c r="A1133"/>
      <c r="B1133" s="399"/>
      <c r="C1133" s="297"/>
      <c r="D1133" s="394"/>
      <c r="E1133" s="297"/>
      <c r="F1133" s="394"/>
      <c r="G1133" s="297"/>
      <c r="H1133" s="297"/>
      <c r="I1133" s="297"/>
      <c r="J1133" s="297"/>
      <c r="K1133" s="297"/>
      <c r="L1133" s="297"/>
      <c r="M1133" s="297"/>
      <c r="N1133" s="297"/>
      <c r="O1133" s="297"/>
      <c r="P1133"/>
      <c r="Q1133"/>
      <c r="R1133"/>
      <c r="S1133"/>
      <c r="T1133"/>
      <c r="U1133"/>
    </row>
    <row r="1134" spans="1:21" x14ac:dyDescent="0.2">
      <c r="A1134"/>
      <c r="B1134" s="399"/>
      <c r="C1134" s="297"/>
      <c r="D1134" s="394"/>
      <c r="E1134" s="297"/>
      <c r="F1134" s="394"/>
      <c r="G1134" s="297"/>
      <c r="H1134" s="297"/>
      <c r="I1134" s="297"/>
      <c r="J1134" s="297"/>
      <c r="K1134" s="297"/>
      <c r="L1134" s="297"/>
      <c r="M1134" s="297"/>
      <c r="N1134" s="297"/>
      <c r="O1134" s="297"/>
      <c r="P1134"/>
      <c r="Q1134"/>
      <c r="R1134"/>
      <c r="S1134"/>
      <c r="T1134"/>
      <c r="U1134"/>
    </row>
    <row r="1135" spans="1:21" x14ac:dyDescent="0.2">
      <c r="A1135"/>
      <c r="B1135" s="399"/>
      <c r="C1135" s="297"/>
      <c r="D1135" s="394"/>
      <c r="E1135" s="297"/>
      <c r="F1135" s="394"/>
      <c r="G1135" s="297"/>
      <c r="H1135" s="297"/>
      <c r="I1135" s="297"/>
      <c r="J1135" s="297"/>
      <c r="K1135" s="297"/>
      <c r="L1135" s="297"/>
      <c r="M1135" s="297"/>
      <c r="N1135" s="297"/>
      <c r="O1135" s="297"/>
      <c r="P1135"/>
      <c r="Q1135"/>
      <c r="R1135"/>
      <c r="S1135"/>
      <c r="T1135"/>
      <c r="U1135"/>
    </row>
    <row r="1136" spans="1:21" x14ac:dyDescent="0.2">
      <c r="A1136"/>
      <c r="B1136" s="399"/>
      <c r="C1136" s="297"/>
      <c r="D1136" s="394"/>
      <c r="E1136" s="297"/>
      <c r="F1136" s="394"/>
      <c r="G1136" s="297"/>
      <c r="H1136" s="297"/>
      <c r="I1136" s="297"/>
      <c r="J1136" s="297"/>
      <c r="K1136" s="297"/>
      <c r="L1136" s="297"/>
      <c r="M1136" s="297"/>
      <c r="N1136" s="297"/>
      <c r="O1136" s="297"/>
      <c r="P1136"/>
      <c r="Q1136"/>
      <c r="R1136"/>
      <c r="S1136"/>
      <c r="T1136"/>
      <c r="U1136"/>
    </row>
    <row r="1137" spans="1:21" x14ac:dyDescent="0.2">
      <c r="A1137"/>
      <c r="B1137" s="399"/>
      <c r="C1137" s="297"/>
      <c r="D1137" s="394"/>
      <c r="E1137" s="297"/>
      <c r="F1137" s="394"/>
      <c r="G1137" s="297"/>
      <c r="H1137" s="297"/>
      <c r="I1137" s="297"/>
      <c r="J1137" s="297"/>
      <c r="K1137" s="297"/>
      <c r="L1137" s="297"/>
      <c r="M1137" s="297"/>
      <c r="N1137" s="297"/>
      <c r="O1137" s="297"/>
      <c r="P1137"/>
      <c r="Q1137"/>
      <c r="R1137"/>
      <c r="S1137"/>
      <c r="T1137"/>
      <c r="U1137"/>
    </row>
    <row r="1138" spans="1:21" x14ac:dyDescent="0.2">
      <c r="A1138"/>
      <c r="B1138" s="399"/>
      <c r="C1138" s="297"/>
      <c r="D1138" s="394"/>
      <c r="E1138" s="297"/>
      <c r="F1138" s="394"/>
      <c r="G1138" s="297"/>
      <c r="H1138" s="297"/>
      <c r="I1138" s="297"/>
      <c r="J1138" s="297"/>
      <c r="K1138" s="297"/>
      <c r="L1138" s="297"/>
      <c r="M1138" s="297"/>
      <c r="N1138" s="297"/>
      <c r="O1138" s="297"/>
      <c r="P1138"/>
      <c r="Q1138"/>
      <c r="R1138"/>
      <c r="S1138"/>
      <c r="T1138"/>
      <c r="U1138"/>
    </row>
    <row r="1139" spans="1:21" x14ac:dyDescent="0.2">
      <c r="A1139"/>
      <c r="B1139" s="399"/>
      <c r="C1139" s="297"/>
      <c r="D1139" s="394"/>
      <c r="E1139" s="297"/>
      <c r="F1139" s="394"/>
      <c r="G1139" s="297"/>
      <c r="H1139" s="297"/>
      <c r="I1139" s="297"/>
      <c r="J1139" s="297"/>
      <c r="K1139" s="297"/>
      <c r="L1139" s="297"/>
      <c r="M1139" s="297"/>
      <c r="N1139" s="297"/>
      <c r="O1139" s="297"/>
      <c r="P1139"/>
      <c r="Q1139"/>
      <c r="R1139"/>
      <c r="S1139"/>
      <c r="T1139"/>
      <c r="U1139"/>
    </row>
    <row r="1140" spans="1:21" x14ac:dyDescent="0.2">
      <c r="A1140"/>
      <c r="B1140" s="399"/>
      <c r="C1140" s="297"/>
      <c r="D1140" s="394"/>
      <c r="E1140" s="297"/>
      <c r="F1140" s="394"/>
      <c r="G1140" s="297"/>
      <c r="H1140" s="297"/>
      <c r="I1140" s="297"/>
      <c r="J1140" s="297"/>
      <c r="K1140" s="297"/>
      <c r="L1140" s="297"/>
      <c r="M1140" s="297"/>
      <c r="N1140" s="297"/>
      <c r="O1140" s="297"/>
      <c r="P1140"/>
      <c r="Q1140"/>
      <c r="R1140"/>
      <c r="S1140"/>
      <c r="T1140"/>
      <c r="U1140"/>
    </row>
    <row r="1141" spans="1:21" x14ac:dyDescent="0.2">
      <c r="A1141"/>
      <c r="B1141" s="399"/>
      <c r="C1141" s="297"/>
      <c r="D1141" s="394"/>
      <c r="E1141" s="297"/>
      <c r="F1141" s="394"/>
      <c r="G1141" s="297"/>
      <c r="H1141" s="297"/>
      <c r="I1141" s="297"/>
      <c r="J1141" s="297"/>
      <c r="K1141" s="297"/>
      <c r="L1141" s="297"/>
      <c r="M1141" s="297"/>
      <c r="N1141" s="297"/>
      <c r="O1141" s="297"/>
      <c r="P1141"/>
      <c r="Q1141"/>
      <c r="R1141"/>
      <c r="S1141"/>
      <c r="T1141"/>
      <c r="U1141"/>
    </row>
    <row r="1142" spans="1:21" x14ac:dyDescent="0.2">
      <c r="A1142"/>
      <c r="B1142" s="399"/>
      <c r="C1142" s="297"/>
      <c r="D1142" s="394"/>
      <c r="E1142" s="297"/>
      <c r="F1142" s="394"/>
      <c r="G1142" s="297"/>
      <c r="H1142" s="297"/>
      <c r="I1142" s="297"/>
      <c r="J1142" s="297"/>
      <c r="K1142" s="297"/>
      <c r="L1142" s="297"/>
      <c r="M1142" s="297"/>
      <c r="N1142" s="297"/>
      <c r="O1142" s="297"/>
      <c r="P1142"/>
      <c r="Q1142"/>
      <c r="R1142"/>
      <c r="S1142"/>
      <c r="T1142"/>
      <c r="U1142"/>
    </row>
    <row r="1143" spans="1:21" x14ac:dyDescent="0.2">
      <c r="A1143"/>
      <c r="B1143" s="399"/>
      <c r="C1143" s="297"/>
      <c r="D1143" s="394"/>
      <c r="E1143" s="297"/>
      <c r="F1143" s="394"/>
      <c r="G1143" s="297"/>
      <c r="H1143" s="297"/>
      <c r="I1143" s="297"/>
      <c r="J1143" s="297"/>
      <c r="K1143" s="297"/>
      <c r="L1143" s="297"/>
      <c r="M1143" s="297"/>
      <c r="N1143" s="297"/>
      <c r="O1143" s="297"/>
      <c r="P1143"/>
      <c r="Q1143"/>
      <c r="R1143"/>
      <c r="S1143"/>
      <c r="T1143"/>
      <c r="U1143"/>
    </row>
    <row r="1144" spans="1:21" x14ac:dyDescent="0.2">
      <c r="A1144"/>
      <c r="B1144" s="399"/>
      <c r="C1144" s="297"/>
      <c r="D1144" s="394"/>
      <c r="E1144" s="297"/>
      <c r="F1144" s="394"/>
      <c r="G1144" s="297"/>
      <c r="H1144" s="297"/>
      <c r="I1144" s="297"/>
      <c r="J1144" s="297"/>
      <c r="K1144" s="297"/>
      <c r="L1144" s="297"/>
      <c r="M1144" s="297"/>
      <c r="N1144" s="297"/>
      <c r="O1144" s="297"/>
      <c r="P1144"/>
      <c r="Q1144"/>
      <c r="R1144"/>
      <c r="S1144"/>
      <c r="T1144"/>
      <c r="U1144"/>
    </row>
    <row r="1145" spans="1:21" x14ac:dyDescent="0.2">
      <c r="A1145"/>
      <c r="B1145" s="399"/>
      <c r="C1145" s="297"/>
      <c r="D1145" s="394"/>
      <c r="E1145" s="297"/>
      <c r="F1145" s="394"/>
      <c r="G1145" s="297"/>
      <c r="H1145" s="297"/>
      <c r="I1145" s="297"/>
      <c r="J1145" s="297"/>
      <c r="K1145" s="297"/>
      <c r="L1145" s="297"/>
      <c r="M1145" s="297"/>
      <c r="N1145" s="297"/>
      <c r="O1145" s="297"/>
      <c r="P1145"/>
      <c r="Q1145"/>
      <c r="R1145"/>
      <c r="S1145"/>
      <c r="T1145"/>
      <c r="U1145"/>
    </row>
    <row r="1146" spans="1:21" x14ac:dyDescent="0.2">
      <c r="A1146"/>
      <c r="B1146" s="399"/>
      <c r="C1146" s="297"/>
      <c r="D1146" s="394"/>
      <c r="E1146" s="297"/>
      <c r="F1146" s="394"/>
      <c r="G1146" s="297"/>
      <c r="H1146" s="297"/>
      <c r="I1146" s="297"/>
      <c r="J1146" s="297"/>
      <c r="K1146" s="297"/>
      <c r="L1146" s="297"/>
      <c r="M1146" s="297"/>
      <c r="N1146" s="297"/>
      <c r="O1146" s="297"/>
      <c r="P1146"/>
      <c r="Q1146"/>
      <c r="R1146"/>
      <c r="S1146"/>
      <c r="T1146"/>
      <c r="U1146"/>
    </row>
    <row r="1147" spans="1:21" x14ac:dyDescent="0.2">
      <c r="A1147"/>
      <c r="B1147" s="399"/>
      <c r="C1147" s="297"/>
      <c r="D1147" s="394"/>
      <c r="E1147" s="297"/>
      <c r="F1147" s="394"/>
      <c r="G1147" s="297"/>
      <c r="H1147" s="297"/>
      <c r="I1147" s="297"/>
      <c r="J1147" s="297"/>
      <c r="K1147" s="297"/>
      <c r="L1147" s="297"/>
      <c r="M1147" s="297"/>
      <c r="N1147" s="297"/>
      <c r="O1147" s="297"/>
      <c r="P1147"/>
      <c r="Q1147"/>
      <c r="R1147"/>
      <c r="S1147"/>
      <c r="T1147"/>
      <c r="U1147"/>
    </row>
    <row r="1148" spans="1:21" x14ac:dyDescent="0.2">
      <c r="A1148"/>
      <c r="B1148" s="399"/>
      <c r="C1148" s="297"/>
      <c r="D1148" s="394"/>
      <c r="E1148" s="297"/>
      <c r="F1148" s="394"/>
      <c r="G1148" s="297"/>
      <c r="H1148" s="297"/>
      <c r="I1148" s="297"/>
      <c r="J1148" s="297"/>
      <c r="K1148" s="297"/>
      <c r="L1148" s="297"/>
      <c r="M1148" s="297"/>
      <c r="N1148" s="297"/>
      <c r="O1148" s="297"/>
      <c r="P1148"/>
      <c r="Q1148"/>
      <c r="R1148"/>
      <c r="S1148"/>
      <c r="T1148"/>
      <c r="U1148"/>
    </row>
    <row r="1149" spans="1:21" x14ac:dyDescent="0.2">
      <c r="A1149"/>
      <c r="B1149" s="399"/>
      <c r="C1149" s="297"/>
      <c r="D1149" s="394"/>
      <c r="E1149" s="297"/>
      <c r="F1149" s="394"/>
      <c r="G1149" s="297"/>
      <c r="H1149" s="297"/>
      <c r="I1149" s="297"/>
      <c r="J1149" s="297"/>
      <c r="K1149" s="297"/>
      <c r="L1149" s="297"/>
      <c r="M1149" s="297"/>
      <c r="N1149" s="297"/>
      <c r="O1149" s="297"/>
      <c r="P1149"/>
      <c r="Q1149"/>
      <c r="R1149"/>
      <c r="S1149"/>
      <c r="T1149"/>
      <c r="U1149"/>
    </row>
    <row r="1150" spans="1:21" x14ac:dyDescent="0.2">
      <c r="A1150"/>
      <c r="B1150" s="399"/>
      <c r="C1150" s="297"/>
      <c r="D1150" s="394"/>
      <c r="E1150" s="297"/>
      <c r="F1150" s="394"/>
      <c r="G1150" s="297"/>
      <c r="H1150" s="297"/>
      <c r="I1150" s="297"/>
      <c r="J1150" s="297"/>
      <c r="K1150" s="297"/>
      <c r="L1150" s="297"/>
      <c r="M1150" s="297"/>
      <c r="N1150" s="297"/>
      <c r="O1150" s="297"/>
      <c r="P1150"/>
      <c r="Q1150"/>
      <c r="R1150"/>
      <c r="S1150"/>
      <c r="T1150"/>
      <c r="U1150"/>
    </row>
    <row r="1151" spans="1:21" x14ac:dyDescent="0.2">
      <c r="A1151"/>
      <c r="B1151" s="399"/>
      <c r="C1151" s="297"/>
      <c r="D1151" s="394"/>
      <c r="E1151" s="297"/>
      <c r="F1151" s="394"/>
      <c r="G1151" s="297"/>
      <c r="H1151" s="297"/>
      <c r="I1151" s="297"/>
      <c r="J1151" s="297"/>
      <c r="K1151" s="297"/>
      <c r="L1151" s="297"/>
      <c r="M1151" s="297"/>
      <c r="N1151" s="297"/>
      <c r="O1151" s="297"/>
      <c r="P1151"/>
      <c r="Q1151"/>
      <c r="R1151"/>
      <c r="S1151"/>
      <c r="T1151"/>
      <c r="U1151"/>
    </row>
    <row r="1152" spans="1:21" x14ac:dyDescent="0.2">
      <c r="A1152"/>
      <c r="B1152" s="399"/>
      <c r="C1152" s="297"/>
      <c r="D1152" s="394"/>
      <c r="E1152" s="297"/>
      <c r="F1152" s="394"/>
      <c r="G1152" s="297"/>
      <c r="H1152" s="297"/>
      <c r="I1152" s="297"/>
      <c r="J1152" s="297"/>
      <c r="K1152" s="297"/>
      <c r="L1152" s="297"/>
      <c r="M1152" s="297"/>
      <c r="N1152" s="297"/>
      <c r="O1152" s="297"/>
      <c r="P1152"/>
      <c r="Q1152"/>
      <c r="R1152"/>
      <c r="S1152"/>
      <c r="T1152"/>
      <c r="U1152"/>
    </row>
    <row r="1153" spans="1:21" x14ac:dyDescent="0.2">
      <c r="A1153"/>
      <c r="B1153" s="399"/>
      <c r="C1153" s="297"/>
      <c r="D1153" s="394"/>
      <c r="E1153" s="297"/>
      <c r="F1153" s="394"/>
      <c r="G1153" s="297"/>
      <c r="H1153" s="297"/>
      <c r="I1153" s="297"/>
      <c r="J1153" s="297"/>
      <c r="K1153" s="297"/>
      <c r="L1153" s="297"/>
      <c r="M1153" s="297"/>
      <c r="N1153" s="297"/>
      <c r="O1153" s="297"/>
      <c r="P1153"/>
      <c r="Q1153"/>
      <c r="R1153"/>
      <c r="S1153"/>
      <c r="T1153"/>
      <c r="U1153"/>
    </row>
    <row r="1154" spans="1:21" x14ac:dyDescent="0.2">
      <c r="A1154"/>
      <c r="B1154" s="399"/>
      <c r="C1154" s="297"/>
      <c r="D1154" s="394"/>
      <c r="E1154" s="297"/>
      <c r="F1154" s="394"/>
      <c r="G1154" s="297"/>
      <c r="H1154" s="297"/>
      <c r="I1154" s="297"/>
      <c r="J1154" s="297"/>
      <c r="K1154" s="297"/>
      <c r="L1154" s="297"/>
      <c r="M1154" s="297"/>
      <c r="N1154" s="297"/>
      <c r="O1154" s="297"/>
      <c r="P1154"/>
      <c r="Q1154"/>
      <c r="R1154"/>
      <c r="S1154"/>
      <c r="T1154"/>
      <c r="U1154"/>
    </row>
    <row r="1155" spans="1:21" x14ac:dyDescent="0.2">
      <c r="A1155"/>
      <c r="B1155" s="399"/>
      <c r="C1155" s="297"/>
      <c r="D1155" s="394"/>
      <c r="E1155" s="297"/>
      <c r="F1155" s="394"/>
      <c r="G1155" s="297"/>
      <c r="H1155" s="297"/>
      <c r="I1155" s="297"/>
      <c r="J1155" s="297"/>
      <c r="K1155" s="297"/>
      <c r="L1155" s="297"/>
      <c r="M1155" s="297"/>
      <c r="N1155" s="297"/>
      <c r="O1155" s="297"/>
      <c r="P1155"/>
      <c r="Q1155"/>
      <c r="R1155"/>
      <c r="S1155"/>
      <c r="T1155"/>
      <c r="U1155"/>
    </row>
    <row r="1156" spans="1:21" x14ac:dyDescent="0.2">
      <c r="A1156"/>
      <c r="B1156" s="399"/>
      <c r="C1156" s="297"/>
      <c r="D1156" s="394"/>
      <c r="E1156" s="297"/>
      <c r="F1156" s="394"/>
      <c r="G1156" s="297"/>
      <c r="H1156" s="297"/>
      <c r="I1156" s="297"/>
      <c r="J1156" s="297"/>
      <c r="K1156" s="297"/>
      <c r="L1156" s="297"/>
      <c r="M1156" s="297"/>
      <c r="N1156" s="297"/>
      <c r="O1156" s="297"/>
      <c r="P1156"/>
      <c r="Q1156"/>
      <c r="R1156"/>
      <c r="S1156"/>
      <c r="T1156"/>
      <c r="U1156"/>
    </row>
    <row r="1157" spans="1:21" x14ac:dyDescent="0.2">
      <c r="A1157"/>
      <c r="B1157" s="399"/>
      <c r="C1157" s="297"/>
      <c r="D1157" s="394"/>
      <c r="E1157" s="297"/>
      <c r="F1157" s="394"/>
      <c r="G1157" s="297"/>
      <c r="H1157" s="297"/>
      <c r="I1157" s="297"/>
      <c r="J1157" s="297"/>
      <c r="K1157" s="297"/>
      <c r="L1157" s="297"/>
      <c r="M1157" s="297"/>
      <c r="N1157" s="297"/>
      <c r="O1157" s="297"/>
      <c r="P1157"/>
      <c r="Q1157"/>
      <c r="R1157"/>
      <c r="S1157"/>
      <c r="T1157"/>
      <c r="U1157"/>
    </row>
    <row r="1158" spans="1:21" x14ac:dyDescent="0.2">
      <c r="A1158"/>
      <c r="B1158" s="399"/>
      <c r="C1158" s="297"/>
      <c r="D1158" s="394"/>
      <c r="E1158" s="297"/>
      <c r="F1158" s="394"/>
      <c r="G1158" s="297"/>
      <c r="H1158" s="297"/>
      <c r="I1158" s="297"/>
      <c r="J1158" s="297"/>
      <c r="K1158" s="297"/>
      <c r="L1158" s="297"/>
      <c r="M1158" s="297"/>
      <c r="N1158" s="297"/>
      <c r="O1158" s="297"/>
      <c r="P1158"/>
      <c r="Q1158"/>
      <c r="R1158"/>
      <c r="S1158"/>
      <c r="T1158"/>
      <c r="U1158"/>
    </row>
    <row r="1159" spans="1:21" x14ac:dyDescent="0.2">
      <c r="A1159"/>
      <c r="B1159" s="399"/>
      <c r="C1159" s="297"/>
      <c r="D1159" s="394"/>
      <c r="E1159" s="297"/>
      <c r="F1159" s="394"/>
      <c r="G1159" s="297"/>
      <c r="H1159" s="297"/>
      <c r="I1159" s="297"/>
      <c r="J1159" s="297"/>
      <c r="K1159" s="297"/>
      <c r="L1159" s="297"/>
      <c r="M1159" s="297"/>
      <c r="N1159" s="297"/>
      <c r="O1159" s="297"/>
      <c r="P1159"/>
      <c r="Q1159"/>
      <c r="R1159"/>
      <c r="S1159"/>
      <c r="T1159"/>
      <c r="U1159"/>
    </row>
    <row r="1160" spans="1:21" x14ac:dyDescent="0.2">
      <c r="A1160"/>
      <c r="B1160" s="399"/>
      <c r="C1160" s="297"/>
      <c r="D1160" s="394"/>
      <c r="E1160" s="297"/>
      <c r="F1160" s="394"/>
      <c r="G1160" s="297"/>
      <c r="H1160" s="297"/>
      <c r="I1160" s="297"/>
      <c r="J1160" s="297"/>
      <c r="K1160" s="297"/>
      <c r="L1160" s="297"/>
      <c r="M1160" s="297"/>
      <c r="N1160" s="297"/>
      <c r="O1160" s="297"/>
      <c r="P1160"/>
      <c r="Q1160"/>
      <c r="R1160"/>
      <c r="S1160"/>
      <c r="T1160"/>
      <c r="U1160"/>
    </row>
    <row r="1161" spans="1:21" x14ac:dyDescent="0.2">
      <c r="A1161"/>
      <c r="B1161" s="399"/>
      <c r="C1161" s="297"/>
      <c r="D1161" s="394"/>
      <c r="E1161" s="297"/>
      <c r="F1161" s="394"/>
      <c r="G1161" s="297"/>
      <c r="H1161" s="297"/>
      <c r="I1161" s="297"/>
      <c r="J1161" s="297"/>
      <c r="K1161" s="297"/>
      <c r="L1161" s="297"/>
      <c r="M1161" s="297"/>
      <c r="N1161" s="297"/>
      <c r="O1161" s="297"/>
      <c r="P1161"/>
      <c r="Q1161"/>
      <c r="R1161"/>
      <c r="S1161"/>
      <c r="T1161"/>
      <c r="U1161"/>
    </row>
    <row r="1162" spans="1:21" x14ac:dyDescent="0.2">
      <c r="A1162"/>
      <c r="B1162" s="399"/>
      <c r="C1162" s="297"/>
      <c r="D1162" s="394"/>
      <c r="E1162" s="297"/>
      <c r="F1162" s="394"/>
      <c r="G1162" s="297"/>
      <c r="H1162" s="297"/>
      <c r="I1162" s="297"/>
      <c r="J1162" s="297"/>
      <c r="K1162" s="297"/>
      <c r="L1162" s="297"/>
      <c r="M1162" s="297"/>
      <c r="N1162" s="297"/>
      <c r="O1162" s="297"/>
      <c r="P1162"/>
      <c r="Q1162"/>
      <c r="R1162"/>
      <c r="S1162"/>
      <c r="T1162"/>
      <c r="U1162"/>
    </row>
    <row r="1163" spans="1:21" x14ac:dyDescent="0.2">
      <c r="A1163"/>
      <c r="B1163" s="399"/>
      <c r="C1163" s="297"/>
      <c r="D1163" s="394"/>
      <c r="E1163" s="297"/>
      <c r="F1163" s="394"/>
      <c r="G1163" s="297"/>
      <c r="H1163" s="297"/>
      <c r="I1163" s="297"/>
      <c r="J1163" s="297"/>
      <c r="K1163" s="297"/>
      <c r="L1163" s="297"/>
      <c r="M1163" s="297"/>
      <c r="N1163" s="297"/>
      <c r="O1163" s="297"/>
      <c r="P1163"/>
      <c r="Q1163"/>
      <c r="R1163"/>
      <c r="S1163"/>
      <c r="T1163"/>
      <c r="U1163"/>
    </row>
    <row r="1164" spans="1:21" x14ac:dyDescent="0.2">
      <c r="A1164"/>
      <c r="B1164" s="399"/>
      <c r="C1164" s="297"/>
      <c r="D1164" s="394"/>
      <c r="E1164" s="297"/>
      <c r="F1164" s="394"/>
      <c r="G1164" s="297"/>
      <c r="H1164" s="297"/>
      <c r="I1164" s="297"/>
      <c r="J1164" s="297"/>
      <c r="K1164" s="297"/>
      <c r="L1164" s="297"/>
      <c r="M1164" s="297"/>
      <c r="N1164" s="297"/>
      <c r="O1164" s="297"/>
      <c r="P1164"/>
      <c r="Q1164"/>
      <c r="R1164"/>
      <c r="S1164"/>
      <c r="T1164"/>
      <c r="U1164"/>
    </row>
    <row r="1165" spans="1:21" x14ac:dyDescent="0.2">
      <c r="A1165"/>
      <c r="B1165" s="399"/>
      <c r="C1165" s="297"/>
      <c r="D1165" s="394"/>
      <c r="E1165" s="297"/>
      <c r="F1165" s="394"/>
      <c r="G1165" s="297"/>
      <c r="H1165" s="297"/>
      <c r="I1165" s="297"/>
      <c r="J1165" s="297"/>
      <c r="K1165" s="297"/>
      <c r="L1165" s="297"/>
      <c r="M1165" s="297"/>
      <c r="N1165" s="297"/>
      <c r="O1165" s="297"/>
      <c r="P1165"/>
      <c r="Q1165"/>
      <c r="R1165"/>
      <c r="S1165"/>
      <c r="T1165"/>
      <c r="U1165"/>
    </row>
    <row r="1166" spans="1:21" x14ac:dyDescent="0.2">
      <c r="A1166"/>
      <c r="B1166" s="399"/>
      <c r="C1166" s="297"/>
      <c r="D1166" s="394"/>
      <c r="E1166" s="297"/>
      <c r="F1166" s="394"/>
      <c r="G1166" s="297"/>
      <c r="H1166" s="297"/>
      <c r="I1166" s="297"/>
      <c r="J1166" s="297"/>
      <c r="K1166" s="297"/>
      <c r="L1166" s="297"/>
      <c r="M1166" s="297"/>
      <c r="N1166" s="297"/>
      <c r="O1166" s="297"/>
      <c r="P1166"/>
      <c r="Q1166"/>
      <c r="R1166"/>
      <c r="S1166"/>
      <c r="T1166"/>
      <c r="U1166"/>
    </row>
    <row r="1167" spans="1:21" x14ac:dyDescent="0.2">
      <c r="A1167"/>
      <c r="B1167" s="399"/>
      <c r="C1167" s="297"/>
      <c r="D1167" s="394"/>
      <c r="E1167" s="297"/>
      <c r="F1167" s="394"/>
      <c r="G1167" s="297"/>
      <c r="H1167" s="297"/>
      <c r="I1167" s="297"/>
      <c r="J1167" s="297"/>
      <c r="K1167" s="297"/>
      <c r="L1167" s="297"/>
      <c r="M1167" s="297"/>
      <c r="N1167" s="297"/>
      <c r="O1167" s="297"/>
      <c r="P1167"/>
      <c r="Q1167"/>
      <c r="R1167"/>
      <c r="S1167"/>
      <c r="T1167"/>
      <c r="U1167"/>
    </row>
    <row r="1168" spans="1:21" x14ac:dyDescent="0.2">
      <c r="A1168"/>
      <c r="B1168" s="399"/>
      <c r="C1168" s="297"/>
      <c r="D1168" s="394"/>
      <c r="E1168" s="297"/>
      <c r="F1168" s="394"/>
      <c r="G1168" s="297"/>
      <c r="H1168" s="297"/>
      <c r="I1168" s="297"/>
      <c r="J1168" s="297"/>
      <c r="K1168" s="297"/>
      <c r="L1168" s="297"/>
      <c r="M1168" s="297"/>
      <c r="N1168" s="297"/>
      <c r="O1168" s="297"/>
      <c r="P1168"/>
      <c r="Q1168"/>
      <c r="R1168"/>
      <c r="S1168"/>
      <c r="T1168"/>
      <c r="U1168"/>
    </row>
    <row r="1169" spans="1:21" x14ac:dyDescent="0.2">
      <c r="A1169"/>
      <c r="B1169" s="399"/>
      <c r="C1169" s="297"/>
      <c r="D1169" s="394"/>
      <c r="E1169" s="297"/>
      <c r="F1169" s="394"/>
      <c r="G1169" s="297"/>
      <c r="H1169" s="297"/>
      <c r="I1169" s="297"/>
      <c r="J1169" s="297"/>
      <c r="K1169" s="297"/>
      <c r="L1169" s="297"/>
      <c r="M1169" s="297"/>
      <c r="N1169" s="297"/>
      <c r="O1169" s="297"/>
      <c r="P1169"/>
      <c r="Q1169"/>
      <c r="R1169"/>
      <c r="S1169"/>
      <c r="T1169"/>
      <c r="U1169"/>
    </row>
    <row r="1170" spans="1:21" x14ac:dyDescent="0.2">
      <c r="A1170"/>
      <c r="B1170" s="399"/>
      <c r="C1170" s="297"/>
      <c r="D1170" s="394"/>
      <c r="E1170" s="297"/>
      <c r="F1170" s="394"/>
      <c r="G1170" s="297"/>
      <c r="H1170" s="297"/>
      <c r="I1170" s="297"/>
      <c r="J1170" s="297"/>
      <c r="K1170" s="297"/>
      <c r="L1170" s="297"/>
      <c r="M1170" s="297"/>
      <c r="N1170" s="297"/>
      <c r="O1170" s="297"/>
      <c r="P1170"/>
      <c r="Q1170"/>
      <c r="R1170"/>
      <c r="S1170"/>
      <c r="T1170"/>
      <c r="U1170"/>
    </row>
    <row r="1171" spans="1:21" x14ac:dyDescent="0.2">
      <c r="A1171"/>
      <c r="B1171" s="399"/>
      <c r="C1171" s="297"/>
      <c r="D1171" s="394"/>
      <c r="E1171" s="297"/>
      <c r="F1171" s="394"/>
      <c r="G1171" s="297"/>
      <c r="H1171" s="297"/>
      <c r="I1171" s="297"/>
      <c r="J1171" s="297"/>
      <c r="K1171" s="297"/>
      <c r="L1171" s="297"/>
      <c r="M1171" s="297"/>
      <c r="N1171" s="297"/>
      <c r="O1171" s="297"/>
      <c r="P1171"/>
      <c r="Q1171"/>
      <c r="R1171"/>
      <c r="S1171"/>
      <c r="T1171"/>
      <c r="U1171"/>
    </row>
    <row r="1172" spans="1:21" x14ac:dyDescent="0.2">
      <c r="A1172"/>
      <c r="B1172" s="399"/>
      <c r="C1172" s="297"/>
      <c r="D1172" s="394"/>
      <c r="E1172" s="297"/>
      <c r="F1172" s="394"/>
      <c r="G1172" s="297"/>
      <c r="H1172" s="297"/>
      <c r="I1172" s="297"/>
      <c r="J1172" s="297"/>
      <c r="K1172" s="297"/>
      <c r="L1172" s="297"/>
      <c r="M1172" s="297"/>
      <c r="N1172" s="297"/>
      <c r="O1172" s="297"/>
      <c r="P1172"/>
      <c r="Q1172"/>
      <c r="R1172"/>
      <c r="S1172"/>
      <c r="T1172"/>
      <c r="U1172"/>
    </row>
    <row r="1173" spans="1:21" x14ac:dyDescent="0.2">
      <c r="A1173"/>
      <c r="B1173" s="399"/>
      <c r="C1173" s="297"/>
      <c r="D1173" s="394"/>
      <c r="E1173" s="297"/>
      <c r="F1173" s="394"/>
      <c r="G1173" s="297"/>
      <c r="H1173" s="297"/>
      <c r="I1173" s="297"/>
      <c r="J1173" s="297"/>
      <c r="K1173" s="297"/>
      <c r="L1173" s="297"/>
      <c r="M1173" s="297"/>
      <c r="N1173" s="297"/>
      <c r="O1173" s="297"/>
      <c r="P1173"/>
      <c r="Q1173"/>
      <c r="R1173"/>
      <c r="S1173"/>
      <c r="T1173"/>
      <c r="U1173"/>
    </row>
    <row r="1174" spans="1:21" x14ac:dyDescent="0.2">
      <c r="A1174"/>
      <c r="B1174" s="399"/>
      <c r="C1174" s="297"/>
      <c r="D1174" s="394"/>
      <c r="E1174" s="297"/>
      <c r="F1174" s="394"/>
      <c r="G1174" s="297"/>
      <c r="H1174" s="297"/>
      <c r="I1174" s="297"/>
      <c r="J1174" s="297"/>
      <c r="K1174" s="297"/>
      <c r="L1174" s="297"/>
      <c r="M1174" s="297"/>
      <c r="N1174" s="297"/>
      <c r="O1174" s="297"/>
      <c r="P1174"/>
      <c r="Q1174"/>
      <c r="R1174"/>
      <c r="S1174"/>
      <c r="T1174"/>
      <c r="U1174"/>
    </row>
    <row r="1175" spans="1:21" x14ac:dyDescent="0.2">
      <c r="A1175"/>
      <c r="B1175" s="399"/>
      <c r="C1175" s="297"/>
      <c r="D1175" s="394"/>
      <c r="E1175" s="297"/>
      <c r="F1175" s="394"/>
      <c r="G1175" s="297"/>
      <c r="H1175" s="297"/>
      <c r="I1175" s="297"/>
      <c r="J1175" s="297"/>
      <c r="K1175" s="297"/>
      <c r="L1175" s="297"/>
      <c r="M1175" s="297"/>
      <c r="N1175" s="297"/>
      <c r="O1175" s="297"/>
      <c r="P1175"/>
      <c r="Q1175"/>
      <c r="R1175"/>
      <c r="S1175"/>
      <c r="T1175"/>
      <c r="U1175"/>
    </row>
    <row r="1176" spans="1:21" x14ac:dyDescent="0.2">
      <c r="A1176"/>
      <c r="B1176" s="399"/>
      <c r="C1176" s="297"/>
      <c r="D1176" s="394"/>
      <c r="E1176" s="297"/>
      <c r="F1176" s="394"/>
      <c r="G1176" s="297"/>
      <c r="H1176" s="297"/>
      <c r="I1176" s="297"/>
      <c r="J1176" s="297"/>
      <c r="K1176" s="297"/>
      <c r="L1176" s="297"/>
      <c r="M1176" s="297"/>
      <c r="N1176" s="297"/>
      <c r="O1176" s="297"/>
      <c r="P1176"/>
      <c r="Q1176"/>
      <c r="R1176"/>
      <c r="S1176"/>
      <c r="T1176"/>
      <c r="U1176"/>
    </row>
    <row r="1177" spans="1:21" x14ac:dyDescent="0.2">
      <c r="A1177"/>
      <c r="B1177" s="399"/>
      <c r="C1177" s="297"/>
      <c r="D1177" s="394"/>
      <c r="E1177" s="297"/>
      <c r="F1177" s="394"/>
      <c r="G1177" s="297"/>
      <c r="H1177" s="297"/>
      <c r="I1177" s="297"/>
      <c r="J1177" s="297"/>
      <c r="K1177" s="297"/>
      <c r="L1177" s="297"/>
      <c r="M1177" s="297"/>
      <c r="N1177" s="297"/>
      <c r="O1177" s="297"/>
      <c r="P1177"/>
      <c r="Q1177"/>
      <c r="R1177"/>
      <c r="S1177"/>
      <c r="T1177"/>
      <c r="U1177"/>
    </row>
    <row r="1178" spans="1:21" x14ac:dyDescent="0.2">
      <c r="A1178"/>
      <c r="B1178" s="399"/>
      <c r="C1178" s="297"/>
      <c r="D1178" s="394"/>
      <c r="E1178" s="297"/>
      <c r="F1178" s="394"/>
      <c r="G1178" s="297"/>
      <c r="H1178" s="297"/>
      <c r="I1178" s="297"/>
      <c r="J1178" s="297"/>
      <c r="K1178" s="297"/>
      <c r="L1178" s="297"/>
      <c r="M1178" s="297"/>
      <c r="N1178" s="297"/>
      <c r="O1178" s="297"/>
      <c r="P1178"/>
      <c r="Q1178"/>
      <c r="R1178"/>
      <c r="S1178"/>
      <c r="T1178"/>
      <c r="U1178"/>
    </row>
    <row r="1179" spans="1:21" x14ac:dyDescent="0.2">
      <c r="A1179"/>
      <c r="B1179" s="399"/>
      <c r="C1179" s="297"/>
      <c r="D1179" s="394"/>
      <c r="E1179" s="297"/>
      <c r="F1179" s="394"/>
      <c r="G1179" s="297"/>
      <c r="H1179" s="297"/>
      <c r="I1179" s="297"/>
      <c r="J1179" s="297"/>
      <c r="K1179" s="297"/>
      <c r="L1179" s="297"/>
      <c r="M1179" s="297"/>
      <c r="N1179" s="297"/>
      <c r="O1179" s="297"/>
      <c r="P1179"/>
      <c r="Q1179"/>
      <c r="R1179"/>
      <c r="S1179"/>
      <c r="T1179"/>
      <c r="U1179"/>
    </row>
    <row r="1180" spans="1:21" x14ac:dyDescent="0.2">
      <c r="A1180"/>
      <c r="B1180" s="399"/>
      <c r="C1180" s="297"/>
      <c r="D1180" s="394"/>
      <c r="E1180" s="297"/>
      <c r="F1180" s="394"/>
      <c r="G1180" s="297"/>
      <c r="H1180" s="297"/>
      <c r="I1180" s="297"/>
      <c r="J1180" s="297"/>
      <c r="K1180" s="297"/>
      <c r="L1180" s="297"/>
      <c r="M1180" s="297"/>
      <c r="N1180" s="297"/>
      <c r="O1180" s="297"/>
      <c r="P1180"/>
      <c r="Q1180"/>
      <c r="R1180"/>
      <c r="S1180"/>
      <c r="T1180"/>
      <c r="U1180"/>
    </row>
    <row r="1181" spans="1:21" x14ac:dyDescent="0.2">
      <c r="A1181"/>
      <c r="B1181" s="399"/>
      <c r="C1181" s="297"/>
      <c r="D1181" s="394"/>
      <c r="E1181" s="297"/>
      <c r="F1181" s="394"/>
      <c r="G1181" s="297"/>
      <c r="H1181" s="297"/>
      <c r="I1181" s="297"/>
      <c r="J1181" s="297"/>
      <c r="K1181" s="297"/>
      <c r="L1181" s="297"/>
      <c r="M1181" s="297"/>
      <c r="N1181" s="297"/>
      <c r="O1181" s="297"/>
      <c r="P1181"/>
      <c r="Q1181"/>
      <c r="R1181"/>
      <c r="S1181"/>
      <c r="T1181"/>
      <c r="U1181"/>
    </row>
    <row r="1182" spans="1:21" x14ac:dyDescent="0.2">
      <c r="A1182"/>
      <c r="B1182" s="399"/>
      <c r="C1182" s="297"/>
      <c r="D1182" s="394"/>
      <c r="E1182" s="297"/>
      <c r="F1182" s="394"/>
      <c r="G1182" s="297"/>
      <c r="H1182" s="297"/>
      <c r="I1182" s="297"/>
      <c r="J1182" s="297"/>
      <c r="K1182" s="297"/>
      <c r="L1182" s="297"/>
      <c r="M1182" s="297"/>
      <c r="N1182" s="297"/>
      <c r="O1182" s="297"/>
      <c r="P1182"/>
      <c r="Q1182"/>
      <c r="R1182"/>
      <c r="S1182"/>
      <c r="T1182"/>
      <c r="U1182"/>
    </row>
    <row r="1183" spans="1:21" x14ac:dyDescent="0.2">
      <c r="A1183"/>
      <c r="B1183" s="399"/>
      <c r="C1183" s="297"/>
      <c r="D1183" s="394"/>
      <c r="E1183" s="297"/>
      <c r="F1183" s="394"/>
      <c r="G1183" s="297"/>
      <c r="H1183" s="297"/>
      <c r="I1183" s="297"/>
      <c r="J1183" s="297"/>
      <c r="K1183" s="297"/>
      <c r="L1183" s="297"/>
      <c r="M1183" s="297"/>
      <c r="N1183" s="297"/>
      <c r="O1183" s="297"/>
      <c r="P1183"/>
      <c r="Q1183"/>
      <c r="R1183"/>
      <c r="S1183"/>
      <c r="T1183"/>
      <c r="U1183"/>
    </row>
    <row r="1184" spans="1:21" x14ac:dyDescent="0.2">
      <c r="A1184"/>
      <c r="B1184" s="399"/>
      <c r="C1184" s="297"/>
      <c r="D1184" s="394"/>
      <c r="E1184" s="297"/>
      <c r="F1184" s="394"/>
      <c r="G1184" s="297"/>
      <c r="H1184" s="297"/>
      <c r="I1184" s="297"/>
      <c r="J1184" s="297"/>
      <c r="K1184" s="297"/>
      <c r="L1184" s="297"/>
      <c r="M1184" s="297"/>
      <c r="N1184" s="297"/>
      <c r="O1184" s="297"/>
      <c r="P1184"/>
      <c r="Q1184"/>
      <c r="R1184"/>
      <c r="S1184"/>
      <c r="T1184"/>
      <c r="U1184"/>
    </row>
    <row r="1185" spans="1:21" x14ac:dyDescent="0.2">
      <c r="A1185"/>
      <c r="B1185" s="399"/>
      <c r="C1185" s="297"/>
      <c r="D1185" s="394"/>
      <c r="E1185" s="297"/>
      <c r="F1185" s="394"/>
      <c r="G1185" s="297"/>
      <c r="H1185" s="297"/>
      <c r="I1185" s="297"/>
      <c r="J1185" s="297"/>
      <c r="K1185" s="297"/>
      <c r="L1185" s="297"/>
      <c r="M1185" s="297"/>
      <c r="N1185" s="297"/>
      <c r="O1185" s="297"/>
      <c r="P1185"/>
      <c r="Q1185"/>
      <c r="R1185"/>
      <c r="S1185"/>
      <c r="T1185"/>
      <c r="U1185"/>
    </row>
    <row r="1186" spans="1:21" x14ac:dyDescent="0.2">
      <c r="A1186"/>
      <c r="B1186" s="399"/>
      <c r="C1186" s="297"/>
      <c r="D1186" s="394"/>
      <c r="E1186" s="297"/>
      <c r="F1186" s="394"/>
      <c r="G1186" s="297"/>
      <c r="H1186" s="297"/>
      <c r="I1186" s="297"/>
      <c r="J1186" s="297"/>
      <c r="K1186" s="297"/>
      <c r="L1186" s="297"/>
      <c r="M1186" s="297"/>
      <c r="N1186" s="297"/>
      <c r="O1186" s="297"/>
      <c r="P1186"/>
      <c r="Q1186"/>
      <c r="R1186"/>
      <c r="S1186"/>
      <c r="T1186"/>
      <c r="U1186"/>
    </row>
    <row r="1187" spans="1:21" x14ac:dyDescent="0.2">
      <c r="A1187"/>
      <c r="B1187" s="399"/>
      <c r="C1187" s="297"/>
      <c r="D1187" s="394"/>
      <c r="E1187" s="297"/>
      <c r="F1187" s="394"/>
      <c r="G1187" s="297"/>
      <c r="H1187" s="297"/>
      <c r="I1187" s="297"/>
      <c r="J1187" s="297"/>
      <c r="K1187" s="297"/>
      <c r="L1187" s="297"/>
      <c r="M1187" s="297"/>
      <c r="N1187" s="297"/>
      <c r="O1187" s="297"/>
      <c r="P1187"/>
      <c r="Q1187"/>
      <c r="R1187"/>
      <c r="S1187"/>
      <c r="T1187"/>
      <c r="U1187"/>
    </row>
    <row r="1188" spans="1:21" x14ac:dyDescent="0.2">
      <c r="A1188"/>
      <c r="B1188" s="399"/>
      <c r="C1188" s="297"/>
      <c r="D1188" s="394"/>
      <c r="E1188" s="297"/>
      <c r="F1188" s="394"/>
      <c r="G1188" s="297"/>
      <c r="H1188" s="297"/>
      <c r="I1188" s="297"/>
      <c r="J1188" s="297"/>
      <c r="K1188" s="297"/>
      <c r="L1188" s="297"/>
      <c r="M1188" s="297"/>
      <c r="N1188" s="297"/>
      <c r="O1188" s="297"/>
      <c r="P1188"/>
      <c r="Q1188"/>
      <c r="R1188"/>
      <c r="S1188"/>
      <c r="T1188"/>
      <c r="U1188"/>
    </row>
    <row r="1189" spans="1:21" x14ac:dyDescent="0.2">
      <c r="A1189"/>
      <c r="B1189" s="399"/>
      <c r="C1189" s="297"/>
      <c r="D1189" s="394"/>
      <c r="E1189" s="297"/>
      <c r="F1189" s="394"/>
      <c r="G1189" s="297"/>
      <c r="H1189" s="297"/>
      <c r="I1189" s="297"/>
      <c r="J1189" s="297"/>
      <c r="K1189" s="297"/>
      <c r="L1189" s="297"/>
      <c r="M1189" s="297"/>
      <c r="N1189" s="297"/>
      <c r="O1189" s="297"/>
      <c r="P1189"/>
      <c r="Q1189"/>
      <c r="R1189"/>
      <c r="S1189"/>
      <c r="T1189"/>
      <c r="U1189"/>
    </row>
    <row r="1190" spans="1:21" x14ac:dyDescent="0.2">
      <c r="A1190"/>
      <c r="B1190" s="399"/>
      <c r="C1190" s="297"/>
      <c r="D1190" s="394"/>
      <c r="E1190" s="297"/>
      <c r="F1190" s="394"/>
      <c r="G1190" s="297"/>
      <c r="H1190" s="297"/>
      <c r="I1190" s="297"/>
      <c r="J1190" s="297"/>
      <c r="K1190" s="297"/>
      <c r="L1190" s="297"/>
      <c r="M1190" s="297"/>
      <c r="N1190" s="297"/>
      <c r="O1190" s="297"/>
      <c r="P1190"/>
      <c r="Q1190"/>
      <c r="R1190"/>
      <c r="S1190"/>
      <c r="T1190"/>
      <c r="U1190"/>
    </row>
    <row r="1191" spans="1:21" x14ac:dyDescent="0.2">
      <c r="A1191"/>
      <c r="B1191" s="399"/>
      <c r="C1191" s="297"/>
      <c r="D1191" s="394"/>
      <c r="E1191" s="297"/>
      <c r="F1191" s="394"/>
      <c r="G1191" s="297"/>
      <c r="H1191" s="297"/>
      <c r="I1191" s="297"/>
      <c r="J1191" s="297"/>
      <c r="K1191" s="297"/>
      <c r="L1191" s="297"/>
      <c r="M1191" s="297"/>
      <c r="N1191" s="297"/>
      <c r="O1191" s="297"/>
      <c r="P1191"/>
      <c r="Q1191"/>
      <c r="R1191"/>
      <c r="S1191"/>
      <c r="T1191"/>
      <c r="U1191"/>
    </row>
    <row r="1192" spans="1:21" x14ac:dyDescent="0.2">
      <c r="A1192"/>
      <c r="B1192" s="399"/>
      <c r="C1192" s="297"/>
      <c r="D1192" s="394"/>
      <c r="E1192" s="297"/>
      <c r="F1192" s="394"/>
      <c r="G1192" s="297"/>
      <c r="H1192" s="297"/>
      <c r="I1192" s="297"/>
      <c r="J1192" s="297"/>
      <c r="K1192" s="297"/>
      <c r="L1192" s="297"/>
      <c r="M1192" s="297"/>
      <c r="N1192" s="297"/>
      <c r="O1192" s="297"/>
      <c r="P1192"/>
      <c r="Q1192"/>
      <c r="R1192"/>
      <c r="S1192"/>
      <c r="T1192"/>
      <c r="U1192"/>
    </row>
    <row r="1193" spans="1:21" x14ac:dyDescent="0.2">
      <c r="A1193"/>
      <c r="B1193" s="399"/>
      <c r="C1193" s="297"/>
      <c r="D1193" s="394"/>
      <c r="E1193" s="297"/>
      <c r="F1193" s="394"/>
      <c r="G1193" s="297"/>
      <c r="H1193" s="297"/>
      <c r="I1193" s="297"/>
      <c r="J1193" s="297"/>
      <c r="K1193" s="297"/>
      <c r="L1193" s="297"/>
      <c r="M1193" s="297"/>
      <c r="N1193" s="297"/>
      <c r="O1193" s="297"/>
      <c r="P1193"/>
      <c r="Q1193"/>
      <c r="R1193"/>
      <c r="S1193"/>
      <c r="T1193"/>
      <c r="U1193"/>
    </row>
    <row r="1194" spans="1:21" x14ac:dyDescent="0.2">
      <c r="A1194"/>
      <c r="B1194" s="399"/>
      <c r="C1194" s="297"/>
      <c r="D1194" s="394"/>
      <c r="E1194" s="297"/>
      <c r="F1194" s="394"/>
      <c r="G1194" s="297"/>
      <c r="H1194" s="297"/>
      <c r="I1194" s="297"/>
      <c r="J1194" s="297"/>
      <c r="K1194" s="297"/>
      <c r="L1194" s="297"/>
      <c r="M1194" s="297"/>
      <c r="N1194" s="297"/>
      <c r="O1194" s="297"/>
      <c r="P1194"/>
      <c r="Q1194"/>
      <c r="R1194"/>
      <c r="S1194"/>
      <c r="T1194"/>
      <c r="U1194"/>
    </row>
    <row r="1195" spans="1:21" x14ac:dyDescent="0.2">
      <c r="A1195"/>
      <c r="B1195" s="399"/>
      <c r="C1195" s="297"/>
      <c r="D1195" s="394"/>
      <c r="E1195" s="297"/>
      <c r="F1195" s="394"/>
      <c r="G1195" s="297"/>
      <c r="H1195" s="297"/>
      <c r="I1195" s="297"/>
      <c r="J1195" s="297"/>
      <c r="K1195" s="297"/>
      <c r="L1195" s="297"/>
      <c r="M1195" s="297"/>
      <c r="N1195" s="297"/>
      <c r="O1195" s="297"/>
      <c r="P1195"/>
      <c r="Q1195"/>
      <c r="R1195"/>
      <c r="S1195"/>
      <c r="T1195"/>
      <c r="U1195"/>
    </row>
    <row r="1196" spans="1:21" x14ac:dyDescent="0.2">
      <c r="A1196"/>
      <c r="B1196" s="399"/>
      <c r="C1196" s="297"/>
      <c r="D1196" s="394"/>
      <c r="E1196" s="297"/>
      <c r="F1196" s="394"/>
      <c r="G1196" s="297"/>
      <c r="H1196" s="297"/>
      <c r="I1196" s="297"/>
      <c r="J1196" s="297"/>
      <c r="K1196" s="297"/>
      <c r="L1196" s="297"/>
      <c r="M1196" s="297"/>
      <c r="N1196" s="297"/>
      <c r="O1196" s="297"/>
      <c r="P1196"/>
      <c r="Q1196"/>
      <c r="R1196"/>
      <c r="S1196"/>
      <c r="T1196"/>
      <c r="U1196"/>
    </row>
    <row r="1197" spans="1:21" x14ac:dyDescent="0.2">
      <c r="A1197"/>
      <c r="B1197" s="399"/>
      <c r="C1197" s="297"/>
      <c r="D1197" s="394"/>
      <c r="E1197" s="297"/>
      <c r="F1197" s="394"/>
      <c r="G1197" s="297"/>
      <c r="H1197" s="297"/>
      <c r="I1197" s="297"/>
      <c r="J1197" s="297"/>
      <c r="K1197" s="297"/>
      <c r="L1197" s="297"/>
      <c r="M1197" s="297"/>
      <c r="N1197" s="297"/>
      <c r="O1197" s="297"/>
      <c r="P1197"/>
      <c r="Q1197"/>
      <c r="R1197"/>
      <c r="S1197"/>
      <c r="T1197"/>
      <c r="U1197"/>
    </row>
    <row r="1198" spans="1:21" x14ac:dyDescent="0.2">
      <c r="A1198"/>
      <c r="B1198" s="399"/>
      <c r="C1198" s="297"/>
      <c r="D1198" s="394"/>
      <c r="E1198" s="297"/>
      <c r="F1198" s="394"/>
      <c r="G1198" s="297"/>
      <c r="H1198" s="297"/>
      <c r="I1198" s="297"/>
      <c r="J1198" s="297"/>
      <c r="K1198" s="297"/>
      <c r="L1198" s="297"/>
      <c r="M1198" s="297"/>
      <c r="N1198" s="297"/>
      <c r="O1198" s="297"/>
      <c r="P1198"/>
      <c r="Q1198"/>
      <c r="R1198"/>
      <c r="S1198"/>
      <c r="T1198"/>
      <c r="U1198"/>
    </row>
    <row r="1199" spans="1:21" x14ac:dyDescent="0.2">
      <c r="A1199"/>
      <c r="B1199" s="399"/>
      <c r="C1199" s="297"/>
      <c r="D1199" s="394"/>
      <c r="E1199" s="297"/>
      <c r="F1199" s="394"/>
      <c r="G1199" s="297"/>
      <c r="H1199" s="297"/>
      <c r="I1199" s="297"/>
      <c r="J1199" s="297"/>
      <c r="K1199" s="297"/>
      <c r="L1199" s="297"/>
      <c r="M1199" s="297"/>
      <c r="N1199" s="297"/>
      <c r="O1199" s="297"/>
      <c r="P1199"/>
      <c r="Q1199"/>
      <c r="R1199"/>
      <c r="S1199"/>
      <c r="T1199"/>
      <c r="U1199"/>
    </row>
    <row r="1200" spans="1:21" x14ac:dyDescent="0.2">
      <c r="A1200"/>
      <c r="B1200" s="399"/>
      <c r="C1200" s="297"/>
      <c r="D1200" s="394"/>
      <c r="E1200" s="297"/>
      <c r="F1200" s="394"/>
      <c r="G1200" s="297"/>
      <c r="H1200" s="297"/>
      <c r="I1200" s="297"/>
      <c r="J1200" s="297"/>
      <c r="K1200" s="297"/>
      <c r="L1200" s="297"/>
      <c r="M1200" s="297"/>
      <c r="N1200" s="297"/>
      <c r="O1200" s="297"/>
      <c r="P1200"/>
      <c r="Q1200"/>
      <c r="R1200"/>
      <c r="S1200"/>
      <c r="T1200"/>
      <c r="U1200"/>
    </row>
    <row r="1201" spans="1:21" x14ac:dyDescent="0.2">
      <c r="A1201"/>
      <c r="B1201" s="399"/>
      <c r="C1201" s="297"/>
      <c r="D1201" s="394"/>
      <c r="E1201" s="297"/>
      <c r="F1201" s="394"/>
      <c r="G1201" s="297"/>
      <c r="H1201" s="297"/>
      <c r="I1201" s="297"/>
      <c r="J1201" s="297"/>
      <c r="K1201" s="297"/>
      <c r="L1201" s="297"/>
      <c r="M1201" s="297"/>
      <c r="N1201" s="297"/>
      <c r="O1201" s="297"/>
      <c r="P1201"/>
      <c r="Q1201"/>
      <c r="R1201"/>
      <c r="S1201"/>
      <c r="T1201"/>
      <c r="U1201"/>
    </row>
    <row r="1202" spans="1:21" x14ac:dyDescent="0.2">
      <c r="A1202"/>
      <c r="B1202" s="399"/>
      <c r="C1202" s="297"/>
      <c r="D1202" s="394"/>
      <c r="E1202" s="297"/>
      <c r="F1202" s="394"/>
      <c r="G1202" s="297"/>
      <c r="H1202" s="297"/>
      <c r="I1202" s="297"/>
      <c r="J1202" s="297"/>
      <c r="K1202" s="297"/>
      <c r="L1202" s="297"/>
      <c r="M1202" s="297"/>
      <c r="N1202" s="297"/>
      <c r="O1202" s="297"/>
      <c r="P1202"/>
      <c r="Q1202"/>
      <c r="R1202"/>
      <c r="S1202"/>
      <c r="T1202"/>
      <c r="U1202"/>
    </row>
    <row r="1203" spans="1:21" x14ac:dyDescent="0.2">
      <c r="A1203"/>
      <c r="B1203" s="399"/>
      <c r="C1203" s="297"/>
      <c r="D1203" s="394"/>
      <c r="E1203" s="297"/>
      <c r="F1203" s="394"/>
      <c r="G1203" s="297"/>
      <c r="H1203" s="297"/>
      <c r="I1203" s="297"/>
      <c r="J1203" s="297"/>
      <c r="K1203" s="297"/>
      <c r="L1203" s="297"/>
      <c r="M1203" s="297"/>
      <c r="N1203" s="297"/>
      <c r="O1203" s="297"/>
      <c r="P1203"/>
      <c r="Q1203"/>
      <c r="R1203"/>
      <c r="S1203"/>
      <c r="T1203"/>
      <c r="U1203"/>
    </row>
    <row r="1204" spans="1:21" x14ac:dyDescent="0.2">
      <c r="A1204"/>
      <c r="B1204" s="399"/>
      <c r="C1204" s="297"/>
      <c r="D1204" s="394"/>
      <c r="E1204" s="297"/>
      <c r="F1204" s="394"/>
      <c r="G1204" s="297"/>
      <c r="H1204" s="297"/>
      <c r="I1204" s="297"/>
      <c r="J1204" s="297"/>
      <c r="K1204" s="297"/>
      <c r="L1204" s="297"/>
      <c r="M1204" s="297"/>
      <c r="N1204" s="297"/>
      <c r="O1204" s="297"/>
      <c r="P1204"/>
      <c r="Q1204"/>
      <c r="R1204"/>
      <c r="S1204"/>
      <c r="T1204"/>
      <c r="U1204"/>
    </row>
    <row r="1205" spans="1:21" x14ac:dyDescent="0.2">
      <c r="A1205"/>
      <c r="B1205" s="399"/>
      <c r="C1205" s="297"/>
      <c r="D1205" s="394"/>
      <c r="E1205" s="297"/>
      <c r="F1205" s="394"/>
      <c r="G1205" s="297"/>
      <c r="H1205" s="297"/>
      <c r="I1205" s="297"/>
      <c r="J1205" s="297"/>
      <c r="K1205" s="297"/>
      <c r="L1205" s="297"/>
      <c r="M1205" s="297"/>
      <c r="N1205" s="297"/>
      <c r="O1205" s="297"/>
      <c r="P1205"/>
      <c r="Q1205"/>
      <c r="R1205"/>
      <c r="S1205"/>
      <c r="T1205"/>
      <c r="U1205"/>
    </row>
    <row r="1206" spans="1:21" x14ac:dyDescent="0.2">
      <c r="A1206"/>
      <c r="B1206" s="399"/>
      <c r="C1206" s="297"/>
      <c r="D1206" s="394"/>
      <c r="E1206" s="297"/>
      <c r="F1206" s="394"/>
      <c r="G1206" s="297"/>
      <c r="H1206" s="297"/>
      <c r="I1206" s="297"/>
      <c r="J1206" s="297"/>
      <c r="K1206" s="297"/>
      <c r="L1206" s="297"/>
      <c r="M1206" s="297"/>
      <c r="N1206" s="297"/>
      <c r="O1206" s="297"/>
      <c r="P1206"/>
      <c r="Q1206"/>
      <c r="R1206"/>
      <c r="S1206"/>
      <c r="T1206"/>
      <c r="U1206"/>
    </row>
    <row r="1207" spans="1:21" x14ac:dyDescent="0.2">
      <c r="A1207"/>
      <c r="B1207" s="399"/>
      <c r="C1207" s="297"/>
      <c r="D1207" s="394"/>
      <c r="E1207" s="297"/>
      <c r="F1207" s="394"/>
      <c r="G1207" s="297"/>
      <c r="H1207" s="297"/>
      <c r="I1207" s="297"/>
      <c r="J1207" s="297"/>
      <c r="K1207" s="297"/>
      <c r="L1207" s="297"/>
      <c r="M1207" s="297"/>
      <c r="N1207" s="297"/>
      <c r="O1207" s="297"/>
      <c r="P1207"/>
      <c r="Q1207"/>
      <c r="R1207"/>
      <c r="S1207"/>
      <c r="T1207"/>
      <c r="U1207"/>
    </row>
    <row r="1208" spans="1:21" x14ac:dyDescent="0.2">
      <c r="A1208"/>
      <c r="B1208" s="399"/>
      <c r="C1208" s="297"/>
      <c r="D1208" s="394"/>
      <c r="E1208" s="297"/>
      <c r="F1208" s="394"/>
      <c r="G1208" s="297"/>
      <c r="H1208" s="297"/>
      <c r="I1208" s="297"/>
      <c r="J1208" s="297"/>
      <c r="K1208" s="297"/>
      <c r="L1208" s="297"/>
      <c r="M1208" s="297"/>
      <c r="N1208" s="297"/>
      <c r="O1208" s="297"/>
      <c r="P1208"/>
      <c r="Q1208"/>
      <c r="R1208"/>
      <c r="S1208"/>
      <c r="T1208"/>
      <c r="U1208"/>
    </row>
    <row r="1209" spans="1:21" x14ac:dyDescent="0.2">
      <c r="A1209"/>
      <c r="B1209" s="399"/>
      <c r="C1209" s="297"/>
      <c r="D1209" s="394"/>
      <c r="E1209" s="297"/>
      <c r="F1209" s="394"/>
      <c r="G1209" s="297"/>
      <c r="H1209" s="297"/>
      <c r="I1209" s="297"/>
      <c r="J1209" s="297"/>
      <c r="K1209" s="297"/>
      <c r="L1209" s="297"/>
      <c r="M1209" s="297"/>
      <c r="N1209" s="297"/>
      <c r="O1209" s="297"/>
      <c r="P1209"/>
      <c r="Q1209"/>
      <c r="R1209"/>
      <c r="S1209"/>
      <c r="T1209"/>
      <c r="U1209"/>
    </row>
    <row r="1210" spans="1:21" x14ac:dyDescent="0.2">
      <c r="A1210"/>
      <c r="B1210" s="399"/>
      <c r="C1210" s="297"/>
      <c r="D1210" s="394"/>
      <c r="E1210" s="297"/>
      <c r="F1210" s="394"/>
      <c r="G1210" s="297"/>
      <c r="H1210" s="297"/>
      <c r="I1210" s="297"/>
      <c r="J1210" s="297"/>
      <c r="K1210" s="297"/>
      <c r="L1210" s="297"/>
      <c r="M1210" s="297"/>
      <c r="N1210" s="297"/>
      <c r="O1210" s="297"/>
      <c r="P1210"/>
      <c r="Q1210"/>
      <c r="R1210"/>
      <c r="S1210"/>
      <c r="T1210"/>
      <c r="U1210"/>
    </row>
    <row r="1211" spans="1:21" x14ac:dyDescent="0.2">
      <c r="A1211"/>
      <c r="B1211" s="399"/>
      <c r="C1211" s="297"/>
      <c r="D1211" s="394"/>
      <c r="E1211" s="297"/>
      <c r="F1211" s="394"/>
      <c r="G1211" s="297"/>
      <c r="H1211" s="297"/>
      <c r="I1211" s="297"/>
      <c r="J1211" s="297"/>
      <c r="K1211" s="297"/>
      <c r="L1211" s="297"/>
      <c r="M1211" s="297"/>
      <c r="N1211" s="297"/>
      <c r="O1211" s="297"/>
      <c r="P1211"/>
      <c r="Q1211"/>
      <c r="R1211"/>
      <c r="S1211"/>
      <c r="T1211"/>
      <c r="U1211"/>
    </row>
    <row r="1212" spans="1:21" x14ac:dyDescent="0.2">
      <c r="A1212"/>
      <c r="B1212" s="399"/>
      <c r="C1212" s="297"/>
      <c r="D1212" s="394"/>
      <c r="E1212" s="297"/>
      <c r="F1212" s="394"/>
      <c r="G1212" s="297"/>
      <c r="H1212" s="297"/>
      <c r="I1212" s="297"/>
      <c r="J1212" s="297"/>
      <c r="K1212" s="297"/>
      <c r="L1212" s="297"/>
      <c r="M1212" s="297"/>
      <c r="N1212" s="297"/>
      <c r="O1212" s="297"/>
      <c r="P1212"/>
      <c r="Q1212"/>
      <c r="R1212"/>
      <c r="S1212"/>
      <c r="T1212"/>
      <c r="U1212"/>
    </row>
    <row r="1213" spans="1:21" x14ac:dyDescent="0.2">
      <c r="A1213"/>
      <c r="B1213" s="399"/>
      <c r="C1213" s="297"/>
      <c r="D1213" s="394"/>
      <c r="E1213" s="297"/>
      <c r="F1213" s="394"/>
      <c r="G1213" s="297"/>
      <c r="H1213" s="297"/>
      <c r="I1213" s="297"/>
      <c r="J1213" s="297"/>
      <c r="K1213" s="297"/>
      <c r="L1213" s="297"/>
      <c r="M1213" s="297"/>
      <c r="N1213" s="297"/>
      <c r="O1213" s="297"/>
      <c r="P1213"/>
      <c r="Q1213"/>
      <c r="R1213"/>
      <c r="S1213"/>
      <c r="T1213"/>
      <c r="U1213"/>
    </row>
    <row r="1214" spans="1:21" x14ac:dyDescent="0.2">
      <c r="A1214"/>
      <c r="B1214" s="399"/>
      <c r="C1214" s="297"/>
      <c r="D1214" s="394"/>
      <c r="E1214" s="297"/>
      <c r="F1214" s="394"/>
      <c r="G1214" s="297"/>
      <c r="H1214" s="297"/>
      <c r="I1214" s="297"/>
      <c r="J1214" s="297"/>
      <c r="K1214" s="297"/>
      <c r="L1214" s="297"/>
      <c r="M1214" s="297"/>
      <c r="N1214" s="297"/>
      <c r="O1214" s="297"/>
      <c r="P1214"/>
      <c r="Q1214"/>
      <c r="R1214"/>
      <c r="S1214"/>
      <c r="T1214"/>
      <c r="U1214"/>
    </row>
    <row r="1215" spans="1:21" x14ac:dyDescent="0.2">
      <c r="A1215"/>
      <c r="B1215" s="399"/>
      <c r="C1215" s="297"/>
      <c r="D1215" s="394"/>
      <c r="E1215" s="297"/>
      <c r="F1215" s="394"/>
      <c r="G1215" s="297"/>
      <c r="H1215" s="297"/>
      <c r="I1215" s="297"/>
      <c r="J1215" s="297"/>
      <c r="K1215" s="297"/>
      <c r="L1215" s="297"/>
      <c r="M1215" s="297"/>
      <c r="N1215" s="297"/>
      <c r="O1215" s="297"/>
      <c r="P1215"/>
      <c r="Q1215"/>
      <c r="R1215"/>
      <c r="S1215"/>
      <c r="T1215"/>
      <c r="U1215"/>
    </row>
    <row r="1216" spans="1:21" x14ac:dyDescent="0.2">
      <c r="A1216"/>
      <c r="B1216" s="399"/>
      <c r="C1216" s="297"/>
      <c r="D1216" s="394"/>
      <c r="E1216" s="297"/>
      <c r="F1216" s="394"/>
      <c r="G1216" s="297"/>
      <c r="H1216" s="297"/>
      <c r="I1216" s="297"/>
      <c r="J1216" s="297"/>
      <c r="K1216" s="297"/>
      <c r="L1216" s="297"/>
      <c r="M1216" s="297"/>
      <c r="N1216" s="297"/>
      <c r="O1216" s="297"/>
      <c r="P1216"/>
      <c r="Q1216"/>
      <c r="R1216"/>
      <c r="S1216"/>
      <c r="T1216"/>
      <c r="U1216"/>
    </row>
    <row r="1217" spans="1:21" x14ac:dyDescent="0.2">
      <c r="A1217"/>
      <c r="B1217" s="399"/>
      <c r="C1217" s="297"/>
      <c r="D1217" s="394"/>
      <c r="E1217" s="297"/>
      <c r="F1217" s="394"/>
      <c r="G1217" s="297"/>
      <c r="H1217" s="297"/>
      <c r="I1217" s="297"/>
      <c r="J1217" s="297"/>
      <c r="K1217" s="297"/>
      <c r="L1217" s="297"/>
      <c r="M1217" s="297"/>
      <c r="N1217" s="297"/>
      <c r="O1217" s="297"/>
      <c r="P1217"/>
      <c r="Q1217"/>
      <c r="R1217"/>
      <c r="S1217"/>
      <c r="T1217"/>
      <c r="U1217"/>
    </row>
    <row r="1218" spans="1:21" x14ac:dyDescent="0.2">
      <c r="A1218"/>
      <c r="B1218" s="399"/>
      <c r="C1218" s="297"/>
      <c r="D1218" s="394"/>
      <c r="E1218" s="297"/>
      <c r="F1218" s="394"/>
      <c r="G1218" s="297"/>
      <c r="H1218" s="297"/>
      <c r="I1218" s="297"/>
      <c r="J1218" s="297"/>
      <c r="K1218" s="297"/>
      <c r="L1218" s="297"/>
      <c r="M1218" s="297"/>
      <c r="N1218" s="297"/>
      <c r="O1218" s="297"/>
      <c r="P1218"/>
      <c r="Q1218"/>
      <c r="R1218"/>
      <c r="S1218"/>
      <c r="T1218"/>
      <c r="U1218"/>
    </row>
    <row r="1219" spans="1:21" x14ac:dyDescent="0.2">
      <c r="A1219"/>
      <c r="B1219" s="399"/>
      <c r="C1219" s="297"/>
      <c r="D1219" s="394"/>
      <c r="E1219" s="297"/>
      <c r="F1219" s="394"/>
      <c r="G1219" s="297"/>
      <c r="H1219" s="297"/>
      <c r="I1219" s="297"/>
      <c r="J1219" s="297"/>
      <c r="K1219" s="297"/>
      <c r="L1219" s="297"/>
      <c r="M1219" s="297"/>
      <c r="N1219" s="297"/>
      <c r="O1219" s="297"/>
      <c r="P1219"/>
      <c r="Q1219"/>
      <c r="R1219"/>
      <c r="S1219"/>
      <c r="T1219"/>
      <c r="U1219"/>
    </row>
    <row r="1220" spans="1:21" x14ac:dyDescent="0.2">
      <c r="A1220"/>
      <c r="B1220" s="399"/>
      <c r="C1220" s="297"/>
      <c r="D1220" s="394"/>
      <c r="E1220" s="297"/>
      <c r="F1220" s="394"/>
      <c r="G1220" s="297"/>
      <c r="H1220" s="297"/>
      <c r="I1220" s="297"/>
      <c r="J1220" s="297"/>
      <c r="K1220" s="297"/>
      <c r="L1220" s="297"/>
      <c r="M1220" s="297"/>
      <c r="N1220" s="297"/>
      <c r="O1220" s="297"/>
      <c r="P1220"/>
      <c r="Q1220"/>
      <c r="R1220"/>
      <c r="S1220"/>
      <c r="T1220"/>
      <c r="U1220"/>
    </row>
    <row r="1221" spans="1:21" x14ac:dyDescent="0.2">
      <c r="A1221"/>
      <c r="B1221" s="399"/>
      <c r="C1221" s="297"/>
      <c r="D1221" s="394"/>
      <c r="E1221" s="297"/>
      <c r="F1221" s="394"/>
      <c r="G1221" s="297"/>
      <c r="H1221" s="297"/>
      <c r="I1221" s="297"/>
      <c r="J1221" s="297"/>
      <c r="K1221" s="297"/>
      <c r="L1221" s="297"/>
      <c r="M1221" s="297"/>
      <c r="N1221" s="297"/>
      <c r="O1221" s="297"/>
      <c r="P1221"/>
      <c r="Q1221"/>
      <c r="R1221"/>
      <c r="S1221"/>
      <c r="T1221"/>
      <c r="U1221"/>
    </row>
    <row r="1222" spans="1:21" x14ac:dyDescent="0.2">
      <c r="A1222"/>
      <c r="B1222" s="399"/>
      <c r="C1222" s="297"/>
      <c r="D1222" s="394"/>
      <c r="E1222" s="297"/>
      <c r="F1222" s="394"/>
      <c r="G1222" s="297"/>
      <c r="H1222" s="297"/>
      <c r="I1222" s="297"/>
      <c r="J1222" s="297"/>
      <c r="K1222" s="297"/>
      <c r="L1222" s="297"/>
      <c r="M1222" s="297"/>
      <c r="N1222" s="297"/>
      <c r="O1222" s="297"/>
      <c r="P1222"/>
      <c r="Q1222"/>
      <c r="R1222"/>
      <c r="S1222"/>
      <c r="T1222"/>
      <c r="U1222"/>
    </row>
    <row r="1223" spans="1:21" x14ac:dyDescent="0.2">
      <c r="A1223"/>
      <c r="B1223" s="399"/>
      <c r="C1223" s="297"/>
      <c r="D1223" s="394"/>
      <c r="E1223" s="297"/>
      <c r="F1223" s="394"/>
      <c r="G1223" s="297"/>
      <c r="H1223" s="297"/>
      <c r="I1223" s="297"/>
      <c r="J1223" s="297"/>
      <c r="K1223" s="297"/>
      <c r="L1223" s="297"/>
      <c r="M1223" s="297"/>
      <c r="N1223" s="297"/>
      <c r="O1223" s="297"/>
      <c r="P1223"/>
      <c r="Q1223"/>
      <c r="R1223"/>
      <c r="S1223"/>
      <c r="T1223"/>
      <c r="U1223"/>
    </row>
    <row r="1224" spans="1:21" x14ac:dyDescent="0.2">
      <c r="A1224"/>
      <c r="B1224" s="399"/>
      <c r="C1224" s="297"/>
      <c r="D1224" s="394"/>
      <c r="E1224" s="297"/>
      <c r="F1224" s="394"/>
      <c r="G1224" s="297"/>
      <c r="H1224" s="297"/>
      <c r="I1224" s="297"/>
      <c r="J1224" s="297"/>
      <c r="K1224" s="297"/>
      <c r="L1224" s="297"/>
      <c r="M1224" s="297"/>
      <c r="N1224" s="297"/>
      <c r="O1224" s="297"/>
      <c r="P1224"/>
      <c r="Q1224"/>
      <c r="R1224"/>
      <c r="S1224"/>
      <c r="T1224"/>
      <c r="U1224"/>
    </row>
    <row r="1225" spans="1:21" x14ac:dyDescent="0.2">
      <c r="A1225"/>
      <c r="B1225" s="399"/>
      <c r="C1225" s="297"/>
      <c r="D1225" s="394"/>
      <c r="E1225" s="297"/>
      <c r="F1225" s="394"/>
      <c r="G1225" s="297"/>
      <c r="H1225" s="297"/>
      <c r="I1225" s="297"/>
      <c r="J1225" s="297"/>
      <c r="K1225" s="297"/>
      <c r="L1225" s="297"/>
      <c r="M1225" s="297"/>
      <c r="N1225" s="297"/>
      <c r="O1225" s="297"/>
      <c r="P1225"/>
      <c r="Q1225"/>
      <c r="R1225"/>
      <c r="S1225"/>
      <c r="T1225"/>
      <c r="U1225"/>
    </row>
    <row r="1226" spans="1:21" x14ac:dyDescent="0.2">
      <c r="A1226"/>
      <c r="B1226" s="399"/>
      <c r="C1226" s="297"/>
      <c r="D1226" s="394"/>
      <c r="E1226" s="297"/>
      <c r="F1226" s="394"/>
      <c r="G1226" s="297"/>
      <c r="H1226" s="297"/>
      <c r="I1226" s="297"/>
      <c r="J1226" s="297"/>
      <c r="K1226" s="297"/>
      <c r="L1226" s="297"/>
      <c r="M1226" s="297"/>
      <c r="N1226" s="297"/>
      <c r="O1226" s="297"/>
      <c r="P1226"/>
      <c r="Q1226"/>
      <c r="R1226"/>
      <c r="S1226"/>
      <c r="T1226"/>
      <c r="U1226"/>
    </row>
    <row r="1227" spans="1:21" x14ac:dyDescent="0.2">
      <c r="A1227"/>
      <c r="B1227" s="399"/>
      <c r="C1227" s="297"/>
      <c r="D1227" s="394"/>
      <c r="E1227" s="297"/>
      <c r="F1227" s="394"/>
      <c r="G1227" s="297"/>
      <c r="H1227" s="297"/>
      <c r="I1227" s="297"/>
      <c r="J1227" s="297"/>
      <c r="K1227" s="297"/>
      <c r="L1227" s="297"/>
      <c r="M1227" s="297"/>
      <c r="N1227" s="297"/>
      <c r="O1227" s="297"/>
      <c r="P1227"/>
      <c r="Q1227"/>
      <c r="R1227"/>
      <c r="S1227"/>
      <c r="T1227"/>
      <c r="U1227"/>
    </row>
    <row r="1228" spans="1:21" x14ac:dyDescent="0.2">
      <c r="A1228"/>
      <c r="B1228" s="399"/>
      <c r="C1228" s="297"/>
      <c r="D1228" s="394"/>
      <c r="E1228" s="297"/>
      <c r="F1228" s="394"/>
      <c r="G1228" s="297"/>
      <c r="H1228" s="297"/>
      <c r="I1228" s="297"/>
      <c r="J1228" s="297"/>
      <c r="K1228" s="297"/>
      <c r="L1228" s="297"/>
      <c r="M1228" s="297"/>
      <c r="N1228" s="297"/>
      <c r="O1228" s="297"/>
      <c r="P1228"/>
      <c r="Q1228"/>
      <c r="R1228"/>
      <c r="S1228"/>
      <c r="T1228"/>
      <c r="U1228"/>
    </row>
    <row r="1229" spans="1:21" x14ac:dyDescent="0.2">
      <c r="A1229"/>
      <c r="B1229" s="399"/>
      <c r="C1229" s="297"/>
      <c r="D1229" s="394"/>
      <c r="E1229" s="297"/>
      <c r="F1229" s="394"/>
      <c r="G1229" s="297"/>
      <c r="H1229" s="297"/>
      <c r="I1229" s="297"/>
      <c r="J1229" s="297"/>
      <c r="K1229" s="297"/>
      <c r="L1229" s="297"/>
      <c r="M1229" s="297"/>
      <c r="N1229" s="297"/>
      <c r="O1229" s="297"/>
      <c r="P1229"/>
      <c r="Q1229"/>
      <c r="R1229"/>
      <c r="S1229"/>
      <c r="T1229"/>
      <c r="U1229"/>
    </row>
    <row r="1230" spans="1:21" x14ac:dyDescent="0.2">
      <c r="A1230"/>
      <c r="B1230" s="399"/>
      <c r="C1230" s="297"/>
      <c r="D1230" s="394"/>
      <c r="E1230" s="297"/>
      <c r="F1230" s="394"/>
      <c r="G1230" s="297"/>
      <c r="H1230" s="297"/>
      <c r="I1230" s="297"/>
      <c r="J1230" s="297"/>
      <c r="K1230" s="297"/>
      <c r="L1230" s="297"/>
      <c r="M1230" s="297"/>
      <c r="N1230" s="297"/>
      <c r="O1230" s="297"/>
      <c r="P1230"/>
      <c r="Q1230"/>
      <c r="R1230"/>
      <c r="S1230"/>
      <c r="T1230"/>
      <c r="U1230"/>
    </row>
    <row r="1231" spans="1:21" x14ac:dyDescent="0.2">
      <c r="A1231"/>
      <c r="B1231" s="399"/>
      <c r="C1231" s="297"/>
      <c r="D1231" s="394"/>
      <c r="E1231" s="297"/>
      <c r="F1231" s="394"/>
      <c r="G1231" s="297"/>
      <c r="H1231" s="297"/>
      <c r="I1231" s="297"/>
      <c r="J1231" s="297"/>
      <c r="K1231" s="297"/>
      <c r="L1231" s="297"/>
      <c r="M1231" s="297"/>
      <c r="N1231" s="297"/>
      <c r="O1231" s="297"/>
      <c r="P1231"/>
      <c r="Q1231"/>
      <c r="R1231"/>
      <c r="S1231"/>
      <c r="T1231"/>
      <c r="U1231"/>
    </row>
    <row r="1232" spans="1:21" x14ac:dyDescent="0.2">
      <c r="A1232"/>
      <c r="B1232" s="399"/>
      <c r="C1232" s="297"/>
      <c r="D1232" s="394"/>
      <c r="E1232" s="297"/>
      <c r="F1232" s="394"/>
      <c r="G1232" s="297"/>
      <c r="H1232" s="297"/>
      <c r="I1232" s="297"/>
      <c r="J1232" s="297"/>
      <c r="K1232" s="297"/>
      <c r="L1232" s="297"/>
      <c r="M1232" s="297"/>
      <c r="N1232" s="297"/>
      <c r="O1232" s="297"/>
      <c r="P1232"/>
      <c r="Q1232"/>
      <c r="R1232"/>
      <c r="S1232"/>
      <c r="T1232"/>
      <c r="U1232"/>
    </row>
    <row r="1233" spans="1:21" x14ac:dyDescent="0.2">
      <c r="A1233"/>
      <c r="B1233" s="399"/>
      <c r="C1233" s="297"/>
      <c r="D1233" s="394"/>
      <c r="E1233" s="297"/>
      <c r="F1233" s="394"/>
      <c r="G1233" s="297"/>
      <c r="H1233" s="297"/>
      <c r="I1233" s="297"/>
      <c r="J1233" s="297"/>
      <c r="K1233" s="297"/>
      <c r="L1233" s="297"/>
      <c r="M1233" s="297"/>
      <c r="N1233" s="297"/>
      <c r="O1233" s="297"/>
      <c r="P1233"/>
      <c r="Q1233"/>
      <c r="R1233"/>
      <c r="S1233"/>
      <c r="T1233"/>
      <c r="U1233"/>
    </row>
    <row r="1234" spans="1:21" x14ac:dyDescent="0.2">
      <c r="A1234"/>
      <c r="B1234" s="399"/>
      <c r="C1234" s="297"/>
      <c r="D1234" s="394"/>
      <c r="E1234" s="297"/>
      <c r="F1234" s="394"/>
      <c r="G1234" s="297"/>
      <c r="H1234" s="297"/>
      <c r="I1234" s="297"/>
      <c r="J1234" s="297"/>
      <c r="K1234" s="297"/>
      <c r="L1234" s="297"/>
      <c r="M1234" s="297"/>
      <c r="N1234" s="297"/>
      <c r="O1234" s="297"/>
      <c r="P1234"/>
      <c r="Q1234"/>
      <c r="R1234"/>
      <c r="S1234"/>
      <c r="T1234"/>
      <c r="U1234"/>
    </row>
    <row r="1235" spans="1:21" x14ac:dyDescent="0.2">
      <c r="A1235"/>
      <c r="B1235" s="399"/>
      <c r="C1235" s="297"/>
      <c r="D1235" s="394"/>
      <c r="E1235" s="297"/>
      <c r="F1235" s="394"/>
      <c r="G1235" s="297"/>
      <c r="H1235" s="297"/>
      <c r="I1235" s="297"/>
      <c r="J1235" s="297"/>
      <c r="K1235" s="297"/>
      <c r="L1235" s="297"/>
      <c r="M1235" s="297"/>
      <c r="N1235" s="297"/>
      <c r="O1235" s="297"/>
      <c r="P1235"/>
      <c r="Q1235"/>
      <c r="R1235"/>
      <c r="S1235"/>
      <c r="T1235"/>
      <c r="U1235"/>
    </row>
    <row r="1236" spans="1:21" x14ac:dyDescent="0.2">
      <c r="A1236"/>
      <c r="B1236" s="399"/>
      <c r="C1236" s="297"/>
      <c r="D1236" s="394"/>
      <c r="E1236" s="297"/>
      <c r="F1236" s="394"/>
      <c r="G1236" s="297"/>
      <c r="H1236" s="297"/>
      <c r="I1236" s="297"/>
      <c r="J1236" s="297"/>
      <c r="K1236" s="297"/>
      <c r="L1236" s="297"/>
      <c r="M1236" s="297"/>
      <c r="N1236" s="297"/>
      <c r="O1236" s="297"/>
      <c r="P1236"/>
      <c r="Q1236"/>
      <c r="R1236"/>
      <c r="S1236"/>
      <c r="T1236"/>
      <c r="U1236"/>
    </row>
    <row r="1237" spans="1:21" x14ac:dyDescent="0.2">
      <c r="A1237"/>
      <c r="B1237" s="399"/>
      <c r="C1237" s="297"/>
      <c r="D1237" s="394"/>
      <c r="E1237" s="297"/>
      <c r="F1237" s="394"/>
      <c r="G1237" s="297"/>
      <c r="H1237" s="297"/>
      <c r="I1237" s="297"/>
      <c r="J1237" s="297"/>
      <c r="K1237" s="297"/>
      <c r="L1237" s="297"/>
      <c r="M1237" s="297"/>
      <c r="N1237" s="297"/>
      <c r="O1237" s="297"/>
      <c r="P1237"/>
      <c r="Q1237"/>
      <c r="R1237"/>
      <c r="S1237"/>
      <c r="T1237"/>
      <c r="U1237"/>
    </row>
    <row r="1238" spans="1:21" x14ac:dyDescent="0.2">
      <c r="A1238"/>
      <c r="B1238" s="399"/>
      <c r="C1238" s="297"/>
      <c r="D1238" s="394"/>
      <c r="E1238" s="297"/>
      <c r="F1238" s="394"/>
      <c r="G1238" s="297"/>
      <c r="H1238" s="297"/>
      <c r="I1238" s="297"/>
      <c r="J1238" s="297"/>
      <c r="K1238" s="297"/>
      <c r="L1238" s="297"/>
      <c r="M1238" s="297"/>
      <c r="N1238" s="297"/>
      <c r="O1238" s="297"/>
      <c r="P1238"/>
      <c r="Q1238"/>
      <c r="R1238"/>
      <c r="S1238"/>
      <c r="T1238"/>
      <c r="U1238"/>
    </row>
    <row r="1239" spans="1:21" x14ac:dyDescent="0.2">
      <c r="A1239"/>
      <c r="B1239" s="399"/>
      <c r="C1239" s="297"/>
      <c r="D1239" s="394"/>
      <c r="E1239" s="297"/>
      <c r="F1239" s="394"/>
      <c r="G1239" s="297"/>
      <c r="H1239" s="297"/>
      <c r="I1239" s="297"/>
      <c r="J1239" s="297"/>
      <c r="K1239" s="297"/>
      <c r="L1239" s="297"/>
      <c r="M1239" s="297"/>
      <c r="N1239" s="297"/>
      <c r="O1239" s="297"/>
      <c r="P1239"/>
      <c r="Q1239"/>
      <c r="R1239"/>
      <c r="S1239"/>
      <c r="T1239"/>
      <c r="U1239"/>
    </row>
    <row r="1240" spans="1:21" x14ac:dyDescent="0.2">
      <c r="A1240"/>
      <c r="B1240" s="399"/>
      <c r="C1240" s="297"/>
      <c r="D1240" s="394"/>
      <c r="E1240" s="297"/>
      <c r="F1240" s="394"/>
      <c r="G1240" s="297"/>
      <c r="H1240" s="297"/>
      <c r="I1240" s="297"/>
      <c r="J1240" s="297"/>
      <c r="K1240" s="297"/>
      <c r="L1240" s="297"/>
      <c r="M1240" s="297"/>
      <c r="N1240" s="297"/>
      <c r="O1240" s="297"/>
      <c r="P1240"/>
      <c r="Q1240"/>
      <c r="R1240"/>
      <c r="S1240"/>
      <c r="T1240"/>
      <c r="U1240"/>
    </row>
    <row r="1241" spans="1:21" x14ac:dyDescent="0.2">
      <c r="A1241"/>
      <c r="B1241" s="399"/>
      <c r="C1241" s="297"/>
      <c r="D1241" s="394"/>
      <c r="E1241" s="297"/>
      <c r="F1241" s="394"/>
      <c r="G1241" s="297"/>
      <c r="H1241" s="297"/>
      <c r="I1241" s="297"/>
      <c r="J1241" s="297"/>
      <c r="K1241" s="297"/>
      <c r="L1241" s="297"/>
      <c r="M1241" s="297"/>
      <c r="N1241" s="297"/>
      <c r="O1241" s="297"/>
      <c r="P1241"/>
      <c r="Q1241"/>
      <c r="R1241"/>
      <c r="S1241"/>
      <c r="T1241"/>
      <c r="U1241"/>
    </row>
    <row r="1242" spans="1:21" x14ac:dyDescent="0.2">
      <c r="A1242"/>
      <c r="B1242" s="399"/>
      <c r="C1242" s="297"/>
      <c r="D1242" s="394"/>
      <c r="E1242" s="297"/>
      <c r="F1242" s="394"/>
      <c r="G1242" s="297"/>
      <c r="H1242" s="297"/>
      <c r="I1242" s="297"/>
      <c r="J1242" s="297"/>
      <c r="K1242" s="297"/>
      <c r="L1242" s="297"/>
      <c r="M1242" s="297"/>
      <c r="N1242" s="297"/>
      <c r="O1242" s="297"/>
      <c r="P1242"/>
      <c r="Q1242"/>
      <c r="R1242"/>
      <c r="S1242"/>
      <c r="T1242"/>
      <c r="U1242"/>
    </row>
    <row r="1243" spans="1:21" x14ac:dyDescent="0.2">
      <c r="A1243"/>
      <c r="B1243" s="399"/>
      <c r="C1243" s="297"/>
      <c r="D1243" s="394"/>
      <c r="E1243" s="297"/>
      <c r="F1243" s="394"/>
      <c r="G1243" s="297"/>
      <c r="H1243" s="297"/>
      <c r="I1243" s="297"/>
      <c r="J1243" s="297"/>
      <c r="K1243" s="297"/>
      <c r="L1243" s="297"/>
      <c r="M1243" s="297"/>
      <c r="N1243" s="297"/>
      <c r="O1243" s="297"/>
      <c r="P1243"/>
      <c r="Q1243"/>
      <c r="R1243"/>
      <c r="S1243"/>
      <c r="T1243"/>
      <c r="U1243"/>
    </row>
    <row r="1244" spans="1:21" x14ac:dyDescent="0.2">
      <c r="A1244"/>
      <c r="B1244" s="399"/>
      <c r="C1244" s="297"/>
      <c r="D1244" s="394"/>
      <c r="E1244" s="297"/>
      <c r="F1244" s="394"/>
      <c r="G1244" s="297"/>
      <c r="H1244" s="297"/>
      <c r="I1244" s="297"/>
      <c r="J1244" s="297"/>
      <c r="K1244" s="297"/>
      <c r="L1244" s="297"/>
      <c r="M1244" s="297"/>
      <c r="N1244" s="297"/>
      <c r="O1244" s="297"/>
      <c r="P1244"/>
      <c r="Q1244"/>
      <c r="R1244"/>
      <c r="S1244"/>
      <c r="T1244"/>
      <c r="U1244"/>
    </row>
    <row r="1245" spans="1:21" x14ac:dyDescent="0.2">
      <c r="A1245"/>
      <c r="B1245" s="399"/>
      <c r="C1245" s="297"/>
      <c r="D1245" s="394"/>
      <c r="E1245" s="297"/>
      <c r="F1245" s="394"/>
      <c r="G1245" s="297"/>
      <c r="H1245" s="297"/>
      <c r="I1245" s="297"/>
      <c r="J1245" s="297"/>
      <c r="K1245" s="297"/>
      <c r="L1245" s="297"/>
      <c r="M1245" s="297"/>
      <c r="N1245" s="297"/>
      <c r="O1245" s="297"/>
      <c r="P1245"/>
      <c r="Q1245"/>
      <c r="R1245"/>
      <c r="S1245"/>
      <c r="T1245"/>
      <c r="U1245"/>
    </row>
    <row r="1246" spans="1:21" x14ac:dyDescent="0.2">
      <c r="A1246"/>
      <c r="B1246" s="399"/>
      <c r="C1246" s="297"/>
      <c r="D1246" s="394"/>
      <c r="E1246" s="297"/>
      <c r="F1246" s="394"/>
      <c r="G1246" s="297"/>
      <c r="H1246" s="297"/>
      <c r="I1246" s="297"/>
      <c r="J1246" s="297"/>
      <c r="K1246" s="297"/>
      <c r="L1246" s="297"/>
      <c r="M1246" s="297"/>
      <c r="N1246" s="297"/>
      <c r="O1246" s="297"/>
      <c r="P1246"/>
      <c r="Q1246"/>
      <c r="R1246"/>
      <c r="S1246"/>
      <c r="T1246"/>
      <c r="U1246"/>
    </row>
    <row r="1247" spans="1:21" x14ac:dyDescent="0.2">
      <c r="A1247"/>
      <c r="B1247" s="399"/>
      <c r="C1247" s="297"/>
      <c r="D1247" s="394"/>
      <c r="E1247" s="297"/>
      <c r="F1247" s="394"/>
      <c r="G1247" s="297"/>
      <c r="H1247" s="297"/>
      <c r="I1247" s="297"/>
      <c r="J1247" s="297"/>
      <c r="K1247" s="297"/>
      <c r="L1247" s="297"/>
      <c r="M1247" s="297"/>
      <c r="N1247" s="297"/>
      <c r="O1247" s="297"/>
      <c r="P1247"/>
      <c r="Q1247"/>
      <c r="R1247"/>
      <c r="S1247"/>
      <c r="T1247"/>
      <c r="U1247"/>
    </row>
    <row r="1248" spans="1:21" x14ac:dyDescent="0.2">
      <c r="A1248"/>
      <c r="B1248" s="399"/>
      <c r="C1248" s="297"/>
      <c r="D1248" s="394"/>
      <c r="E1248" s="297"/>
      <c r="F1248" s="394"/>
      <c r="G1248" s="297"/>
      <c r="H1248" s="297"/>
      <c r="I1248" s="297"/>
      <c r="J1248" s="297"/>
      <c r="K1248" s="297"/>
      <c r="L1248" s="297"/>
      <c r="M1248" s="297"/>
      <c r="N1248" s="297"/>
      <c r="O1248" s="297"/>
      <c r="P1248"/>
      <c r="Q1248"/>
      <c r="R1248"/>
      <c r="S1248"/>
      <c r="T1248"/>
      <c r="U1248"/>
    </row>
    <row r="1249" spans="1:21" x14ac:dyDescent="0.2">
      <c r="A1249"/>
      <c r="B1249" s="399"/>
      <c r="C1249" s="297"/>
      <c r="D1249" s="394"/>
      <c r="E1249" s="297"/>
      <c r="F1249" s="394"/>
      <c r="G1249" s="297"/>
      <c r="H1249" s="297"/>
      <c r="I1249" s="297"/>
      <c r="J1249" s="297"/>
      <c r="K1249" s="297"/>
      <c r="L1249" s="297"/>
      <c r="M1249" s="297"/>
      <c r="N1249" s="297"/>
      <c r="O1249" s="297"/>
      <c r="P1249"/>
      <c r="Q1249"/>
      <c r="R1249"/>
      <c r="S1249"/>
      <c r="T1249"/>
      <c r="U1249"/>
    </row>
    <row r="1250" spans="1:21" x14ac:dyDescent="0.2">
      <c r="A1250"/>
      <c r="B1250" s="399"/>
      <c r="C1250" s="297"/>
      <c r="D1250" s="394"/>
      <c r="E1250" s="297"/>
      <c r="F1250" s="394"/>
      <c r="G1250" s="297"/>
      <c r="H1250" s="297"/>
      <c r="I1250" s="297"/>
      <c r="J1250" s="297"/>
      <c r="K1250" s="297"/>
      <c r="L1250" s="297"/>
      <c r="M1250" s="297"/>
      <c r="N1250" s="297"/>
      <c r="O1250" s="297"/>
      <c r="P1250"/>
      <c r="Q1250"/>
      <c r="R1250"/>
      <c r="S1250"/>
      <c r="T1250"/>
      <c r="U1250"/>
    </row>
    <row r="1251" spans="1:21" x14ac:dyDescent="0.2">
      <c r="A1251"/>
      <c r="B1251" s="399"/>
      <c r="C1251" s="297"/>
      <c r="D1251" s="394"/>
      <c r="E1251" s="297"/>
      <c r="F1251" s="394"/>
      <c r="G1251" s="297"/>
      <c r="H1251" s="297"/>
      <c r="I1251" s="297"/>
      <c r="J1251" s="297"/>
      <c r="K1251" s="297"/>
      <c r="L1251" s="297"/>
      <c r="M1251" s="297"/>
      <c r="N1251" s="297"/>
      <c r="O1251" s="297"/>
      <c r="P1251"/>
      <c r="Q1251"/>
      <c r="R1251"/>
      <c r="S1251"/>
      <c r="T1251"/>
      <c r="U1251"/>
    </row>
    <row r="1252" spans="1:21" x14ac:dyDescent="0.2">
      <c r="A1252"/>
      <c r="B1252" s="399"/>
      <c r="C1252" s="297"/>
      <c r="D1252" s="394"/>
      <c r="E1252" s="297"/>
      <c r="F1252" s="394"/>
      <c r="G1252" s="297"/>
      <c r="H1252" s="297"/>
      <c r="I1252" s="297"/>
      <c r="J1252" s="297"/>
      <c r="K1252" s="297"/>
      <c r="L1252" s="297"/>
      <c r="M1252" s="297"/>
      <c r="N1252" s="297"/>
      <c r="O1252" s="297"/>
      <c r="P1252"/>
      <c r="Q1252"/>
      <c r="R1252"/>
      <c r="S1252"/>
      <c r="T1252"/>
      <c r="U1252"/>
    </row>
    <row r="1253" spans="1:21" x14ac:dyDescent="0.2">
      <c r="A1253"/>
      <c r="B1253" s="399"/>
      <c r="C1253" s="297"/>
      <c r="D1253" s="394"/>
      <c r="E1253" s="297"/>
      <c r="F1253" s="394"/>
      <c r="G1253" s="297"/>
      <c r="H1253" s="297"/>
      <c r="I1253" s="297"/>
      <c r="J1253" s="297"/>
      <c r="K1253" s="297"/>
      <c r="L1253" s="297"/>
      <c r="M1253" s="297"/>
      <c r="N1253" s="297"/>
      <c r="O1253" s="297"/>
      <c r="P1253"/>
      <c r="Q1253"/>
      <c r="R1253"/>
      <c r="S1253"/>
      <c r="T1253"/>
      <c r="U1253"/>
    </row>
    <row r="1254" spans="1:21" x14ac:dyDescent="0.2">
      <c r="A1254"/>
      <c r="B1254" s="399"/>
      <c r="C1254" s="297"/>
      <c r="D1254" s="394"/>
      <c r="E1254" s="297"/>
      <c r="F1254" s="394"/>
      <c r="G1254" s="297"/>
      <c r="H1254" s="297"/>
      <c r="I1254" s="297"/>
      <c r="J1254" s="297"/>
      <c r="K1254" s="297"/>
      <c r="L1254" s="297"/>
      <c r="M1254" s="297"/>
      <c r="N1254" s="297"/>
      <c r="O1254" s="297"/>
      <c r="P1254"/>
      <c r="Q1254"/>
      <c r="R1254"/>
      <c r="S1254"/>
      <c r="T1254"/>
      <c r="U1254"/>
    </row>
    <row r="1255" spans="1:21" x14ac:dyDescent="0.2">
      <c r="A1255"/>
      <c r="B1255" s="399"/>
      <c r="C1255" s="297"/>
      <c r="D1255" s="394"/>
      <c r="E1255" s="297"/>
      <c r="F1255" s="394"/>
      <c r="G1255" s="297"/>
      <c r="H1255" s="297"/>
      <c r="I1255" s="297"/>
      <c r="J1255" s="297"/>
      <c r="K1255" s="297"/>
      <c r="L1255" s="297"/>
      <c r="M1255" s="297"/>
      <c r="N1255" s="297"/>
      <c r="O1255" s="297"/>
      <c r="P1255"/>
      <c r="Q1255"/>
      <c r="R1255"/>
      <c r="S1255"/>
      <c r="T1255"/>
      <c r="U1255"/>
    </row>
    <row r="1256" spans="1:21" x14ac:dyDescent="0.2">
      <c r="A1256"/>
      <c r="B1256" s="399"/>
      <c r="C1256" s="297"/>
      <c r="D1256" s="394"/>
      <c r="E1256" s="297"/>
      <c r="F1256" s="394"/>
      <c r="G1256" s="297"/>
      <c r="H1256" s="297"/>
      <c r="I1256" s="297"/>
      <c r="J1256" s="297"/>
      <c r="K1256" s="297"/>
      <c r="L1256" s="297"/>
      <c r="M1256" s="297"/>
      <c r="N1256" s="297"/>
      <c r="O1256" s="297"/>
      <c r="P1256"/>
      <c r="Q1256"/>
      <c r="R1256"/>
      <c r="S1256"/>
      <c r="T1256"/>
      <c r="U1256"/>
    </row>
    <row r="1257" spans="1:21" x14ac:dyDescent="0.2">
      <c r="A1257"/>
      <c r="B1257" s="399"/>
      <c r="C1257" s="297"/>
      <c r="D1257" s="394"/>
      <c r="E1257" s="297"/>
      <c r="F1257" s="394"/>
      <c r="G1257" s="297"/>
      <c r="H1257" s="297"/>
      <c r="I1257" s="297"/>
      <c r="J1257" s="297"/>
      <c r="K1257" s="297"/>
      <c r="L1257" s="297"/>
      <c r="M1257" s="297"/>
      <c r="N1257" s="297"/>
      <c r="O1257" s="297"/>
      <c r="P1257"/>
      <c r="Q1257"/>
      <c r="R1257"/>
      <c r="S1257"/>
      <c r="T1257"/>
      <c r="U1257"/>
    </row>
    <row r="1258" spans="1:21" x14ac:dyDescent="0.2">
      <c r="A1258"/>
      <c r="B1258" s="399"/>
      <c r="C1258" s="297"/>
      <c r="D1258" s="394"/>
      <c r="E1258" s="297"/>
      <c r="F1258" s="394"/>
      <c r="G1258" s="297"/>
      <c r="H1258" s="297"/>
      <c r="I1258" s="297"/>
      <c r="J1258" s="297"/>
      <c r="K1258" s="297"/>
      <c r="L1258" s="297"/>
      <c r="M1258" s="297"/>
      <c r="N1258" s="297"/>
      <c r="O1258" s="297"/>
      <c r="P1258"/>
      <c r="Q1258"/>
      <c r="R1258"/>
      <c r="S1258"/>
      <c r="T1258"/>
      <c r="U1258"/>
    </row>
    <row r="1259" spans="1:21" x14ac:dyDescent="0.2">
      <c r="A1259"/>
      <c r="B1259" s="399"/>
      <c r="C1259" s="297"/>
      <c r="D1259" s="394"/>
      <c r="E1259" s="297"/>
      <c r="F1259" s="394"/>
      <c r="G1259" s="297"/>
      <c r="H1259" s="297"/>
      <c r="I1259" s="297"/>
      <c r="J1259" s="297"/>
      <c r="K1259" s="297"/>
      <c r="L1259" s="297"/>
      <c r="M1259" s="297"/>
      <c r="N1259" s="297"/>
      <c r="O1259" s="297"/>
      <c r="P1259"/>
      <c r="Q1259"/>
      <c r="R1259"/>
      <c r="S1259"/>
      <c r="T1259"/>
      <c r="U1259"/>
    </row>
    <row r="1260" spans="1:21" x14ac:dyDescent="0.2">
      <c r="A1260"/>
      <c r="B1260" s="399"/>
      <c r="C1260" s="297"/>
      <c r="D1260" s="394"/>
      <c r="E1260" s="297"/>
      <c r="F1260" s="394"/>
      <c r="G1260" s="297"/>
      <c r="H1260" s="297"/>
      <c r="I1260" s="297"/>
      <c r="J1260" s="297"/>
      <c r="K1260" s="297"/>
      <c r="L1260" s="297"/>
      <c r="M1260" s="297"/>
      <c r="N1260" s="297"/>
      <c r="O1260" s="297"/>
      <c r="P1260"/>
      <c r="Q1260"/>
      <c r="R1260"/>
      <c r="S1260"/>
      <c r="T1260"/>
      <c r="U1260"/>
    </row>
    <row r="1261" spans="1:21" x14ac:dyDescent="0.2">
      <c r="A1261"/>
      <c r="B1261" s="399"/>
      <c r="C1261" s="297"/>
      <c r="D1261" s="394"/>
      <c r="E1261" s="297"/>
      <c r="F1261" s="394"/>
      <c r="G1261" s="297"/>
      <c r="H1261" s="297"/>
      <c r="I1261" s="297"/>
      <c r="J1261" s="297"/>
      <c r="K1261" s="297"/>
      <c r="L1261" s="297"/>
      <c r="M1261" s="297"/>
      <c r="N1261" s="297"/>
      <c r="O1261" s="297"/>
      <c r="P1261"/>
      <c r="Q1261"/>
      <c r="R1261"/>
      <c r="S1261"/>
      <c r="T1261"/>
      <c r="U1261"/>
    </row>
    <row r="1262" spans="1:21" x14ac:dyDescent="0.2">
      <c r="A1262"/>
      <c r="B1262" s="399"/>
      <c r="C1262" s="297"/>
      <c r="D1262" s="394"/>
      <c r="E1262" s="297"/>
      <c r="F1262" s="394"/>
      <c r="G1262" s="297"/>
      <c r="H1262" s="297"/>
      <c r="I1262" s="297"/>
      <c r="J1262" s="297"/>
      <c r="K1262" s="297"/>
      <c r="L1262" s="297"/>
      <c r="M1262" s="297"/>
      <c r="N1262" s="297"/>
      <c r="O1262" s="297"/>
      <c r="P1262"/>
      <c r="Q1262"/>
      <c r="R1262"/>
      <c r="S1262"/>
      <c r="T1262"/>
      <c r="U1262"/>
    </row>
    <row r="1263" spans="1:21" x14ac:dyDescent="0.2">
      <c r="A1263"/>
      <c r="B1263" s="399"/>
      <c r="C1263" s="297"/>
      <c r="D1263" s="394"/>
      <c r="E1263" s="297"/>
      <c r="F1263" s="394"/>
      <c r="G1263" s="297"/>
      <c r="H1263" s="297"/>
      <c r="I1263" s="297"/>
      <c r="J1263" s="297"/>
      <c r="K1263" s="297"/>
      <c r="L1263" s="297"/>
      <c r="M1263" s="297"/>
      <c r="N1263" s="297"/>
      <c r="O1263" s="297"/>
      <c r="P1263"/>
      <c r="Q1263"/>
      <c r="R1263"/>
      <c r="S1263"/>
      <c r="T1263"/>
      <c r="U1263"/>
    </row>
    <row r="1264" spans="1:21" x14ac:dyDescent="0.2">
      <c r="A1264"/>
      <c r="B1264" s="399"/>
      <c r="C1264" s="297"/>
      <c r="D1264" s="394"/>
      <c r="E1264" s="297"/>
      <c r="F1264" s="394"/>
      <c r="G1264" s="297"/>
      <c r="H1264" s="297"/>
      <c r="I1264" s="297"/>
      <c r="J1264" s="297"/>
      <c r="K1264" s="297"/>
      <c r="L1264" s="297"/>
      <c r="M1264" s="297"/>
      <c r="N1264" s="297"/>
      <c r="O1264" s="297"/>
      <c r="P1264"/>
      <c r="Q1264"/>
      <c r="R1264"/>
      <c r="S1264"/>
      <c r="T1264"/>
      <c r="U1264"/>
    </row>
    <row r="1265" spans="1:21" x14ac:dyDescent="0.2">
      <c r="A1265"/>
      <c r="B1265" s="399"/>
      <c r="C1265" s="297"/>
      <c r="D1265" s="394"/>
      <c r="E1265" s="297"/>
      <c r="F1265" s="394"/>
      <c r="G1265" s="297"/>
      <c r="H1265" s="297"/>
      <c r="I1265" s="297"/>
      <c r="J1265" s="297"/>
      <c r="K1265" s="297"/>
      <c r="L1265" s="297"/>
      <c r="M1265" s="297"/>
      <c r="N1265" s="297"/>
      <c r="O1265" s="297"/>
      <c r="P1265"/>
      <c r="Q1265"/>
      <c r="R1265"/>
      <c r="S1265"/>
      <c r="T1265"/>
      <c r="U1265"/>
    </row>
    <row r="1266" spans="1:21" x14ac:dyDescent="0.2">
      <c r="A1266"/>
      <c r="B1266" s="399"/>
      <c r="C1266" s="297"/>
      <c r="D1266" s="394"/>
      <c r="E1266" s="297"/>
      <c r="F1266" s="394"/>
      <c r="G1266" s="297"/>
      <c r="H1266" s="297"/>
      <c r="I1266" s="297"/>
      <c r="J1266" s="297"/>
      <c r="K1266" s="297"/>
      <c r="L1266" s="297"/>
      <c r="M1266" s="297"/>
      <c r="N1266" s="297"/>
      <c r="O1266" s="297"/>
      <c r="P1266"/>
      <c r="Q1266"/>
      <c r="R1266"/>
      <c r="S1266"/>
      <c r="T1266"/>
      <c r="U1266"/>
    </row>
    <row r="1267" spans="1:21" x14ac:dyDescent="0.2">
      <c r="A1267"/>
      <c r="B1267" s="399"/>
      <c r="C1267" s="297"/>
      <c r="D1267" s="394"/>
      <c r="E1267" s="297"/>
      <c r="F1267" s="394"/>
      <c r="G1267" s="297"/>
      <c r="H1267" s="297"/>
      <c r="I1267" s="297"/>
      <c r="J1267" s="297"/>
      <c r="K1267" s="297"/>
      <c r="L1267" s="297"/>
      <c r="M1267" s="297"/>
      <c r="N1267" s="297"/>
      <c r="O1267" s="297"/>
      <c r="P1267"/>
      <c r="Q1267"/>
      <c r="R1267"/>
      <c r="S1267"/>
      <c r="T1267"/>
      <c r="U1267"/>
    </row>
    <row r="1268" spans="1:21" x14ac:dyDescent="0.2">
      <c r="A1268"/>
      <c r="B1268" s="399"/>
      <c r="C1268" s="297"/>
      <c r="D1268" s="394"/>
      <c r="E1268" s="297"/>
      <c r="F1268" s="394"/>
      <c r="G1268" s="297"/>
      <c r="H1268" s="297"/>
      <c r="I1268" s="297"/>
      <c r="J1268" s="297"/>
      <c r="K1268" s="297"/>
      <c r="L1268" s="297"/>
      <c r="M1268" s="297"/>
      <c r="N1268" s="297"/>
      <c r="O1268" s="297"/>
      <c r="P1268"/>
      <c r="Q1268"/>
      <c r="R1268"/>
      <c r="S1268"/>
      <c r="T1268"/>
      <c r="U1268"/>
    </row>
    <row r="1269" spans="1:21" x14ac:dyDescent="0.2">
      <c r="A1269"/>
      <c r="B1269" s="399"/>
      <c r="C1269" s="297"/>
      <c r="D1269" s="394"/>
      <c r="E1269" s="297"/>
      <c r="F1269" s="394"/>
      <c r="G1269" s="297"/>
      <c r="H1269" s="297"/>
      <c r="I1269" s="297"/>
      <c r="J1269" s="297"/>
      <c r="K1269" s="297"/>
      <c r="L1269" s="297"/>
      <c r="M1269" s="297"/>
      <c r="N1269" s="297"/>
      <c r="O1269" s="297"/>
      <c r="P1269"/>
      <c r="Q1269"/>
      <c r="R1269"/>
      <c r="S1269"/>
      <c r="T1269"/>
      <c r="U1269"/>
    </row>
    <row r="1270" spans="1:21" x14ac:dyDescent="0.2">
      <c r="A1270"/>
      <c r="B1270" s="399"/>
      <c r="C1270" s="297"/>
      <c r="D1270" s="394"/>
      <c r="E1270" s="297"/>
      <c r="F1270" s="394"/>
      <c r="G1270" s="297"/>
      <c r="H1270" s="297"/>
      <c r="I1270" s="297"/>
      <c r="J1270" s="297"/>
      <c r="K1270" s="297"/>
      <c r="L1270" s="297"/>
      <c r="M1270" s="297"/>
      <c r="N1270" s="297"/>
      <c r="O1270" s="297"/>
      <c r="P1270"/>
      <c r="Q1270"/>
      <c r="R1270"/>
      <c r="S1270"/>
      <c r="T1270"/>
      <c r="U1270"/>
    </row>
    <row r="1271" spans="1:21" x14ac:dyDescent="0.2">
      <c r="A1271"/>
      <c r="B1271" s="399"/>
      <c r="C1271" s="297"/>
      <c r="D1271" s="394"/>
      <c r="E1271" s="297"/>
      <c r="F1271" s="394"/>
      <c r="G1271" s="297"/>
      <c r="H1271" s="297"/>
      <c r="I1271" s="297"/>
      <c r="J1271" s="297"/>
      <c r="K1271" s="297"/>
      <c r="L1271" s="297"/>
      <c r="M1271" s="297"/>
      <c r="N1271" s="297"/>
      <c r="O1271" s="297"/>
      <c r="P1271"/>
      <c r="Q1271"/>
      <c r="R1271"/>
      <c r="S1271"/>
      <c r="T1271"/>
      <c r="U1271"/>
    </row>
    <row r="1272" spans="1:21" x14ac:dyDescent="0.2">
      <c r="A1272"/>
      <c r="B1272" s="399"/>
      <c r="C1272" s="297"/>
      <c r="D1272" s="394"/>
      <c r="E1272" s="297"/>
      <c r="F1272" s="394"/>
      <c r="G1272" s="297"/>
      <c r="H1272" s="297"/>
      <c r="I1272" s="297"/>
      <c r="J1272" s="297"/>
      <c r="K1272" s="297"/>
      <c r="L1272" s="297"/>
      <c r="M1272" s="297"/>
      <c r="N1272" s="297"/>
      <c r="O1272" s="297"/>
      <c r="P1272"/>
      <c r="Q1272"/>
      <c r="R1272"/>
      <c r="S1272"/>
      <c r="T1272"/>
      <c r="U1272"/>
    </row>
    <row r="1273" spans="1:21" x14ac:dyDescent="0.2">
      <c r="A1273"/>
      <c r="B1273" s="399"/>
      <c r="C1273" s="297"/>
      <c r="D1273" s="394"/>
      <c r="E1273" s="297"/>
      <c r="F1273" s="394"/>
      <c r="G1273" s="297"/>
      <c r="H1273" s="297"/>
      <c r="I1273" s="297"/>
      <c r="J1273" s="297"/>
      <c r="K1273" s="297"/>
      <c r="L1273" s="297"/>
      <c r="M1273" s="297"/>
      <c r="N1273" s="297"/>
      <c r="O1273" s="297"/>
      <c r="P1273"/>
      <c r="Q1273"/>
      <c r="R1273"/>
      <c r="S1273"/>
      <c r="T1273"/>
      <c r="U1273"/>
    </row>
    <row r="1274" spans="1:21" x14ac:dyDescent="0.2">
      <c r="A1274"/>
      <c r="B1274" s="399"/>
      <c r="C1274" s="297"/>
      <c r="D1274" s="394"/>
      <c r="E1274" s="297"/>
      <c r="F1274" s="394"/>
      <c r="G1274" s="297"/>
      <c r="H1274" s="297"/>
      <c r="I1274" s="297"/>
      <c r="J1274" s="297"/>
      <c r="K1274" s="297"/>
      <c r="L1274" s="297"/>
      <c r="M1274" s="297"/>
      <c r="N1274" s="297"/>
      <c r="O1274" s="297"/>
      <c r="P1274"/>
      <c r="Q1274"/>
      <c r="R1274"/>
      <c r="S1274"/>
      <c r="T1274"/>
      <c r="U1274"/>
    </row>
    <row r="1275" spans="1:21" x14ac:dyDescent="0.2">
      <c r="A1275"/>
      <c r="B1275" s="399"/>
      <c r="C1275" s="297"/>
      <c r="D1275" s="394"/>
      <c r="E1275" s="297"/>
      <c r="F1275" s="394"/>
      <c r="G1275" s="297"/>
      <c r="H1275" s="297"/>
      <c r="I1275" s="297"/>
      <c r="J1275" s="297"/>
      <c r="K1275" s="297"/>
      <c r="L1275" s="297"/>
      <c r="M1275" s="297"/>
      <c r="N1275" s="297"/>
      <c r="O1275" s="297"/>
      <c r="P1275"/>
      <c r="Q1275"/>
      <c r="R1275"/>
      <c r="S1275"/>
      <c r="T1275"/>
      <c r="U1275"/>
    </row>
    <row r="1276" spans="1:21" x14ac:dyDescent="0.2">
      <c r="A1276"/>
      <c r="B1276" s="399"/>
      <c r="C1276" s="297"/>
      <c r="D1276" s="394"/>
      <c r="E1276" s="297"/>
      <c r="F1276" s="394"/>
      <c r="G1276" s="297"/>
      <c r="H1276" s="297"/>
      <c r="I1276" s="297"/>
      <c r="J1276" s="297"/>
      <c r="K1276" s="297"/>
      <c r="L1276" s="297"/>
      <c r="M1276" s="297"/>
      <c r="N1276" s="297"/>
      <c r="O1276" s="297"/>
      <c r="P1276"/>
      <c r="Q1276"/>
      <c r="R1276"/>
      <c r="S1276"/>
      <c r="T1276"/>
      <c r="U1276"/>
    </row>
    <row r="1277" spans="1:21" x14ac:dyDescent="0.2">
      <c r="A1277"/>
      <c r="B1277" s="399"/>
      <c r="C1277" s="297"/>
      <c r="D1277" s="394"/>
      <c r="E1277" s="297"/>
      <c r="F1277" s="394"/>
      <c r="G1277" s="297"/>
      <c r="H1277" s="297"/>
      <c r="I1277" s="297"/>
      <c r="J1277" s="297"/>
      <c r="K1277" s="297"/>
      <c r="L1277" s="297"/>
      <c r="M1277" s="297"/>
      <c r="N1277" s="297"/>
      <c r="O1277" s="297"/>
      <c r="P1277"/>
      <c r="Q1277"/>
      <c r="R1277"/>
      <c r="S1277"/>
      <c r="T1277"/>
      <c r="U1277"/>
    </row>
    <row r="1278" spans="1:21" x14ac:dyDescent="0.2">
      <c r="A1278"/>
      <c r="B1278" s="399"/>
      <c r="C1278" s="297"/>
      <c r="D1278" s="394"/>
      <c r="E1278" s="297"/>
      <c r="F1278" s="394"/>
      <c r="G1278" s="297"/>
      <c r="H1278" s="297"/>
      <c r="I1278" s="297"/>
      <c r="J1278" s="297"/>
      <c r="K1278" s="297"/>
      <c r="L1278" s="297"/>
      <c r="M1278" s="297"/>
      <c r="N1278" s="297"/>
      <c r="O1278" s="297"/>
      <c r="P1278"/>
      <c r="Q1278"/>
      <c r="R1278"/>
      <c r="S1278"/>
      <c r="T1278"/>
      <c r="U1278"/>
    </row>
    <row r="1279" spans="1:21" x14ac:dyDescent="0.2">
      <c r="A1279"/>
      <c r="B1279" s="399"/>
      <c r="C1279" s="297"/>
      <c r="D1279" s="394"/>
      <c r="E1279" s="297"/>
      <c r="F1279" s="394"/>
      <c r="G1279" s="297"/>
      <c r="H1279" s="297"/>
      <c r="I1279" s="297"/>
      <c r="J1279" s="297"/>
      <c r="K1279" s="297"/>
      <c r="L1279" s="297"/>
      <c r="M1279" s="297"/>
      <c r="N1279" s="297"/>
      <c r="O1279" s="297"/>
      <c r="P1279"/>
      <c r="Q1279"/>
      <c r="R1279"/>
      <c r="S1279"/>
      <c r="T1279"/>
      <c r="U1279"/>
    </row>
    <row r="1280" spans="1:21" x14ac:dyDescent="0.2">
      <c r="A1280"/>
      <c r="B1280" s="399"/>
      <c r="C1280" s="297"/>
      <c r="D1280" s="394"/>
      <c r="E1280" s="297"/>
      <c r="F1280" s="394"/>
      <c r="G1280" s="297"/>
      <c r="H1280" s="297"/>
      <c r="I1280" s="297"/>
      <c r="J1280" s="297"/>
      <c r="K1280" s="297"/>
      <c r="L1280" s="297"/>
      <c r="M1280" s="297"/>
      <c r="N1280" s="297"/>
      <c r="O1280" s="297"/>
      <c r="P1280"/>
      <c r="Q1280"/>
      <c r="R1280"/>
      <c r="S1280"/>
      <c r="T1280"/>
      <c r="U1280"/>
    </row>
    <row r="1281" spans="1:21" x14ac:dyDescent="0.2">
      <c r="A1281"/>
      <c r="B1281" s="399"/>
      <c r="C1281" s="297"/>
      <c r="D1281" s="394"/>
      <c r="E1281" s="297"/>
      <c r="F1281" s="394"/>
      <c r="G1281" s="297"/>
      <c r="H1281" s="297"/>
      <c r="I1281" s="297"/>
      <c r="J1281" s="297"/>
      <c r="K1281" s="297"/>
      <c r="L1281" s="297"/>
      <c r="M1281" s="297"/>
      <c r="N1281" s="297"/>
      <c r="O1281" s="297"/>
      <c r="P1281"/>
      <c r="Q1281"/>
      <c r="R1281"/>
      <c r="S1281"/>
      <c r="T1281"/>
      <c r="U1281"/>
    </row>
    <row r="1282" spans="1:21" x14ac:dyDescent="0.2">
      <c r="A1282"/>
      <c r="B1282" s="399"/>
      <c r="C1282" s="297"/>
      <c r="D1282" s="394"/>
      <c r="E1282" s="297"/>
      <c r="F1282" s="394"/>
      <c r="G1282" s="297"/>
      <c r="H1282" s="297"/>
      <c r="I1282" s="297"/>
      <c r="J1282" s="297"/>
      <c r="K1282" s="297"/>
      <c r="L1282" s="297"/>
      <c r="M1282" s="297"/>
      <c r="N1282" s="297"/>
      <c r="O1282" s="297"/>
      <c r="P1282"/>
      <c r="Q1282"/>
      <c r="R1282"/>
      <c r="S1282"/>
      <c r="T1282"/>
      <c r="U1282"/>
    </row>
    <row r="1283" spans="1:21" x14ac:dyDescent="0.2">
      <c r="A1283"/>
      <c r="B1283" s="399"/>
      <c r="C1283" s="297"/>
      <c r="D1283" s="394"/>
      <c r="E1283" s="297"/>
      <c r="F1283" s="394"/>
      <c r="G1283" s="297"/>
      <c r="H1283" s="297"/>
      <c r="I1283" s="297"/>
      <c r="J1283" s="297"/>
      <c r="K1283" s="297"/>
      <c r="L1283" s="297"/>
      <c r="M1283" s="297"/>
      <c r="N1283" s="297"/>
      <c r="O1283" s="297"/>
      <c r="P1283"/>
      <c r="Q1283"/>
      <c r="R1283"/>
      <c r="S1283"/>
      <c r="T1283"/>
      <c r="U1283"/>
    </row>
    <row r="1284" spans="1:21" x14ac:dyDescent="0.2">
      <c r="A1284"/>
      <c r="B1284" s="399"/>
      <c r="C1284" s="297"/>
      <c r="D1284" s="394"/>
      <c r="E1284" s="297"/>
      <c r="F1284" s="394"/>
      <c r="G1284" s="297"/>
      <c r="H1284" s="297"/>
      <c r="I1284" s="297"/>
      <c r="J1284" s="297"/>
      <c r="K1284" s="297"/>
      <c r="L1284" s="297"/>
      <c r="M1284" s="297"/>
      <c r="N1284" s="297"/>
      <c r="O1284" s="297"/>
      <c r="P1284"/>
      <c r="Q1284"/>
      <c r="R1284"/>
      <c r="S1284"/>
      <c r="T1284"/>
      <c r="U1284"/>
    </row>
    <row r="1285" spans="1:21" x14ac:dyDescent="0.2">
      <c r="A1285"/>
      <c r="B1285" s="399"/>
      <c r="C1285" s="297"/>
      <c r="D1285" s="394"/>
      <c r="E1285" s="297"/>
      <c r="F1285" s="394"/>
      <c r="G1285" s="297"/>
      <c r="H1285" s="297"/>
      <c r="I1285" s="297"/>
      <c r="J1285" s="297"/>
      <c r="K1285" s="297"/>
      <c r="L1285" s="297"/>
      <c r="M1285" s="297"/>
      <c r="N1285" s="297"/>
      <c r="O1285" s="297"/>
      <c r="P1285"/>
      <c r="Q1285"/>
      <c r="R1285"/>
      <c r="S1285"/>
      <c r="T1285"/>
      <c r="U1285"/>
    </row>
    <row r="1286" spans="1:21" x14ac:dyDescent="0.2">
      <c r="A1286"/>
      <c r="B1286" s="399"/>
      <c r="C1286" s="297"/>
      <c r="D1286" s="394"/>
      <c r="E1286" s="297"/>
      <c r="F1286" s="394"/>
      <c r="G1286" s="297"/>
      <c r="H1286" s="297"/>
      <c r="I1286" s="297"/>
      <c r="J1286" s="297"/>
      <c r="K1286" s="297"/>
      <c r="L1286" s="297"/>
      <c r="M1286" s="297"/>
      <c r="N1286" s="297"/>
      <c r="O1286" s="297"/>
      <c r="P1286"/>
      <c r="Q1286"/>
      <c r="R1286"/>
      <c r="S1286"/>
      <c r="T1286"/>
      <c r="U1286"/>
    </row>
    <row r="1287" spans="1:21" x14ac:dyDescent="0.2">
      <c r="A1287"/>
      <c r="B1287" s="399"/>
      <c r="C1287" s="297"/>
      <c r="D1287" s="394"/>
      <c r="E1287" s="297"/>
      <c r="F1287" s="394"/>
      <c r="G1287" s="297"/>
      <c r="H1287" s="297"/>
      <c r="I1287" s="297"/>
      <c r="J1287" s="297"/>
      <c r="K1287" s="297"/>
      <c r="L1287" s="297"/>
      <c r="M1287" s="297"/>
      <c r="N1287" s="297"/>
      <c r="O1287" s="297"/>
      <c r="P1287"/>
      <c r="Q1287"/>
      <c r="R1287"/>
      <c r="S1287"/>
      <c r="T1287"/>
      <c r="U1287"/>
    </row>
    <row r="1288" spans="1:21" x14ac:dyDescent="0.2">
      <c r="A1288"/>
      <c r="B1288" s="399"/>
      <c r="C1288" s="297"/>
      <c r="D1288" s="394"/>
      <c r="E1288" s="297"/>
      <c r="F1288" s="394"/>
      <c r="G1288" s="297"/>
      <c r="H1288" s="297"/>
      <c r="I1288" s="297"/>
      <c r="J1288" s="297"/>
      <c r="K1288" s="297"/>
      <c r="L1288" s="297"/>
      <c r="M1288" s="297"/>
      <c r="N1288" s="297"/>
      <c r="O1288" s="297"/>
      <c r="P1288"/>
      <c r="Q1288"/>
      <c r="R1288"/>
      <c r="S1288"/>
      <c r="T1288"/>
      <c r="U1288"/>
    </row>
    <row r="1289" spans="1:21" x14ac:dyDescent="0.2">
      <c r="A1289"/>
      <c r="B1289" s="399"/>
      <c r="C1289" s="297"/>
      <c r="D1289" s="394"/>
      <c r="E1289" s="297"/>
      <c r="F1289" s="394"/>
      <c r="G1289" s="297"/>
      <c r="H1289" s="297"/>
      <c r="I1289" s="297"/>
      <c r="J1289" s="297"/>
      <c r="K1289" s="297"/>
      <c r="L1289" s="297"/>
      <c r="M1289" s="297"/>
      <c r="N1289" s="297"/>
      <c r="O1289" s="297"/>
      <c r="P1289"/>
      <c r="Q1289"/>
      <c r="R1289"/>
      <c r="S1289"/>
      <c r="T1289"/>
      <c r="U1289"/>
    </row>
    <row r="1290" spans="1:21" x14ac:dyDescent="0.2">
      <c r="A1290"/>
      <c r="B1290" s="399"/>
      <c r="C1290" s="297"/>
      <c r="D1290" s="394"/>
      <c r="E1290" s="297"/>
      <c r="F1290" s="394"/>
      <c r="G1290" s="297"/>
      <c r="H1290" s="297"/>
      <c r="I1290" s="297"/>
      <c r="J1290" s="297"/>
      <c r="K1290" s="297"/>
      <c r="L1290" s="297"/>
      <c r="M1290" s="297"/>
      <c r="N1290" s="297"/>
      <c r="O1290" s="297"/>
      <c r="P1290"/>
      <c r="Q1290"/>
      <c r="R1290"/>
      <c r="S1290"/>
      <c r="T1290"/>
      <c r="U1290"/>
    </row>
    <row r="1291" spans="1:21" x14ac:dyDescent="0.2">
      <c r="A1291"/>
      <c r="B1291" s="399"/>
      <c r="C1291" s="297"/>
      <c r="D1291" s="394"/>
      <c r="E1291" s="297"/>
      <c r="F1291" s="394"/>
      <c r="G1291" s="297"/>
      <c r="H1291" s="297"/>
      <c r="I1291" s="297"/>
      <c r="J1291" s="297"/>
      <c r="K1291" s="297"/>
      <c r="L1291" s="297"/>
      <c r="M1291" s="297"/>
      <c r="N1291" s="297"/>
      <c r="O1291" s="297"/>
      <c r="P1291"/>
      <c r="Q1291"/>
      <c r="R1291"/>
      <c r="S1291"/>
      <c r="T1291"/>
      <c r="U1291"/>
    </row>
    <row r="1292" spans="1:21" x14ac:dyDescent="0.2">
      <c r="A1292"/>
      <c r="B1292" s="399"/>
      <c r="C1292" s="297"/>
      <c r="D1292" s="394"/>
      <c r="E1292" s="297"/>
      <c r="F1292" s="394"/>
      <c r="G1292" s="297"/>
      <c r="H1292" s="297"/>
      <c r="I1292" s="297"/>
      <c r="J1292" s="297"/>
      <c r="K1292" s="297"/>
      <c r="L1292" s="297"/>
      <c r="M1292" s="297"/>
      <c r="N1292" s="297"/>
      <c r="O1292" s="297"/>
      <c r="P1292"/>
      <c r="Q1292"/>
      <c r="R1292"/>
      <c r="S1292"/>
      <c r="T1292"/>
      <c r="U1292"/>
    </row>
    <row r="1293" spans="1:21" x14ac:dyDescent="0.2">
      <c r="A1293"/>
      <c r="B1293" s="399"/>
      <c r="C1293" s="297"/>
      <c r="D1293" s="394"/>
      <c r="E1293" s="297"/>
      <c r="F1293" s="394"/>
      <c r="G1293" s="297"/>
      <c r="H1293" s="297"/>
      <c r="I1293" s="297"/>
      <c r="J1293" s="297"/>
      <c r="K1293" s="297"/>
      <c r="L1293" s="297"/>
      <c r="M1293" s="297"/>
      <c r="N1293" s="297"/>
      <c r="O1293" s="297"/>
      <c r="P1293"/>
      <c r="Q1293"/>
      <c r="R1293"/>
      <c r="S1293"/>
      <c r="T1293"/>
      <c r="U1293"/>
    </row>
    <row r="1294" spans="1:21" x14ac:dyDescent="0.2">
      <c r="A1294"/>
      <c r="B1294" s="399"/>
      <c r="C1294" s="297"/>
      <c r="D1294" s="394"/>
      <c r="E1294" s="297"/>
      <c r="F1294" s="394"/>
      <c r="G1294" s="297"/>
      <c r="H1294" s="297"/>
      <c r="I1294" s="297"/>
      <c r="J1294" s="297"/>
      <c r="K1294" s="297"/>
      <c r="L1294" s="297"/>
      <c r="M1294" s="297"/>
      <c r="N1294" s="297"/>
      <c r="O1294" s="297"/>
      <c r="P1294"/>
      <c r="Q1294"/>
      <c r="R1294"/>
      <c r="S1294"/>
      <c r="T1294"/>
      <c r="U1294"/>
    </row>
    <row r="1295" spans="1:21" x14ac:dyDescent="0.2">
      <c r="A1295"/>
      <c r="B1295" s="399"/>
      <c r="C1295" s="297"/>
      <c r="D1295" s="394"/>
      <c r="E1295" s="297"/>
      <c r="F1295" s="394"/>
      <c r="G1295" s="297"/>
      <c r="H1295" s="297"/>
      <c r="I1295" s="297"/>
      <c r="J1295" s="297"/>
      <c r="K1295" s="297"/>
      <c r="L1295" s="297"/>
      <c r="M1295" s="297"/>
      <c r="N1295" s="297"/>
      <c r="O1295" s="297"/>
      <c r="P1295"/>
      <c r="Q1295"/>
      <c r="R1295"/>
      <c r="S1295"/>
      <c r="T1295"/>
      <c r="U1295"/>
    </row>
    <row r="1296" spans="1:21" x14ac:dyDescent="0.2">
      <c r="A1296"/>
      <c r="B1296" s="399"/>
      <c r="C1296" s="297"/>
      <c r="D1296" s="394"/>
      <c r="E1296" s="297"/>
      <c r="F1296" s="394"/>
      <c r="G1296" s="297"/>
      <c r="H1296" s="297"/>
      <c r="I1296" s="297"/>
      <c r="J1296" s="297"/>
      <c r="K1296" s="297"/>
      <c r="L1296" s="297"/>
      <c r="M1296" s="297"/>
      <c r="N1296" s="297"/>
      <c r="O1296" s="297"/>
      <c r="P1296"/>
      <c r="Q1296"/>
      <c r="R1296"/>
      <c r="S1296"/>
      <c r="T1296"/>
      <c r="U1296"/>
    </row>
    <row r="1297" spans="1:21" x14ac:dyDescent="0.2">
      <c r="A1297"/>
      <c r="B1297" s="399"/>
      <c r="C1297" s="297"/>
      <c r="D1297" s="394"/>
      <c r="E1297" s="297"/>
      <c r="F1297" s="394"/>
      <c r="G1297" s="297"/>
      <c r="H1297" s="297"/>
      <c r="I1297" s="297"/>
      <c r="J1297" s="297"/>
      <c r="K1297" s="297"/>
      <c r="L1297" s="297"/>
      <c r="M1297" s="297"/>
      <c r="N1297" s="297"/>
      <c r="O1297" s="297"/>
      <c r="P1297"/>
      <c r="Q1297"/>
      <c r="R1297"/>
      <c r="S1297"/>
      <c r="T1297"/>
      <c r="U1297"/>
    </row>
    <row r="1298" spans="1:21" x14ac:dyDescent="0.2">
      <c r="A1298"/>
      <c r="B1298" s="399"/>
      <c r="C1298" s="297"/>
      <c r="D1298" s="394"/>
      <c r="E1298" s="297"/>
      <c r="F1298" s="394"/>
      <c r="G1298" s="297"/>
      <c r="H1298" s="297"/>
      <c r="I1298" s="297"/>
      <c r="J1298" s="297"/>
      <c r="K1298" s="297"/>
      <c r="L1298" s="297"/>
      <c r="M1298" s="297"/>
      <c r="N1298" s="297"/>
      <c r="O1298" s="297"/>
      <c r="P1298"/>
      <c r="Q1298"/>
      <c r="R1298"/>
      <c r="S1298"/>
      <c r="T1298"/>
      <c r="U1298"/>
    </row>
    <row r="1299" spans="1:21" x14ac:dyDescent="0.2">
      <c r="A1299"/>
      <c r="B1299" s="399"/>
      <c r="C1299" s="297"/>
      <c r="D1299" s="394"/>
      <c r="E1299" s="297"/>
      <c r="F1299" s="394"/>
      <c r="G1299" s="297"/>
      <c r="H1299" s="297"/>
      <c r="I1299" s="297"/>
      <c r="J1299" s="297"/>
      <c r="K1299" s="297"/>
      <c r="L1299" s="297"/>
      <c r="M1299" s="297"/>
      <c r="N1299" s="297"/>
      <c r="O1299" s="297"/>
      <c r="P1299"/>
      <c r="Q1299"/>
      <c r="R1299"/>
      <c r="S1299"/>
      <c r="T1299"/>
      <c r="U1299"/>
    </row>
    <row r="1300" spans="1:21" x14ac:dyDescent="0.2">
      <c r="A1300"/>
      <c r="B1300" s="399"/>
      <c r="C1300" s="297"/>
      <c r="D1300" s="394"/>
      <c r="E1300" s="297"/>
      <c r="F1300" s="394"/>
      <c r="G1300" s="297"/>
      <c r="H1300" s="297"/>
      <c r="I1300" s="297"/>
      <c r="J1300" s="297"/>
      <c r="K1300" s="297"/>
      <c r="L1300" s="297"/>
      <c r="M1300" s="297"/>
      <c r="N1300" s="297"/>
      <c r="O1300" s="297"/>
      <c r="P1300"/>
      <c r="Q1300"/>
      <c r="R1300"/>
      <c r="S1300"/>
      <c r="T1300"/>
      <c r="U1300"/>
    </row>
    <row r="1301" spans="1:21" x14ac:dyDescent="0.2">
      <c r="A1301"/>
      <c r="B1301" s="399"/>
      <c r="C1301" s="297"/>
      <c r="D1301" s="394"/>
      <c r="E1301" s="297"/>
      <c r="F1301" s="394"/>
      <c r="G1301" s="297"/>
      <c r="H1301" s="297"/>
      <c r="I1301" s="297"/>
      <c r="J1301" s="297"/>
      <c r="K1301" s="297"/>
      <c r="L1301" s="297"/>
      <c r="M1301" s="297"/>
      <c r="N1301" s="297"/>
      <c r="O1301" s="297"/>
      <c r="P1301"/>
      <c r="Q1301"/>
      <c r="R1301"/>
      <c r="S1301"/>
      <c r="T1301"/>
      <c r="U1301"/>
    </row>
    <row r="1302" spans="1:21" x14ac:dyDescent="0.2">
      <c r="A1302"/>
      <c r="B1302" s="399"/>
      <c r="C1302" s="297"/>
      <c r="D1302" s="394"/>
      <c r="E1302" s="297"/>
      <c r="F1302" s="394"/>
      <c r="G1302" s="297"/>
      <c r="H1302" s="297"/>
      <c r="I1302" s="297"/>
      <c r="J1302" s="297"/>
      <c r="K1302" s="297"/>
      <c r="L1302" s="297"/>
      <c r="M1302" s="297"/>
      <c r="N1302" s="297"/>
      <c r="O1302" s="297"/>
      <c r="P1302"/>
      <c r="Q1302"/>
      <c r="R1302"/>
      <c r="S1302"/>
      <c r="T1302"/>
      <c r="U1302"/>
    </row>
    <row r="1303" spans="1:21" x14ac:dyDescent="0.2">
      <c r="A1303"/>
      <c r="B1303" s="399"/>
      <c r="C1303" s="297"/>
      <c r="D1303" s="394"/>
      <c r="E1303" s="297"/>
      <c r="F1303" s="394"/>
      <c r="G1303" s="297"/>
      <c r="H1303" s="297"/>
      <c r="I1303" s="297"/>
      <c r="J1303" s="297"/>
      <c r="K1303" s="297"/>
      <c r="L1303" s="297"/>
      <c r="M1303" s="297"/>
      <c r="N1303" s="297"/>
      <c r="O1303" s="297"/>
      <c r="P1303"/>
      <c r="Q1303"/>
      <c r="R1303"/>
      <c r="S1303"/>
      <c r="T1303"/>
      <c r="U1303"/>
    </row>
    <row r="1304" spans="1:21" x14ac:dyDescent="0.2">
      <c r="A1304"/>
      <c r="B1304" s="399"/>
      <c r="C1304" s="297"/>
      <c r="D1304" s="394"/>
      <c r="E1304" s="297"/>
      <c r="F1304" s="394"/>
      <c r="G1304" s="297"/>
      <c r="H1304" s="297"/>
      <c r="I1304" s="297"/>
      <c r="J1304" s="297"/>
      <c r="K1304" s="297"/>
      <c r="L1304" s="297"/>
      <c r="M1304" s="297"/>
      <c r="N1304" s="297"/>
      <c r="O1304" s="297"/>
      <c r="P1304"/>
      <c r="Q1304"/>
      <c r="R1304"/>
      <c r="S1304"/>
      <c r="T1304"/>
      <c r="U1304"/>
    </row>
    <row r="1305" spans="1:21" x14ac:dyDescent="0.2">
      <c r="A1305"/>
      <c r="B1305" s="399"/>
      <c r="C1305" s="297"/>
      <c r="D1305" s="394"/>
      <c r="E1305" s="297"/>
      <c r="F1305" s="394"/>
      <c r="G1305" s="297"/>
      <c r="H1305" s="297"/>
      <c r="I1305" s="297"/>
      <c r="J1305" s="297"/>
      <c r="K1305" s="297"/>
      <c r="L1305" s="297"/>
      <c r="M1305" s="297"/>
      <c r="N1305" s="297"/>
      <c r="O1305" s="297"/>
      <c r="P1305"/>
      <c r="Q1305"/>
      <c r="R1305"/>
      <c r="S1305"/>
      <c r="T1305"/>
      <c r="U1305"/>
    </row>
    <row r="1306" spans="1:21" x14ac:dyDescent="0.2">
      <c r="A1306"/>
      <c r="B1306" s="399"/>
      <c r="C1306" s="297"/>
      <c r="D1306" s="394"/>
      <c r="E1306" s="297"/>
      <c r="F1306" s="394"/>
      <c r="G1306" s="297"/>
      <c r="H1306" s="297"/>
      <c r="I1306" s="297"/>
      <c r="J1306" s="297"/>
      <c r="K1306" s="297"/>
      <c r="L1306" s="297"/>
      <c r="M1306" s="297"/>
      <c r="N1306" s="297"/>
      <c r="O1306" s="297"/>
      <c r="P1306"/>
      <c r="Q1306"/>
      <c r="R1306"/>
      <c r="S1306"/>
      <c r="T1306"/>
      <c r="U1306"/>
    </row>
    <row r="1307" spans="1:21" x14ac:dyDescent="0.2">
      <c r="A1307"/>
      <c r="B1307" s="399"/>
      <c r="C1307" s="297"/>
      <c r="D1307" s="394"/>
      <c r="E1307" s="297"/>
      <c r="F1307" s="394"/>
      <c r="G1307" s="297"/>
      <c r="H1307" s="297"/>
      <c r="I1307" s="297"/>
      <c r="J1307" s="297"/>
      <c r="K1307" s="297"/>
      <c r="L1307" s="297"/>
      <c r="M1307" s="297"/>
      <c r="N1307" s="297"/>
      <c r="O1307" s="297"/>
      <c r="P1307"/>
      <c r="Q1307"/>
      <c r="R1307"/>
      <c r="S1307"/>
      <c r="T1307"/>
      <c r="U1307"/>
    </row>
    <row r="1308" spans="1:21" x14ac:dyDescent="0.2">
      <c r="A1308"/>
      <c r="B1308" s="399"/>
      <c r="C1308" s="297"/>
      <c r="D1308" s="394"/>
      <c r="E1308" s="297"/>
      <c r="F1308" s="394"/>
      <c r="G1308" s="297"/>
      <c r="H1308" s="297"/>
      <c r="I1308" s="297"/>
      <c r="J1308" s="297"/>
      <c r="K1308" s="297"/>
      <c r="L1308" s="297"/>
      <c r="M1308" s="297"/>
      <c r="N1308" s="297"/>
      <c r="O1308" s="297"/>
      <c r="P1308"/>
      <c r="Q1308"/>
      <c r="R1308"/>
      <c r="S1308"/>
      <c r="T1308"/>
      <c r="U1308"/>
    </row>
    <row r="1309" spans="1:21" x14ac:dyDescent="0.2">
      <c r="A1309"/>
      <c r="B1309" s="399"/>
      <c r="C1309" s="297"/>
      <c r="D1309" s="394"/>
      <c r="E1309" s="297"/>
      <c r="F1309" s="394"/>
      <c r="G1309" s="297"/>
      <c r="H1309" s="297"/>
      <c r="I1309" s="297"/>
      <c r="J1309" s="297"/>
      <c r="K1309" s="297"/>
      <c r="L1309" s="297"/>
      <c r="M1309" s="297"/>
      <c r="N1309" s="297"/>
      <c r="O1309" s="297"/>
      <c r="P1309"/>
      <c r="Q1309"/>
      <c r="R1309"/>
      <c r="S1309"/>
      <c r="T1309"/>
      <c r="U1309"/>
    </row>
    <row r="1310" spans="1:21" x14ac:dyDescent="0.2">
      <c r="A1310"/>
      <c r="B1310" s="399"/>
      <c r="C1310" s="297"/>
      <c r="D1310" s="394"/>
      <c r="E1310" s="297"/>
      <c r="F1310" s="394"/>
      <c r="G1310" s="297"/>
      <c r="H1310" s="297"/>
      <c r="I1310" s="297"/>
      <c r="J1310" s="297"/>
      <c r="K1310" s="297"/>
      <c r="L1310" s="297"/>
      <c r="M1310" s="297"/>
      <c r="N1310" s="297"/>
      <c r="O1310" s="297"/>
      <c r="P1310"/>
      <c r="Q1310"/>
      <c r="R1310"/>
      <c r="S1310"/>
      <c r="T1310"/>
      <c r="U1310"/>
    </row>
    <row r="1311" spans="1:21" x14ac:dyDescent="0.2">
      <c r="A1311"/>
      <c r="B1311" s="399"/>
      <c r="C1311" s="297"/>
      <c r="D1311" s="394"/>
      <c r="E1311" s="297"/>
      <c r="F1311" s="394"/>
      <c r="G1311" s="297"/>
      <c r="H1311" s="297"/>
      <c r="I1311" s="297"/>
      <c r="J1311" s="297"/>
      <c r="K1311" s="297"/>
      <c r="L1311" s="297"/>
      <c r="M1311" s="297"/>
      <c r="N1311" s="297"/>
      <c r="O1311" s="297"/>
      <c r="P1311"/>
      <c r="Q1311"/>
      <c r="R1311"/>
      <c r="S1311"/>
      <c r="T1311"/>
      <c r="U1311"/>
    </row>
    <row r="1312" spans="1:21" x14ac:dyDescent="0.2">
      <c r="A1312"/>
      <c r="B1312" s="399"/>
      <c r="C1312" s="297"/>
      <c r="D1312" s="394"/>
      <c r="E1312" s="297"/>
      <c r="F1312" s="394"/>
      <c r="G1312" s="297"/>
      <c r="H1312" s="297"/>
      <c r="I1312" s="297"/>
      <c r="J1312" s="297"/>
      <c r="K1312" s="297"/>
      <c r="L1312" s="297"/>
      <c r="M1312" s="297"/>
      <c r="N1312" s="297"/>
      <c r="O1312" s="297"/>
      <c r="P1312"/>
      <c r="Q1312"/>
      <c r="R1312"/>
      <c r="S1312"/>
      <c r="T1312"/>
      <c r="U1312"/>
    </row>
    <row r="1313" spans="1:21" x14ac:dyDescent="0.2">
      <c r="A1313"/>
      <c r="B1313" s="399"/>
      <c r="C1313" s="297"/>
      <c r="D1313" s="394"/>
      <c r="E1313" s="297"/>
      <c r="F1313" s="394"/>
      <c r="G1313" s="297"/>
      <c r="H1313" s="297"/>
      <c r="I1313" s="297"/>
      <c r="J1313" s="297"/>
      <c r="K1313" s="297"/>
      <c r="L1313" s="297"/>
      <c r="M1313" s="297"/>
      <c r="N1313" s="297"/>
      <c r="O1313" s="297"/>
      <c r="P1313"/>
      <c r="Q1313"/>
      <c r="R1313"/>
      <c r="S1313"/>
      <c r="T1313"/>
      <c r="U1313"/>
    </row>
    <row r="1314" spans="1:21" x14ac:dyDescent="0.2">
      <c r="A1314"/>
      <c r="B1314" s="399"/>
      <c r="C1314" s="297"/>
      <c r="D1314" s="394"/>
      <c r="E1314" s="297"/>
      <c r="F1314" s="394"/>
      <c r="G1314" s="297"/>
      <c r="H1314" s="297"/>
      <c r="I1314" s="297"/>
      <c r="J1314" s="297"/>
      <c r="K1314" s="297"/>
      <c r="L1314" s="297"/>
      <c r="M1314" s="297"/>
      <c r="N1314" s="297"/>
      <c r="O1314" s="297"/>
      <c r="P1314"/>
      <c r="Q1314"/>
      <c r="R1314"/>
      <c r="S1314"/>
      <c r="T1314"/>
      <c r="U1314"/>
    </row>
    <row r="1315" spans="1:21" x14ac:dyDescent="0.2">
      <c r="A1315"/>
      <c r="B1315" s="399"/>
      <c r="C1315" s="297"/>
      <c r="D1315" s="394"/>
      <c r="E1315" s="297"/>
      <c r="F1315" s="394"/>
      <c r="G1315" s="297"/>
      <c r="H1315" s="297"/>
      <c r="I1315" s="297"/>
      <c r="J1315" s="297"/>
      <c r="K1315" s="297"/>
      <c r="L1315" s="297"/>
      <c r="M1315" s="297"/>
      <c r="N1315" s="297"/>
      <c r="O1315" s="297"/>
      <c r="P1315"/>
      <c r="Q1315"/>
      <c r="R1315"/>
      <c r="S1315"/>
      <c r="T1315"/>
      <c r="U1315"/>
    </row>
    <row r="1316" spans="1:21" x14ac:dyDescent="0.2">
      <c r="A1316"/>
      <c r="B1316" s="399"/>
      <c r="C1316" s="297"/>
      <c r="D1316" s="394"/>
      <c r="E1316" s="297"/>
      <c r="F1316" s="394"/>
      <c r="G1316" s="297"/>
      <c r="H1316" s="297"/>
      <c r="I1316" s="297"/>
      <c r="J1316" s="297"/>
      <c r="K1316" s="297"/>
      <c r="L1316" s="297"/>
      <c r="M1316" s="297"/>
      <c r="N1316" s="297"/>
      <c r="O1316" s="297"/>
      <c r="P1316"/>
      <c r="Q1316"/>
      <c r="R1316"/>
      <c r="S1316"/>
      <c r="T1316"/>
      <c r="U1316"/>
    </row>
    <row r="1317" spans="1:21" x14ac:dyDescent="0.2">
      <c r="A1317"/>
      <c r="B1317" s="399"/>
      <c r="C1317" s="297"/>
      <c r="D1317" s="394"/>
      <c r="E1317" s="297"/>
      <c r="F1317" s="394"/>
      <c r="G1317" s="297"/>
      <c r="H1317" s="297"/>
      <c r="I1317" s="297"/>
      <c r="J1317" s="297"/>
      <c r="K1317" s="297"/>
      <c r="L1317" s="297"/>
      <c r="M1317" s="297"/>
      <c r="N1317" s="297"/>
      <c r="O1317" s="297"/>
      <c r="P1317"/>
      <c r="Q1317"/>
      <c r="R1317"/>
      <c r="S1317"/>
      <c r="T1317"/>
      <c r="U1317"/>
    </row>
    <row r="1318" spans="1:21" x14ac:dyDescent="0.2">
      <c r="A1318"/>
      <c r="B1318" s="399"/>
      <c r="C1318" s="297"/>
      <c r="D1318" s="394"/>
      <c r="E1318" s="297"/>
      <c r="F1318" s="394"/>
      <c r="G1318" s="297"/>
      <c r="H1318" s="297"/>
      <c r="I1318" s="297"/>
      <c r="J1318" s="297"/>
      <c r="K1318" s="297"/>
      <c r="L1318" s="297"/>
      <c r="M1318" s="297"/>
      <c r="N1318" s="297"/>
      <c r="O1318" s="297"/>
      <c r="P1318"/>
      <c r="Q1318"/>
      <c r="R1318"/>
      <c r="S1318"/>
      <c r="T1318"/>
      <c r="U1318"/>
    </row>
    <row r="1319" spans="1:21" x14ac:dyDescent="0.2">
      <c r="A1319"/>
      <c r="B1319" s="399"/>
      <c r="C1319" s="297"/>
      <c r="D1319" s="394"/>
      <c r="E1319" s="297"/>
      <c r="F1319" s="394"/>
      <c r="G1319" s="297"/>
      <c r="H1319" s="297"/>
      <c r="I1319" s="297"/>
      <c r="J1319" s="297"/>
      <c r="K1319" s="297"/>
      <c r="L1319" s="297"/>
      <c r="M1319" s="297"/>
      <c r="N1319" s="297"/>
      <c r="O1319" s="297"/>
      <c r="P1319"/>
      <c r="Q1319"/>
      <c r="R1319"/>
      <c r="S1319"/>
      <c r="T1319"/>
      <c r="U1319"/>
    </row>
    <row r="1320" spans="1:21" x14ac:dyDescent="0.2">
      <c r="A1320"/>
      <c r="B1320" s="399"/>
      <c r="C1320" s="297"/>
      <c r="D1320" s="394"/>
      <c r="E1320" s="297"/>
      <c r="F1320" s="394"/>
      <c r="G1320" s="297"/>
      <c r="H1320" s="297"/>
      <c r="I1320" s="297"/>
      <c r="J1320" s="297"/>
      <c r="K1320" s="297"/>
      <c r="L1320" s="297"/>
      <c r="M1320" s="297"/>
      <c r="N1320" s="297"/>
      <c r="O1320" s="297"/>
      <c r="P1320"/>
      <c r="Q1320"/>
      <c r="R1320"/>
      <c r="S1320"/>
      <c r="T1320"/>
      <c r="U1320"/>
    </row>
    <row r="1321" spans="1:21" x14ac:dyDescent="0.2">
      <c r="A1321"/>
      <c r="B1321" s="399"/>
      <c r="C1321" s="297"/>
      <c r="D1321" s="394"/>
      <c r="E1321" s="297"/>
      <c r="F1321" s="394"/>
      <c r="G1321" s="297"/>
      <c r="H1321" s="297"/>
      <c r="I1321" s="297"/>
      <c r="J1321" s="297"/>
      <c r="K1321" s="297"/>
      <c r="L1321" s="297"/>
      <c r="M1321" s="297"/>
      <c r="N1321" s="297"/>
      <c r="O1321" s="297"/>
      <c r="P1321"/>
      <c r="Q1321"/>
      <c r="R1321"/>
      <c r="S1321"/>
      <c r="T1321"/>
      <c r="U1321"/>
    </row>
    <row r="1322" spans="1:21" x14ac:dyDescent="0.2">
      <c r="A1322"/>
      <c r="B1322" s="399"/>
      <c r="C1322" s="297"/>
      <c r="D1322" s="394"/>
      <c r="E1322" s="297"/>
      <c r="F1322" s="394"/>
      <c r="G1322" s="297"/>
      <c r="H1322" s="297"/>
      <c r="I1322" s="297"/>
      <c r="J1322" s="297"/>
      <c r="K1322" s="297"/>
      <c r="L1322" s="297"/>
      <c r="M1322" s="297"/>
      <c r="N1322" s="297"/>
      <c r="O1322" s="297"/>
      <c r="P1322"/>
      <c r="Q1322"/>
      <c r="R1322"/>
      <c r="S1322"/>
      <c r="T1322"/>
      <c r="U1322"/>
    </row>
    <row r="1323" spans="1:21" x14ac:dyDescent="0.2">
      <c r="A1323"/>
      <c r="B1323" s="399"/>
      <c r="C1323" s="297"/>
      <c r="D1323" s="394"/>
      <c r="E1323" s="297"/>
      <c r="F1323" s="394"/>
      <c r="G1323" s="297"/>
      <c r="H1323" s="297"/>
      <c r="I1323" s="297"/>
      <c r="J1323" s="297"/>
      <c r="K1323" s="297"/>
      <c r="L1323" s="297"/>
      <c r="M1323" s="297"/>
      <c r="N1323" s="297"/>
      <c r="O1323" s="297"/>
      <c r="P1323"/>
      <c r="Q1323"/>
      <c r="R1323"/>
      <c r="S1323"/>
      <c r="T1323"/>
      <c r="U1323"/>
    </row>
    <row r="1324" spans="1:21" x14ac:dyDescent="0.2">
      <c r="A1324"/>
      <c r="B1324" s="399"/>
      <c r="C1324" s="297"/>
      <c r="D1324" s="394"/>
      <c r="E1324" s="297"/>
      <c r="F1324" s="394"/>
      <c r="G1324" s="297"/>
      <c r="H1324" s="297"/>
      <c r="I1324" s="297"/>
      <c r="J1324" s="297"/>
      <c r="K1324" s="297"/>
      <c r="L1324" s="297"/>
      <c r="M1324" s="297"/>
      <c r="N1324" s="297"/>
      <c r="O1324" s="297"/>
      <c r="P1324"/>
      <c r="Q1324"/>
      <c r="R1324"/>
      <c r="S1324"/>
      <c r="T1324"/>
      <c r="U1324"/>
    </row>
    <row r="1325" spans="1:21" x14ac:dyDescent="0.2">
      <c r="A1325"/>
      <c r="B1325" s="399"/>
      <c r="C1325" s="297"/>
      <c r="D1325" s="394"/>
      <c r="E1325" s="297"/>
      <c r="F1325" s="394"/>
      <c r="G1325" s="297"/>
      <c r="H1325" s="297"/>
      <c r="I1325" s="297"/>
      <c r="J1325" s="297"/>
      <c r="K1325" s="297"/>
      <c r="L1325" s="297"/>
      <c r="M1325" s="297"/>
      <c r="N1325" s="297"/>
      <c r="O1325" s="297"/>
      <c r="P1325"/>
      <c r="Q1325"/>
      <c r="R1325"/>
      <c r="S1325"/>
      <c r="T1325"/>
      <c r="U1325"/>
    </row>
    <row r="1326" spans="1:21" x14ac:dyDescent="0.2">
      <c r="A1326"/>
      <c r="B1326" s="399"/>
      <c r="C1326" s="297"/>
      <c r="D1326" s="394"/>
      <c r="E1326" s="297"/>
      <c r="F1326" s="394"/>
      <c r="G1326" s="297"/>
      <c r="H1326" s="297"/>
      <c r="I1326" s="297"/>
      <c r="J1326" s="297"/>
      <c r="K1326" s="297"/>
      <c r="L1326" s="297"/>
      <c r="M1326" s="297"/>
      <c r="N1326" s="297"/>
      <c r="O1326" s="297"/>
      <c r="P1326"/>
      <c r="Q1326"/>
      <c r="R1326"/>
      <c r="S1326"/>
      <c r="T1326"/>
      <c r="U1326"/>
    </row>
    <row r="1327" spans="1:21" x14ac:dyDescent="0.2">
      <c r="A1327"/>
      <c r="B1327" s="399"/>
      <c r="C1327" s="297"/>
      <c r="D1327" s="394"/>
      <c r="E1327" s="297"/>
      <c r="F1327" s="394"/>
      <c r="G1327" s="297"/>
      <c r="H1327" s="297"/>
      <c r="I1327" s="297"/>
      <c r="J1327" s="297"/>
      <c r="K1327" s="297"/>
      <c r="L1327" s="297"/>
      <c r="M1327" s="297"/>
      <c r="N1327" s="297"/>
      <c r="O1327" s="297"/>
      <c r="P1327"/>
      <c r="Q1327"/>
      <c r="R1327"/>
      <c r="S1327"/>
      <c r="T1327"/>
      <c r="U1327"/>
    </row>
    <row r="1328" spans="1:21" x14ac:dyDescent="0.2">
      <c r="A1328"/>
      <c r="B1328" s="399"/>
      <c r="C1328" s="297"/>
      <c r="D1328" s="394"/>
      <c r="E1328" s="297"/>
      <c r="F1328" s="394"/>
      <c r="G1328" s="297"/>
      <c r="H1328" s="297"/>
      <c r="I1328" s="297"/>
      <c r="J1328" s="297"/>
      <c r="K1328" s="297"/>
      <c r="L1328" s="297"/>
      <c r="M1328" s="297"/>
      <c r="N1328" s="297"/>
      <c r="O1328" s="297"/>
      <c r="P1328"/>
      <c r="Q1328"/>
      <c r="R1328"/>
      <c r="S1328"/>
      <c r="T1328"/>
      <c r="U1328"/>
    </row>
    <row r="1329" spans="1:21" x14ac:dyDescent="0.2">
      <c r="A1329"/>
      <c r="B1329" s="399"/>
      <c r="C1329" s="297"/>
      <c r="D1329" s="394"/>
      <c r="E1329" s="297"/>
      <c r="F1329" s="394"/>
      <c r="G1329" s="297"/>
      <c r="H1329" s="297"/>
      <c r="I1329" s="297"/>
      <c r="J1329" s="297"/>
      <c r="K1329" s="297"/>
      <c r="L1329" s="297"/>
      <c r="M1329" s="297"/>
      <c r="N1329" s="297"/>
      <c r="O1329" s="297"/>
      <c r="P1329"/>
      <c r="Q1329"/>
      <c r="R1329"/>
      <c r="S1329"/>
      <c r="T1329"/>
      <c r="U1329"/>
    </row>
    <row r="1330" spans="1:21" x14ac:dyDescent="0.2">
      <c r="A1330"/>
      <c r="B1330" s="399"/>
      <c r="C1330" s="297"/>
      <c r="D1330" s="394"/>
      <c r="E1330" s="297"/>
      <c r="F1330" s="394"/>
      <c r="G1330" s="297"/>
      <c r="H1330" s="297"/>
      <c r="I1330" s="297"/>
      <c r="J1330" s="297"/>
      <c r="K1330" s="297"/>
      <c r="L1330" s="297"/>
      <c r="M1330" s="297"/>
      <c r="N1330" s="297"/>
      <c r="O1330" s="297"/>
      <c r="P1330"/>
      <c r="Q1330"/>
      <c r="R1330"/>
      <c r="S1330"/>
      <c r="T1330"/>
      <c r="U1330"/>
    </row>
    <row r="1331" spans="1:21" x14ac:dyDescent="0.2">
      <c r="A1331"/>
      <c r="B1331" s="399"/>
      <c r="C1331" s="297"/>
      <c r="D1331" s="394"/>
      <c r="E1331" s="297"/>
      <c r="F1331" s="394"/>
      <c r="G1331" s="297"/>
      <c r="H1331" s="297"/>
      <c r="I1331" s="297"/>
      <c r="J1331" s="297"/>
      <c r="K1331" s="297"/>
      <c r="L1331" s="297"/>
      <c r="M1331" s="297"/>
      <c r="N1331" s="297"/>
      <c r="O1331" s="297"/>
      <c r="P1331"/>
      <c r="Q1331"/>
      <c r="R1331"/>
      <c r="S1331"/>
      <c r="T1331"/>
      <c r="U1331"/>
    </row>
    <row r="1332" spans="1:21" x14ac:dyDescent="0.2">
      <c r="A1332"/>
      <c r="B1332" s="399"/>
      <c r="C1332" s="297"/>
      <c r="D1332" s="394"/>
      <c r="E1332" s="297"/>
      <c r="F1332" s="394"/>
      <c r="G1332" s="297"/>
      <c r="H1332" s="297"/>
      <c r="I1332" s="297"/>
      <c r="J1332" s="297"/>
      <c r="K1332" s="297"/>
      <c r="L1332" s="297"/>
      <c r="M1332" s="297"/>
      <c r="N1332" s="297"/>
      <c r="O1332" s="297"/>
      <c r="P1332"/>
      <c r="Q1332"/>
      <c r="R1332"/>
      <c r="S1332"/>
      <c r="T1332"/>
      <c r="U1332"/>
    </row>
    <row r="1333" spans="1:21" x14ac:dyDescent="0.2">
      <c r="A1333"/>
      <c r="B1333" s="399"/>
      <c r="C1333" s="297"/>
      <c r="D1333" s="394"/>
      <c r="E1333" s="297"/>
      <c r="F1333" s="394"/>
      <c r="G1333" s="297"/>
      <c r="H1333" s="297"/>
      <c r="I1333" s="297"/>
      <c r="J1333" s="297"/>
      <c r="K1333" s="297"/>
      <c r="L1333" s="297"/>
      <c r="M1333" s="297"/>
      <c r="N1333" s="297"/>
      <c r="O1333" s="297"/>
      <c r="P1333"/>
      <c r="Q1333"/>
      <c r="R1333"/>
      <c r="S1333"/>
      <c r="T1333"/>
      <c r="U1333"/>
    </row>
    <row r="1334" spans="1:21" x14ac:dyDescent="0.2">
      <c r="A1334"/>
      <c r="B1334" s="399"/>
      <c r="C1334" s="297"/>
      <c r="D1334" s="394"/>
      <c r="E1334" s="297"/>
      <c r="F1334" s="394"/>
      <c r="G1334" s="297"/>
      <c r="H1334" s="297"/>
      <c r="I1334" s="297"/>
      <c r="J1334" s="297"/>
      <c r="K1334" s="297"/>
      <c r="L1334" s="297"/>
      <c r="M1334" s="297"/>
      <c r="N1334" s="297"/>
      <c r="O1334" s="297"/>
      <c r="P1334"/>
      <c r="Q1334"/>
      <c r="R1334"/>
      <c r="S1334"/>
      <c r="T1334"/>
      <c r="U1334"/>
    </row>
    <row r="1335" spans="1:21" x14ac:dyDescent="0.2">
      <c r="A1335"/>
      <c r="B1335" s="399"/>
      <c r="C1335" s="297"/>
      <c r="D1335" s="394"/>
      <c r="E1335" s="297"/>
      <c r="F1335" s="394"/>
      <c r="G1335" s="297"/>
      <c r="H1335" s="297"/>
      <c r="I1335" s="297"/>
      <c r="J1335" s="297"/>
      <c r="K1335" s="297"/>
      <c r="L1335" s="297"/>
      <c r="M1335" s="297"/>
      <c r="N1335" s="297"/>
      <c r="O1335" s="297"/>
      <c r="P1335"/>
      <c r="Q1335"/>
      <c r="R1335"/>
      <c r="S1335"/>
      <c r="T1335"/>
      <c r="U1335"/>
    </row>
    <row r="1336" spans="1:21" x14ac:dyDescent="0.2">
      <c r="A1336"/>
      <c r="B1336" s="399"/>
      <c r="C1336" s="297"/>
      <c r="D1336" s="394"/>
      <c r="E1336" s="297"/>
      <c r="F1336" s="394"/>
      <c r="G1336" s="297"/>
      <c r="H1336" s="297"/>
      <c r="I1336" s="297"/>
      <c r="J1336" s="297"/>
      <c r="K1336" s="297"/>
      <c r="L1336" s="297"/>
      <c r="M1336" s="297"/>
      <c r="N1336" s="297"/>
      <c r="O1336" s="297"/>
      <c r="P1336"/>
      <c r="Q1336"/>
      <c r="R1336"/>
      <c r="S1336"/>
      <c r="T1336"/>
      <c r="U1336"/>
    </row>
    <row r="1337" spans="1:21" x14ac:dyDescent="0.2">
      <c r="A1337"/>
      <c r="B1337" s="399"/>
      <c r="C1337" s="297"/>
      <c r="D1337" s="394"/>
      <c r="E1337" s="297"/>
      <c r="F1337" s="394"/>
      <c r="G1337" s="297"/>
      <c r="H1337" s="297"/>
      <c r="I1337" s="297"/>
      <c r="J1337" s="297"/>
      <c r="K1337" s="297"/>
      <c r="L1337" s="297"/>
      <c r="M1337" s="297"/>
      <c r="N1337" s="297"/>
      <c r="O1337" s="297"/>
      <c r="P1337"/>
      <c r="Q1337"/>
      <c r="R1337"/>
      <c r="S1337"/>
      <c r="T1337"/>
      <c r="U1337"/>
    </row>
    <row r="1338" spans="1:21" x14ac:dyDescent="0.2">
      <c r="A1338"/>
      <c r="B1338" s="399"/>
      <c r="C1338" s="297"/>
      <c r="D1338" s="394"/>
      <c r="E1338" s="297"/>
      <c r="F1338" s="394"/>
      <c r="G1338" s="297"/>
      <c r="H1338" s="297"/>
      <c r="I1338" s="297"/>
      <c r="J1338" s="297"/>
      <c r="K1338" s="297"/>
      <c r="L1338" s="297"/>
      <c r="M1338" s="297"/>
      <c r="N1338" s="297"/>
      <c r="O1338" s="297"/>
      <c r="P1338"/>
      <c r="Q1338"/>
      <c r="R1338"/>
      <c r="S1338"/>
      <c r="T1338"/>
      <c r="U1338"/>
    </row>
    <row r="1339" spans="1:21" x14ac:dyDescent="0.2">
      <c r="A1339"/>
      <c r="B1339" s="399"/>
      <c r="C1339" s="297"/>
      <c r="D1339" s="394"/>
      <c r="E1339" s="297"/>
      <c r="F1339" s="394"/>
      <c r="G1339" s="297"/>
      <c r="H1339" s="297"/>
      <c r="I1339" s="297"/>
      <c r="J1339" s="297"/>
      <c r="K1339" s="297"/>
      <c r="L1339" s="297"/>
      <c r="M1339" s="297"/>
      <c r="N1339" s="297"/>
      <c r="O1339" s="297"/>
      <c r="P1339"/>
      <c r="Q1339"/>
      <c r="R1339"/>
      <c r="S1339"/>
      <c r="T1339"/>
      <c r="U1339"/>
    </row>
    <row r="1340" spans="1:21" x14ac:dyDescent="0.2">
      <c r="A1340"/>
      <c r="B1340" s="399"/>
      <c r="C1340" s="297"/>
      <c r="D1340" s="394"/>
      <c r="E1340" s="297"/>
      <c r="F1340" s="394"/>
      <c r="G1340" s="297"/>
      <c r="H1340" s="297"/>
      <c r="I1340" s="297"/>
      <c r="J1340" s="297"/>
      <c r="K1340" s="297"/>
      <c r="L1340" s="297"/>
      <c r="M1340" s="297"/>
      <c r="N1340" s="297"/>
      <c r="O1340" s="297"/>
      <c r="P1340"/>
      <c r="Q1340"/>
      <c r="R1340"/>
      <c r="S1340"/>
      <c r="T1340"/>
      <c r="U1340"/>
    </row>
    <row r="1341" spans="1:21" x14ac:dyDescent="0.2">
      <c r="A1341"/>
      <c r="B1341" s="399"/>
      <c r="C1341" s="297"/>
      <c r="D1341" s="394"/>
      <c r="E1341" s="297"/>
      <c r="F1341" s="394"/>
      <c r="G1341" s="297"/>
      <c r="H1341" s="297"/>
      <c r="I1341" s="297"/>
      <c r="J1341" s="297"/>
      <c r="K1341" s="297"/>
      <c r="L1341" s="297"/>
      <c r="M1341" s="297"/>
      <c r="N1341" s="297"/>
      <c r="O1341" s="297"/>
      <c r="P1341"/>
      <c r="Q1341"/>
      <c r="R1341"/>
      <c r="S1341"/>
      <c r="T1341"/>
      <c r="U1341"/>
    </row>
    <row r="1342" spans="1:21" x14ac:dyDescent="0.2">
      <c r="A1342"/>
      <c r="B1342" s="399"/>
      <c r="C1342" s="297"/>
      <c r="D1342" s="394"/>
      <c r="E1342" s="297"/>
      <c r="F1342" s="394"/>
      <c r="G1342" s="297"/>
      <c r="H1342" s="297"/>
      <c r="I1342" s="297"/>
      <c r="J1342" s="297"/>
      <c r="K1342" s="297"/>
      <c r="L1342" s="297"/>
      <c r="M1342" s="297"/>
      <c r="N1342" s="297"/>
      <c r="O1342" s="297"/>
      <c r="P1342"/>
      <c r="Q1342"/>
      <c r="R1342"/>
      <c r="S1342"/>
      <c r="T1342"/>
      <c r="U1342"/>
    </row>
    <row r="1343" spans="1:21" x14ac:dyDescent="0.2">
      <c r="A1343"/>
      <c r="B1343" s="399"/>
      <c r="C1343" s="297"/>
      <c r="D1343" s="394"/>
      <c r="E1343" s="297"/>
      <c r="F1343" s="394"/>
      <c r="G1343" s="297"/>
      <c r="H1343" s="297"/>
      <c r="I1343" s="297"/>
      <c r="J1343" s="297"/>
      <c r="K1343" s="297"/>
      <c r="L1343" s="297"/>
      <c r="M1343" s="297"/>
      <c r="N1343" s="297"/>
      <c r="O1343" s="297"/>
      <c r="P1343"/>
      <c r="Q1343"/>
      <c r="R1343"/>
      <c r="S1343"/>
      <c r="T1343"/>
      <c r="U1343"/>
    </row>
    <row r="1344" spans="1:21" x14ac:dyDescent="0.2">
      <c r="A1344"/>
      <c r="B1344" s="399"/>
      <c r="C1344" s="297"/>
      <c r="D1344" s="394"/>
      <c r="E1344" s="297"/>
      <c r="F1344" s="394"/>
      <c r="G1344" s="297"/>
      <c r="H1344" s="297"/>
      <c r="I1344" s="297"/>
      <c r="J1344" s="297"/>
      <c r="K1344" s="297"/>
      <c r="L1344" s="297"/>
      <c r="M1344" s="297"/>
      <c r="N1344" s="297"/>
      <c r="O1344" s="297"/>
      <c r="P1344"/>
      <c r="Q1344"/>
      <c r="R1344"/>
      <c r="S1344"/>
      <c r="T1344"/>
      <c r="U1344"/>
    </row>
    <row r="1345" spans="1:21" x14ac:dyDescent="0.2">
      <c r="A1345"/>
      <c r="B1345" s="399"/>
      <c r="C1345" s="297"/>
      <c r="D1345" s="394"/>
      <c r="E1345" s="297"/>
      <c r="F1345" s="394"/>
      <c r="G1345" s="297"/>
      <c r="H1345" s="297"/>
      <c r="I1345" s="297"/>
      <c r="J1345" s="297"/>
      <c r="K1345" s="297"/>
      <c r="L1345" s="297"/>
      <c r="M1345" s="297"/>
      <c r="N1345" s="297"/>
      <c r="O1345" s="297"/>
      <c r="P1345"/>
      <c r="Q1345"/>
      <c r="R1345"/>
      <c r="S1345"/>
      <c r="T1345"/>
      <c r="U1345"/>
    </row>
    <row r="1346" spans="1:21" x14ac:dyDescent="0.2">
      <c r="A1346"/>
      <c r="B1346" s="399"/>
      <c r="C1346" s="297"/>
      <c r="D1346" s="394"/>
      <c r="E1346" s="297"/>
      <c r="F1346" s="394"/>
      <c r="G1346" s="297"/>
      <c r="H1346" s="297"/>
      <c r="I1346" s="297"/>
      <c r="J1346" s="297"/>
      <c r="K1346" s="297"/>
      <c r="L1346" s="297"/>
      <c r="M1346" s="297"/>
      <c r="N1346" s="297"/>
      <c r="O1346" s="297"/>
      <c r="P1346"/>
      <c r="Q1346"/>
      <c r="R1346"/>
      <c r="S1346"/>
      <c r="T1346"/>
      <c r="U1346"/>
    </row>
    <row r="1347" spans="1:21" x14ac:dyDescent="0.2">
      <c r="A1347"/>
      <c r="B1347" s="399"/>
      <c r="C1347" s="297"/>
      <c r="D1347" s="394"/>
      <c r="E1347" s="297"/>
      <c r="F1347" s="394"/>
      <c r="G1347" s="297"/>
      <c r="H1347" s="297"/>
      <c r="I1347" s="297"/>
      <c r="J1347" s="297"/>
      <c r="K1347" s="297"/>
      <c r="L1347" s="297"/>
      <c r="M1347" s="297"/>
      <c r="N1347" s="297"/>
      <c r="O1347" s="297"/>
      <c r="P1347"/>
      <c r="Q1347"/>
      <c r="R1347"/>
      <c r="S1347"/>
      <c r="T1347"/>
      <c r="U1347"/>
    </row>
    <row r="1348" spans="1:21" x14ac:dyDescent="0.2">
      <c r="A1348"/>
      <c r="B1348" s="399"/>
      <c r="C1348" s="297"/>
      <c r="D1348" s="394"/>
      <c r="E1348" s="297"/>
      <c r="F1348" s="394"/>
      <c r="G1348" s="297"/>
      <c r="H1348" s="297"/>
      <c r="I1348" s="297"/>
      <c r="J1348" s="297"/>
      <c r="K1348" s="297"/>
      <c r="L1348" s="297"/>
      <c r="M1348" s="297"/>
      <c r="N1348" s="297"/>
      <c r="O1348" s="297"/>
      <c r="P1348"/>
      <c r="Q1348"/>
      <c r="R1348"/>
      <c r="S1348"/>
      <c r="T1348"/>
      <c r="U1348"/>
    </row>
    <row r="1349" spans="1:21" x14ac:dyDescent="0.2">
      <c r="A1349"/>
      <c r="B1349" s="399"/>
      <c r="C1349" s="297"/>
      <c r="D1349" s="394"/>
      <c r="E1349" s="297"/>
      <c r="F1349" s="394"/>
      <c r="G1349" s="297"/>
      <c r="H1349" s="297"/>
      <c r="I1349" s="297"/>
      <c r="J1349" s="297"/>
      <c r="K1349" s="297"/>
      <c r="L1349" s="297"/>
      <c r="M1349" s="297"/>
      <c r="N1349" s="297"/>
      <c r="O1349" s="297"/>
      <c r="P1349"/>
      <c r="Q1349"/>
      <c r="R1349"/>
      <c r="S1349"/>
      <c r="T1349"/>
      <c r="U1349"/>
    </row>
    <row r="1350" spans="1:21" x14ac:dyDescent="0.2">
      <c r="A1350"/>
      <c r="B1350" s="399"/>
      <c r="C1350" s="297"/>
      <c r="D1350" s="394"/>
      <c r="E1350" s="297"/>
      <c r="F1350" s="394"/>
      <c r="G1350" s="297"/>
      <c r="H1350" s="297"/>
      <c r="I1350" s="297"/>
      <c r="J1350" s="297"/>
      <c r="K1350" s="297"/>
      <c r="L1350" s="297"/>
      <c r="M1350" s="297"/>
      <c r="N1350" s="297"/>
      <c r="O1350" s="297"/>
      <c r="P1350"/>
      <c r="Q1350"/>
      <c r="R1350"/>
      <c r="S1350"/>
      <c r="T1350"/>
      <c r="U1350"/>
    </row>
    <row r="1351" spans="1:21" x14ac:dyDescent="0.2">
      <c r="A1351"/>
      <c r="B1351" s="399"/>
      <c r="C1351" s="297"/>
      <c r="D1351" s="394"/>
      <c r="E1351" s="297"/>
      <c r="F1351" s="394"/>
      <c r="G1351" s="297"/>
      <c r="H1351" s="297"/>
      <c r="I1351" s="297"/>
      <c r="J1351" s="297"/>
      <c r="K1351" s="297"/>
      <c r="L1351" s="297"/>
      <c r="M1351" s="297"/>
      <c r="N1351" s="297"/>
      <c r="O1351" s="297"/>
      <c r="P1351"/>
      <c r="Q1351"/>
      <c r="R1351"/>
      <c r="S1351"/>
      <c r="T1351"/>
      <c r="U1351"/>
    </row>
    <row r="1352" spans="1:21" x14ac:dyDescent="0.2">
      <c r="A1352"/>
      <c r="B1352" s="399"/>
      <c r="C1352" s="297"/>
      <c r="D1352" s="394"/>
      <c r="E1352" s="297"/>
      <c r="F1352" s="394"/>
      <c r="G1352" s="297"/>
      <c r="H1352" s="297"/>
      <c r="I1352" s="297"/>
      <c r="J1352" s="297"/>
      <c r="K1352" s="297"/>
      <c r="L1352" s="297"/>
      <c r="M1352" s="297"/>
      <c r="N1352" s="297"/>
      <c r="O1352" s="297"/>
      <c r="P1352"/>
      <c r="Q1352"/>
      <c r="R1352"/>
      <c r="S1352"/>
      <c r="T1352"/>
      <c r="U1352"/>
    </row>
    <row r="1353" spans="1:21" x14ac:dyDescent="0.2">
      <c r="A1353"/>
      <c r="B1353" s="399"/>
      <c r="C1353" s="297"/>
      <c r="D1353" s="394"/>
      <c r="E1353" s="297"/>
      <c r="F1353" s="394"/>
      <c r="G1353" s="297"/>
      <c r="H1353" s="297"/>
      <c r="I1353" s="297"/>
      <c r="J1353" s="297"/>
      <c r="K1353" s="297"/>
      <c r="L1353" s="297"/>
      <c r="M1353" s="297"/>
      <c r="N1353" s="297"/>
      <c r="O1353" s="297"/>
      <c r="P1353"/>
      <c r="Q1353"/>
      <c r="R1353"/>
      <c r="S1353"/>
      <c r="T1353"/>
      <c r="U1353"/>
    </row>
    <row r="1354" spans="1:21" x14ac:dyDescent="0.2">
      <c r="A1354"/>
      <c r="B1354" s="399"/>
      <c r="C1354" s="297"/>
      <c r="D1354" s="394"/>
      <c r="E1354" s="297"/>
      <c r="F1354" s="394"/>
      <c r="G1354" s="297"/>
      <c r="H1354" s="297"/>
      <c r="I1354" s="297"/>
      <c r="J1354" s="297"/>
      <c r="K1354" s="297"/>
      <c r="L1354" s="297"/>
      <c r="M1354" s="297"/>
      <c r="N1354" s="297"/>
      <c r="O1354" s="297"/>
      <c r="P1354"/>
      <c r="Q1354"/>
      <c r="R1354"/>
      <c r="S1354"/>
      <c r="T1354"/>
      <c r="U1354"/>
    </row>
    <row r="1355" spans="1:21" x14ac:dyDescent="0.2">
      <c r="A1355"/>
      <c r="B1355" s="399"/>
      <c r="C1355" s="297"/>
      <c r="D1355" s="394"/>
      <c r="E1355" s="297"/>
      <c r="F1355" s="394"/>
      <c r="G1355" s="297"/>
      <c r="H1355" s="297"/>
      <c r="I1355" s="297"/>
      <c r="J1355" s="297"/>
      <c r="K1355" s="297"/>
      <c r="L1355" s="297"/>
      <c r="M1355" s="297"/>
      <c r="N1355" s="297"/>
      <c r="O1355" s="297"/>
      <c r="P1355"/>
      <c r="Q1355"/>
      <c r="R1355"/>
      <c r="S1355"/>
      <c r="T1355"/>
      <c r="U1355"/>
    </row>
    <row r="1356" spans="1:21" x14ac:dyDescent="0.2">
      <c r="A1356"/>
      <c r="B1356" s="399"/>
      <c r="C1356" s="297"/>
      <c r="D1356" s="394"/>
      <c r="E1356" s="297"/>
      <c r="F1356" s="394"/>
      <c r="G1356" s="297"/>
      <c r="H1356" s="297"/>
      <c r="I1356" s="297"/>
      <c r="J1356" s="297"/>
      <c r="K1356" s="297"/>
      <c r="L1356" s="297"/>
      <c r="M1356" s="297"/>
      <c r="N1356" s="297"/>
      <c r="O1356" s="297"/>
      <c r="P1356"/>
      <c r="Q1356"/>
      <c r="R1356"/>
      <c r="S1356"/>
      <c r="T1356"/>
      <c r="U1356"/>
    </row>
    <row r="1357" spans="1:21" x14ac:dyDescent="0.2">
      <c r="A1357"/>
      <c r="B1357" s="399"/>
      <c r="C1357" s="297"/>
      <c r="D1357" s="394"/>
      <c r="E1357" s="297"/>
      <c r="F1357" s="394"/>
      <c r="G1357" s="297"/>
      <c r="H1357" s="297"/>
      <c r="I1357" s="297"/>
      <c r="J1357" s="297"/>
      <c r="K1357" s="297"/>
      <c r="L1357" s="297"/>
      <c r="M1357" s="297"/>
      <c r="N1357" s="297"/>
      <c r="O1357" s="297"/>
      <c r="P1357"/>
      <c r="Q1357"/>
      <c r="R1357"/>
      <c r="S1357"/>
      <c r="T1357"/>
      <c r="U1357"/>
    </row>
    <row r="1358" spans="1:21" x14ac:dyDescent="0.2">
      <c r="A1358"/>
      <c r="B1358" s="399"/>
      <c r="C1358" s="297"/>
      <c r="D1358" s="394"/>
      <c r="E1358" s="297"/>
      <c r="F1358" s="394"/>
      <c r="G1358" s="297"/>
      <c r="H1358" s="297"/>
      <c r="I1358" s="297"/>
      <c r="J1358" s="297"/>
      <c r="K1358" s="297"/>
      <c r="L1358" s="297"/>
      <c r="M1358" s="297"/>
      <c r="N1358" s="297"/>
      <c r="O1358" s="297"/>
      <c r="P1358"/>
      <c r="Q1358"/>
      <c r="R1358"/>
      <c r="S1358"/>
      <c r="T1358"/>
      <c r="U1358"/>
    </row>
    <row r="1359" spans="1:21" x14ac:dyDescent="0.2">
      <c r="A1359"/>
      <c r="B1359" s="399"/>
      <c r="C1359" s="297"/>
      <c r="D1359" s="394"/>
      <c r="E1359" s="297"/>
      <c r="F1359" s="394"/>
      <c r="G1359" s="297"/>
      <c r="H1359" s="297"/>
      <c r="I1359" s="297"/>
      <c r="J1359" s="297"/>
      <c r="K1359" s="297"/>
      <c r="L1359" s="297"/>
      <c r="M1359" s="297"/>
      <c r="N1359" s="297"/>
      <c r="O1359" s="297"/>
      <c r="P1359"/>
      <c r="Q1359"/>
      <c r="R1359"/>
      <c r="S1359"/>
      <c r="T1359"/>
      <c r="U1359"/>
    </row>
    <row r="1360" spans="1:21" x14ac:dyDescent="0.2">
      <c r="A1360"/>
      <c r="B1360" s="399"/>
      <c r="C1360" s="297"/>
      <c r="D1360" s="394"/>
      <c r="E1360" s="297"/>
      <c r="F1360" s="394"/>
      <c r="G1360" s="297"/>
      <c r="H1360" s="297"/>
      <c r="I1360" s="297"/>
      <c r="J1360" s="297"/>
      <c r="K1360" s="297"/>
      <c r="L1360" s="297"/>
      <c r="M1360" s="297"/>
      <c r="N1360" s="297"/>
      <c r="O1360" s="297"/>
      <c r="P1360"/>
      <c r="Q1360"/>
      <c r="R1360"/>
      <c r="S1360"/>
      <c r="T1360"/>
      <c r="U1360"/>
    </row>
    <row r="1361" spans="1:21" x14ac:dyDescent="0.2">
      <c r="A1361"/>
      <c r="B1361" s="399"/>
      <c r="C1361" s="297"/>
      <c r="D1361" s="394"/>
      <c r="E1361" s="297"/>
      <c r="F1361" s="394"/>
      <c r="G1361" s="297"/>
      <c r="H1361" s="297"/>
      <c r="I1361" s="297"/>
      <c r="J1361" s="297"/>
      <c r="K1361" s="297"/>
      <c r="L1361" s="297"/>
      <c r="M1361" s="297"/>
      <c r="N1361" s="297"/>
      <c r="O1361" s="297"/>
      <c r="P1361"/>
      <c r="Q1361"/>
      <c r="R1361"/>
      <c r="S1361"/>
      <c r="T1361"/>
      <c r="U1361"/>
    </row>
    <row r="1362" spans="1:21" x14ac:dyDescent="0.2">
      <c r="A1362"/>
      <c r="B1362" s="399"/>
      <c r="C1362" s="297"/>
      <c r="D1362" s="394"/>
      <c r="E1362" s="297"/>
      <c r="F1362" s="394"/>
      <c r="G1362" s="297"/>
      <c r="H1362" s="297"/>
      <c r="I1362" s="297"/>
      <c r="J1362" s="297"/>
      <c r="K1362" s="297"/>
      <c r="L1362" s="297"/>
      <c r="M1362" s="297"/>
      <c r="N1362" s="297"/>
      <c r="O1362" s="297"/>
      <c r="P1362"/>
      <c r="Q1362"/>
      <c r="R1362"/>
      <c r="S1362"/>
      <c r="T1362"/>
      <c r="U1362"/>
    </row>
    <row r="1363" spans="1:21" x14ac:dyDescent="0.2">
      <c r="A1363"/>
      <c r="B1363" s="399"/>
      <c r="C1363" s="297"/>
      <c r="D1363" s="394"/>
      <c r="E1363" s="297"/>
      <c r="F1363" s="394"/>
      <c r="G1363" s="297"/>
      <c r="H1363" s="297"/>
      <c r="I1363" s="297"/>
      <c r="J1363" s="297"/>
      <c r="K1363" s="297"/>
      <c r="L1363" s="297"/>
      <c r="M1363" s="297"/>
      <c r="N1363" s="297"/>
      <c r="O1363" s="297"/>
      <c r="P1363"/>
      <c r="Q1363"/>
      <c r="R1363"/>
      <c r="S1363"/>
      <c r="T1363"/>
      <c r="U1363"/>
    </row>
    <row r="1364" spans="1:21" x14ac:dyDescent="0.2">
      <c r="A1364"/>
      <c r="B1364" s="399"/>
      <c r="C1364" s="297"/>
      <c r="D1364" s="394"/>
      <c r="E1364" s="297"/>
      <c r="F1364" s="394"/>
      <c r="G1364" s="297"/>
      <c r="H1364" s="297"/>
      <c r="I1364" s="297"/>
      <c r="J1364" s="297"/>
      <c r="K1364" s="297"/>
      <c r="L1364" s="297"/>
      <c r="M1364" s="297"/>
      <c r="N1364" s="297"/>
      <c r="O1364" s="297"/>
      <c r="P1364"/>
      <c r="Q1364"/>
      <c r="R1364"/>
      <c r="S1364"/>
      <c r="T1364"/>
      <c r="U1364"/>
    </row>
    <row r="1365" spans="1:21" x14ac:dyDescent="0.2">
      <c r="A1365"/>
      <c r="B1365" s="399"/>
      <c r="C1365" s="297"/>
      <c r="D1365" s="394"/>
      <c r="E1365" s="297"/>
      <c r="F1365" s="394"/>
      <c r="G1365" s="297"/>
      <c r="H1365" s="297"/>
      <c r="I1365" s="297"/>
      <c r="J1365" s="297"/>
      <c r="K1365" s="297"/>
      <c r="L1365" s="297"/>
      <c r="M1365" s="297"/>
      <c r="N1365" s="297"/>
      <c r="O1365" s="297"/>
      <c r="P1365"/>
      <c r="Q1365"/>
      <c r="R1365"/>
      <c r="S1365"/>
      <c r="T1365"/>
      <c r="U1365"/>
    </row>
    <row r="1366" spans="1:21" x14ac:dyDescent="0.2">
      <c r="A1366"/>
      <c r="B1366" s="399"/>
      <c r="C1366" s="297"/>
      <c r="D1366" s="394"/>
      <c r="E1366" s="297"/>
      <c r="F1366" s="394"/>
      <c r="G1366" s="297"/>
      <c r="H1366" s="297"/>
      <c r="I1366" s="297"/>
      <c r="J1366" s="297"/>
      <c r="K1366" s="297"/>
      <c r="L1366" s="297"/>
      <c r="M1366" s="297"/>
      <c r="N1366" s="297"/>
      <c r="O1366" s="297"/>
      <c r="P1366"/>
      <c r="Q1366"/>
      <c r="R1366"/>
      <c r="S1366"/>
      <c r="T1366"/>
      <c r="U1366"/>
    </row>
    <row r="1367" spans="1:21" x14ac:dyDescent="0.2">
      <c r="A1367"/>
      <c r="B1367" s="399"/>
      <c r="C1367" s="297"/>
      <c r="D1367" s="394"/>
      <c r="E1367" s="297"/>
      <c r="F1367" s="394"/>
      <c r="G1367" s="297"/>
      <c r="H1367" s="297"/>
      <c r="I1367" s="297"/>
      <c r="J1367" s="297"/>
      <c r="K1367" s="297"/>
      <c r="L1367" s="297"/>
      <c r="M1367" s="297"/>
      <c r="N1367" s="297"/>
      <c r="O1367" s="297"/>
      <c r="P1367"/>
      <c r="Q1367"/>
      <c r="R1367"/>
      <c r="S1367"/>
      <c r="T1367"/>
      <c r="U1367"/>
    </row>
    <row r="1368" spans="1:21" x14ac:dyDescent="0.2">
      <c r="A1368"/>
      <c r="B1368" s="399"/>
      <c r="C1368" s="297"/>
      <c r="D1368" s="394"/>
      <c r="E1368" s="297"/>
      <c r="F1368" s="394"/>
      <c r="G1368" s="297"/>
      <c r="H1368" s="297"/>
      <c r="I1368" s="297"/>
      <c r="J1368" s="297"/>
      <c r="K1368" s="297"/>
      <c r="L1368" s="297"/>
      <c r="M1368" s="297"/>
      <c r="N1368" s="297"/>
      <c r="O1368" s="297"/>
      <c r="P1368"/>
      <c r="Q1368"/>
      <c r="R1368"/>
      <c r="S1368"/>
      <c r="T1368"/>
      <c r="U1368"/>
    </row>
    <row r="1369" spans="1:21" x14ac:dyDescent="0.2">
      <c r="A1369"/>
      <c r="B1369" s="399"/>
      <c r="C1369" s="297"/>
      <c r="D1369" s="394"/>
      <c r="E1369" s="297"/>
      <c r="F1369" s="394"/>
      <c r="G1369" s="297"/>
      <c r="H1369" s="297"/>
      <c r="I1369" s="297"/>
      <c r="J1369" s="297"/>
      <c r="K1369" s="297"/>
      <c r="L1369" s="297"/>
      <c r="M1369" s="297"/>
      <c r="N1369" s="297"/>
      <c r="O1369" s="297"/>
      <c r="P1369"/>
      <c r="Q1369"/>
      <c r="R1369"/>
      <c r="S1369"/>
      <c r="T1369"/>
      <c r="U1369"/>
    </row>
    <row r="1370" spans="1:21" x14ac:dyDescent="0.2">
      <c r="A1370"/>
      <c r="B1370" s="399"/>
      <c r="C1370" s="297"/>
      <c r="D1370" s="394"/>
      <c r="E1370" s="297"/>
      <c r="F1370" s="394"/>
      <c r="G1370" s="297"/>
      <c r="H1370" s="297"/>
      <c r="I1370" s="297"/>
      <c r="J1370" s="297"/>
      <c r="K1370" s="297"/>
      <c r="L1370" s="297"/>
      <c r="M1370" s="297"/>
      <c r="N1370" s="297"/>
      <c r="O1370" s="297"/>
      <c r="P1370"/>
      <c r="Q1370"/>
      <c r="R1370"/>
      <c r="S1370"/>
      <c r="T1370"/>
      <c r="U1370"/>
    </row>
    <row r="1371" spans="1:21" x14ac:dyDescent="0.2">
      <c r="A1371"/>
      <c r="B1371" s="399"/>
      <c r="C1371" s="297"/>
      <c r="D1371" s="394"/>
      <c r="E1371" s="297"/>
      <c r="F1371" s="394"/>
      <c r="G1371" s="297"/>
      <c r="H1371" s="297"/>
      <c r="I1371" s="297"/>
      <c r="J1371" s="297"/>
      <c r="K1371" s="297"/>
      <c r="L1371" s="297"/>
      <c r="M1371" s="297"/>
      <c r="N1371" s="297"/>
      <c r="O1371" s="297"/>
      <c r="P1371"/>
      <c r="Q1371"/>
      <c r="R1371"/>
      <c r="S1371"/>
      <c r="T1371"/>
      <c r="U1371"/>
    </row>
    <row r="1372" spans="1:21" x14ac:dyDescent="0.2">
      <c r="A1372"/>
      <c r="B1372" s="399"/>
      <c r="C1372" s="297"/>
      <c r="D1372" s="394"/>
      <c r="E1372" s="297"/>
      <c r="F1372" s="394"/>
      <c r="G1372" s="297"/>
      <c r="H1372" s="297"/>
      <c r="I1372" s="297"/>
      <c r="J1372" s="297"/>
      <c r="K1372" s="297"/>
      <c r="L1372" s="297"/>
      <c r="M1372" s="297"/>
      <c r="N1372" s="297"/>
      <c r="O1372" s="297"/>
      <c r="P1372"/>
      <c r="Q1372"/>
      <c r="R1372"/>
      <c r="S1372"/>
      <c r="T1372"/>
      <c r="U1372"/>
    </row>
    <row r="1373" spans="1:21" x14ac:dyDescent="0.2">
      <c r="A1373"/>
      <c r="B1373" s="399"/>
      <c r="C1373" s="297"/>
      <c r="D1373" s="394"/>
      <c r="E1373" s="297"/>
      <c r="F1373" s="394"/>
      <c r="G1373" s="297"/>
      <c r="H1373" s="297"/>
      <c r="I1373" s="297"/>
      <c r="J1373" s="297"/>
      <c r="K1373" s="297"/>
      <c r="L1373" s="297"/>
      <c r="M1373" s="297"/>
      <c r="N1373" s="297"/>
      <c r="O1373" s="297"/>
      <c r="P1373"/>
      <c r="Q1373"/>
      <c r="R1373"/>
      <c r="S1373"/>
      <c r="T1373"/>
      <c r="U1373"/>
    </row>
    <row r="1374" spans="1:21" x14ac:dyDescent="0.2">
      <c r="A1374"/>
      <c r="B1374" s="399"/>
      <c r="C1374" s="297"/>
      <c r="D1374" s="394"/>
      <c r="E1374" s="297"/>
      <c r="F1374" s="394"/>
      <c r="G1374" s="297"/>
      <c r="H1374" s="297"/>
      <c r="I1374" s="297"/>
      <c r="J1374" s="297"/>
      <c r="K1374" s="297"/>
      <c r="L1374" s="297"/>
      <c r="M1374" s="297"/>
      <c r="N1374" s="297"/>
      <c r="O1374" s="297"/>
      <c r="P1374"/>
      <c r="Q1374"/>
      <c r="R1374"/>
      <c r="S1374"/>
      <c r="T1374"/>
      <c r="U1374"/>
    </row>
    <row r="1375" spans="1:21" x14ac:dyDescent="0.2">
      <c r="A1375"/>
      <c r="B1375" s="399"/>
      <c r="C1375" s="297"/>
      <c r="D1375" s="394"/>
      <c r="E1375" s="297"/>
      <c r="F1375" s="394"/>
      <c r="G1375" s="297"/>
      <c r="H1375" s="297"/>
      <c r="I1375" s="297"/>
      <c r="J1375" s="297"/>
      <c r="K1375" s="297"/>
      <c r="L1375" s="297"/>
      <c r="M1375" s="297"/>
      <c r="N1375" s="297"/>
      <c r="O1375" s="297"/>
      <c r="P1375"/>
      <c r="Q1375"/>
      <c r="R1375"/>
      <c r="S1375"/>
      <c r="T1375"/>
      <c r="U1375"/>
    </row>
    <row r="1376" spans="1:21" x14ac:dyDescent="0.2">
      <c r="A1376"/>
      <c r="B1376" s="399"/>
      <c r="C1376" s="297"/>
      <c r="D1376" s="394"/>
      <c r="E1376" s="297"/>
      <c r="F1376" s="394"/>
      <c r="G1376" s="297"/>
      <c r="H1376" s="297"/>
      <c r="I1376" s="297"/>
      <c r="J1376" s="297"/>
      <c r="K1376" s="297"/>
      <c r="L1376" s="297"/>
      <c r="M1376" s="297"/>
      <c r="N1376" s="297"/>
      <c r="O1376" s="297"/>
      <c r="P1376"/>
      <c r="Q1376"/>
      <c r="R1376"/>
      <c r="S1376"/>
      <c r="T1376"/>
      <c r="U1376"/>
    </row>
    <row r="1377" spans="1:21" x14ac:dyDescent="0.2">
      <c r="A1377"/>
      <c r="B1377" s="399"/>
      <c r="C1377" s="297"/>
      <c r="D1377" s="394"/>
      <c r="E1377" s="297"/>
      <c r="F1377" s="394"/>
      <c r="G1377" s="297"/>
      <c r="H1377" s="297"/>
      <c r="I1377" s="297"/>
      <c r="J1377" s="297"/>
      <c r="K1377" s="297"/>
      <c r="L1377" s="297"/>
      <c r="M1377" s="297"/>
      <c r="N1377" s="297"/>
      <c r="O1377" s="297"/>
      <c r="P1377"/>
      <c r="Q1377"/>
      <c r="R1377"/>
      <c r="S1377"/>
      <c r="T1377"/>
      <c r="U1377"/>
    </row>
    <row r="1378" spans="1:21" x14ac:dyDescent="0.2">
      <c r="A1378"/>
      <c r="B1378" s="399"/>
      <c r="C1378" s="297"/>
      <c r="D1378" s="394"/>
      <c r="E1378" s="297"/>
      <c r="F1378" s="394"/>
      <c r="G1378" s="297"/>
      <c r="H1378" s="297"/>
      <c r="I1378" s="297"/>
      <c r="J1378" s="297"/>
      <c r="K1378" s="297"/>
      <c r="L1378" s="297"/>
      <c r="M1378" s="297"/>
      <c r="N1378" s="297"/>
      <c r="O1378" s="297"/>
      <c r="P1378"/>
      <c r="Q1378"/>
      <c r="R1378"/>
      <c r="S1378"/>
      <c r="T1378"/>
      <c r="U1378"/>
    </row>
    <row r="1379" spans="1:21" x14ac:dyDescent="0.2">
      <c r="A1379"/>
      <c r="B1379" s="399"/>
      <c r="C1379" s="297"/>
      <c r="D1379" s="394"/>
      <c r="E1379" s="297"/>
      <c r="F1379" s="394"/>
      <c r="G1379" s="297"/>
      <c r="H1379" s="297"/>
      <c r="I1379" s="297"/>
      <c r="J1379" s="297"/>
      <c r="K1379" s="297"/>
      <c r="L1379" s="297"/>
      <c r="M1379" s="297"/>
      <c r="N1379" s="297"/>
      <c r="O1379" s="297"/>
      <c r="P1379"/>
      <c r="Q1379"/>
      <c r="R1379"/>
      <c r="S1379"/>
      <c r="T1379"/>
      <c r="U1379"/>
    </row>
    <row r="1380" spans="1:21" x14ac:dyDescent="0.2">
      <c r="A1380"/>
      <c r="B1380" s="399"/>
      <c r="C1380" s="297"/>
      <c r="D1380" s="394"/>
      <c r="E1380" s="297"/>
      <c r="F1380" s="394"/>
      <c r="G1380" s="297"/>
      <c r="H1380" s="297"/>
      <c r="I1380" s="297"/>
      <c r="J1380" s="297"/>
      <c r="K1380" s="297"/>
      <c r="L1380" s="297"/>
      <c r="M1380" s="297"/>
      <c r="N1380" s="297"/>
      <c r="O1380" s="297"/>
      <c r="P1380"/>
      <c r="Q1380"/>
      <c r="R1380"/>
      <c r="S1380"/>
      <c r="T1380"/>
      <c r="U1380"/>
    </row>
    <row r="1381" spans="1:21" x14ac:dyDescent="0.2">
      <c r="A1381"/>
      <c r="B1381" s="399"/>
      <c r="C1381" s="297"/>
      <c r="D1381" s="394"/>
      <c r="E1381" s="297"/>
      <c r="F1381" s="394"/>
      <c r="G1381" s="297"/>
      <c r="H1381" s="297"/>
      <c r="I1381" s="297"/>
      <c r="J1381" s="297"/>
      <c r="K1381" s="297"/>
      <c r="L1381" s="297"/>
      <c r="M1381" s="297"/>
      <c r="N1381" s="297"/>
      <c r="O1381" s="297"/>
      <c r="P1381"/>
      <c r="Q1381"/>
      <c r="R1381"/>
      <c r="S1381"/>
      <c r="T1381"/>
      <c r="U1381"/>
    </row>
    <row r="1382" spans="1:21" x14ac:dyDescent="0.2">
      <c r="A1382"/>
      <c r="B1382" s="399"/>
      <c r="C1382" s="297"/>
      <c r="D1382" s="394"/>
      <c r="E1382" s="297"/>
      <c r="F1382" s="394"/>
      <c r="G1382" s="297"/>
      <c r="H1382" s="297"/>
      <c r="I1382" s="297"/>
      <c r="J1382" s="297"/>
      <c r="K1382" s="297"/>
      <c r="L1382" s="297"/>
      <c r="M1382" s="297"/>
      <c r="N1382" s="297"/>
      <c r="O1382" s="297"/>
      <c r="P1382"/>
      <c r="Q1382"/>
      <c r="R1382"/>
      <c r="S1382"/>
      <c r="T1382"/>
      <c r="U1382"/>
    </row>
    <row r="1383" spans="1:21" x14ac:dyDescent="0.2">
      <c r="A1383"/>
      <c r="B1383" s="399"/>
      <c r="C1383" s="297"/>
      <c r="D1383" s="394"/>
      <c r="E1383" s="297"/>
      <c r="F1383" s="394"/>
      <c r="G1383" s="297"/>
      <c r="H1383" s="297"/>
      <c r="I1383" s="297"/>
      <c r="J1383" s="297"/>
      <c r="K1383" s="297"/>
      <c r="L1383" s="297"/>
      <c r="M1383" s="297"/>
      <c r="N1383" s="297"/>
      <c r="O1383" s="297"/>
      <c r="P1383"/>
      <c r="Q1383"/>
      <c r="R1383"/>
      <c r="S1383"/>
      <c r="T1383"/>
      <c r="U1383"/>
    </row>
    <row r="1384" spans="1:21" x14ac:dyDescent="0.2">
      <c r="A1384"/>
      <c r="B1384" s="399"/>
      <c r="C1384" s="297"/>
      <c r="D1384" s="394"/>
      <c r="E1384" s="297"/>
      <c r="F1384" s="394"/>
      <c r="G1384" s="297"/>
      <c r="H1384" s="297"/>
      <c r="I1384" s="297"/>
      <c r="J1384" s="297"/>
      <c r="K1384" s="297"/>
      <c r="L1384" s="297"/>
      <c r="M1384" s="297"/>
      <c r="N1384" s="297"/>
      <c r="O1384" s="297"/>
      <c r="P1384"/>
      <c r="Q1384"/>
      <c r="R1384"/>
      <c r="S1384"/>
      <c r="T1384"/>
      <c r="U1384"/>
    </row>
    <row r="1385" spans="1:21" x14ac:dyDescent="0.2">
      <c r="A1385"/>
      <c r="B1385" s="399"/>
      <c r="C1385" s="297"/>
      <c r="D1385" s="394"/>
      <c r="E1385" s="297"/>
      <c r="F1385" s="394"/>
      <c r="G1385" s="297"/>
      <c r="H1385" s="297"/>
      <c r="I1385" s="297"/>
      <c r="J1385" s="297"/>
      <c r="K1385" s="297"/>
      <c r="L1385" s="297"/>
      <c r="M1385" s="297"/>
      <c r="N1385" s="297"/>
      <c r="O1385" s="297"/>
      <c r="P1385"/>
      <c r="Q1385"/>
      <c r="R1385"/>
      <c r="S1385"/>
      <c r="T1385"/>
      <c r="U1385"/>
    </row>
    <row r="1386" spans="1:21" x14ac:dyDescent="0.2">
      <c r="A1386"/>
      <c r="B1386" s="399"/>
      <c r="C1386" s="297"/>
      <c r="D1386" s="394"/>
      <c r="E1386" s="297"/>
      <c r="F1386" s="394"/>
      <c r="G1386" s="297"/>
      <c r="H1386" s="297"/>
      <c r="I1386" s="297"/>
      <c r="J1386" s="297"/>
      <c r="K1386" s="297"/>
      <c r="L1386" s="297"/>
      <c r="M1386" s="297"/>
      <c r="N1386" s="297"/>
      <c r="O1386" s="297"/>
      <c r="P1386"/>
      <c r="Q1386"/>
      <c r="R1386"/>
      <c r="S1386"/>
      <c r="T1386"/>
      <c r="U1386"/>
    </row>
    <row r="1387" spans="1:21" x14ac:dyDescent="0.2">
      <c r="A1387"/>
      <c r="B1387" s="399"/>
      <c r="C1387" s="297"/>
      <c r="D1387" s="394"/>
      <c r="E1387" s="297"/>
      <c r="F1387" s="394"/>
      <c r="G1387" s="297"/>
      <c r="H1387" s="297"/>
      <c r="I1387" s="297"/>
      <c r="J1387" s="297"/>
      <c r="K1387" s="297"/>
      <c r="L1387" s="297"/>
      <c r="M1387" s="297"/>
      <c r="N1387" s="297"/>
      <c r="O1387" s="297"/>
      <c r="P1387"/>
      <c r="Q1387"/>
      <c r="R1387"/>
      <c r="S1387"/>
      <c r="T1387"/>
      <c r="U1387"/>
    </row>
    <row r="1388" spans="1:21" x14ac:dyDescent="0.2">
      <c r="A1388"/>
      <c r="B1388" s="399"/>
      <c r="C1388" s="297"/>
      <c r="D1388" s="394"/>
      <c r="E1388" s="297"/>
      <c r="F1388" s="394"/>
      <c r="G1388" s="297"/>
      <c r="H1388" s="297"/>
      <c r="I1388" s="297"/>
      <c r="J1388" s="297"/>
      <c r="K1388" s="297"/>
      <c r="L1388" s="297"/>
      <c r="M1388" s="297"/>
      <c r="N1388" s="297"/>
      <c r="O1388" s="297"/>
      <c r="P1388"/>
      <c r="Q1388"/>
      <c r="R1388"/>
      <c r="S1388"/>
      <c r="T1388"/>
      <c r="U1388"/>
    </row>
    <row r="1389" spans="1:21" x14ac:dyDescent="0.2">
      <c r="A1389"/>
      <c r="B1389" s="399"/>
      <c r="C1389" s="297"/>
      <c r="D1389" s="394"/>
      <c r="E1389" s="297"/>
      <c r="F1389" s="394"/>
      <c r="G1389" s="297"/>
      <c r="H1389" s="297"/>
      <c r="I1389" s="297"/>
      <c r="J1389" s="297"/>
      <c r="K1389" s="297"/>
      <c r="L1389" s="297"/>
      <c r="M1389" s="297"/>
      <c r="N1389" s="297"/>
      <c r="O1389" s="297"/>
      <c r="P1389"/>
      <c r="Q1389"/>
      <c r="R1389"/>
      <c r="S1389"/>
      <c r="T1389"/>
      <c r="U1389"/>
    </row>
    <row r="1390" spans="1:21" x14ac:dyDescent="0.2">
      <c r="A1390"/>
      <c r="B1390" s="399"/>
      <c r="C1390" s="297"/>
      <c r="D1390" s="394"/>
      <c r="E1390" s="297"/>
      <c r="F1390" s="394"/>
      <c r="G1390" s="297"/>
      <c r="H1390" s="297"/>
      <c r="I1390" s="297"/>
      <c r="J1390" s="297"/>
      <c r="K1390" s="297"/>
      <c r="L1390" s="297"/>
      <c r="M1390" s="297"/>
      <c r="N1390" s="297"/>
      <c r="O1390" s="297"/>
      <c r="P1390"/>
      <c r="Q1390"/>
      <c r="R1390"/>
      <c r="S1390"/>
      <c r="T1390"/>
      <c r="U1390"/>
    </row>
    <row r="1391" spans="1:21" x14ac:dyDescent="0.2">
      <c r="A1391"/>
      <c r="B1391" s="399"/>
      <c r="C1391" s="297"/>
      <c r="D1391" s="394"/>
      <c r="E1391" s="297"/>
      <c r="F1391" s="394"/>
      <c r="G1391" s="297"/>
      <c r="H1391" s="297"/>
      <c r="I1391" s="297"/>
      <c r="J1391" s="297"/>
      <c r="K1391" s="297"/>
      <c r="L1391" s="297"/>
      <c r="M1391" s="297"/>
      <c r="N1391" s="297"/>
      <c r="O1391" s="297"/>
      <c r="P1391"/>
      <c r="Q1391"/>
      <c r="R1391"/>
      <c r="S1391"/>
      <c r="T1391"/>
      <c r="U1391"/>
    </row>
    <row r="1392" spans="1:21" x14ac:dyDescent="0.2">
      <c r="A1392"/>
      <c r="B1392" s="399"/>
      <c r="C1392" s="297"/>
      <c r="D1392" s="394"/>
      <c r="E1392" s="297"/>
      <c r="F1392" s="394"/>
      <c r="G1392" s="297"/>
      <c r="H1392" s="297"/>
      <c r="I1392" s="297"/>
      <c r="J1392" s="297"/>
      <c r="K1392" s="297"/>
      <c r="L1392" s="297"/>
      <c r="M1392" s="297"/>
      <c r="N1392" s="297"/>
      <c r="O1392" s="297"/>
      <c r="P1392"/>
      <c r="Q1392"/>
      <c r="R1392"/>
      <c r="S1392"/>
      <c r="T1392"/>
      <c r="U1392"/>
    </row>
    <row r="1393" spans="1:21" x14ac:dyDescent="0.2">
      <c r="A1393"/>
      <c r="B1393" s="399"/>
      <c r="C1393" s="297"/>
      <c r="D1393" s="394"/>
      <c r="E1393" s="297"/>
      <c r="F1393" s="394"/>
      <c r="G1393" s="297"/>
      <c r="H1393" s="297"/>
      <c r="I1393" s="297"/>
      <c r="J1393" s="297"/>
      <c r="K1393" s="297"/>
      <c r="L1393" s="297"/>
      <c r="M1393" s="297"/>
      <c r="N1393" s="297"/>
      <c r="O1393" s="297"/>
      <c r="P1393"/>
      <c r="Q1393"/>
      <c r="R1393"/>
      <c r="S1393"/>
      <c r="T1393"/>
      <c r="U1393"/>
    </row>
    <row r="1394" spans="1:21" x14ac:dyDescent="0.2">
      <c r="A1394"/>
      <c r="B1394" s="399"/>
      <c r="C1394" s="297"/>
      <c r="D1394" s="394"/>
      <c r="E1394" s="297"/>
      <c r="F1394" s="394"/>
      <c r="G1394" s="297"/>
      <c r="H1394" s="297"/>
      <c r="I1394" s="297"/>
      <c r="J1394" s="297"/>
      <c r="K1394" s="297"/>
      <c r="L1394" s="297"/>
      <c r="M1394" s="297"/>
      <c r="N1394" s="297"/>
      <c r="O1394" s="297"/>
      <c r="P1394"/>
      <c r="Q1394"/>
      <c r="R1394"/>
      <c r="S1394"/>
      <c r="T1394"/>
      <c r="U1394"/>
    </row>
    <row r="1395" spans="1:21" x14ac:dyDescent="0.2">
      <c r="A1395"/>
      <c r="B1395" s="399"/>
      <c r="C1395" s="297"/>
      <c r="D1395" s="394"/>
      <c r="E1395" s="297"/>
      <c r="F1395" s="394"/>
      <c r="G1395" s="297"/>
      <c r="H1395" s="297"/>
      <c r="I1395" s="297"/>
      <c r="J1395" s="297"/>
      <c r="K1395" s="297"/>
      <c r="L1395" s="297"/>
      <c r="M1395" s="297"/>
      <c r="N1395" s="297"/>
      <c r="O1395" s="297"/>
      <c r="P1395"/>
      <c r="Q1395"/>
      <c r="R1395"/>
      <c r="S1395"/>
      <c r="T1395"/>
      <c r="U1395"/>
    </row>
    <row r="1396" spans="1:21" x14ac:dyDescent="0.2">
      <c r="A1396"/>
      <c r="B1396" s="399"/>
      <c r="C1396" s="297"/>
      <c r="D1396" s="394"/>
      <c r="E1396" s="297"/>
      <c r="F1396" s="394"/>
      <c r="G1396" s="297"/>
      <c r="H1396" s="297"/>
      <c r="I1396" s="297"/>
      <c r="J1396" s="297"/>
      <c r="K1396" s="297"/>
      <c r="L1396" s="297"/>
      <c r="M1396" s="297"/>
      <c r="N1396" s="297"/>
      <c r="O1396" s="297"/>
      <c r="P1396"/>
      <c r="Q1396"/>
      <c r="R1396"/>
      <c r="S1396"/>
      <c r="T1396"/>
      <c r="U1396"/>
    </row>
    <row r="1397" spans="1:21" x14ac:dyDescent="0.2">
      <c r="A1397"/>
      <c r="B1397" s="399"/>
      <c r="C1397" s="297"/>
      <c r="D1397" s="394"/>
      <c r="E1397" s="297"/>
      <c r="F1397" s="394"/>
      <c r="G1397" s="297"/>
      <c r="H1397" s="297"/>
      <c r="I1397" s="297"/>
      <c r="J1397" s="297"/>
      <c r="K1397" s="297"/>
      <c r="L1397" s="297"/>
      <c r="M1397" s="297"/>
      <c r="N1397" s="297"/>
      <c r="O1397" s="297"/>
      <c r="P1397"/>
      <c r="Q1397"/>
      <c r="R1397"/>
      <c r="S1397"/>
      <c r="T1397"/>
      <c r="U1397"/>
    </row>
    <row r="1398" spans="1:21" x14ac:dyDescent="0.2">
      <c r="A1398"/>
      <c r="B1398" s="399"/>
      <c r="C1398" s="297"/>
      <c r="D1398" s="394"/>
      <c r="E1398" s="297"/>
      <c r="F1398" s="394"/>
      <c r="G1398" s="297"/>
      <c r="H1398" s="297"/>
      <c r="I1398" s="297"/>
      <c r="J1398" s="297"/>
      <c r="K1398" s="297"/>
      <c r="L1398" s="297"/>
      <c r="M1398" s="297"/>
      <c r="N1398" s="297"/>
      <c r="O1398" s="297"/>
      <c r="P1398"/>
      <c r="Q1398"/>
      <c r="R1398"/>
      <c r="S1398"/>
      <c r="T1398"/>
      <c r="U1398"/>
    </row>
    <row r="1399" spans="1:21" x14ac:dyDescent="0.2">
      <c r="A1399"/>
      <c r="B1399" s="399"/>
      <c r="C1399" s="297"/>
      <c r="D1399" s="394"/>
      <c r="E1399" s="297"/>
      <c r="F1399" s="394"/>
      <c r="G1399" s="297"/>
      <c r="H1399" s="297"/>
      <c r="I1399" s="297"/>
      <c r="J1399" s="297"/>
      <c r="K1399" s="297"/>
      <c r="L1399" s="297"/>
      <c r="M1399" s="297"/>
      <c r="N1399" s="297"/>
      <c r="O1399" s="297"/>
      <c r="P1399"/>
      <c r="Q1399"/>
      <c r="R1399"/>
      <c r="S1399"/>
      <c r="T1399"/>
      <c r="U1399"/>
    </row>
    <row r="1400" spans="1:21" x14ac:dyDescent="0.2">
      <c r="A1400"/>
      <c r="B1400" s="399"/>
      <c r="C1400" s="297"/>
      <c r="D1400" s="394"/>
      <c r="E1400" s="297"/>
      <c r="F1400" s="394"/>
      <c r="G1400" s="297"/>
      <c r="H1400" s="297"/>
      <c r="I1400" s="297"/>
      <c r="J1400" s="297"/>
      <c r="K1400" s="297"/>
      <c r="L1400" s="297"/>
      <c r="M1400" s="297"/>
      <c r="N1400" s="297"/>
      <c r="O1400" s="297"/>
      <c r="P1400"/>
      <c r="Q1400"/>
      <c r="R1400"/>
      <c r="S1400"/>
      <c r="T1400"/>
      <c r="U1400"/>
    </row>
    <row r="1401" spans="1:21" x14ac:dyDescent="0.2">
      <c r="A1401"/>
      <c r="B1401" s="399"/>
      <c r="C1401" s="297"/>
      <c r="D1401" s="394"/>
      <c r="E1401" s="297"/>
      <c r="F1401" s="394"/>
      <c r="G1401" s="297"/>
      <c r="H1401" s="297"/>
      <c r="I1401" s="297"/>
      <c r="J1401" s="297"/>
      <c r="K1401" s="297"/>
      <c r="L1401" s="297"/>
      <c r="M1401" s="297"/>
      <c r="N1401" s="297"/>
      <c r="O1401" s="297"/>
      <c r="P1401"/>
      <c r="Q1401"/>
      <c r="R1401"/>
      <c r="S1401"/>
      <c r="T1401"/>
      <c r="U1401"/>
    </row>
    <row r="1402" spans="1:21" x14ac:dyDescent="0.2">
      <c r="A1402"/>
      <c r="B1402" s="399"/>
      <c r="C1402" s="297"/>
      <c r="D1402" s="394"/>
      <c r="E1402" s="297"/>
      <c r="F1402" s="394"/>
      <c r="G1402" s="297"/>
      <c r="H1402" s="297"/>
      <c r="I1402" s="297"/>
      <c r="J1402" s="297"/>
      <c r="K1402" s="297"/>
      <c r="L1402" s="297"/>
      <c r="M1402" s="297"/>
      <c r="N1402" s="297"/>
      <c r="O1402" s="297"/>
      <c r="P1402"/>
      <c r="Q1402"/>
      <c r="R1402"/>
      <c r="S1402"/>
      <c r="T1402"/>
      <c r="U1402"/>
    </row>
    <row r="1403" spans="1:21" x14ac:dyDescent="0.2">
      <c r="A1403"/>
      <c r="B1403" s="399"/>
      <c r="C1403" s="297"/>
      <c r="D1403" s="394"/>
      <c r="E1403" s="297"/>
      <c r="F1403" s="394"/>
      <c r="G1403" s="297"/>
      <c r="H1403" s="297"/>
      <c r="I1403" s="297"/>
      <c r="J1403" s="297"/>
      <c r="K1403" s="297"/>
      <c r="L1403" s="297"/>
      <c r="M1403" s="297"/>
      <c r="N1403" s="297"/>
      <c r="O1403" s="297"/>
      <c r="P1403"/>
      <c r="Q1403"/>
      <c r="R1403"/>
      <c r="S1403"/>
      <c r="T1403"/>
      <c r="U1403"/>
    </row>
    <row r="1404" spans="1:21" x14ac:dyDescent="0.2">
      <c r="A1404"/>
      <c r="B1404" s="399"/>
      <c r="C1404" s="297"/>
      <c r="D1404" s="394"/>
      <c r="E1404" s="297"/>
      <c r="F1404" s="394"/>
      <c r="G1404" s="297"/>
      <c r="H1404" s="297"/>
      <c r="I1404" s="297"/>
      <c r="J1404" s="297"/>
      <c r="K1404" s="297"/>
      <c r="L1404" s="297"/>
      <c r="M1404" s="297"/>
      <c r="N1404" s="297"/>
      <c r="O1404" s="297"/>
      <c r="P1404"/>
      <c r="Q1404"/>
      <c r="R1404"/>
      <c r="S1404"/>
      <c r="T1404"/>
      <c r="U1404"/>
    </row>
    <row r="1405" spans="1:21" x14ac:dyDescent="0.2">
      <c r="A1405"/>
      <c r="B1405" s="399"/>
      <c r="C1405" s="297"/>
      <c r="D1405" s="394"/>
      <c r="E1405" s="297"/>
      <c r="F1405" s="394"/>
      <c r="G1405" s="297"/>
      <c r="H1405" s="297"/>
      <c r="I1405" s="297"/>
      <c r="J1405" s="297"/>
      <c r="K1405" s="297"/>
      <c r="L1405" s="297"/>
      <c r="M1405" s="297"/>
      <c r="N1405" s="297"/>
      <c r="O1405" s="297"/>
      <c r="P1405"/>
      <c r="Q1405"/>
      <c r="R1405"/>
      <c r="S1405"/>
      <c r="T1405"/>
      <c r="U1405"/>
    </row>
    <row r="1406" spans="1:21" x14ac:dyDescent="0.2">
      <c r="A1406"/>
      <c r="B1406" s="399"/>
      <c r="C1406" s="297"/>
      <c r="D1406" s="394"/>
      <c r="E1406" s="297"/>
      <c r="F1406" s="394"/>
      <c r="G1406" s="297"/>
      <c r="H1406" s="297"/>
      <c r="I1406" s="297"/>
      <c r="J1406" s="297"/>
      <c r="K1406" s="297"/>
      <c r="L1406" s="297"/>
      <c r="M1406" s="297"/>
      <c r="N1406" s="297"/>
      <c r="O1406" s="297"/>
      <c r="P1406"/>
      <c r="Q1406"/>
      <c r="R1406"/>
      <c r="S1406"/>
      <c r="T1406"/>
      <c r="U1406"/>
    </row>
    <row r="1407" spans="1:21" x14ac:dyDescent="0.2">
      <c r="A1407"/>
      <c r="B1407" s="399"/>
      <c r="C1407" s="297"/>
      <c r="D1407" s="394"/>
      <c r="E1407" s="297"/>
      <c r="F1407" s="394"/>
      <c r="G1407" s="297"/>
      <c r="H1407" s="297"/>
      <c r="I1407" s="297"/>
      <c r="J1407" s="297"/>
      <c r="K1407" s="297"/>
      <c r="L1407" s="297"/>
      <c r="M1407" s="297"/>
      <c r="N1407" s="297"/>
      <c r="O1407" s="297"/>
      <c r="P1407"/>
      <c r="Q1407"/>
      <c r="R1407"/>
      <c r="S1407"/>
      <c r="T1407"/>
      <c r="U1407"/>
    </row>
    <row r="1408" spans="1:21" x14ac:dyDescent="0.2">
      <c r="A1408"/>
      <c r="B1408" s="399"/>
      <c r="C1408" s="297"/>
      <c r="D1408" s="394"/>
      <c r="E1408" s="297"/>
      <c r="F1408" s="394"/>
      <c r="G1408" s="297"/>
      <c r="H1408" s="297"/>
      <c r="I1408" s="297"/>
      <c r="J1408" s="297"/>
      <c r="K1408" s="297"/>
      <c r="L1408" s="297"/>
      <c r="M1408" s="297"/>
      <c r="N1408" s="297"/>
      <c r="O1408" s="297"/>
      <c r="P1408"/>
      <c r="Q1408"/>
      <c r="R1408"/>
      <c r="S1408"/>
      <c r="T1408"/>
      <c r="U1408"/>
    </row>
    <row r="1409" spans="1:21" x14ac:dyDescent="0.2">
      <c r="A1409"/>
      <c r="B1409" s="399"/>
      <c r="C1409" s="297"/>
      <c r="D1409" s="394"/>
      <c r="E1409" s="297"/>
      <c r="F1409" s="394"/>
      <c r="G1409" s="297"/>
      <c r="H1409" s="297"/>
      <c r="I1409" s="297"/>
      <c r="J1409" s="297"/>
      <c r="K1409" s="297"/>
      <c r="L1409" s="297"/>
      <c r="M1409" s="297"/>
      <c r="N1409" s="297"/>
      <c r="O1409" s="297"/>
      <c r="P1409"/>
      <c r="Q1409"/>
      <c r="R1409"/>
      <c r="S1409"/>
      <c r="T1409"/>
      <c r="U1409"/>
    </row>
    <row r="1410" spans="1:21" x14ac:dyDescent="0.2">
      <c r="A1410"/>
      <c r="B1410" s="399"/>
      <c r="C1410" s="297"/>
      <c r="D1410" s="394"/>
      <c r="E1410" s="297"/>
      <c r="F1410" s="394"/>
      <c r="G1410" s="297"/>
      <c r="H1410" s="297"/>
      <c r="I1410" s="297"/>
      <c r="J1410" s="297"/>
      <c r="K1410" s="297"/>
      <c r="L1410" s="297"/>
      <c r="M1410" s="297"/>
      <c r="N1410" s="297"/>
      <c r="O1410" s="297"/>
      <c r="P1410"/>
      <c r="Q1410"/>
      <c r="R1410"/>
      <c r="S1410"/>
      <c r="T1410"/>
      <c r="U1410"/>
    </row>
    <row r="1411" spans="1:21" x14ac:dyDescent="0.2">
      <c r="A1411"/>
      <c r="B1411" s="399"/>
      <c r="C1411" s="297"/>
      <c r="D1411" s="394"/>
      <c r="E1411" s="297"/>
      <c r="F1411" s="394"/>
      <c r="G1411" s="297"/>
      <c r="H1411" s="297"/>
      <c r="I1411" s="297"/>
      <c r="J1411" s="297"/>
      <c r="K1411" s="297"/>
      <c r="L1411" s="297"/>
      <c r="M1411" s="297"/>
      <c r="N1411" s="297"/>
      <c r="O1411" s="297"/>
      <c r="P1411"/>
      <c r="Q1411"/>
      <c r="R1411"/>
      <c r="S1411"/>
      <c r="T1411"/>
      <c r="U1411"/>
    </row>
    <row r="1412" spans="1:21" x14ac:dyDescent="0.2">
      <c r="A1412"/>
      <c r="B1412" s="399"/>
      <c r="C1412" s="297"/>
      <c r="D1412" s="394"/>
      <c r="E1412" s="297"/>
      <c r="F1412" s="394"/>
      <c r="G1412" s="297"/>
      <c r="H1412" s="297"/>
      <c r="I1412" s="297"/>
      <c r="J1412" s="297"/>
      <c r="K1412" s="297"/>
      <c r="L1412" s="297"/>
      <c r="M1412" s="297"/>
      <c r="N1412" s="297"/>
      <c r="O1412" s="297"/>
      <c r="P1412"/>
      <c r="Q1412"/>
      <c r="R1412"/>
      <c r="S1412"/>
      <c r="T1412"/>
      <c r="U1412"/>
    </row>
    <row r="1413" spans="1:21" x14ac:dyDescent="0.2">
      <c r="A1413"/>
      <c r="B1413" s="399"/>
      <c r="C1413" s="297"/>
      <c r="D1413" s="394"/>
      <c r="E1413" s="297"/>
      <c r="F1413" s="394"/>
      <c r="G1413" s="297"/>
      <c r="H1413" s="297"/>
      <c r="I1413" s="297"/>
      <c r="J1413" s="297"/>
      <c r="K1413" s="297"/>
      <c r="L1413" s="297"/>
      <c r="M1413" s="297"/>
      <c r="N1413" s="297"/>
      <c r="O1413" s="297"/>
      <c r="P1413"/>
      <c r="Q1413"/>
      <c r="R1413"/>
      <c r="S1413"/>
      <c r="T1413"/>
      <c r="U1413"/>
    </row>
    <row r="1414" spans="1:21" x14ac:dyDescent="0.2">
      <c r="A1414"/>
      <c r="B1414" s="399"/>
      <c r="C1414" s="297"/>
      <c r="D1414" s="394"/>
      <c r="E1414" s="297"/>
      <c r="F1414" s="394"/>
      <c r="G1414" s="297"/>
      <c r="H1414" s="297"/>
      <c r="I1414" s="297"/>
      <c r="J1414" s="297"/>
      <c r="K1414" s="297"/>
      <c r="L1414" s="297"/>
      <c r="M1414" s="297"/>
      <c r="N1414" s="297"/>
      <c r="O1414" s="297"/>
      <c r="P1414"/>
      <c r="Q1414"/>
      <c r="R1414"/>
      <c r="S1414"/>
      <c r="T1414"/>
      <c r="U1414"/>
    </row>
    <row r="1415" spans="1:21" x14ac:dyDescent="0.2">
      <c r="A1415"/>
      <c r="B1415" s="399"/>
      <c r="C1415" s="297"/>
      <c r="D1415" s="394"/>
      <c r="E1415" s="297"/>
      <c r="F1415" s="394"/>
      <c r="G1415" s="297"/>
      <c r="H1415" s="297"/>
      <c r="I1415" s="297"/>
      <c r="J1415" s="297"/>
      <c r="K1415" s="297"/>
      <c r="L1415" s="297"/>
      <c r="M1415" s="297"/>
      <c r="N1415" s="297"/>
      <c r="O1415" s="297"/>
      <c r="P1415"/>
      <c r="Q1415"/>
      <c r="R1415"/>
      <c r="S1415"/>
      <c r="T1415"/>
      <c r="U1415"/>
    </row>
    <row r="1416" spans="1:21" x14ac:dyDescent="0.2">
      <c r="A1416"/>
      <c r="B1416" s="399"/>
      <c r="C1416" s="297"/>
      <c r="D1416" s="394"/>
      <c r="E1416" s="297"/>
      <c r="F1416" s="394"/>
      <c r="G1416" s="297"/>
      <c r="H1416" s="297"/>
      <c r="I1416" s="297"/>
      <c r="J1416" s="297"/>
      <c r="K1416" s="297"/>
      <c r="L1416" s="297"/>
      <c r="M1416" s="297"/>
      <c r="N1416" s="297"/>
      <c r="O1416" s="297"/>
      <c r="P1416"/>
      <c r="Q1416"/>
      <c r="R1416"/>
      <c r="S1416"/>
      <c r="T1416"/>
      <c r="U1416"/>
    </row>
    <row r="1417" spans="1:21" x14ac:dyDescent="0.2">
      <c r="A1417"/>
      <c r="B1417" s="399"/>
      <c r="C1417" s="297"/>
      <c r="D1417" s="394"/>
      <c r="E1417" s="297"/>
      <c r="F1417" s="394"/>
      <c r="G1417" s="297"/>
      <c r="H1417" s="297"/>
      <c r="I1417" s="297"/>
      <c r="J1417" s="297"/>
      <c r="K1417" s="297"/>
      <c r="L1417" s="297"/>
      <c r="M1417" s="297"/>
      <c r="N1417" s="297"/>
      <c r="O1417" s="297"/>
      <c r="P1417"/>
      <c r="Q1417"/>
      <c r="R1417"/>
      <c r="S1417"/>
      <c r="T1417"/>
      <c r="U1417"/>
    </row>
    <row r="1418" spans="1:21" x14ac:dyDescent="0.2">
      <c r="A1418"/>
      <c r="B1418" s="399"/>
      <c r="C1418" s="297"/>
      <c r="D1418" s="394"/>
      <c r="E1418" s="297"/>
      <c r="F1418" s="394"/>
      <c r="G1418" s="297"/>
      <c r="H1418" s="297"/>
      <c r="I1418" s="297"/>
      <c r="J1418" s="297"/>
      <c r="K1418" s="297"/>
      <c r="L1418" s="297"/>
      <c r="M1418" s="297"/>
      <c r="N1418" s="297"/>
      <c r="O1418" s="297"/>
      <c r="P1418"/>
      <c r="Q1418"/>
      <c r="R1418"/>
      <c r="S1418"/>
      <c r="T1418"/>
      <c r="U1418"/>
    </row>
    <row r="1419" spans="1:21" x14ac:dyDescent="0.2">
      <c r="A1419"/>
      <c r="B1419" s="399"/>
      <c r="C1419" s="297"/>
      <c r="D1419" s="394"/>
      <c r="E1419" s="297"/>
      <c r="F1419" s="394"/>
      <c r="G1419" s="297"/>
      <c r="H1419" s="297"/>
      <c r="I1419" s="297"/>
      <c r="J1419" s="297"/>
      <c r="K1419" s="297"/>
      <c r="L1419" s="297"/>
      <c r="M1419" s="297"/>
      <c r="N1419" s="297"/>
      <c r="O1419" s="297"/>
      <c r="P1419"/>
      <c r="Q1419"/>
      <c r="R1419"/>
      <c r="S1419"/>
      <c r="T1419"/>
      <c r="U1419"/>
    </row>
    <row r="1420" spans="1:21" x14ac:dyDescent="0.2">
      <c r="A1420"/>
      <c r="B1420" s="399"/>
      <c r="C1420" s="297"/>
      <c r="D1420" s="394"/>
      <c r="E1420" s="297"/>
      <c r="F1420" s="394"/>
      <c r="G1420" s="297"/>
      <c r="H1420" s="297"/>
      <c r="I1420" s="297"/>
      <c r="J1420" s="297"/>
      <c r="K1420" s="297"/>
      <c r="L1420" s="297"/>
      <c r="M1420" s="297"/>
      <c r="N1420" s="297"/>
      <c r="O1420" s="297"/>
      <c r="P1420"/>
      <c r="Q1420"/>
      <c r="R1420"/>
      <c r="S1420"/>
      <c r="T1420"/>
      <c r="U1420"/>
    </row>
    <row r="1421" spans="1:21" x14ac:dyDescent="0.2">
      <c r="A1421"/>
      <c r="B1421" s="399"/>
      <c r="C1421" s="297"/>
      <c r="D1421" s="394"/>
      <c r="E1421" s="297"/>
      <c r="F1421" s="394"/>
      <c r="G1421" s="297"/>
      <c r="H1421" s="297"/>
      <c r="I1421" s="297"/>
      <c r="J1421" s="297"/>
      <c r="K1421" s="297"/>
      <c r="L1421" s="297"/>
      <c r="M1421" s="297"/>
      <c r="N1421" s="297"/>
      <c r="O1421" s="297"/>
      <c r="P1421"/>
      <c r="Q1421"/>
      <c r="R1421"/>
      <c r="S1421"/>
      <c r="T1421"/>
      <c r="U1421"/>
    </row>
    <row r="1422" spans="1:21" x14ac:dyDescent="0.2">
      <c r="A1422"/>
      <c r="B1422" s="399"/>
      <c r="C1422" s="297"/>
      <c r="D1422" s="394"/>
      <c r="E1422" s="297"/>
      <c r="F1422" s="394"/>
      <c r="G1422" s="297"/>
      <c r="H1422" s="297"/>
      <c r="I1422" s="297"/>
      <c r="J1422" s="297"/>
      <c r="K1422" s="297"/>
      <c r="L1422" s="297"/>
      <c r="M1422" s="297"/>
      <c r="N1422" s="297"/>
      <c r="O1422" s="297"/>
      <c r="P1422"/>
      <c r="Q1422"/>
      <c r="R1422"/>
      <c r="S1422"/>
      <c r="T1422"/>
      <c r="U1422"/>
    </row>
    <row r="1423" spans="1:21" x14ac:dyDescent="0.2">
      <c r="A1423"/>
      <c r="B1423" s="399"/>
      <c r="C1423" s="297"/>
      <c r="D1423" s="394"/>
      <c r="E1423" s="297"/>
      <c r="F1423" s="394"/>
      <c r="G1423" s="297"/>
      <c r="H1423" s="297"/>
      <c r="I1423" s="297"/>
      <c r="J1423" s="297"/>
      <c r="K1423" s="297"/>
      <c r="L1423" s="297"/>
      <c r="M1423" s="297"/>
      <c r="N1423" s="297"/>
      <c r="O1423" s="297"/>
      <c r="P1423"/>
      <c r="Q1423"/>
      <c r="R1423"/>
      <c r="S1423"/>
      <c r="T1423"/>
      <c r="U1423"/>
    </row>
    <row r="1424" spans="1:21" x14ac:dyDescent="0.2">
      <c r="A1424"/>
      <c r="B1424" s="399"/>
      <c r="C1424" s="297"/>
      <c r="D1424" s="394"/>
      <c r="E1424" s="297"/>
      <c r="F1424" s="394"/>
      <c r="G1424" s="297"/>
      <c r="H1424" s="297"/>
      <c r="I1424" s="297"/>
      <c r="J1424" s="297"/>
      <c r="K1424" s="297"/>
      <c r="L1424" s="297"/>
      <c r="M1424" s="297"/>
      <c r="N1424" s="297"/>
      <c r="O1424" s="297"/>
      <c r="P1424"/>
      <c r="Q1424"/>
      <c r="R1424"/>
      <c r="S1424"/>
      <c r="T1424"/>
      <c r="U1424"/>
    </row>
    <row r="1425" spans="1:21" x14ac:dyDescent="0.2">
      <c r="A1425"/>
      <c r="B1425" s="399"/>
      <c r="C1425" s="297"/>
      <c r="D1425" s="394"/>
      <c r="E1425" s="297"/>
      <c r="F1425" s="394"/>
      <c r="G1425" s="297"/>
      <c r="H1425" s="297"/>
      <c r="I1425" s="297"/>
      <c r="J1425" s="297"/>
      <c r="K1425" s="297"/>
      <c r="L1425" s="297"/>
      <c r="M1425" s="297"/>
      <c r="N1425" s="297"/>
      <c r="O1425" s="297"/>
      <c r="P1425"/>
      <c r="Q1425"/>
      <c r="R1425"/>
      <c r="S1425"/>
      <c r="T1425"/>
      <c r="U1425"/>
    </row>
    <row r="1426" spans="1:21" x14ac:dyDescent="0.2">
      <c r="A1426"/>
      <c r="B1426" s="399"/>
      <c r="C1426" s="297"/>
      <c r="D1426" s="394"/>
      <c r="E1426" s="297"/>
      <c r="F1426" s="394"/>
      <c r="G1426" s="297"/>
      <c r="H1426" s="297"/>
      <c r="I1426" s="297"/>
      <c r="J1426" s="297"/>
      <c r="K1426" s="297"/>
      <c r="L1426" s="297"/>
      <c r="M1426" s="297"/>
      <c r="N1426" s="297"/>
      <c r="O1426" s="297"/>
      <c r="P1426"/>
      <c r="Q1426"/>
      <c r="R1426"/>
      <c r="S1426"/>
      <c r="T1426"/>
      <c r="U1426"/>
    </row>
    <row r="1427" spans="1:21" x14ac:dyDescent="0.2">
      <c r="A1427"/>
      <c r="B1427" s="399"/>
      <c r="C1427" s="297"/>
      <c r="D1427" s="394"/>
      <c r="E1427" s="297"/>
      <c r="F1427" s="394"/>
      <c r="G1427" s="297"/>
      <c r="H1427" s="297"/>
      <c r="I1427" s="297"/>
      <c r="J1427" s="297"/>
      <c r="K1427" s="297"/>
      <c r="L1427" s="297"/>
      <c r="M1427" s="297"/>
      <c r="N1427" s="297"/>
      <c r="O1427" s="297"/>
      <c r="P1427"/>
      <c r="Q1427"/>
      <c r="R1427"/>
      <c r="S1427"/>
      <c r="T1427"/>
      <c r="U1427"/>
    </row>
    <row r="1428" spans="1:21" x14ac:dyDescent="0.2">
      <c r="A1428"/>
      <c r="B1428" s="399"/>
      <c r="C1428" s="297"/>
      <c r="D1428" s="394"/>
      <c r="E1428" s="297"/>
      <c r="F1428" s="394"/>
      <c r="G1428" s="297"/>
      <c r="H1428" s="297"/>
      <c r="I1428" s="297"/>
      <c r="J1428" s="297"/>
      <c r="K1428" s="297"/>
      <c r="L1428" s="297"/>
      <c r="M1428" s="297"/>
      <c r="N1428" s="297"/>
      <c r="O1428" s="297"/>
      <c r="P1428"/>
      <c r="Q1428"/>
      <c r="R1428"/>
      <c r="S1428"/>
      <c r="T1428"/>
      <c r="U1428"/>
    </row>
    <row r="1429" spans="1:21" x14ac:dyDescent="0.2">
      <c r="A1429"/>
      <c r="B1429" s="399"/>
      <c r="C1429" s="297"/>
      <c r="D1429" s="394"/>
      <c r="E1429" s="297"/>
      <c r="F1429" s="394"/>
      <c r="G1429" s="297"/>
      <c r="H1429" s="297"/>
      <c r="I1429" s="297"/>
      <c r="J1429" s="297"/>
      <c r="K1429" s="297"/>
      <c r="L1429" s="297"/>
      <c r="M1429" s="297"/>
      <c r="N1429" s="297"/>
      <c r="O1429" s="297"/>
      <c r="P1429"/>
      <c r="Q1429"/>
      <c r="R1429"/>
      <c r="S1429"/>
      <c r="T1429"/>
      <c r="U1429"/>
    </row>
    <row r="1430" spans="1:21" x14ac:dyDescent="0.2">
      <c r="A1430"/>
      <c r="B1430" s="399"/>
      <c r="C1430" s="297"/>
      <c r="D1430" s="394"/>
      <c r="E1430" s="297"/>
      <c r="F1430" s="394"/>
      <c r="G1430" s="297"/>
      <c r="H1430" s="297"/>
      <c r="I1430" s="297"/>
      <c r="J1430" s="297"/>
      <c r="K1430" s="297"/>
      <c r="L1430" s="297"/>
      <c r="M1430" s="297"/>
      <c r="N1430" s="297"/>
      <c r="O1430" s="297"/>
      <c r="P1430"/>
      <c r="Q1430"/>
      <c r="R1430"/>
      <c r="S1430"/>
      <c r="T1430"/>
      <c r="U1430"/>
    </row>
    <row r="1431" spans="1:21" x14ac:dyDescent="0.2">
      <c r="A1431"/>
      <c r="B1431" s="399"/>
      <c r="C1431" s="297"/>
      <c r="D1431" s="394"/>
      <c r="E1431" s="297"/>
      <c r="F1431" s="394"/>
      <c r="G1431" s="297"/>
      <c r="H1431" s="297"/>
      <c r="I1431" s="297"/>
      <c r="J1431" s="297"/>
      <c r="K1431" s="297"/>
      <c r="L1431" s="297"/>
      <c r="M1431" s="297"/>
      <c r="N1431" s="297"/>
      <c r="O1431" s="297"/>
      <c r="P1431"/>
      <c r="Q1431"/>
      <c r="R1431"/>
      <c r="S1431"/>
      <c r="T1431"/>
      <c r="U1431"/>
    </row>
    <row r="1432" spans="1:21" x14ac:dyDescent="0.2">
      <c r="A1432"/>
      <c r="B1432" s="399"/>
      <c r="C1432" s="297"/>
      <c r="D1432" s="394"/>
      <c r="E1432" s="297"/>
      <c r="F1432" s="394"/>
      <c r="G1432" s="297"/>
      <c r="H1432" s="297"/>
      <c r="I1432" s="297"/>
      <c r="J1432" s="297"/>
      <c r="K1432" s="297"/>
      <c r="L1432" s="297"/>
      <c r="M1432" s="297"/>
      <c r="N1432" s="297"/>
      <c r="O1432" s="297"/>
      <c r="P1432"/>
      <c r="Q1432"/>
      <c r="R1432"/>
      <c r="S1432"/>
      <c r="T1432"/>
      <c r="U1432"/>
    </row>
    <row r="1433" spans="1:21" x14ac:dyDescent="0.2">
      <c r="A1433"/>
      <c r="B1433" s="399"/>
      <c r="C1433" s="297"/>
      <c r="D1433" s="394"/>
      <c r="E1433" s="297"/>
      <c r="F1433" s="394"/>
      <c r="G1433" s="297"/>
      <c r="H1433" s="297"/>
      <c r="I1433" s="297"/>
      <c r="J1433" s="297"/>
      <c r="K1433" s="297"/>
      <c r="L1433" s="297"/>
      <c r="M1433" s="297"/>
      <c r="N1433" s="297"/>
      <c r="O1433" s="297"/>
      <c r="P1433"/>
      <c r="Q1433"/>
      <c r="R1433"/>
      <c r="S1433"/>
      <c r="T1433"/>
      <c r="U1433"/>
    </row>
    <row r="1434" spans="1:21" x14ac:dyDescent="0.2">
      <c r="A1434"/>
      <c r="B1434" s="399"/>
      <c r="C1434" s="297"/>
      <c r="D1434" s="394"/>
      <c r="E1434" s="297"/>
      <c r="F1434" s="394"/>
      <c r="G1434" s="297"/>
      <c r="H1434" s="297"/>
      <c r="I1434" s="297"/>
      <c r="J1434" s="297"/>
      <c r="K1434" s="297"/>
      <c r="L1434" s="297"/>
      <c r="M1434" s="297"/>
      <c r="N1434" s="297"/>
      <c r="O1434" s="297"/>
      <c r="P1434"/>
      <c r="Q1434"/>
      <c r="R1434"/>
      <c r="S1434"/>
      <c r="T1434"/>
      <c r="U1434"/>
    </row>
    <row r="1435" spans="1:21" x14ac:dyDescent="0.2">
      <c r="A1435"/>
      <c r="B1435" s="399"/>
      <c r="C1435" s="297"/>
      <c r="D1435" s="394"/>
      <c r="E1435" s="297"/>
      <c r="F1435" s="394"/>
      <c r="G1435" s="297"/>
      <c r="H1435" s="297"/>
      <c r="I1435" s="297"/>
      <c r="J1435" s="297"/>
      <c r="K1435" s="297"/>
      <c r="L1435" s="297"/>
      <c r="M1435" s="297"/>
      <c r="N1435" s="297"/>
      <c r="O1435" s="297"/>
      <c r="P1435"/>
      <c r="Q1435"/>
      <c r="R1435"/>
      <c r="S1435"/>
      <c r="T1435"/>
      <c r="U1435"/>
    </row>
    <row r="1436" spans="1:21" x14ac:dyDescent="0.2">
      <c r="A1436"/>
      <c r="B1436" s="399"/>
      <c r="C1436" s="297"/>
      <c r="D1436" s="394"/>
      <c r="E1436" s="297"/>
      <c r="F1436" s="394"/>
      <c r="G1436" s="297"/>
      <c r="H1436" s="297"/>
      <c r="I1436" s="297"/>
      <c r="J1436" s="297"/>
      <c r="K1436" s="297"/>
      <c r="L1436" s="297"/>
      <c r="M1436" s="297"/>
      <c r="N1436" s="297"/>
      <c r="O1436" s="297"/>
      <c r="P1436"/>
      <c r="Q1436"/>
      <c r="R1436"/>
      <c r="S1436"/>
      <c r="T1436"/>
      <c r="U1436"/>
    </row>
    <row r="1437" spans="1:21" x14ac:dyDescent="0.2">
      <c r="A1437"/>
      <c r="B1437" s="399"/>
      <c r="C1437" s="297"/>
      <c r="D1437" s="394"/>
      <c r="E1437" s="297"/>
      <c r="F1437" s="394"/>
      <c r="G1437" s="297"/>
      <c r="H1437" s="297"/>
      <c r="I1437" s="297"/>
      <c r="J1437" s="297"/>
      <c r="K1437" s="297"/>
      <c r="L1437" s="297"/>
      <c r="M1437" s="297"/>
      <c r="N1437" s="297"/>
      <c r="O1437" s="297"/>
      <c r="P1437"/>
      <c r="Q1437"/>
      <c r="R1437"/>
      <c r="S1437"/>
      <c r="T1437"/>
      <c r="U1437"/>
    </row>
    <row r="1438" spans="1:21" x14ac:dyDescent="0.2">
      <c r="A1438"/>
      <c r="B1438" s="399"/>
      <c r="C1438" s="297"/>
      <c r="D1438" s="394"/>
      <c r="E1438" s="297"/>
      <c r="F1438" s="394"/>
      <c r="G1438" s="297"/>
      <c r="H1438" s="297"/>
      <c r="I1438" s="297"/>
      <c r="J1438" s="297"/>
      <c r="K1438" s="297"/>
      <c r="L1438" s="297"/>
      <c r="M1438" s="297"/>
      <c r="N1438" s="297"/>
      <c r="O1438" s="297"/>
      <c r="P1438"/>
      <c r="Q1438"/>
      <c r="R1438"/>
      <c r="S1438"/>
      <c r="T1438"/>
      <c r="U1438"/>
    </row>
    <row r="1439" spans="1:21" x14ac:dyDescent="0.2">
      <c r="A1439"/>
      <c r="B1439" s="399"/>
      <c r="C1439" s="297"/>
      <c r="D1439" s="394"/>
      <c r="E1439" s="297"/>
      <c r="F1439" s="394"/>
      <c r="G1439" s="297"/>
      <c r="H1439" s="297"/>
      <c r="I1439" s="297"/>
      <c r="J1439" s="297"/>
      <c r="K1439" s="297"/>
      <c r="L1439" s="297"/>
      <c r="M1439" s="297"/>
      <c r="N1439" s="297"/>
      <c r="O1439" s="297"/>
      <c r="P1439"/>
      <c r="Q1439"/>
      <c r="R1439"/>
      <c r="S1439"/>
      <c r="T1439"/>
      <c r="U1439"/>
    </row>
    <row r="1440" spans="1:21" x14ac:dyDescent="0.2">
      <c r="A1440"/>
      <c r="B1440" s="399"/>
      <c r="C1440" s="297"/>
      <c r="D1440" s="394"/>
      <c r="E1440" s="297"/>
      <c r="F1440" s="394"/>
      <c r="G1440" s="297"/>
      <c r="H1440" s="297"/>
      <c r="I1440" s="297"/>
      <c r="J1440" s="297"/>
      <c r="K1440" s="297"/>
      <c r="L1440" s="297"/>
      <c r="M1440" s="297"/>
      <c r="N1440" s="297"/>
      <c r="O1440" s="297"/>
      <c r="P1440"/>
      <c r="Q1440"/>
      <c r="R1440"/>
      <c r="S1440"/>
      <c r="T1440"/>
      <c r="U1440"/>
    </row>
    <row r="1441" spans="1:21" x14ac:dyDescent="0.2">
      <c r="A1441"/>
      <c r="B1441" s="399"/>
      <c r="C1441" s="297"/>
      <c r="D1441" s="394"/>
      <c r="E1441" s="297"/>
      <c r="F1441" s="394"/>
      <c r="G1441" s="297"/>
      <c r="H1441" s="297"/>
      <c r="I1441" s="297"/>
      <c r="J1441" s="297"/>
      <c r="K1441" s="297"/>
      <c r="L1441" s="297"/>
      <c r="M1441" s="297"/>
      <c r="N1441" s="297"/>
      <c r="O1441" s="297"/>
      <c r="P1441"/>
      <c r="Q1441"/>
      <c r="R1441"/>
      <c r="S1441"/>
      <c r="T1441"/>
      <c r="U1441"/>
    </row>
    <row r="1442" spans="1:21" x14ac:dyDescent="0.2">
      <c r="A1442"/>
      <c r="B1442" s="399"/>
      <c r="C1442" s="297"/>
      <c r="D1442" s="394"/>
      <c r="E1442" s="297"/>
      <c r="F1442" s="394"/>
      <c r="G1442" s="297"/>
      <c r="H1442" s="297"/>
      <c r="I1442" s="297"/>
      <c r="J1442" s="297"/>
      <c r="K1442" s="297"/>
      <c r="L1442" s="297"/>
      <c r="M1442" s="297"/>
      <c r="N1442" s="297"/>
      <c r="O1442" s="297"/>
      <c r="P1442"/>
      <c r="Q1442"/>
      <c r="R1442"/>
      <c r="S1442"/>
      <c r="T1442"/>
      <c r="U1442"/>
    </row>
    <row r="1443" spans="1:21" x14ac:dyDescent="0.2">
      <c r="A1443"/>
      <c r="B1443" s="399"/>
      <c r="C1443" s="297"/>
      <c r="D1443" s="394"/>
      <c r="E1443" s="297"/>
      <c r="F1443" s="394"/>
      <c r="G1443" s="297"/>
      <c r="H1443" s="297"/>
      <c r="I1443" s="297"/>
      <c r="J1443" s="297"/>
      <c r="K1443" s="297"/>
      <c r="L1443" s="297"/>
      <c r="M1443" s="297"/>
      <c r="N1443" s="297"/>
      <c r="O1443" s="297"/>
      <c r="P1443"/>
      <c r="Q1443"/>
      <c r="R1443"/>
      <c r="S1443"/>
      <c r="T1443"/>
      <c r="U1443"/>
    </row>
    <row r="1444" spans="1:21" x14ac:dyDescent="0.2">
      <c r="A1444"/>
      <c r="B1444" s="399"/>
      <c r="C1444" s="297"/>
      <c r="D1444" s="394"/>
      <c r="E1444" s="297"/>
      <c r="F1444" s="394"/>
      <c r="G1444" s="297"/>
      <c r="H1444" s="297"/>
      <c r="I1444" s="297"/>
      <c r="J1444" s="297"/>
      <c r="K1444" s="297"/>
      <c r="L1444" s="297"/>
      <c r="M1444" s="297"/>
      <c r="N1444" s="297"/>
      <c r="O1444" s="297"/>
      <c r="P1444"/>
      <c r="Q1444"/>
      <c r="R1444"/>
      <c r="S1444"/>
      <c r="T1444"/>
      <c r="U1444"/>
    </row>
    <row r="1445" spans="1:21" x14ac:dyDescent="0.2">
      <c r="A1445"/>
      <c r="B1445" s="399"/>
      <c r="C1445" s="297"/>
      <c r="D1445" s="394"/>
      <c r="E1445" s="297"/>
      <c r="F1445" s="394"/>
      <c r="G1445" s="297"/>
      <c r="H1445" s="297"/>
      <c r="I1445" s="297"/>
      <c r="J1445" s="297"/>
      <c r="K1445" s="297"/>
      <c r="L1445" s="297"/>
      <c r="M1445" s="297"/>
      <c r="N1445" s="297"/>
      <c r="O1445" s="297"/>
      <c r="P1445"/>
      <c r="Q1445"/>
      <c r="R1445"/>
      <c r="S1445"/>
      <c r="T1445"/>
      <c r="U1445"/>
    </row>
    <row r="1446" spans="1:21" x14ac:dyDescent="0.2">
      <c r="A1446"/>
      <c r="B1446" s="399"/>
      <c r="C1446" s="297"/>
      <c r="D1446" s="394"/>
      <c r="E1446" s="297"/>
      <c r="F1446" s="394"/>
      <c r="G1446" s="297"/>
      <c r="H1446" s="297"/>
      <c r="I1446" s="297"/>
      <c r="J1446" s="297"/>
      <c r="K1446" s="297"/>
      <c r="L1446" s="297"/>
      <c r="M1446" s="297"/>
      <c r="N1446" s="297"/>
      <c r="O1446" s="297"/>
      <c r="P1446"/>
      <c r="Q1446"/>
      <c r="R1446"/>
      <c r="S1446"/>
      <c r="T1446"/>
      <c r="U1446"/>
    </row>
    <row r="1447" spans="1:21" x14ac:dyDescent="0.2">
      <c r="A1447"/>
      <c r="B1447" s="399"/>
      <c r="C1447" s="297"/>
      <c r="D1447" s="394"/>
      <c r="E1447" s="297"/>
      <c r="F1447" s="394"/>
      <c r="G1447" s="297"/>
      <c r="H1447" s="297"/>
      <c r="I1447" s="297"/>
      <c r="J1447" s="297"/>
      <c r="K1447" s="297"/>
      <c r="L1447" s="297"/>
      <c r="M1447" s="297"/>
      <c r="N1447" s="297"/>
      <c r="O1447" s="297"/>
      <c r="P1447"/>
      <c r="Q1447"/>
      <c r="R1447"/>
      <c r="S1447"/>
      <c r="T1447"/>
      <c r="U1447"/>
    </row>
    <row r="1448" spans="1:21" x14ac:dyDescent="0.2">
      <c r="A1448"/>
      <c r="B1448" s="399"/>
      <c r="C1448" s="297"/>
      <c r="D1448" s="394"/>
      <c r="E1448" s="297"/>
      <c r="F1448" s="394"/>
      <c r="G1448" s="297"/>
      <c r="H1448" s="297"/>
      <c r="I1448" s="297"/>
      <c r="J1448" s="297"/>
      <c r="K1448" s="297"/>
      <c r="L1448" s="297"/>
      <c r="M1448" s="297"/>
      <c r="N1448" s="297"/>
      <c r="O1448" s="297"/>
      <c r="P1448"/>
      <c r="Q1448"/>
      <c r="R1448"/>
      <c r="S1448"/>
      <c r="T1448"/>
      <c r="U1448"/>
    </row>
    <row r="1449" spans="1:21" x14ac:dyDescent="0.2">
      <c r="A1449"/>
      <c r="B1449" s="399"/>
      <c r="C1449" s="297"/>
      <c r="D1449" s="394"/>
      <c r="E1449" s="297"/>
      <c r="F1449" s="394"/>
      <c r="G1449" s="297"/>
      <c r="H1449" s="297"/>
      <c r="I1449" s="297"/>
      <c r="J1449" s="297"/>
      <c r="K1449" s="297"/>
      <c r="L1449" s="297"/>
      <c r="M1449" s="297"/>
      <c r="N1449" s="297"/>
      <c r="O1449" s="297"/>
      <c r="P1449"/>
      <c r="Q1449"/>
      <c r="R1449"/>
      <c r="S1449"/>
      <c r="T1449"/>
      <c r="U1449"/>
    </row>
    <row r="1450" spans="1:21" x14ac:dyDescent="0.2">
      <c r="A1450"/>
      <c r="B1450" s="399"/>
      <c r="C1450" s="297"/>
      <c r="D1450" s="394"/>
      <c r="E1450" s="297"/>
      <c r="F1450" s="394"/>
      <c r="G1450" s="297"/>
      <c r="H1450" s="297"/>
      <c r="I1450" s="297"/>
      <c r="J1450" s="297"/>
      <c r="K1450" s="297"/>
      <c r="L1450" s="297"/>
      <c r="M1450" s="297"/>
      <c r="N1450" s="297"/>
      <c r="O1450" s="297"/>
      <c r="P1450"/>
      <c r="Q1450"/>
      <c r="R1450"/>
      <c r="S1450"/>
      <c r="T1450"/>
      <c r="U1450"/>
    </row>
    <row r="1451" spans="1:21" x14ac:dyDescent="0.2">
      <c r="A1451"/>
      <c r="B1451" s="399"/>
      <c r="C1451" s="297"/>
      <c r="D1451" s="394"/>
      <c r="E1451" s="297"/>
      <c r="F1451" s="394"/>
      <c r="G1451" s="297"/>
      <c r="H1451" s="297"/>
      <c r="I1451" s="297"/>
      <c r="J1451" s="297"/>
      <c r="K1451" s="297"/>
      <c r="L1451" s="297"/>
      <c r="M1451" s="297"/>
      <c r="N1451" s="297"/>
      <c r="O1451" s="297"/>
      <c r="P1451"/>
      <c r="Q1451"/>
      <c r="R1451"/>
      <c r="S1451"/>
      <c r="T1451"/>
      <c r="U1451"/>
    </row>
    <row r="1452" spans="1:21" x14ac:dyDescent="0.2">
      <c r="A1452"/>
      <c r="B1452" s="399"/>
      <c r="C1452" s="297"/>
      <c r="D1452" s="394"/>
      <c r="E1452" s="297"/>
      <c r="F1452" s="394"/>
      <c r="G1452" s="297"/>
      <c r="H1452" s="297"/>
      <c r="I1452" s="297"/>
      <c r="J1452" s="297"/>
      <c r="K1452" s="297"/>
      <c r="L1452" s="297"/>
      <c r="M1452" s="297"/>
      <c r="N1452" s="297"/>
      <c r="O1452" s="297"/>
      <c r="P1452"/>
      <c r="Q1452"/>
      <c r="R1452"/>
      <c r="S1452"/>
      <c r="T1452"/>
      <c r="U1452"/>
    </row>
    <row r="1453" spans="1:21" x14ac:dyDescent="0.2">
      <c r="A1453"/>
      <c r="B1453" s="399"/>
      <c r="C1453" s="297"/>
      <c r="D1453" s="394"/>
      <c r="E1453" s="297"/>
      <c r="F1453" s="394"/>
      <c r="G1453" s="297"/>
      <c r="H1453" s="297"/>
      <c r="I1453" s="297"/>
      <c r="J1453" s="297"/>
      <c r="K1453" s="297"/>
      <c r="L1453" s="297"/>
      <c r="M1453" s="297"/>
      <c r="N1453" s="297"/>
      <c r="O1453" s="297"/>
      <c r="P1453"/>
      <c r="Q1453"/>
      <c r="R1453"/>
      <c r="S1453"/>
      <c r="T1453"/>
      <c r="U1453"/>
    </row>
    <row r="1454" spans="1:21" x14ac:dyDescent="0.2">
      <c r="A1454"/>
      <c r="B1454" s="399"/>
      <c r="C1454" s="297"/>
      <c r="D1454" s="394"/>
      <c r="E1454" s="297"/>
      <c r="F1454" s="394"/>
      <c r="G1454" s="297"/>
      <c r="H1454" s="297"/>
      <c r="I1454" s="297"/>
      <c r="J1454" s="297"/>
      <c r="K1454" s="297"/>
      <c r="L1454" s="297"/>
      <c r="M1454" s="297"/>
      <c r="N1454" s="297"/>
      <c r="O1454" s="297"/>
      <c r="P1454"/>
      <c r="Q1454"/>
      <c r="R1454"/>
      <c r="S1454"/>
      <c r="T1454"/>
      <c r="U1454"/>
    </row>
    <row r="1455" spans="1:21" x14ac:dyDescent="0.2">
      <c r="A1455"/>
      <c r="B1455" s="399"/>
      <c r="C1455" s="297"/>
      <c r="D1455" s="394"/>
      <c r="E1455" s="297"/>
      <c r="F1455" s="394"/>
      <c r="G1455" s="297"/>
      <c r="H1455" s="297"/>
      <c r="I1455" s="297"/>
      <c r="J1455" s="297"/>
      <c r="K1455" s="297"/>
      <c r="L1455" s="297"/>
      <c r="M1455" s="297"/>
      <c r="N1455" s="297"/>
      <c r="O1455" s="297"/>
      <c r="P1455"/>
      <c r="Q1455"/>
      <c r="R1455"/>
      <c r="S1455"/>
      <c r="T1455"/>
      <c r="U1455"/>
    </row>
    <row r="1456" spans="1:21" x14ac:dyDescent="0.2">
      <c r="A1456"/>
      <c r="B1456" s="399"/>
      <c r="C1456" s="297"/>
      <c r="D1456" s="394"/>
      <c r="E1456" s="297"/>
      <c r="F1456" s="394"/>
      <c r="G1456" s="297"/>
      <c r="H1456" s="297"/>
      <c r="I1456" s="297"/>
      <c r="J1456" s="297"/>
      <c r="K1456" s="297"/>
      <c r="L1456" s="297"/>
      <c r="M1456" s="297"/>
      <c r="N1456" s="297"/>
      <c r="O1456" s="297"/>
      <c r="P1456"/>
      <c r="Q1456"/>
      <c r="R1456"/>
      <c r="S1456"/>
      <c r="T1456"/>
      <c r="U1456"/>
    </row>
    <row r="1457" spans="1:21" x14ac:dyDescent="0.2">
      <c r="A1457"/>
      <c r="B1457" s="399"/>
      <c r="C1457" s="297"/>
      <c r="D1457" s="394"/>
      <c r="E1457" s="297"/>
      <c r="F1457" s="394"/>
      <c r="G1457" s="297"/>
      <c r="H1457" s="297"/>
      <c r="I1457" s="297"/>
      <c r="J1457" s="297"/>
      <c r="K1457" s="297"/>
      <c r="L1457" s="297"/>
      <c r="M1457" s="297"/>
      <c r="N1457" s="297"/>
      <c r="O1457" s="297"/>
      <c r="P1457"/>
      <c r="Q1457"/>
      <c r="R1457"/>
      <c r="S1457"/>
      <c r="T1457"/>
      <c r="U1457"/>
    </row>
    <row r="1458" spans="1:21" x14ac:dyDescent="0.2">
      <c r="A1458"/>
      <c r="B1458" s="399"/>
      <c r="C1458" s="297"/>
      <c r="D1458" s="394"/>
      <c r="E1458" s="297"/>
      <c r="F1458" s="394"/>
      <c r="G1458" s="297"/>
      <c r="H1458" s="297"/>
      <c r="I1458" s="297"/>
      <c r="J1458" s="297"/>
      <c r="K1458" s="297"/>
      <c r="L1458" s="297"/>
      <c r="M1458" s="297"/>
      <c r="N1458" s="297"/>
      <c r="O1458" s="297"/>
      <c r="P1458"/>
      <c r="Q1458"/>
      <c r="R1458"/>
      <c r="S1458"/>
      <c r="T1458"/>
      <c r="U1458"/>
    </row>
    <row r="1459" spans="1:21" x14ac:dyDescent="0.2">
      <c r="A1459"/>
      <c r="B1459" s="399"/>
      <c r="C1459" s="297"/>
      <c r="D1459" s="394"/>
      <c r="E1459" s="297"/>
      <c r="F1459" s="394"/>
      <c r="G1459" s="297"/>
      <c r="H1459" s="297"/>
      <c r="I1459" s="297"/>
      <c r="J1459" s="297"/>
      <c r="K1459" s="297"/>
      <c r="L1459" s="297"/>
      <c r="M1459" s="297"/>
      <c r="N1459" s="297"/>
      <c r="O1459" s="297"/>
      <c r="P1459"/>
      <c r="Q1459"/>
      <c r="R1459"/>
      <c r="S1459"/>
      <c r="T1459"/>
      <c r="U1459"/>
    </row>
    <row r="1460" spans="1:21" x14ac:dyDescent="0.2">
      <c r="A1460"/>
      <c r="B1460" s="399"/>
      <c r="C1460" s="297"/>
      <c r="D1460" s="394"/>
      <c r="E1460" s="297"/>
      <c r="F1460" s="394"/>
      <c r="G1460" s="297"/>
      <c r="H1460" s="297"/>
      <c r="I1460" s="297"/>
      <c r="J1460" s="297"/>
      <c r="K1460" s="297"/>
      <c r="L1460" s="297"/>
      <c r="M1460" s="297"/>
      <c r="N1460" s="297"/>
      <c r="O1460" s="297"/>
      <c r="P1460"/>
      <c r="Q1460"/>
      <c r="R1460"/>
      <c r="S1460"/>
      <c r="T1460"/>
      <c r="U1460"/>
    </row>
    <row r="1461" spans="1:21" x14ac:dyDescent="0.2">
      <c r="A1461"/>
      <c r="B1461" s="399"/>
      <c r="C1461" s="297"/>
      <c r="D1461" s="394"/>
      <c r="E1461" s="297"/>
      <c r="F1461" s="394"/>
      <c r="G1461" s="297"/>
      <c r="H1461" s="297"/>
      <c r="I1461" s="297"/>
      <c r="J1461" s="297"/>
      <c r="K1461" s="297"/>
      <c r="L1461" s="297"/>
      <c r="M1461" s="297"/>
      <c r="N1461" s="297"/>
      <c r="O1461" s="297"/>
      <c r="P1461"/>
      <c r="Q1461"/>
      <c r="R1461"/>
      <c r="S1461"/>
      <c r="T1461"/>
      <c r="U1461"/>
    </row>
    <row r="1462" spans="1:21" x14ac:dyDescent="0.2">
      <c r="A1462"/>
      <c r="B1462" s="399"/>
      <c r="C1462" s="297"/>
      <c r="D1462" s="394"/>
      <c r="E1462" s="297"/>
      <c r="F1462" s="394"/>
      <c r="G1462" s="297"/>
      <c r="H1462" s="297"/>
      <c r="I1462" s="297"/>
      <c r="J1462" s="297"/>
      <c r="K1462" s="297"/>
      <c r="L1462" s="297"/>
      <c r="M1462" s="297"/>
      <c r="N1462" s="297"/>
      <c r="O1462" s="297"/>
      <c r="P1462"/>
      <c r="Q1462"/>
      <c r="R1462"/>
      <c r="S1462"/>
      <c r="T1462"/>
      <c r="U1462"/>
    </row>
    <row r="1463" spans="1:21" x14ac:dyDescent="0.2">
      <c r="A1463"/>
      <c r="B1463" s="399"/>
      <c r="C1463" s="297"/>
      <c r="D1463" s="394"/>
      <c r="E1463" s="297"/>
      <c r="F1463" s="394"/>
      <c r="G1463" s="297"/>
      <c r="H1463" s="297"/>
      <c r="I1463" s="297"/>
      <c r="J1463" s="297"/>
      <c r="K1463" s="297"/>
      <c r="L1463" s="297"/>
      <c r="M1463" s="297"/>
      <c r="N1463" s="297"/>
      <c r="O1463" s="297"/>
      <c r="P1463"/>
      <c r="Q1463"/>
      <c r="R1463"/>
      <c r="S1463"/>
      <c r="T1463"/>
      <c r="U1463"/>
    </row>
    <row r="1464" spans="1:21" x14ac:dyDescent="0.2">
      <c r="A1464"/>
      <c r="B1464" s="399"/>
      <c r="C1464" s="297"/>
      <c r="D1464" s="394"/>
      <c r="E1464" s="297"/>
      <c r="F1464" s="394"/>
      <c r="G1464" s="297"/>
      <c r="H1464" s="297"/>
      <c r="I1464" s="297"/>
      <c r="J1464" s="297"/>
      <c r="K1464" s="297"/>
      <c r="L1464" s="297"/>
      <c r="M1464" s="297"/>
      <c r="N1464" s="297"/>
      <c r="O1464" s="297"/>
      <c r="P1464"/>
      <c r="Q1464"/>
      <c r="R1464"/>
      <c r="S1464"/>
      <c r="T1464"/>
      <c r="U1464"/>
    </row>
    <row r="1465" spans="1:21" x14ac:dyDescent="0.2">
      <c r="A1465"/>
      <c r="B1465" s="399"/>
      <c r="C1465" s="297"/>
      <c r="D1465" s="394"/>
      <c r="E1465" s="297"/>
      <c r="F1465" s="394"/>
      <c r="G1465" s="297"/>
      <c r="H1465" s="297"/>
      <c r="I1465" s="297"/>
      <c r="J1465" s="297"/>
      <c r="K1465" s="297"/>
      <c r="L1465" s="297"/>
      <c r="M1465" s="297"/>
      <c r="N1465" s="297"/>
      <c r="O1465" s="297"/>
      <c r="P1465"/>
      <c r="Q1465"/>
      <c r="R1465"/>
      <c r="S1465"/>
      <c r="T1465"/>
      <c r="U1465"/>
    </row>
    <row r="1466" spans="1:21" x14ac:dyDescent="0.2">
      <c r="A1466"/>
      <c r="B1466" s="399"/>
      <c r="C1466" s="297"/>
      <c r="D1466" s="394"/>
      <c r="E1466" s="297"/>
      <c r="F1466" s="394"/>
      <c r="G1466" s="297"/>
      <c r="H1466" s="297"/>
      <c r="I1466" s="297"/>
      <c r="J1466" s="297"/>
      <c r="K1466" s="297"/>
      <c r="L1466" s="297"/>
      <c r="M1466" s="297"/>
      <c r="N1466" s="297"/>
      <c r="O1466" s="297"/>
      <c r="P1466"/>
      <c r="Q1466"/>
      <c r="R1466"/>
      <c r="S1466"/>
      <c r="T1466"/>
      <c r="U1466"/>
    </row>
    <row r="1467" spans="1:21" x14ac:dyDescent="0.2">
      <c r="A1467"/>
      <c r="B1467" s="399"/>
      <c r="C1467" s="297"/>
      <c r="D1467" s="394"/>
      <c r="E1467" s="297"/>
      <c r="F1467" s="394"/>
      <c r="G1467" s="297"/>
      <c r="H1467" s="297"/>
      <c r="I1467" s="297"/>
      <c r="J1467" s="297"/>
      <c r="K1467" s="297"/>
      <c r="L1467" s="297"/>
      <c r="M1467" s="297"/>
      <c r="N1467" s="297"/>
      <c r="O1467" s="297"/>
      <c r="P1467"/>
      <c r="Q1467"/>
      <c r="R1467"/>
      <c r="S1467"/>
      <c r="T1467"/>
      <c r="U1467"/>
    </row>
    <row r="1468" spans="1:21" x14ac:dyDescent="0.2">
      <c r="A1468"/>
      <c r="B1468" s="399"/>
      <c r="C1468" s="297"/>
      <c r="D1468" s="394"/>
      <c r="E1468" s="297"/>
      <c r="F1468" s="394"/>
      <c r="G1468" s="297"/>
      <c r="H1468" s="297"/>
      <c r="I1468" s="297"/>
      <c r="J1468" s="297"/>
      <c r="K1468" s="297"/>
      <c r="L1468" s="297"/>
      <c r="M1468" s="297"/>
      <c r="N1468" s="297"/>
      <c r="O1468" s="297"/>
      <c r="P1468"/>
      <c r="Q1468"/>
      <c r="R1468"/>
      <c r="S1468"/>
      <c r="T1468"/>
      <c r="U1468"/>
    </row>
    <row r="1469" spans="1:21" x14ac:dyDescent="0.2">
      <c r="A1469"/>
      <c r="B1469" s="399"/>
      <c r="C1469" s="297"/>
      <c r="D1469" s="394"/>
      <c r="E1469" s="297"/>
      <c r="F1469" s="394"/>
      <c r="G1469" s="297"/>
      <c r="H1469" s="297"/>
      <c r="I1469" s="297"/>
      <c r="J1469" s="297"/>
      <c r="K1469" s="297"/>
      <c r="L1469" s="297"/>
      <c r="M1469" s="297"/>
      <c r="N1469" s="297"/>
      <c r="O1469" s="297"/>
      <c r="P1469"/>
      <c r="Q1469"/>
      <c r="R1469"/>
      <c r="S1469"/>
      <c r="T1469"/>
      <c r="U1469"/>
    </row>
    <row r="1470" spans="1:21" x14ac:dyDescent="0.2">
      <c r="A1470"/>
      <c r="B1470" s="399"/>
      <c r="C1470" s="297"/>
      <c r="D1470" s="394"/>
      <c r="E1470" s="297"/>
      <c r="F1470" s="394"/>
      <c r="G1470" s="297"/>
      <c r="H1470" s="297"/>
      <c r="I1470" s="297"/>
      <c r="J1470" s="297"/>
      <c r="K1470" s="297"/>
      <c r="L1470" s="297"/>
      <c r="M1470" s="297"/>
      <c r="N1470" s="297"/>
      <c r="O1470" s="297"/>
      <c r="P1470"/>
      <c r="Q1470"/>
      <c r="R1470"/>
      <c r="S1470"/>
      <c r="T1470"/>
      <c r="U1470"/>
    </row>
    <row r="1471" spans="1:21" x14ac:dyDescent="0.2">
      <c r="A1471"/>
      <c r="B1471" s="399"/>
      <c r="C1471" s="297"/>
      <c r="D1471" s="394"/>
      <c r="E1471" s="297"/>
      <c r="F1471" s="394"/>
      <c r="G1471" s="297"/>
      <c r="H1471" s="297"/>
      <c r="I1471" s="297"/>
      <c r="J1471" s="297"/>
      <c r="K1471" s="297"/>
      <c r="L1471" s="297"/>
      <c r="M1471" s="297"/>
      <c r="N1471" s="297"/>
      <c r="O1471" s="297"/>
      <c r="P1471"/>
      <c r="Q1471"/>
      <c r="R1471"/>
      <c r="S1471"/>
      <c r="T1471"/>
      <c r="U1471"/>
    </row>
    <row r="1472" spans="1:21" x14ac:dyDescent="0.2">
      <c r="A1472"/>
      <c r="B1472" s="399"/>
      <c r="C1472" s="297"/>
      <c r="D1472" s="394"/>
      <c r="E1472" s="297"/>
      <c r="F1472" s="394"/>
      <c r="G1472" s="297"/>
      <c r="H1472" s="297"/>
      <c r="I1472" s="297"/>
      <c r="J1472" s="297"/>
      <c r="K1472" s="297"/>
      <c r="L1472" s="297"/>
      <c r="M1472" s="297"/>
      <c r="N1472" s="297"/>
      <c r="O1472" s="297"/>
      <c r="P1472"/>
      <c r="Q1472"/>
      <c r="R1472"/>
      <c r="S1472"/>
      <c r="T1472"/>
      <c r="U1472"/>
    </row>
    <row r="1473" spans="1:21" x14ac:dyDescent="0.2">
      <c r="A1473"/>
      <c r="B1473" s="399"/>
      <c r="C1473" s="297"/>
      <c r="D1473" s="394"/>
      <c r="E1473" s="297"/>
      <c r="F1473" s="394"/>
      <c r="G1473" s="297"/>
      <c r="H1473" s="297"/>
      <c r="I1473" s="297"/>
      <c r="J1473" s="297"/>
      <c r="K1473" s="297"/>
      <c r="L1473" s="297"/>
      <c r="M1473" s="297"/>
      <c r="N1473" s="297"/>
      <c r="O1473" s="297"/>
      <c r="P1473"/>
      <c r="Q1473"/>
      <c r="R1473"/>
      <c r="S1473"/>
      <c r="T1473"/>
      <c r="U1473"/>
    </row>
    <row r="1474" spans="1:21" x14ac:dyDescent="0.2">
      <c r="A1474"/>
      <c r="B1474" s="399"/>
      <c r="C1474" s="297"/>
      <c r="D1474" s="394"/>
      <c r="E1474" s="297"/>
      <c r="F1474" s="394"/>
      <c r="G1474" s="297"/>
      <c r="H1474" s="297"/>
      <c r="I1474" s="297"/>
      <c r="J1474" s="297"/>
      <c r="K1474" s="297"/>
      <c r="L1474" s="297"/>
      <c r="M1474" s="297"/>
      <c r="N1474" s="297"/>
      <c r="O1474" s="297"/>
      <c r="P1474"/>
      <c r="Q1474"/>
      <c r="R1474"/>
      <c r="S1474"/>
      <c r="T1474"/>
      <c r="U1474"/>
    </row>
    <row r="1475" spans="1:21" x14ac:dyDescent="0.2">
      <c r="A1475"/>
      <c r="B1475" s="399"/>
      <c r="C1475" s="297"/>
      <c r="D1475" s="394"/>
      <c r="E1475" s="297"/>
      <c r="F1475" s="394"/>
      <c r="G1475" s="297"/>
      <c r="H1475" s="297"/>
      <c r="I1475" s="297"/>
      <c r="J1475" s="297"/>
      <c r="K1475" s="297"/>
      <c r="L1475" s="297"/>
      <c r="M1475" s="297"/>
      <c r="N1475" s="297"/>
      <c r="O1475" s="297"/>
      <c r="P1475"/>
      <c r="Q1475"/>
      <c r="R1475"/>
      <c r="S1475"/>
      <c r="T1475"/>
      <c r="U1475"/>
    </row>
    <row r="1476" spans="1:21" x14ac:dyDescent="0.2">
      <c r="A1476"/>
      <c r="B1476" s="399"/>
      <c r="C1476" s="297"/>
      <c r="D1476" s="394"/>
      <c r="E1476" s="297"/>
      <c r="F1476" s="394"/>
      <c r="G1476" s="297"/>
      <c r="H1476" s="297"/>
      <c r="I1476" s="297"/>
      <c r="J1476" s="297"/>
      <c r="K1476" s="297"/>
      <c r="L1476" s="297"/>
      <c r="M1476" s="297"/>
      <c r="N1476" s="297"/>
      <c r="O1476" s="297"/>
      <c r="P1476"/>
      <c r="Q1476"/>
      <c r="R1476"/>
      <c r="S1476"/>
      <c r="T1476"/>
      <c r="U1476"/>
    </row>
    <row r="1477" spans="1:21" x14ac:dyDescent="0.2">
      <c r="A1477"/>
      <c r="B1477" s="399"/>
      <c r="C1477" s="297"/>
      <c r="D1477" s="394"/>
      <c r="E1477" s="297"/>
      <c r="F1477" s="394"/>
      <c r="G1477" s="297"/>
      <c r="H1477" s="297"/>
      <c r="I1477" s="297"/>
      <c r="J1477" s="297"/>
      <c r="K1477" s="297"/>
      <c r="L1477" s="297"/>
      <c r="M1477" s="297"/>
      <c r="N1477" s="297"/>
      <c r="O1477" s="297"/>
      <c r="P1477"/>
      <c r="Q1477"/>
      <c r="R1477"/>
      <c r="S1477"/>
      <c r="T1477"/>
      <c r="U1477"/>
    </row>
    <row r="1478" spans="1:21" x14ac:dyDescent="0.2">
      <c r="A1478"/>
      <c r="B1478" s="399"/>
      <c r="C1478" s="297"/>
      <c r="D1478" s="394"/>
      <c r="E1478" s="297"/>
      <c r="F1478" s="394"/>
      <c r="G1478" s="297"/>
      <c r="H1478" s="297"/>
      <c r="I1478" s="297"/>
      <c r="J1478" s="297"/>
      <c r="K1478" s="297"/>
      <c r="L1478" s="297"/>
      <c r="M1478" s="297"/>
      <c r="N1478" s="297"/>
      <c r="O1478" s="297"/>
      <c r="P1478"/>
      <c r="Q1478"/>
      <c r="R1478"/>
      <c r="S1478"/>
      <c r="T1478"/>
      <c r="U1478"/>
    </row>
    <row r="1479" spans="1:21" x14ac:dyDescent="0.2">
      <c r="A1479"/>
      <c r="B1479" s="399"/>
      <c r="C1479" s="297"/>
      <c r="D1479" s="394"/>
      <c r="E1479" s="297"/>
      <c r="F1479" s="394"/>
      <c r="G1479" s="297"/>
      <c r="H1479" s="297"/>
      <c r="I1479" s="297"/>
      <c r="J1479" s="297"/>
      <c r="K1479" s="297"/>
      <c r="L1479" s="297"/>
      <c r="M1479" s="297"/>
      <c r="N1479" s="297"/>
      <c r="O1479" s="297"/>
      <c r="P1479"/>
      <c r="Q1479"/>
      <c r="R1479"/>
      <c r="S1479"/>
      <c r="T1479"/>
      <c r="U1479"/>
    </row>
    <row r="1480" spans="1:21" x14ac:dyDescent="0.2">
      <c r="A1480"/>
      <c r="B1480" s="399"/>
      <c r="C1480" s="297"/>
      <c r="D1480" s="394"/>
      <c r="E1480" s="297"/>
      <c r="F1480" s="394"/>
      <c r="G1480" s="297"/>
      <c r="H1480" s="297"/>
      <c r="I1480" s="297"/>
      <c r="J1480" s="297"/>
      <c r="K1480" s="297"/>
      <c r="L1480" s="297"/>
      <c r="M1480" s="297"/>
      <c r="N1480" s="297"/>
      <c r="O1480" s="297"/>
      <c r="P1480"/>
      <c r="Q1480"/>
      <c r="R1480"/>
      <c r="S1480"/>
      <c r="T1480"/>
      <c r="U1480"/>
    </row>
    <row r="1481" spans="1:21" x14ac:dyDescent="0.2">
      <c r="A1481"/>
      <c r="B1481" s="399"/>
      <c r="C1481" s="297"/>
      <c r="D1481" s="394"/>
      <c r="E1481" s="297"/>
      <c r="F1481" s="394"/>
      <c r="G1481" s="297"/>
      <c r="H1481" s="297"/>
      <c r="I1481" s="297"/>
      <c r="J1481" s="297"/>
      <c r="K1481" s="297"/>
      <c r="L1481" s="297"/>
      <c r="M1481" s="297"/>
      <c r="N1481" s="297"/>
      <c r="O1481" s="297"/>
      <c r="P1481"/>
      <c r="Q1481"/>
      <c r="R1481"/>
      <c r="S1481"/>
      <c r="T1481"/>
      <c r="U1481"/>
    </row>
    <row r="1482" spans="1:21" x14ac:dyDescent="0.2">
      <c r="A1482"/>
      <c r="B1482" s="399"/>
      <c r="C1482" s="297"/>
      <c r="D1482" s="394"/>
      <c r="E1482" s="297"/>
      <c r="F1482" s="394"/>
      <c r="G1482" s="297"/>
      <c r="H1482" s="297"/>
      <c r="I1482" s="297"/>
      <c r="J1482" s="297"/>
      <c r="K1482" s="297"/>
      <c r="L1482" s="297"/>
      <c r="M1482" s="297"/>
      <c r="N1482" s="297"/>
      <c r="O1482" s="297"/>
      <c r="P1482"/>
      <c r="Q1482"/>
      <c r="R1482"/>
      <c r="S1482"/>
      <c r="T1482"/>
      <c r="U1482"/>
    </row>
    <row r="1483" spans="1:21" x14ac:dyDescent="0.2">
      <c r="A1483"/>
      <c r="B1483" s="399"/>
      <c r="C1483" s="297"/>
      <c r="D1483" s="394"/>
      <c r="E1483" s="297"/>
      <c r="F1483" s="394"/>
      <c r="G1483" s="297"/>
      <c r="H1483" s="297"/>
      <c r="I1483" s="297"/>
      <c r="J1483" s="297"/>
      <c r="K1483" s="297"/>
      <c r="L1483" s="297"/>
      <c r="M1483" s="297"/>
      <c r="N1483" s="297"/>
      <c r="O1483" s="297"/>
      <c r="P1483"/>
      <c r="Q1483"/>
      <c r="R1483"/>
      <c r="S1483"/>
      <c r="T1483"/>
      <c r="U1483"/>
    </row>
    <row r="1484" spans="1:21" x14ac:dyDescent="0.2">
      <c r="A1484"/>
      <c r="B1484" s="399"/>
      <c r="C1484" s="297"/>
      <c r="D1484" s="394"/>
      <c r="E1484" s="297"/>
      <c r="F1484" s="394"/>
      <c r="G1484" s="297"/>
      <c r="H1484" s="297"/>
      <c r="I1484" s="297"/>
      <c r="J1484" s="297"/>
      <c r="K1484" s="297"/>
      <c r="L1484" s="297"/>
      <c r="M1484" s="297"/>
      <c r="N1484" s="297"/>
      <c r="O1484" s="297"/>
      <c r="P1484"/>
      <c r="Q1484"/>
      <c r="R1484"/>
      <c r="S1484"/>
      <c r="T1484"/>
      <c r="U1484"/>
    </row>
    <row r="1485" spans="1:21" x14ac:dyDescent="0.2">
      <c r="A1485"/>
      <c r="B1485" s="399"/>
      <c r="C1485" s="297"/>
      <c r="D1485" s="394"/>
      <c r="E1485" s="297"/>
      <c r="F1485" s="394"/>
      <c r="G1485" s="297"/>
      <c r="H1485" s="297"/>
      <c r="I1485" s="297"/>
      <c r="J1485" s="297"/>
      <c r="K1485" s="297"/>
      <c r="L1485" s="297"/>
      <c r="M1485" s="297"/>
      <c r="N1485" s="297"/>
      <c r="O1485" s="297"/>
      <c r="P1485"/>
      <c r="Q1485"/>
      <c r="R1485"/>
      <c r="S1485"/>
      <c r="T1485"/>
      <c r="U1485"/>
    </row>
    <row r="1486" spans="1:21" x14ac:dyDescent="0.2">
      <c r="A1486"/>
      <c r="B1486" s="399"/>
      <c r="C1486" s="297"/>
      <c r="D1486" s="394"/>
      <c r="E1486" s="297"/>
      <c r="F1486" s="394"/>
      <c r="G1486" s="297"/>
      <c r="H1486" s="297"/>
      <c r="I1486" s="297"/>
      <c r="J1486" s="297"/>
      <c r="K1486" s="297"/>
      <c r="L1486" s="297"/>
      <c r="M1486" s="297"/>
      <c r="N1486" s="297"/>
      <c r="O1486" s="297"/>
      <c r="P1486"/>
      <c r="Q1486"/>
      <c r="R1486"/>
      <c r="S1486"/>
      <c r="T1486"/>
      <c r="U1486"/>
    </row>
    <row r="1487" spans="1:21" x14ac:dyDescent="0.2">
      <c r="A1487"/>
      <c r="B1487" s="399"/>
      <c r="C1487" s="297"/>
      <c r="D1487" s="394"/>
      <c r="E1487" s="297"/>
      <c r="F1487" s="394"/>
      <c r="G1487" s="297"/>
      <c r="H1487" s="297"/>
      <c r="I1487" s="297"/>
      <c r="J1487" s="297"/>
      <c r="K1487" s="297"/>
      <c r="L1487" s="297"/>
      <c r="M1487" s="297"/>
      <c r="N1487" s="297"/>
      <c r="O1487" s="297"/>
      <c r="P1487"/>
      <c r="Q1487"/>
      <c r="R1487"/>
      <c r="S1487"/>
      <c r="T1487"/>
      <c r="U1487"/>
    </row>
    <row r="1488" spans="1:21" x14ac:dyDescent="0.2">
      <c r="A1488"/>
      <c r="B1488" s="399"/>
      <c r="C1488" s="297"/>
      <c r="D1488" s="394"/>
      <c r="E1488" s="297"/>
      <c r="F1488" s="394"/>
      <c r="G1488" s="297"/>
      <c r="H1488" s="297"/>
      <c r="I1488" s="297"/>
      <c r="J1488" s="297"/>
      <c r="K1488" s="297"/>
      <c r="L1488" s="297"/>
      <c r="M1488" s="297"/>
      <c r="N1488" s="297"/>
      <c r="O1488" s="297"/>
      <c r="P1488"/>
      <c r="Q1488"/>
      <c r="R1488"/>
      <c r="S1488"/>
      <c r="T1488"/>
      <c r="U1488"/>
    </row>
    <row r="1489" spans="1:21" x14ac:dyDescent="0.2">
      <c r="A1489"/>
      <c r="B1489" s="399"/>
      <c r="C1489" s="297"/>
      <c r="D1489" s="394"/>
      <c r="E1489" s="297"/>
      <c r="F1489" s="394"/>
      <c r="G1489" s="297"/>
      <c r="H1489" s="297"/>
      <c r="I1489" s="297"/>
      <c r="J1489" s="297"/>
      <c r="K1489" s="297"/>
      <c r="L1489" s="297"/>
      <c r="M1489" s="297"/>
      <c r="N1489" s="297"/>
      <c r="O1489" s="297"/>
      <c r="P1489"/>
      <c r="Q1489"/>
      <c r="R1489"/>
      <c r="S1489"/>
      <c r="T1489"/>
      <c r="U1489"/>
    </row>
    <row r="1490" spans="1:21" x14ac:dyDescent="0.2">
      <c r="A1490"/>
      <c r="B1490" s="399"/>
      <c r="C1490" s="297"/>
      <c r="D1490" s="394"/>
      <c r="E1490" s="297"/>
      <c r="F1490" s="394"/>
      <c r="G1490" s="297"/>
      <c r="H1490" s="297"/>
      <c r="I1490" s="297"/>
      <c r="J1490" s="297"/>
      <c r="K1490" s="297"/>
      <c r="L1490" s="297"/>
      <c r="M1490" s="297"/>
      <c r="N1490" s="297"/>
      <c r="O1490" s="297"/>
      <c r="P1490"/>
      <c r="Q1490"/>
      <c r="R1490"/>
      <c r="S1490"/>
      <c r="T1490"/>
      <c r="U1490"/>
    </row>
    <row r="1491" spans="1:21" x14ac:dyDescent="0.2">
      <c r="A1491"/>
      <c r="B1491" s="399"/>
      <c r="C1491" s="297"/>
      <c r="D1491" s="394"/>
      <c r="E1491" s="297"/>
      <c r="F1491" s="394"/>
      <c r="G1491" s="297"/>
      <c r="H1491" s="297"/>
      <c r="I1491" s="297"/>
      <c r="J1491" s="297"/>
      <c r="K1491" s="297"/>
      <c r="L1491" s="297"/>
      <c r="M1491" s="297"/>
      <c r="N1491" s="297"/>
      <c r="O1491" s="297"/>
      <c r="P1491"/>
      <c r="Q1491"/>
      <c r="R1491"/>
      <c r="S1491"/>
      <c r="T1491"/>
      <c r="U1491"/>
    </row>
    <row r="1492" spans="1:21" x14ac:dyDescent="0.2">
      <c r="A1492"/>
      <c r="B1492" s="399"/>
      <c r="C1492" s="297"/>
      <c r="D1492" s="394"/>
      <c r="E1492" s="297"/>
      <c r="F1492" s="394"/>
      <c r="G1492" s="297"/>
      <c r="H1492" s="297"/>
      <c r="I1492" s="297"/>
      <c r="J1492" s="297"/>
      <c r="K1492" s="297"/>
      <c r="L1492" s="297"/>
      <c r="M1492" s="297"/>
      <c r="N1492" s="297"/>
      <c r="O1492" s="297"/>
      <c r="P1492"/>
      <c r="Q1492"/>
      <c r="R1492"/>
      <c r="S1492"/>
      <c r="T1492"/>
      <c r="U1492"/>
    </row>
    <row r="1493" spans="1:21" x14ac:dyDescent="0.2">
      <c r="A1493"/>
      <c r="B1493" s="399"/>
      <c r="C1493" s="297"/>
      <c r="D1493" s="394"/>
      <c r="E1493" s="297"/>
      <c r="F1493" s="394"/>
      <c r="G1493" s="297"/>
      <c r="H1493" s="297"/>
      <c r="I1493" s="297"/>
      <c r="J1493" s="297"/>
      <c r="K1493" s="297"/>
      <c r="L1493" s="297"/>
      <c r="M1493" s="297"/>
      <c r="N1493" s="297"/>
      <c r="O1493" s="297"/>
      <c r="P1493"/>
      <c r="Q1493"/>
      <c r="R1493"/>
      <c r="S1493"/>
      <c r="T1493"/>
      <c r="U1493"/>
    </row>
    <row r="1494" spans="1:21" x14ac:dyDescent="0.2">
      <c r="A1494"/>
      <c r="B1494" s="399"/>
      <c r="C1494" s="297"/>
      <c r="D1494" s="394"/>
      <c r="E1494" s="297"/>
      <c r="F1494" s="394"/>
      <c r="G1494" s="297"/>
      <c r="H1494" s="297"/>
      <c r="I1494" s="297"/>
      <c r="J1494" s="297"/>
      <c r="K1494" s="297"/>
      <c r="L1494" s="297"/>
      <c r="M1494" s="297"/>
      <c r="N1494" s="297"/>
      <c r="O1494" s="297"/>
      <c r="P1494"/>
      <c r="Q1494"/>
      <c r="R1494"/>
      <c r="S1494"/>
      <c r="T1494"/>
      <c r="U1494"/>
    </row>
    <row r="1495" spans="1:21" x14ac:dyDescent="0.2">
      <c r="A1495"/>
      <c r="B1495" s="399"/>
      <c r="C1495" s="297"/>
      <c r="D1495" s="394"/>
      <c r="E1495" s="297"/>
      <c r="F1495" s="394"/>
      <c r="G1495" s="297"/>
      <c r="H1495" s="297"/>
      <c r="I1495" s="297"/>
      <c r="J1495" s="297"/>
      <c r="K1495" s="297"/>
      <c r="L1495" s="297"/>
      <c r="M1495" s="297"/>
      <c r="N1495" s="297"/>
      <c r="O1495" s="297"/>
      <c r="P1495"/>
      <c r="Q1495"/>
      <c r="R1495"/>
      <c r="S1495"/>
      <c r="T1495"/>
      <c r="U1495"/>
    </row>
    <row r="1496" spans="1:21" x14ac:dyDescent="0.2">
      <c r="A1496"/>
      <c r="B1496" s="399"/>
      <c r="C1496" s="297"/>
      <c r="D1496" s="394"/>
      <c r="E1496" s="297"/>
      <c r="F1496" s="394"/>
      <c r="G1496" s="297"/>
      <c r="H1496" s="297"/>
      <c r="I1496" s="297"/>
      <c r="J1496" s="297"/>
      <c r="K1496" s="297"/>
      <c r="L1496" s="297"/>
      <c r="M1496" s="297"/>
      <c r="N1496" s="297"/>
      <c r="O1496" s="297"/>
      <c r="P1496"/>
      <c r="Q1496"/>
      <c r="R1496"/>
      <c r="S1496"/>
      <c r="T1496"/>
      <c r="U1496"/>
    </row>
    <row r="1497" spans="1:21" x14ac:dyDescent="0.2">
      <c r="A1497"/>
      <c r="B1497" s="399"/>
      <c r="C1497" s="297"/>
      <c r="D1497" s="394"/>
      <c r="E1497" s="297"/>
      <c r="F1497" s="394"/>
      <c r="G1497" s="297"/>
      <c r="H1497" s="297"/>
      <c r="I1497" s="297"/>
      <c r="J1497" s="297"/>
      <c r="K1497" s="297"/>
      <c r="L1497" s="297"/>
      <c r="M1497" s="297"/>
      <c r="N1497" s="297"/>
      <c r="O1497" s="297"/>
      <c r="P1497"/>
      <c r="Q1497"/>
      <c r="R1497"/>
      <c r="S1497"/>
      <c r="T1497"/>
      <c r="U1497"/>
    </row>
    <row r="1498" spans="1:21" x14ac:dyDescent="0.2">
      <c r="A1498"/>
      <c r="B1498" s="399"/>
      <c r="C1498" s="297"/>
      <c r="D1498" s="394"/>
      <c r="E1498" s="297"/>
      <c r="F1498" s="394"/>
      <c r="G1498" s="297"/>
      <c r="H1498" s="297"/>
      <c r="I1498" s="297"/>
      <c r="J1498" s="297"/>
      <c r="K1498" s="297"/>
      <c r="L1498" s="297"/>
      <c r="M1498" s="297"/>
      <c r="N1498" s="297"/>
      <c r="O1498" s="297"/>
      <c r="P1498"/>
      <c r="Q1498"/>
      <c r="R1498"/>
      <c r="S1498"/>
      <c r="T1498"/>
      <c r="U1498"/>
    </row>
    <row r="1499" spans="1:21" x14ac:dyDescent="0.2">
      <c r="A1499"/>
      <c r="B1499" s="399"/>
      <c r="C1499" s="297"/>
      <c r="D1499" s="394"/>
      <c r="E1499" s="297"/>
      <c r="F1499" s="394"/>
      <c r="G1499" s="297"/>
      <c r="H1499" s="297"/>
      <c r="I1499" s="297"/>
      <c r="J1499" s="297"/>
      <c r="K1499" s="297"/>
      <c r="L1499" s="297"/>
      <c r="M1499" s="297"/>
      <c r="N1499" s="297"/>
      <c r="O1499" s="297"/>
      <c r="P1499"/>
      <c r="Q1499"/>
      <c r="R1499"/>
      <c r="S1499"/>
      <c r="T1499"/>
      <c r="U1499"/>
    </row>
    <row r="1500" spans="1:21" x14ac:dyDescent="0.2">
      <c r="A1500"/>
      <c r="B1500" s="399"/>
      <c r="C1500" s="297"/>
      <c r="D1500" s="394"/>
      <c r="E1500" s="297"/>
      <c r="F1500" s="394"/>
      <c r="G1500" s="297"/>
      <c r="H1500" s="297"/>
      <c r="I1500" s="297"/>
      <c r="J1500" s="297"/>
      <c r="K1500" s="297"/>
      <c r="L1500" s="297"/>
      <c r="M1500" s="297"/>
      <c r="N1500" s="297"/>
      <c r="O1500" s="297"/>
      <c r="P1500"/>
      <c r="Q1500"/>
      <c r="R1500"/>
      <c r="S1500"/>
      <c r="T1500"/>
      <c r="U1500"/>
    </row>
    <row r="1501" spans="1:21" x14ac:dyDescent="0.2">
      <c r="A1501"/>
      <c r="B1501" s="399"/>
      <c r="C1501" s="297"/>
      <c r="D1501" s="394"/>
      <c r="E1501" s="297"/>
      <c r="F1501" s="394"/>
      <c r="G1501" s="297"/>
      <c r="H1501" s="297"/>
      <c r="I1501" s="297"/>
      <c r="J1501" s="297"/>
      <c r="K1501" s="297"/>
      <c r="L1501" s="297"/>
      <c r="M1501" s="297"/>
      <c r="N1501" s="297"/>
      <c r="O1501" s="297"/>
      <c r="P1501"/>
      <c r="Q1501"/>
      <c r="R1501"/>
      <c r="S1501"/>
      <c r="T1501"/>
      <c r="U1501"/>
    </row>
    <row r="1502" spans="1:21" x14ac:dyDescent="0.2">
      <c r="A1502"/>
      <c r="B1502" s="399"/>
      <c r="C1502" s="297"/>
      <c r="D1502" s="394"/>
      <c r="E1502" s="297"/>
      <c r="F1502" s="394"/>
      <c r="G1502" s="297"/>
      <c r="H1502" s="297"/>
      <c r="I1502" s="297"/>
      <c r="J1502" s="297"/>
      <c r="K1502" s="297"/>
      <c r="L1502" s="297"/>
      <c r="M1502" s="297"/>
      <c r="N1502" s="297"/>
      <c r="O1502" s="297"/>
      <c r="P1502"/>
      <c r="Q1502"/>
      <c r="R1502"/>
      <c r="S1502"/>
      <c r="T1502"/>
      <c r="U1502"/>
    </row>
    <row r="1503" spans="1:21" x14ac:dyDescent="0.2">
      <c r="A1503"/>
      <c r="B1503" s="399"/>
      <c r="C1503" s="297"/>
      <c r="D1503" s="394"/>
      <c r="E1503" s="297"/>
      <c r="F1503" s="394"/>
      <c r="G1503" s="297"/>
      <c r="H1503" s="297"/>
      <c r="I1503" s="297"/>
      <c r="J1503" s="297"/>
      <c r="K1503" s="297"/>
      <c r="L1503" s="297"/>
      <c r="M1503" s="297"/>
      <c r="N1503" s="297"/>
      <c r="O1503" s="297"/>
      <c r="P1503"/>
      <c r="Q1503"/>
      <c r="R1503"/>
      <c r="S1503"/>
      <c r="T1503"/>
      <c r="U1503"/>
    </row>
    <row r="1504" spans="1:21" x14ac:dyDescent="0.2">
      <c r="A1504"/>
      <c r="B1504" s="399"/>
      <c r="C1504" s="297"/>
      <c r="D1504" s="394"/>
      <c r="E1504" s="297"/>
      <c r="F1504" s="394"/>
      <c r="G1504" s="297"/>
      <c r="H1504" s="297"/>
      <c r="I1504" s="297"/>
      <c r="J1504" s="297"/>
      <c r="K1504" s="297"/>
      <c r="L1504" s="297"/>
      <c r="M1504" s="297"/>
      <c r="N1504" s="297"/>
      <c r="O1504" s="297"/>
      <c r="P1504"/>
      <c r="Q1504"/>
      <c r="R1504"/>
      <c r="S1504"/>
      <c r="T1504"/>
      <c r="U1504"/>
    </row>
    <row r="1505" spans="1:21" x14ac:dyDescent="0.2">
      <c r="A1505"/>
      <c r="B1505" s="399"/>
      <c r="C1505" s="297"/>
      <c r="D1505" s="394"/>
      <c r="E1505" s="297"/>
      <c r="F1505" s="394"/>
      <c r="G1505" s="297"/>
      <c r="H1505" s="297"/>
      <c r="I1505" s="297"/>
      <c r="J1505" s="297"/>
      <c r="K1505" s="297"/>
      <c r="L1505" s="297"/>
      <c r="M1505" s="297"/>
      <c r="N1505" s="297"/>
      <c r="O1505" s="297"/>
      <c r="P1505"/>
      <c r="Q1505"/>
      <c r="R1505"/>
      <c r="S1505"/>
      <c r="T1505"/>
      <c r="U1505"/>
    </row>
    <row r="1506" spans="1:21" x14ac:dyDescent="0.2">
      <c r="A1506"/>
      <c r="B1506" s="399"/>
      <c r="C1506" s="297"/>
      <c r="D1506" s="394"/>
      <c r="E1506" s="297"/>
      <c r="F1506" s="394"/>
      <c r="G1506" s="297"/>
      <c r="H1506" s="297"/>
      <c r="I1506" s="297"/>
      <c r="J1506" s="297"/>
      <c r="K1506" s="297"/>
      <c r="L1506" s="297"/>
      <c r="M1506" s="297"/>
      <c r="N1506" s="297"/>
      <c r="O1506" s="297"/>
      <c r="P1506"/>
      <c r="Q1506"/>
      <c r="R1506"/>
      <c r="S1506"/>
      <c r="T1506"/>
      <c r="U1506"/>
    </row>
    <row r="1507" spans="1:21" x14ac:dyDescent="0.2">
      <c r="A1507"/>
      <c r="B1507" s="399"/>
      <c r="C1507" s="297"/>
      <c r="D1507" s="394"/>
      <c r="E1507" s="297"/>
      <c r="F1507" s="394"/>
      <c r="G1507" s="297"/>
      <c r="H1507" s="297"/>
      <c r="I1507" s="297"/>
      <c r="J1507" s="297"/>
      <c r="K1507" s="297"/>
      <c r="L1507" s="297"/>
      <c r="M1507" s="297"/>
      <c r="N1507" s="297"/>
      <c r="O1507" s="297"/>
      <c r="P1507"/>
      <c r="Q1507"/>
      <c r="R1507"/>
      <c r="S1507"/>
      <c r="T1507"/>
      <c r="U1507"/>
    </row>
    <row r="1508" spans="1:21" x14ac:dyDescent="0.2">
      <c r="A1508"/>
      <c r="B1508" s="399"/>
      <c r="C1508" s="297"/>
      <c r="D1508" s="394"/>
      <c r="E1508" s="297"/>
      <c r="F1508" s="394"/>
      <c r="G1508" s="297"/>
      <c r="H1508" s="297"/>
      <c r="I1508" s="297"/>
      <c r="J1508" s="297"/>
      <c r="K1508" s="297"/>
      <c r="L1508" s="297"/>
      <c r="M1508" s="297"/>
      <c r="N1508" s="297"/>
      <c r="O1508" s="297"/>
      <c r="P1508"/>
      <c r="Q1508"/>
      <c r="R1508"/>
      <c r="S1508"/>
      <c r="T1508"/>
      <c r="U1508"/>
    </row>
    <row r="1509" spans="1:21" x14ac:dyDescent="0.2">
      <c r="A1509"/>
      <c r="B1509" s="399"/>
      <c r="C1509" s="297"/>
      <c r="D1509" s="394"/>
      <c r="E1509" s="297"/>
      <c r="F1509" s="394"/>
      <c r="G1509" s="297"/>
      <c r="H1509" s="297"/>
      <c r="I1509" s="297"/>
      <c r="J1509" s="297"/>
      <c r="K1509" s="297"/>
      <c r="L1509" s="297"/>
      <c r="M1509" s="297"/>
      <c r="N1509" s="297"/>
      <c r="O1509" s="297"/>
      <c r="P1509"/>
      <c r="Q1509"/>
      <c r="R1509"/>
      <c r="S1509"/>
      <c r="T1509"/>
      <c r="U1509"/>
    </row>
    <row r="1510" spans="1:21" x14ac:dyDescent="0.2">
      <c r="A1510"/>
      <c r="B1510" s="399"/>
      <c r="C1510" s="297"/>
      <c r="D1510" s="394"/>
      <c r="E1510" s="297"/>
      <c r="F1510" s="394"/>
      <c r="G1510" s="297"/>
      <c r="H1510" s="297"/>
      <c r="I1510" s="297"/>
      <c r="J1510" s="297"/>
      <c r="K1510" s="297"/>
      <c r="L1510" s="297"/>
      <c r="M1510" s="297"/>
      <c r="N1510" s="297"/>
      <c r="O1510" s="297"/>
      <c r="P1510"/>
      <c r="Q1510"/>
      <c r="R1510"/>
      <c r="S1510"/>
      <c r="T1510"/>
      <c r="U1510"/>
    </row>
    <row r="1511" spans="1:21" x14ac:dyDescent="0.2">
      <c r="A1511"/>
      <c r="B1511" s="399"/>
      <c r="C1511" s="297"/>
      <c r="D1511" s="394"/>
      <c r="E1511" s="297"/>
      <c r="F1511" s="394"/>
      <c r="G1511" s="297"/>
      <c r="H1511" s="297"/>
      <c r="I1511" s="297"/>
      <c r="J1511" s="297"/>
      <c r="K1511" s="297"/>
      <c r="L1511" s="297"/>
      <c r="M1511" s="297"/>
      <c r="N1511" s="297"/>
      <c r="O1511" s="297"/>
      <c r="P1511"/>
      <c r="Q1511"/>
      <c r="R1511"/>
      <c r="S1511"/>
      <c r="T1511"/>
      <c r="U1511"/>
    </row>
    <row r="1512" spans="1:21" x14ac:dyDescent="0.2">
      <c r="A1512"/>
      <c r="B1512" s="399"/>
      <c r="C1512" s="297"/>
      <c r="D1512" s="394"/>
      <c r="E1512" s="297"/>
      <c r="F1512" s="394"/>
      <c r="G1512" s="297"/>
      <c r="H1512" s="297"/>
      <c r="I1512" s="297"/>
      <c r="J1512" s="297"/>
      <c r="K1512" s="297"/>
      <c r="L1512" s="297"/>
      <c r="M1512" s="297"/>
      <c r="N1512" s="297"/>
      <c r="O1512" s="297"/>
      <c r="P1512"/>
      <c r="Q1512"/>
      <c r="R1512"/>
      <c r="S1512"/>
      <c r="T1512"/>
      <c r="U1512"/>
    </row>
    <row r="1513" spans="1:21" x14ac:dyDescent="0.2">
      <c r="A1513"/>
      <c r="B1513" s="399"/>
      <c r="C1513" s="297"/>
      <c r="D1513" s="394"/>
      <c r="E1513" s="297"/>
      <c r="F1513" s="394"/>
      <c r="G1513" s="297"/>
      <c r="H1513" s="297"/>
      <c r="I1513" s="297"/>
      <c r="J1513" s="297"/>
      <c r="K1513" s="297"/>
      <c r="L1513" s="297"/>
      <c r="M1513" s="297"/>
      <c r="N1513" s="297"/>
      <c r="O1513" s="297"/>
      <c r="P1513"/>
      <c r="Q1513"/>
      <c r="R1513"/>
      <c r="S1513"/>
      <c r="T1513"/>
      <c r="U1513"/>
    </row>
    <row r="1514" spans="1:21" x14ac:dyDescent="0.2">
      <c r="A1514"/>
      <c r="B1514" s="399"/>
      <c r="C1514" s="297"/>
      <c r="D1514" s="394"/>
      <c r="E1514" s="297"/>
      <c r="F1514" s="394"/>
      <c r="G1514" s="297"/>
      <c r="H1514" s="297"/>
      <c r="I1514" s="297"/>
      <c r="J1514" s="297"/>
      <c r="K1514" s="297"/>
      <c r="L1514" s="297"/>
      <c r="M1514" s="297"/>
      <c r="N1514" s="297"/>
      <c r="O1514" s="297"/>
      <c r="P1514"/>
      <c r="Q1514"/>
      <c r="R1514"/>
      <c r="S1514"/>
      <c r="T1514"/>
      <c r="U1514"/>
    </row>
    <row r="1515" spans="1:21" x14ac:dyDescent="0.2">
      <c r="A1515"/>
      <c r="B1515" s="399"/>
      <c r="C1515" s="297"/>
      <c r="D1515" s="394"/>
      <c r="E1515" s="297"/>
      <c r="F1515" s="394"/>
      <c r="G1515" s="297"/>
      <c r="H1515" s="297"/>
      <c r="I1515" s="297"/>
      <c r="J1515" s="297"/>
      <c r="K1515" s="297"/>
      <c r="L1515" s="297"/>
      <c r="M1515" s="297"/>
      <c r="N1515" s="297"/>
      <c r="O1515" s="297"/>
      <c r="P1515"/>
      <c r="Q1515"/>
      <c r="R1515"/>
      <c r="S1515"/>
      <c r="T1515"/>
      <c r="U1515"/>
    </row>
    <row r="1516" spans="1:21" x14ac:dyDescent="0.2">
      <c r="A1516"/>
      <c r="B1516" s="399"/>
      <c r="C1516" s="297"/>
      <c r="D1516" s="394"/>
      <c r="E1516" s="297"/>
      <c r="F1516" s="394"/>
      <c r="G1516" s="297"/>
      <c r="H1516" s="297"/>
      <c r="I1516" s="297"/>
      <c r="J1516" s="297"/>
      <c r="K1516" s="297"/>
      <c r="L1516" s="297"/>
      <c r="M1516" s="297"/>
      <c r="N1516" s="297"/>
      <c r="O1516" s="297"/>
      <c r="P1516"/>
      <c r="Q1516"/>
      <c r="R1516"/>
      <c r="S1516"/>
      <c r="T1516"/>
      <c r="U1516"/>
    </row>
    <row r="1517" spans="1:21" x14ac:dyDescent="0.2">
      <c r="A1517"/>
      <c r="B1517" s="399"/>
      <c r="C1517" s="297"/>
      <c r="D1517" s="394"/>
      <c r="E1517" s="297"/>
      <c r="F1517" s="394"/>
      <c r="G1517" s="297"/>
      <c r="H1517" s="297"/>
      <c r="I1517" s="297"/>
      <c r="J1517" s="297"/>
      <c r="K1517" s="297"/>
      <c r="L1517" s="297"/>
      <c r="M1517" s="297"/>
      <c r="N1517" s="297"/>
      <c r="O1517" s="297"/>
      <c r="P1517"/>
      <c r="Q1517"/>
      <c r="R1517"/>
      <c r="S1517"/>
      <c r="T1517"/>
      <c r="U1517"/>
    </row>
    <row r="1518" spans="1:21" x14ac:dyDescent="0.2">
      <c r="A1518"/>
      <c r="B1518" s="399"/>
      <c r="C1518" s="297"/>
      <c r="D1518" s="394"/>
      <c r="E1518" s="297"/>
      <c r="F1518" s="394"/>
      <c r="G1518" s="297"/>
      <c r="H1518" s="297"/>
      <c r="I1518" s="297"/>
      <c r="J1518" s="297"/>
      <c r="K1518" s="297"/>
      <c r="L1518" s="297"/>
      <c r="M1518" s="297"/>
      <c r="N1518" s="297"/>
      <c r="O1518" s="297"/>
      <c r="P1518"/>
      <c r="Q1518"/>
      <c r="R1518"/>
      <c r="S1518"/>
      <c r="T1518"/>
      <c r="U1518"/>
    </row>
    <row r="1519" spans="1:21" x14ac:dyDescent="0.2">
      <c r="A1519"/>
      <c r="B1519" s="399"/>
      <c r="C1519" s="297"/>
      <c r="D1519" s="394"/>
      <c r="E1519" s="297"/>
      <c r="F1519" s="394"/>
      <c r="G1519" s="297"/>
      <c r="H1519" s="297"/>
      <c r="I1519" s="297"/>
      <c r="J1519" s="297"/>
      <c r="K1519" s="297"/>
      <c r="L1519" s="297"/>
      <c r="M1519" s="297"/>
      <c r="N1519" s="297"/>
      <c r="O1519" s="297"/>
      <c r="P1519"/>
      <c r="Q1519"/>
      <c r="R1519"/>
      <c r="S1519"/>
      <c r="T1519"/>
      <c r="U1519"/>
    </row>
    <row r="1520" spans="1:21" x14ac:dyDescent="0.2">
      <c r="A1520"/>
      <c r="B1520" s="399"/>
      <c r="C1520" s="297"/>
      <c r="D1520" s="394"/>
      <c r="E1520" s="297"/>
      <c r="F1520" s="394"/>
      <c r="G1520" s="297"/>
      <c r="H1520" s="297"/>
      <c r="I1520" s="297"/>
      <c r="J1520" s="297"/>
      <c r="K1520" s="297"/>
      <c r="L1520" s="297"/>
      <c r="M1520" s="297"/>
      <c r="N1520" s="297"/>
      <c r="O1520" s="297"/>
      <c r="P1520"/>
      <c r="Q1520"/>
      <c r="R1520"/>
      <c r="S1520"/>
      <c r="T1520"/>
      <c r="U1520"/>
    </row>
    <row r="1521" spans="1:21" x14ac:dyDescent="0.2">
      <c r="A1521"/>
      <c r="B1521" s="399"/>
      <c r="C1521" s="297"/>
      <c r="D1521" s="394"/>
      <c r="E1521" s="297"/>
      <c r="F1521" s="394"/>
      <c r="G1521" s="297"/>
      <c r="H1521" s="297"/>
      <c r="I1521" s="297"/>
      <c r="J1521" s="297"/>
      <c r="K1521" s="297"/>
      <c r="L1521" s="297"/>
      <c r="M1521" s="297"/>
      <c r="N1521" s="297"/>
      <c r="O1521" s="297"/>
      <c r="P1521"/>
      <c r="Q1521"/>
      <c r="R1521"/>
      <c r="S1521"/>
      <c r="T1521"/>
      <c r="U1521"/>
    </row>
    <row r="1522" spans="1:21" x14ac:dyDescent="0.2">
      <c r="A1522"/>
      <c r="B1522" s="399"/>
      <c r="C1522" s="297"/>
      <c r="D1522" s="394"/>
      <c r="E1522" s="297"/>
      <c r="F1522" s="394"/>
      <c r="G1522" s="297"/>
      <c r="H1522" s="297"/>
      <c r="I1522" s="297"/>
      <c r="J1522" s="297"/>
      <c r="K1522" s="297"/>
      <c r="L1522" s="297"/>
      <c r="M1522" s="297"/>
      <c r="N1522" s="297"/>
      <c r="O1522" s="297"/>
      <c r="P1522"/>
      <c r="Q1522"/>
      <c r="R1522"/>
      <c r="S1522"/>
      <c r="T1522"/>
      <c r="U1522"/>
    </row>
    <row r="1523" spans="1:21" x14ac:dyDescent="0.2">
      <c r="A1523"/>
      <c r="B1523" s="399"/>
      <c r="C1523" s="297"/>
      <c r="D1523" s="394"/>
      <c r="E1523" s="297"/>
      <c r="F1523" s="394"/>
      <c r="G1523" s="297"/>
      <c r="H1523" s="297"/>
      <c r="I1523" s="297"/>
      <c r="J1523" s="297"/>
      <c r="K1523" s="297"/>
      <c r="L1523" s="297"/>
      <c r="M1523" s="297"/>
      <c r="N1523" s="297"/>
      <c r="O1523" s="297"/>
      <c r="P1523"/>
      <c r="Q1523"/>
      <c r="R1523"/>
      <c r="S1523"/>
      <c r="T1523"/>
      <c r="U1523"/>
    </row>
    <row r="1524" spans="1:21" x14ac:dyDescent="0.2">
      <c r="A1524"/>
      <c r="B1524" s="399"/>
      <c r="C1524" s="297"/>
      <c r="D1524" s="394"/>
      <c r="E1524" s="297"/>
      <c r="F1524" s="394"/>
      <c r="G1524" s="297"/>
      <c r="H1524" s="297"/>
      <c r="I1524" s="297"/>
      <c r="J1524" s="297"/>
      <c r="K1524" s="297"/>
      <c r="L1524" s="297"/>
      <c r="M1524" s="297"/>
      <c r="N1524" s="297"/>
      <c r="O1524" s="297"/>
      <c r="P1524"/>
      <c r="Q1524"/>
      <c r="R1524"/>
      <c r="S1524"/>
      <c r="T1524"/>
      <c r="U1524"/>
    </row>
    <row r="1525" spans="1:21" x14ac:dyDescent="0.2">
      <c r="A1525"/>
      <c r="B1525" s="399"/>
      <c r="C1525" s="297"/>
      <c r="D1525" s="394"/>
      <c r="E1525" s="297"/>
      <c r="F1525" s="394"/>
      <c r="G1525" s="297"/>
      <c r="H1525" s="297"/>
      <c r="I1525" s="297"/>
      <c r="J1525" s="297"/>
      <c r="K1525" s="297"/>
      <c r="L1525" s="297"/>
      <c r="M1525" s="297"/>
      <c r="N1525" s="297"/>
      <c r="O1525" s="297"/>
      <c r="P1525"/>
      <c r="Q1525"/>
      <c r="R1525"/>
      <c r="S1525"/>
      <c r="T1525"/>
      <c r="U1525"/>
    </row>
    <row r="1526" spans="1:21" x14ac:dyDescent="0.2">
      <c r="A1526"/>
      <c r="B1526" s="399"/>
      <c r="C1526" s="297"/>
      <c r="D1526" s="394"/>
      <c r="E1526" s="297"/>
      <c r="F1526" s="394"/>
      <c r="G1526" s="297"/>
      <c r="H1526" s="297"/>
      <c r="I1526" s="297"/>
      <c r="J1526" s="297"/>
      <c r="K1526" s="297"/>
      <c r="L1526" s="297"/>
      <c r="M1526" s="297"/>
      <c r="N1526" s="297"/>
      <c r="O1526" s="297"/>
      <c r="P1526"/>
      <c r="Q1526"/>
      <c r="R1526"/>
      <c r="S1526"/>
      <c r="T1526"/>
      <c r="U1526"/>
    </row>
    <row r="1527" spans="1:21" x14ac:dyDescent="0.2">
      <c r="A1527"/>
      <c r="B1527" s="399"/>
      <c r="C1527" s="297"/>
      <c r="D1527" s="394"/>
      <c r="E1527" s="297"/>
      <c r="F1527" s="394"/>
      <c r="G1527" s="297"/>
      <c r="H1527" s="297"/>
      <c r="I1527" s="297"/>
      <c r="J1527" s="297"/>
      <c r="K1527" s="297"/>
      <c r="L1527" s="297"/>
      <c r="M1527" s="297"/>
      <c r="N1527" s="297"/>
      <c r="O1527" s="297"/>
      <c r="P1527"/>
      <c r="Q1527"/>
      <c r="R1527"/>
      <c r="S1527"/>
      <c r="T1527"/>
      <c r="U1527"/>
    </row>
    <row r="1528" spans="1:21" x14ac:dyDescent="0.2">
      <c r="A1528"/>
      <c r="B1528" s="399"/>
      <c r="C1528" s="297"/>
      <c r="D1528" s="394"/>
      <c r="E1528" s="297"/>
      <c r="F1528" s="394"/>
      <c r="G1528" s="297"/>
      <c r="H1528" s="297"/>
      <c r="I1528" s="297"/>
      <c r="J1528" s="297"/>
      <c r="K1528" s="297"/>
      <c r="L1528" s="297"/>
      <c r="M1528" s="297"/>
      <c r="N1528" s="297"/>
      <c r="O1528" s="297"/>
      <c r="P1528"/>
      <c r="Q1528"/>
      <c r="R1528"/>
      <c r="S1528"/>
      <c r="T1528"/>
      <c r="U1528"/>
    </row>
    <row r="1529" spans="1:21" x14ac:dyDescent="0.2">
      <c r="A1529"/>
      <c r="B1529" s="399"/>
      <c r="C1529" s="297"/>
      <c r="D1529" s="394"/>
      <c r="E1529" s="297"/>
      <c r="F1529" s="394"/>
      <c r="G1529" s="297"/>
      <c r="H1529" s="297"/>
      <c r="I1529" s="297"/>
      <c r="J1529" s="297"/>
      <c r="K1529" s="297"/>
      <c r="L1529" s="297"/>
      <c r="M1529" s="297"/>
      <c r="N1529" s="297"/>
      <c r="O1529" s="297"/>
      <c r="P1529"/>
      <c r="Q1529"/>
      <c r="R1529"/>
      <c r="S1529"/>
      <c r="T1529"/>
      <c r="U1529"/>
    </row>
    <row r="1530" spans="1:21" x14ac:dyDescent="0.2">
      <c r="A1530"/>
      <c r="B1530" s="399"/>
      <c r="C1530" s="297"/>
      <c r="D1530" s="394"/>
      <c r="E1530" s="297"/>
      <c r="F1530" s="394"/>
      <c r="G1530" s="297"/>
      <c r="H1530" s="297"/>
      <c r="I1530" s="297"/>
      <c r="J1530" s="297"/>
      <c r="K1530" s="297"/>
      <c r="L1530" s="297"/>
      <c r="M1530" s="297"/>
      <c r="N1530" s="297"/>
      <c r="O1530" s="297"/>
      <c r="P1530"/>
      <c r="Q1530"/>
      <c r="R1530"/>
      <c r="S1530"/>
      <c r="T1530"/>
      <c r="U1530"/>
    </row>
    <row r="1531" spans="1:21" x14ac:dyDescent="0.2">
      <c r="A1531"/>
      <c r="B1531" s="399"/>
      <c r="C1531" s="297"/>
      <c r="D1531" s="394"/>
      <c r="E1531" s="297"/>
      <c r="F1531" s="394"/>
      <c r="G1531" s="297"/>
      <c r="H1531" s="297"/>
      <c r="I1531" s="297"/>
      <c r="J1531" s="297"/>
      <c r="K1531" s="297"/>
      <c r="L1531" s="297"/>
      <c r="M1531" s="297"/>
      <c r="N1531" s="297"/>
      <c r="O1531" s="297"/>
      <c r="P1531"/>
      <c r="Q1531"/>
      <c r="R1531"/>
      <c r="S1531"/>
      <c r="T1531"/>
      <c r="U1531"/>
    </row>
    <row r="1532" spans="1:21" x14ac:dyDescent="0.2">
      <c r="A1532"/>
      <c r="B1532" s="399"/>
      <c r="C1532" s="297"/>
      <c r="D1532" s="394"/>
      <c r="E1532" s="297"/>
      <c r="F1532" s="394"/>
      <c r="G1532" s="297"/>
      <c r="H1532" s="297"/>
      <c r="I1532" s="297"/>
      <c r="J1532" s="297"/>
      <c r="K1532" s="297"/>
      <c r="L1532" s="297"/>
      <c r="M1532" s="297"/>
      <c r="N1532" s="297"/>
      <c r="O1532" s="297"/>
      <c r="P1532"/>
      <c r="Q1532"/>
      <c r="R1532"/>
      <c r="S1532"/>
      <c r="T1532"/>
      <c r="U1532"/>
    </row>
    <row r="1533" spans="1:21" x14ac:dyDescent="0.2">
      <c r="A1533"/>
      <c r="B1533" s="399"/>
      <c r="C1533" s="297"/>
      <c r="D1533" s="394"/>
      <c r="E1533" s="297"/>
      <c r="F1533" s="394"/>
      <c r="G1533" s="297"/>
      <c r="H1533" s="297"/>
      <c r="I1533" s="297"/>
      <c r="J1533" s="297"/>
      <c r="K1533" s="297"/>
      <c r="L1533" s="297"/>
      <c r="M1533" s="297"/>
      <c r="N1533" s="297"/>
      <c r="O1533" s="297"/>
      <c r="P1533"/>
      <c r="Q1533"/>
      <c r="R1533"/>
      <c r="S1533"/>
      <c r="T1533"/>
      <c r="U1533"/>
    </row>
    <row r="1534" spans="1:21" x14ac:dyDescent="0.2">
      <c r="A1534"/>
      <c r="B1534" s="399"/>
      <c r="C1534" s="297"/>
      <c r="D1534" s="394"/>
      <c r="E1534" s="297"/>
      <c r="F1534" s="394"/>
      <c r="G1534" s="297"/>
      <c r="H1534" s="297"/>
      <c r="I1534" s="297"/>
      <c r="J1534" s="297"/>
      <c r="K1534" s="297"/>
      <c r="L1534" s="297"/>
      <c r="M1534" s="297"/>
      <c r="N1534" s="297"/>
      <c r="O1534" s="297"/>
      <c r="P1534"/>
      <c r="Q1534"/>
      <c r="R1534"/>
      <c r="S1534"/>
      <c r="T1534"/>
      <c r="U1534"/>
    </row>
    <row r="1535" spans="1:21" x14ac:dyDescent="0.2">
      <c r="A1535"/>
      <c r="B1535" s="399"/>
      <c r="C1535" s="297"/>
      <c r="D1535" s="394"/>
      <c r="E1535" s="297"/>
      <c r="F1535" s="394"/>
      <c r="G1535" s="297"/>
      <c r="H1535" s="297"/>
      <c r="I1535" s="297"/>
      <c r="J1535" s="297"/>
      <c r="K1535" s="297"/>
      <c r="L1535" s="297"/>
      <c r="M1535" s="297"/>
      <c r="N1535" s="297"/>
      <c r="O1535" s="297"/>
      <c r="P1535"/>
      <c r="Q1535"/>
      <c r="R1535"/>
      <c r="S1535"/>
      <c r="T1535"/>
      <c r="U1535"/>
    </row>
    <row r="1536" spans="1:21" x14ac:dyDescent="0.2">
      <c r="A1536"/>
      <c r="B1536" s="399"/>
      <c r="C1536" s="297"/>
      <c r="D1536" s="394"/>
      <c r="E1536" s="297"/>
      <c r="F1536" s="394"/>
      <c r="G1536" s="297"/>
      <c r="H1536" s="297"/>
      <c r="I1536" s="297"/>
      <c r="J1536" s="297"/>
      <c r="K1536" s="297"/>
      <c r="L1536" s="297"/>
      <c r="M1536" s="297"/>
      <c r="N1536" s="297"/>
      <c r="O1536" s="297"/>
      <c r="P1536"/>
      <c r="Q1536"/>
      <c r="R1536"/>
      <c r="S1536"/>
      <c r="T1536"/>
      <c r="U1536"/>
    </row>
    <row r="1537" spans="1:21" x14ac:dyDescent="0.2">
      <c r="A1537"/>
      <c r="B1537" s="399"/>
      <c r="C1537" s="297"/>
      <c r="D1537" s="394"/>
      <c r="E1537" s="297"/>
      <c r="F1537" s="394"/>
      <c r="G1537" s="297"/>
      <c r="H1537" s="297"/>
      <c r="I1537" s="297"/>
      <c r="J1537" s="297"/>
      <c r="K1537" s="297"/>
      <c r="L1537" s="297"/>
      <c r="M1537" s="297"/>
      <c r="N1537" s="297"/>
      <c r="O1537" s="297"/>
      <c r="P1537"/>
      <c r="Q1537"/>
      <c r="R1537"/>
      <c r="S1537"/>
      <c r="T1537"/>
      <c r="U1537"/>
    </row>
    <row r="1538" spans="1:21" x14ac:dyDescent="0.2">
      <c r="A1538"/>
      <c r="B1538" s="399"/>
      <c r="C1538" s="297"/>
      <c r="D1538" s="394"/>
      <c r="E1538" s="297"/>
      <c r="F1538" s="394"/>
      <c r="G1538" s="297"/>
      <c r="H1538" s="297"/>
      <c r="I1538" s="297"/>
      <c r="J1538" s="297"/>
      <c r="K1538" s="297"/>
      <c r="L1538" s="297"/>
      <c r="M1538" s="297"/>
      <c r="N1538" s="297"/>
      <c r="O1538" s="297"/>
      <c r="P1538"/>
      <c r="Q1538"/>
      <c r="R1538"/>
      <c r="S1538"/>
      <c r="T1538"/>
      <c r="U1538"/>
    </row>
    <row r="1539" spans="1:21" x14ac:dyDescent="0.2">
      <c r="A1539"/>
      <c r="B1539" s="399"/>
      <c r="C1539" s="297"/>
      <c r="D1539" s="394"/>
      <c r="E1539" s="297"/>
      <c r="F1539" s="394"/>
      <c r="G1539" s="297"/>
      <c r="H1539" s="297"/>
      <c r="I1539" s="297"/>
      <c r="J1539" s="297"/>
      <c r="K1539" s="297"/>
      <c r="L1539" s="297"/>
      <c r="M1539" s="297"/>
      <c r="N1539" s="297"/>
      <c r="O1539" s="297"/>
      <c r="P1539"/>
      <c r="Q1539"/>
      <c r="R1539"/>
      <c r="S1539"/>
      <c r="T1539"/>
      <c r="U1539"/>
    </row>
    <row r="1540" spans="1:21" x14ac:dyDescent="0.2">
      <c r="A1540"/>
      <c r="B1540" s="399"/>
      <c r="C1540" s="297"/>
      <c r="D1540" s="394"/>
      <c r="E1540" s="297"/>
      <c r="F1540" s="394"/>
      <c r="G1540" s="297"/>
      <c r="H1540" s="297"/>
      <c r="I1540" s="297"/>
      <c r="J1540" s="297"/>
      <c r="K1540" s="297"/>
      <c r="L1540" s="297"/>
      <c r="M1540" s="297"/>
      <c r="N1540" s="297"/>
      <c r="O1540" s="297"/>
      <c r="P1540"/>
      <c r="Q1540"/>
      <c r="R1540"/>
      <c r="S1540"/>
      <c r="T1540"/>
      <c r="U1540"/>
    </row>
    <row r="1541" spans="1:21" x14ac:dyDescent="0.2">
      <c r="A1541"/>
      <c r="B1541" s="399"/>
      <c r="C1541" s="297"/>
      <c r="D1541" s="394"/>
      <c r="E1541" s="297"/>
      <c r="F1541" s="394"/>
      <c r="G1541" s="297"/>
      <c r="H1541" s="297"/>
      <c r="I1541" s="297"/>
      <c r="J1541" s="297"/>
      <c r="K1541" s="297"/>
      <c r="L1541" s="297"/>
      <c r="M1541" s="297"/>
      <c r="N1541" s="297"/>
      <c r="O1541" s="297"/>
      <c r="P1541"/>
      <c r="Q1541"/>
      <c r="R1541"/>
      <c r="S1541"/>
      <c r="T1541"/>
      <c r="U1541"/>
    </row>
    <row r="1542" spans="1:21" x14ac:dyDescent="0.2">
      <c r="A1542"/>
      <c r="B1542" s="399"/>
      <c r="C1542" s="297"/>
      <c r="D1542" s="394"/>
      <c r="E1542" s="297"/>
      <c r="F1542" s="394"/>
      <c r="G1542" s="297"/>
      <c r="H1542" s="297"/>
      <c r="I1542" s="297"/>
      <c r="J1542" s="297"/>
      <c r="K1542" s="297"/>
      <c r="L1542" s="297"/>
      <c r="M1542" s="297"/>
      <c r="N1542" s="297"/>
      <c r="O1542" s="297"/>
      <c r="P1542"/>
      <c r="Q1542"/>
      <c r="R1542"/>
      <c r="S1542"/>
      <c r="T1542"/>
      <c r="U1542"/>
    </row>
    <row r="1543" spans="1:21" x14ac:dyDescent="0.2">
      <c r="A1543"/>
      <c r="B1543" s="399"/>
      <c r="C1543" s="297"/>
      <c r="D1543" s="394"/>
      <c r="E1543" s="297"/>
      <c r="F1543" s="394"/>
      <c r="G1543" s="297"/>
      <c r="H1543" s="297"/>
      <c r="I1543" s="297"/>
      <c r="J1543" s="297"/>
      <c r="K1543" s="297"/>
      <c r="L1543" s="297"/>
      <c r="M1543" s="297"/>
      <c r="N1543" s="297"/>
      <c r="O1543" s="297"/>
      <c r="P1543"/>
      <c r="Q1543"/>
      <c r="R1543"/>
      <c r="S1543"/>
      <c r="T1543"/>
      <c r="U1543"/>
    </row>
    <row r="1544" spans="1:21" x14ac:dyDescent="0.2">
      <c r="A1544"/>
      <c r="B1544" s="399"/>
      <c r="C1544" s="297"/>
      <c r="D1544" s="394"/>
      <c r="E1544" s="297"/>
      <c r="F1544" s="394"/>
      <c r="G1544" s="297"/>
      <c r="H1544" s="297"/>
      <c r="I1544" s="297"/>
      <c r="J1544" s="297"/>
      <c r="K1544" s="297"/>
      <c r="L1544" s="297"/>
      <c r="M1544" s="297"/>
      <c r="N1544" s="297"/>
      <c r="O1544" s="297"/>
      <c r="P1544"/>
      <c r="Q1544"/>
      <c r="R1544"/>
      <c r="S1544"/>
      <c r="T1544"/>
      <c r="U1544"/>
    </row>
    <row r="1545" spans="1:21" x14ac:dyDescent="0.2">
      <c r="A1545"/>
      <c r="B1545" s="399"/>
      <c r="C1545" s="297"/>
      <c r="D1545" s="394"/>
      <c r="E1545" s="297"/>
      <c r="F1545" s="394"/>
      <c r="G1545" s="297"/>
      <c r="H1545" s="297"/>
      <c r="I1545" s="297"/>
      <c r="J1545" s="297"/>
      <c r="K1545" s="297"/>
      <c r="L1545" s="297"/>
      <c r="M1545" s="297"/>
      <c r="N1545" s="297"/>
      <c r="O1545" s="297"/>
      <c r="P1545"/>
      <c r="Q1545"/>
      <c r="R1545"/>
      <c r="S1545"/>
      <c r="T1545"/>
      <c r="U1545"/>
    </row>
    <row r="1546" spans="1:21" x14ac:dyDescent="0.2">
      <c r="A1546"/>
      <c r="B1546" s="399"/>
      <c r="C1546" s="297"/>
      <c r="D1546" s="394"/>
      <c r="E1546" s="297"/>
      <c r="F1546" s="394"/>
      <c r="G1546" s="297"/>
      <c r="H1546" s="297"/>
      <c r="I1546" s="297"/>
      <c r="J1546" s="297"/>
      <c r="K1546" s="297"/>
      <c r="L1546" s="297"/>
      <c r="M1546" s="297"/>
      <c r="N1546" s="297"/>
      <c r="O1546" s="297"/>
      <c r="P1546"/>
      <c r="Q1546"/>
      <c r="R1546"/>
      <c r="S1546"/>
      <c r="T1546"/>
      <c r="U1546"/>
    </row>
    <row r="1547" spans="1:21" x14ac:dyDescent="0.2">
      <c r="A1547"/>
      <c r="B1547" s="399"/>
      <c r="C1547" s="297"/>
      <c r="D1547" s="394"/>
      <c r="E1547" s="297"/>
      <c r="F1547" s="394"/>
      <c r="G1547" s="297"/>
      <c r="H1547" s="297"/>
      <c r="I1547" s="297"/>
      <c r="J1547" s="297"/>
      <c r="K1547" s="297"/>
      <c r="L1547" s="297"/>
      <c r="M1547" s="297"/>
      <c r="N1547" s="297"/>
      <c r="O1547" s="297"/>
      <c r="P1547"/>
      <c r="Q1547"/>
      <c r="R1547"/>
      <c r="S1547"/>
      <c r="T1547"/>
      <c r="U1547"/>
    </row>
    <row r="1548" spans="1:21" x14ac:dyDescent="0.2">
      <c r="A1548"/>
      <c r="B1548" s="399"/>
      <c r="C1548" s="297"/>
      <c r="D1548" s="394"/>
      <c r="E1548" s="297"/>
      <c r="F1548" s="394"/>
      <c r="G1548" s="297"/>
      <c r="H1548" s="297"/>
      <c r="I1548" s="297"/>
      <c r="J1548" s="297"/>
      <c r="K1548" s="297"/>
      <c r="L1548" s="297"/>
      <c r="M1548" s="297"/>
      <c r="N1548" s="297"/>
      <c r="O1548" s="297"/>
      <c r="P1548"/>
      <c r="Q1548"/>
      <c r="R1548"/>
      <c r="S1548"/>
      <c r="T1548"/>
      <c r="U1548"/>
    </row>
    <row r="1549" spans="1:21" x14ac:dyDescent="0.2">
      <c r="A1549"/>
      <c r="B1549" s="399"/>
      <c r="C1549" s="297"/>
      <c r="D1549" s="394"/>
      <c r="E1549" s="297"/>
      <c r="F1549" s="394"/>
      <c r="G1549" s="297"/>
      <c r="H1549" s="297"/>
      <c r="I1549" s="297"/>
      <c r="J1549" s="297"/>
      <c r="K1549" s="297"/>
      <c r="L1549" s="297"/>
      <c r="M1549" s="297"/>
      <c r="N1549" s="297"/>
      <c r="O1549" s="297"/>
      <c r="P1549"/>
      <c r="Q1549"/>
      <c r="R1549"/>
      <c r="S1549"/>
      <c r="T1549"/>
      <c r="U1549"/>
    </row>
    <row r="1550" spans="1:21" x14ac:dyDescent="0.2">
      <c r="A1550"/>
      <c r="B1550" s="399"/>
      <c r="C1550" s="297"/>
      <c r="D1550" s="394"/>
      <c r="E1550" s="297"/>
      <c r="F1550" s="394"/>
      <c r="G1550" s="297"/>
      <c r="H1550" s="297"/>
      <c r="I1550" s="297"/>
      <c r="J1550" s="297"/>
      <c r="K1550" s="297"/>
      <c r="L1550" s="297"/>
      <c r="M1550" s="297"/>
      <c r="N1550" s="297"/>
      <c r="O1550" s="297"/>
      <c r="P1550"/>
      <c r="Q1550"/>
      <c r="R1550"/>
      <c r="S1550"/>
      <c r="T1550"/>
      <c r="U1550"/>
    </row>
    <row r="1551" spans="1:21" x14ac:dyDescent="0.2">
      <c r="A1551"/>
      <c r="B1551" s="399"/>
      <c r="C1551" s="297"/>
      <c r="D1551" s="394"/>
      <c r="E1551" s="297"/>
      <c r="F1551" s="394"/>
      <c r="G1551" s="297"/>
      <c r="H1551" s="297"/>
      <c r="I1551" s="297"/>
      <c r="J1551" s="297"/>
      <c r="K1551" s="297"/>
      <c r="L1551" s="297"/>
      <c r="M1551" s="297"/>
      <c r="N1551" s="297"/>
      <c r="O1551" s="297"/>
      <c r="P1551"/>
      <c r="Q1551"/>
      <c r="R1551"/>
      <c r="S1551"/>
      <c r="T1551"/>
      <c r="U1551"/>
    </row>
    <row r="1552" spans="1:21" x14ac:dyDescent="0.2">
      <c r="A1552"/>
      <c r="B1552" s="399"/>
      <c r="C1552" s="297"/>
      <c r="D1552" s="394"/>
      <c r="E1552" s="297"/>
      <c r="F1552" s="394"/>
      <c r="G1552" s="297"/>
      <c r="H1552" s="297"/>
      <c r="I1552" s="297"/>
      <c r="J1552" s="297"/>
      <c r="K1552" s="297"/>
      <c r="L1552" s="297"/>
      <c r="M1552" s="297"/>
      <c r="N1552" s="297"/>
      <c r="O1552" s="297"/>
      <c r="P1552"/>
      <c r="Q1552"/>
      <c r="R1552"/>
      <c r="S1552"/>
      <c r="T1552"/>
      <c r="U1552"/>
    </row>
    <row r="1553" spans="1:21" x14ac:dyDescent="0.2">
      <c r="A1553"/>
      <c r="B1553" s="399"/>
      <c r="C1553" s="297"/>
      <c r="D1553" s="394"/>
      <c r="E1553" s="297"/>
      <c r="F1553" s="394"/>
      <c r="G1553" s="297"/>
      <c r="H1553" s="297"/>
      <c r="I1553" s="297"/>
      <c r="J1553" s="297"/>
      <c r="K1553" s="297"/>
      <c r="L1553" s="297"/>
      <c r="M1553" s="297"/>
      <c r="N1553" s="297"/>
      <c r="O1553" s="297"/>
      <c r="P1553"/>
      <c r="Q1553"/>
      <c r="R1553"/>
      <c r="S1553"/>
      <c r="T1553"/>
      <c r="U1553"/>
    </row>
    <row r="1554" spans="1:21" x14ac:dyDescent="0.2">
      <c r="A1554"/>
      <c r="B1554" s="399"/>
      <c r="C1554" s="297"/>
      <c r="D1554" s="394"/>
      <c r="E1554" s="297"/>
      <c r="F1554" s="394"/>
      <c r="G1554" s="297"/>
      <c r="H1554" s="297"/>
      <c r="I1554" s="297"/>
      <c r="J1554" s="297"/>
      <c r="K1554" s="297"/>
      <c r="L1554" s="297"/>
      <c r="M1554" s="297"/>
      <c r="N1554" s="297"/>
      <c r="O1554" s="297"/>
      <c r="P1554"/>
      <c r="Q1554"/>
      <c r="R1554"/>
      <c r="S1554"/>
      <c r="T1554"/>
      <c r="U1554"/>
    </row>
    <row r="1555" spans="1:21" x14ac:dyDescent="0.2">
      <c r="A1555"/>
      <c r="B1555" s="399"/>
      <c r="C1555" s="297"/>
      <c r="D1555" s="394"/>
      <c r="E1555" s="297"/>
      <c r="F1555" s="394"/>
      <c r="G1555" s="297"/>
      <c r="H1555" s="297"/>
      <c r="I1555" s="297"/>
      <c r="J1555" s="297"/>
      <c r="K1555" s="297"/>
      <c r="L1555" s="297"/>
      <c r="M1555" s="297"/>
      <c r="N1555" s="297"/>
      <c r="O1555" s="297"/>
      <c r="P1555"/>
      <c r="Q1555"/>
      <c r="R1555"/>
      <c r="S1555"/>
      <c r="T1555"/>
      <c r="U1555"/>
    </row>
    <row r="1556" spans="1:21" x14ac:dyDescent="0.2">
      <c r="A1556"/>
      <c r="B1556" s="399"/>
      <c r="C1556" s="297"/>
      <c r="D1556" s="394"/>
      <c r="E1556" s="297"/>
      <c r="F1556" s="394"/>
      <c r="G1556" s="297"/>
      <c r="H1556" s="297"/>
      <c r="I1556" s="297"/>
      <c r="J1556" s="297"/>
      <c r="K1556" s="297"/>
      <c r="L1556" s="297"/>
      <c r="M1556" s="297"/>
      <c r="N1556" s="297"/>
      <c r="O1556" s="297"/>
      <c r="P1556"/>
      <c r="Q1556"/>
      <c r="R1556"/>
      <c r="S1556"/>
      <c r="T1556"/>
      <c r="U1556"/>
    </row>
    <row r="1557" spans="1:21" x14ac:dyDescent="0.2">
      <c r="A1557"/>
      <c r="B1557" s="399"/>
      <c r="C1557" s="297"/>
      <c r="D1557" s="394"/>
      <c r="E1557" s="297"/>
      <c r="F1557" s="394"/>
      <c r="G1557" s="297"/>
      <c r="H1557" s="297"/>
      <c r="I1557" s="297"/>
      <c r="J1557" s="297"/>
      <c r="K1557" s="297"/>
      <c r="L1557" s="297"/>
      <c r="M1557" s="297"/>
      <c r="N1557" s="297"/>
      <c r="O1557" s="297"/>
      <c r="P1557"/>
      <c r="Q1557"/>
      <c r="R1557"/>
      <c r="S1557"/>
      <c r="T1557"/>
      <c r="U1557"/>
    </row>
    <row r="1558" spans="1:21" x14ac:dyDescent="0.2">
      <c r="A1558"/>
      <c r="B1558" s="399"/>
      <c r="C1558" s="297"/>
      <c r="D1558" s="394"/>
      <c r="E1558" s="297"/>
      <c r="F1558" s="394"/>
      <c r="G1558" s="297"/>
      <c r="H1558" s="297"/>
      <c r="I1558" s="297"/>
      <c r="J1558" s="297"/>
      <c r="K1558" s="297"/>
      <c r="L1558" s="297"/>
      <c r="M1558" s="297"/>
      <c r="N1558" s="297"/>
      <c r="O1558" s="297"/>
      <c r="P1558"/>
      <c r="Q1558"/>
      <c r="R1558"/>
      <c r="S1558"/>
      <c r="T1558"/>
      <c r="U1558"/>
    </row>
    <row r="1559" spans="1:21" x14ac:dyDescent="0.2">
      <c r="A1559"/>
      <c r="B1559" s="399"/>
      <c r="C1559" s="297"/>
      <c r="D1559" s="394"/>
      <c r="E1559" s="297"/>
      <c r="F1559" s="394"/>
      <c r="G1559" s="297"/>
      <c r="H1559" s="297"/>
      <c r="I1559" s="297"/>
      <c r="J1559" s="297"/>
      <c r="K1559" s="297"/>
      <c r="L1559" s="297"/>
      <c r="M1559" s="297"/>
      <c r="N1559" s="297"/>
      <c r="O1559" s="297"/>
      <c r="P1559"/>
      <c r="Q1559"/>
      <c r="R1559"/>
      <c r="S1559"/>
      <c r="T1559"/>
      <c r="U1559"/>
    </row>
    <row r="1560" spans="1:21" x14ac:dyDescent="0.2">
      <c r="A1560"/>
      <c r="B1560" s="399"/>
      <c r="C1560" s="297"/>
      <c r="D1560" s="394"/>
      <c r="E1560" s="297"/>
      <c r="F1560" s="394"/>
      <c r="G1560" s="297"/>
      <c r="H1560" s="297"/>
      <c r="I1560" s="297"/>
      <c r="J1560" s="297"/>
      <c r="K1560" s="297"/>
      <c r="L1560" s="297"/>
      <c r="M1560" s="297"/>
      <c r="N1560" s="297"/>
      <c r="O1560" s="297"/>
      <c r="P1560"/>
      <c r="Q1560"/>
      <c r="R1560"/>
      <c r="S1560"/>
      <c r="T1560"/>
      <c r="U1560"/>
    </row>
    <row r="1561" spans="1:21" x14ac:dyDescent="0.2">
      <c r="A1561"/>
      <c r="B1561" s="399"/>
      <c r="C1561" s="297"/>
      <c r="D1561" s="394"/>
      <c r="E1561" s="297"/>
      <c r="F1561" s="394"/>
      <c r="G1561" s="297"/>
      <c r="H1561" s="297"/>
      <c r="I1561" s="297"/>
      <c r="J1561" s="297"/>
      <c r="K1561" s="297"/>
      <c r="L1561" s="297"/>
      <c r="M1561" s="297"/>
      <c r="N1561" s="297"/>
      <c r="O1561" s="297"/>
      <c r="P1561"/>
      <c r="Q1561"/>
      <c r="R1561"/>
      <c r="S1561"/>
      <c r="T1561"/>
      <c r="U1561"/>
    </row>
    <row r="1562" spans="1:21" x14ac:dyDescent="0.2">
      <c r="A1562"/>
      <c r="B1562" s="399"/>
      <c r="C1562" s="297"/>
      <c r="D1562" s="394"/>
      <c r="E1562" s="297"/>
      <c r="F1562" s="394"/>
      <c r="G1562" s="297"/>
      <c r="H1562" s="297"/>
      <c r="I1562" s="297"/>
      <c r="J1562" s="297"/>
      <c r="K1562" s="297"/>
      <c r="L1562" s="297"/>
      <c r="M1562" s="297"/>
      <c r="N1562" s="297"/>
      <c r="O1562" s="297"/>
      <c r="P1562"/>
      <c r="Q1562"/>
      <c r="R1562"/>
      <c r="S1562"/>
      <c r="T1562"/>
      <c r="U1562"/>
    </row>
    <row r="1563" spans="1:21" x14ac:dyDescent="0.2">
      <c r="A1563"/>
      <c r="B1563" s="399"/>
      <c r="C1563" s="297"/>
      <c r="D1563" s="394"/>
      <c r="E1563" s="297"/>
      <c r="F1563" s="394"/>
      <c r="G1563" s="297"/>
      <c r="H1563" s="297"/>
      <c r="I1563" s="297"/>
      <c r="J1563" s="297"/>
      <c r="K1563" s="297"/>
      <c r="L1563" s="297"/>
      <c r="M1563" s="297"/>
      <c r="N1563" s="297"/>
      <c r="O1563" s="297"/>
      <c r="P1563"/>
      <c r="Q1563"/>
      <c r="R1563"/>
      <c r="S1563"/>
      <c r="T1563"/>
      <c r="U1563"/>
    </row>
    <row r="1564" spans="1:21" x14ac:dyDescent="0.2">
      <c r="A1564"/>
      <c r="B1564" s="399"/>
      <c r="C1564" s="297"/>
      <c r="D1564" s="394"/>
      <c r="E1564" s="297"/>
      <c r="F1564" s="394"/>
      <c r="G1564" s="297"/>
      <c r="H1564" s="297"/>
      <c r="I1564" s="297"/>
      <c r="J1564" s="297"/>
      <c r="K1564" s="297"/>
      <c r="L1564" s="297"/>
      <c r="M1564" s="297"/>
      <c r="N1564" s="297"/>
      <c r="O1564" s="297"/>
      <c r="P1564"/>
      <c r="Q1564"/>
      <c r="R1564"/>
      <c r="S1564"/>
      <c r="T1564"/>
      <c r="U1564"/>
    </row>
    <row r="1565" spans="1:21" x14ac:dyDescent="0.2">
      <c r="A1565"/>
      <c r="B1565" s="399"/>
      <c r="C1565" s="297"/>
      <c r="D1565" s="394"/>
      <c r="E1565" s="297"/>
      <c r="F1565" s="394"/>
      <c r="G1565" s="297"/>
      <c r="H1565" s="297"/>
      <c r="I1565" s="297"/>
      <c r="J1565" s="297"/>
      <c r="K1565" s="297"/>
      <c r="L1565" s="297"/>
      <c r="M1565" s="297"/>
      <c r="N1565" s="297"/>
      <c r="O1565" s="297"/>
      <c r="P1565"/>
      <c r="Q1565"/>
      <c r="R1565"/>
      <c r="S1565"/>
      <c r="T1565"/>
      <c r="U1565"/>
    </row>
    <row r="1566" spans="1:21" x14ac:dyDescent="0.2">
      <c r="A1566"/>
      <c r="B1566" s="399"/>
      <c r="C1566" s="297"/>
      <c r="D1566" s="394"/>
      <c r="E1566" s="297"/>
      <c r="F1566" s="394"/>
      <c r="G1566" s="297"/>
      <c r="H1566" s="297"/>
      <c r="I1566" s="297"/>
      <c r="J1566" s="297"/>
      <c r="K1566" s="297"/>
      <c r="L1566" s="297"/>
      <c r="M1566" s="297"/>
      <c r="N1566" s="297"/>
      <c r="O1566" s="297"/>
      <c r="P1566"/>
      <c r="Q1566"/>
      <c r="R1566"/>
      <c r="S1566"/>
      <c r="T1566"/>
      <c r="U1566"/>
    </row>
    <row r="1567" spans="1:21" x14ac:dyDescent="0.2">
      <c r="A1567"/>
      <c r="B1567" s="399"/>
      <c r="C1567" s="297"/>
      <c r="D1567" s="394"/>
      <c r="E1567" s="297"/>
      <c r="F1567" s="394"/>
      <c r="G1567" s="297"/>
      <c r="H1567" s="297"/>
      <c r="I1567" s="297"/>
      <c r="J1567" s="297"/>
      <c r="K1567" s="297"/>
      <c r="L1567" s="297"/>
      <c r="M1567" s="297"/>
      <c r="N1567" s="297"/>
      <c r="O1567" s="297"/>
      <c r="P1567"/>
      <c r="Q1567"/>
      <c r="R1567"/>
      <c r="S1567"/>
      <c r="T1567"/>
      <c r="U1567"/>
    </row>
    <row r="1568" spans="1:21" x14ac:dyDescent="0.2">
      <c r="A1568"/>
      <c r="B1568" s="399"/>
      <c r="C1568" s="297"/>
      <c r="D1568" s="394"/>
      <c r="E1568" s="297"/>
      <c r="F1568" s="394"/>
      <c r="G1568" s="297"/>
      <c r="H1568" s="297"/>
      <c r="I1568" s="297"/>
      <c r="J1568" s="297"/>
      <c r="K1568" s="297"/>
      <c r="L1568" s="297"/>
      <c r="M1568" s="297"/>
      <c r="N1568" s="297"/>
      <c r="O1568" s="297"/>
      <c r="P1568"/>
      <c r="Q1568"/>
      <c r="R1568"/>
      <c r="S1568"/>
      <c r="T1568"/>
      <c r="U1568"/>
    </row>
    <row r="1569" spans="1:21" x14ac:dyDescent="0.2">
      <c r="A1569"/>
      <c r="B1569" s="399"/>
      <c r="C1569" s="297"/>
      <c r="D1569" s="394"/>
      <c r="E1569" s="297"/>
      <c r="F1569" s="394"/>
      <c r="G1569" s="297"/>
      <c r="H1569" s="297"/>
      <c r="I1569" s="297"/>
      <c r="J1569" s="297"/>
      <c r="K1569" s="297"/>
      <c r="L1569" s="297"/>
      <c r="M1569" s="297"/>
      <c r="N1569" s="297"/>
      <c r="O1569" s="297"/>
      <c r="P1569"/>
      <c r="Q1569"/>
      <c r="R1569"/>
      <c r="S1569"/>
      <c r="T1569"/>
      <c r="U1569"/>
    </row>
    <row r="1570" spans="1:21" x14ac:dyDescent="0.2">
      <c r="A1570"/>
      <c r="B1570" s="399"/>
      <c r="C1570" s="297"/>
      <c r="D1570" s="394"/>
      <c r="E1570" s="297"/>
      <c r="F1570" s="394"/>
      <c r="G1570" s="297"/>
      <c r="H1570" s="297"/>
      <c r="I1570" s="297"/>
      <c r="J1570" s="297"/>
      <c r="K1570" s="297"/>
      <c r="L1570" s="297"/>
      <c r="M1570" s="297"/>
      <c r="N1570" s="297"/>
      <c r="O1570" s="297"/>
      <c r="P1570"/>
      <c r="Q1570"/>
      <c r="R1570"/>
      <c r="S1570"/>
      <c r="T1570"/>
      <c r="U1570"/>
    </row>
    <row r="1571" spans="1:21" x14ac:dyDescent="0.2">
      <c r="A1571"/>
      <c r="B1571" s="399"/>
      <c r="C1571" s="297"/>
      <c r="D1571" s="394"/>
      <c r="E1571" s="297"/>
      <c r="F1571" s="394"/>
      <c r="G1571" s="297"/>
      <c r="H1571" s="297"/>
      <c r="I1571" s="297"/>
      <c r="J1571" s="297"/>
      <c r="K1571" s="297"/>
      <c r="L1571" s="297"/>
      <c r="M1571" s="297"/>
      <c r="N1571" s="297"/>
      <c r="O1571" s="297"/>
      <c r="P1571"/>
      <c r="Q1571"/>
      <c r="R1571"/>
      <c r="S1571"/>
      <c r="T1571"/>
      <c r="U1571"/>
    </row>
    <row r="1572" spans="1:21" x14ac:dyDescent="0.2">
      <c r="A1572"/>
      <c r="B1572" s="399"/>
      <c r="C1572" s="297"/>
      <c r="D1572" s="394"/>
      <c r="E1572" s="297"/>
      <c r="F1572" s="394"/>
      <c r="G1572" s="297"/>
      <c r="H1572" s="297"/>
      <c r="I1572" s="297"/>
      <c r="J1572" s="297"/>
      <c r="K1572" s="297"/>
      <c r="L1572" s="297"/>
      <c r="M1572" s="297"/>
      <c r="N1572" s="297"/>
      <c r="O1572" s="297"/>
      <c r="P1572"/>
      <c r="Q1572"/>
      <c r="R1572"/>
      <c r="S1572"/>
      <c r="T1572"/>
      <c r="U1572"/>
    </row>
    <row r="1573" spans="1:21" x14ac:dyDescent="0.2">
      <c r="A1573"/>
      <c r="B1573" s="399"/>
      <c r="C1573" s="297"/>
      <c r="D1573" s="394"/>
      <c r="E1573" s="297"/>
      <c r="F1573" s="394"/>
      <c r="G1573" s="297"/>
      <c r="H1573" s="297"/>
      <c r="I1573" s="297"/>
      <c r="J1573" s="297"/>
      <c r="K1573" s="297"/>
      <c r="L1573" s="297"/>
      <c r="M1573" s="297"/>
      <c r="N1573" s="297"/>
      <c r="O1573" s="297"/>
      <c r="P1573"/>
      <c r="Q1573"/>
      <c r="R1573"/>
      <c r="S1573"/>
      <c r="T1573"/>
      <c r="U1573"/>
    </row>
    <row r="1574" spans="1:21" x14ac:dyDescent="0.2">
      <c r="A1574"/>
      <c r="B1574" s="399"/>
      <c r="C1574" s="297"/>
      <c r="D1574" s="394"/>
      <c r="E1574" s="297"/>
      <c r="F1574" s="394"/>
      <c r="G1574" s="297"/>
      <c r="H1574" s="297"/>
      <c r="I1574" s="297"/>
      <c r="J1574" s="297"/>
      <c r="K1574" s="297"/>
      <c r="L1574" s="297"/>
      <c r="M1574" s="297"/>
      <c r="N1574" s="297"/>
      <c r="O1574" s="297"/>
      <c r="P1574"/>
      <c r="Q1574"/>
      <c r="R1574"/>
      <c r="S1574"/>
      <c r="T1574"/>
      <c r="U1574"/>
    </row>
    <row r="1575" spans="1:21" x14ac:dyDescent="0.2">
      <c r="A1575"/>
      <c r="B1575" s="399"/>
      <c r="C1575" s="297"/>
      <c r="D1575" s="394"/>
      <c r="E1575" s="297"/>
      <c r="F1575" s="394"/>
      <c r="G1575" s="297"/>
      <c r="H1575" s="297"/>
      <c r="I1575" s="297"/>
      <c r="J1575" s="297"/>
      <c r="K1575" s="297"/>
      <c r="L1575" s="297"/>
      <c r="M1575" s="297"/>
      <c r="N1575" s="297"/>
      <c r="O1575" s="297"/>
      <c r="P1575"/>
      <c r="Q1575"/>
      <c r="R1575"/>
      <c r="S1575"/>
      <c r="T1575"/>
      <c r="U1575"/>
    </row>
    <row r="1576" spans="1:21" x14ac:dyDescent="0.2">
      <c r="A1576"/>
      <c r="B1576" s="399"/>
      <c r="C1576" s="297"/>
      <c r="D1576" s="394"/>
      <c r="E1576" s="297"/>
      <c r="F1576" s="394"/>
      <c r="G1576" s="297"/>
      <c r="H1576" s="297"/>
      <c r="I1576" s="297"/>
      <c r="J1576" s="297"/>
      <c r="K1576" s="297"/>
      <c r="L1576" s="297"/>
      <c r="M1576" s="297"/>
      <c r="N1576" s="297"/>
      <c r="O1576" s="297"/>
      <c r="P1576"/>
      <c r="Q1576"/>
      <c r="R1576"/>
      <c r="S1576"/>
      <c r="T1576"/>
      <c r="U1576"/>
    </row>
    <row r="1577" spans="1:21" x14ac:dyDescent="0.2">
      <c r="A1577"/>
      <c r="B1577" s="399"/>
      <c r="C1577" s="297"/>
      <c r="D1577" s="394"/>
      <c r="E1577" s="297"/>
      <c r="F1577" s="394"/>
      <c r="G1577" s="297"/>
      <c r="H1577" s="297"/>
      <c r="I1577" s="297"/>
      <c r="J1577" s="297"/>
      <c r="K1577" s="297"/>
      <c r="L1577" s="297"/>
      <c r="M1577" s="297"/>
      <c r="N1577" s="297"/>
      <c r="O1577" s="297"/>
      <c r="P1577"/>
      <c r="Q1577"/>
      <c r="R1577"/>
      <c r="S1577"/>
      <c r="T1577"/>
      <c r="U1577"/>
    </row>
    <row r="1578" spans="1:21" x14ac:dyDescent="0.2">
      <c r="A1578"/>
      <c r="B1578" s="399"/>
      <c r="C1578" s="297"/>
      <c r="D1578" s="394"/>
      <c r="E1578" s="297"/>
      <c r="F1578" s="394"/>
      <c r="G1578" s="297"/>
      <c r="H1578" s="297"/>
      <c r="I1578" s="297"/>
      <c r="J1578" s="297"/>
      <c r="K1578" s="297"/>
      <c r="L1578" s="297"/>
      <c r="M1578" s="297"/>
      <c r="N1578" s="297"/>
      <c r="O1578" s="297"/>
      <c r="P1578"/>
      <c r="Q1578"/>
      <c r="R1578"/>
      <c r="S1578"/>
      <c r="T1578"/>
      <c r="U1578"/>
    </row>
    <row r="1579" spans="1:21" x14ac:dyDescent="0.2">
      <c r="A1579"/>
      <c r="B1579" s="399"/>
      <c r="C1579" s="297"/>
      <c r="D1579" s="394"/>
      <c r="E1579" s="297"/>
      <c r="F1579" s="394"/>
      <c r="G1579" s="297"/>
      <c r="H1579" s="297"/>
      <c r="I1579" s="297"/>
      <c r="J1579" s="297"/>
      <c r="K1579" s="297"/>
      <c r="L1579" s="297"/>
      <c r="M1579" s="297"/>
      <c r="N1579" s="297"/>
      <c r="O1579" s="297"/>
      <c r="P1579"/>
      <c r="Q1579"/>
      <c r="R1579"/>
      <c r="S1579"/>
      <c r="T1579"/>
      <c r="U1579"/>
    </row>
    <row r="1580" spans="1:21" x14ac:dyDescent="0.2">
      <c r="A1580"/>
      <c r="B1580" s="399"/>
      <c r="C1580" s="297"/>
      <c r="D1580" s="394"/>
      <c r="E1580" s="297"/>
      <c r="F1580" s="394"/>
      <c r="G1580" s="297"/>
      <c r="H1580" s="297"/>
      <c r="I1580" s="297"/>
      <c r="J1580" s="297"/>
      <c r="K1580" s="297"/>
      <c r="L1580" s="297"/>
      <c r="M1580" s="297"/>
      <c r="N1580" s="297"/>
      <c r="O1580" s="297"/>
      <c r="P1580"/>
      <c r="Q1580"/>
      <c r="R1580"/>
      <c r="S1580"/>
      <c r="T1580"/>
      <c r="U1580"/>
    </row>
    <row r="1581" spans="1:21" x14ac:dyDescent="0.2">
      <c r="A1581"/>
      <c r="B1581" s="399"/>
      <c r="C1581" s="297"/>
      <c r="D1581" s="394"/>
      <c r="E1581" s="297"/>
      <c r="F1581" s="394"/>
      <c r="G1581" s="297"/>
      <c r="H1581" s="297"/>
      <c r="I1581" s="297"/>
      <c r="J1581" s="297"/>
      <c r="K1581" s="297"/>
      <c r="L1581" s="297"/>
      <c r="M1581" s="297"/>
      <c r="N1581" s="297"/>
      <c r="O1581" s="297"/>
      <c r="P1581"/>
      <c r="Q1581"/>
      <c r="R1581"/>
      <c r="S1581"/>
      <c r="T1581"/>
      <c r="U1581"/>
    </row>
    <row r="1582" spans="1:21" x14ac:dyDescent="0.2">
      <c r="A1582"/>
      <c r="B1582" s="399"/>
      <c r="C1582" s="297"/>
      <c r="D1582" s="394"/>
      <c r="E1582" s="297"/>
      <c r="F1582" s="394"/>
      <c r="G1582" s="297"/>
      <c r="H1582" s="297"/>
      <c r="I1582" s="297"/>
      <c r="J1582" s="297"/>
      <c r="K1582" s="297"/>
      <c r="L1582" s="297"/>
      <c r="M1582" s="297"/>
      <c r="N1582" s="297"/>
      <c r="O1582" s="297"/>
      <c r="P1582"/>
      <c r="Q1582"/>
      <c r="R1582"/>
      <c r="S1582"/>
      <c r="T1582"/>
      <c r="U1582"/>
    </row>
    <row r="1583" spans="1:21" x14ac:dyDescent="0.2">
      <c r="A1583"/>
      <c r="B1583" s="399"/>
      <c r="C1583" s="297"/>
      <c r="D1583" s="394"/>
      <c r="E1583" s="297"/>
      <c r="F1583" s="394"/>
      <c r="G1583" s="297"/>
      <c r="H1583" s="297"/>
      <c r="I1583" s="297"/>
      <c r="J1583" s="297"/>
      <c r="K1583" s="297"/>
      <c r="L1583" s="297"/>
      <c r="M1583" s="297"/>
      <c r="N1583" s="297"/>
      <c r="O1583" s="297"/>
      <c r="P1583"/>
      <c r="Q1583"/>
      <c r="R1583"/>
      <c r="S1583"/>
      <c r="T1583"/>
      <c r="U1583"/>
    </row>
    <row r="1584" spans="1:21" x14ac:dyDescent="0.2">
      <c r="A1584"/>
      <c r="B1584" s="399"/>
      <c r="C1584" s="297"/>
      <c r="D1584" s="394"/>
      <c r="E1584" s="297"/>
      <c r="F1584" s="394"/>
      <c r="G1584" s="297"/>
      <c r="H1584" s="297"/>
      <c r="I1584" s="297"/>
      <c r="J1584" s="297"/>
      <c r="K1584" s="297"/>
      <c r="L1584" s="297"/>
      <c r="M1584" s="297"/>
      <c r="N1584" s="297"/>
      <c r="O1584" s="297"/>
      <c r="P1584"/>
      <c r="Q1584"/>
      <c r="R1584"/>
      <c r="S1584"/>
      <c r="T1584"/>
      <c r="U1584"/>
    </row>
    <row r="1585" spans="1:21" x14ac:dyDescent="0.2">
      <c r="A1585"/>
      <c r="B1585" s="399"/>
      <c r="C1585" s="297"/>
      <c r="D1585" s="394"/>
      <c r="E1585" s="297"/>
      <c r="F1585" s="394"/>
      <c r="G1585" s="297"/>
      <c r="H1585" s="297"/>
      <c r="I1585" s="297"/>
      <c r="J1585" s="297"/>
      <c r="K1585" s="297"/>
      <c r="L1585" s="297"/>
      <c r="M1585" s="297"/>
      <c r="N1585" s="297"/>
      <c r="O1585" s="297"/>
      <c r="P1585"/>
      <c r="Q1585"/>
      <c r="R1585"/>
      <c r="S1585"/>
      <c r="T1585"/>
      <c r="U1585"/>
    </row>
    <row r="1586" spans="1:21" x14ac:dyDescent="0.2">
      <c r="A1586"/>
      <c r="B1586" s="399"/>
      <c r="C1586" s="297"/>
      <c r="D1586" s="394"/>
      <c r="E1586" s="297"/>
      <c r="F1586" s="394"/>
      <c r="G1586" s="297"/>
      <c r="H1586" s="297"/>
      <c r="I1586" s="297"/>
      <c r="J1586" s="297"/>
      <c r="K1586" s="297"/>
      <c r="L1586" s="297"/>
      <c r="M1586" s="297"/>
      <c r="N1586" s="297"/>
      <c r="O1586" s="297"/>
      <c r="P1586"/>
      <c r="Q1586"/>
      <c r="R1586"/>
      <c r="S1586"/>
      <c r="T1586"/>
      <c r="U1586"/>
    </row>
    <row r="1587" spans="1:21" x14ac:dyDescent="0.2">
      <c r="A1587"/>
      <c r="B1587" s="399"/>
      <c r="C1587" s="297"/>
      <c r="D1587" s="394"/>
      <c r="E1587" s="297"/>
      <c r="F1587" s="394"/>
      <c r="G1587" s="297"/>
      <c r="H1587" s="297"/>
      <c r="I1587" s="297"/>
      <c r="J1587" s="297"/>
      <c r="K1587" s="297"/>
      <c r="L1587" s="297"/>
      <c r="M1587" s="297"/>
      <c r="N1587" s="297"/>
      <c r="O1587" s="297"/>
      <c r="P1587"/>
      <c r="Q1587"/>
      <c r="R1587"/>
      <c r="S1587"/>
      <c r="T1587"/>
      <c r="U1587"/>
    </row>
    <row r="1588" spans="1:21" x14ac:dyDescent="0.2">
      <c r="A1588"/>
      <c r="B1588" s="399"/>
      <c r="C1588" s="297"/>
      <c r="D1588" s="394"/>
      <c r="E1588" s="297"/>
      <c r="F1588" s="394"/>
      <c r="G1588" s="297"/>
      <c r="H1588" s="297"/>
      <c r="I1588" s="297"/>
      <c r="J1588" s="297"/>
      <c r="K1588" s="297"/>
      <c r="L1588" s="297"/>
      <c r="M1588" s="297"/>
      <c r="N1588" s="297"/>
      <c r="O1588" s="297"/>
      <c r="P1588"/>
      <c r="Q1588"/>
      <c r="R1588"/>
      <c r="S1588"/>
      <c r="T1588"/>
      <c r="U1588"/>
    </row>
    <row r="1589" spans="1:21" x14ac:dyDescent="0.2">
      <c r="A1589"/>
      <c r="B1589" s="399"/>
      <c r="C1589" s="297"/>
      <c r="D1589" s="394"/>
      <c r="E1589" s="297"/>
      <c r="F1589" s="394"/>
      <c r="G1589" s="297"/>
      <c r="H1589" s="297"/>
      <c r="I1589" s="297"/>
      <c r="J1589" s="297"/>
      <c r="K1589" s="297"/>
      <c r="L1589" s="297"/>
      <c r="M1589" s="297"/>
      <c r="N1589" s="297"/>
      <c r="O1589" s="297"/>
      <c r="P1589"/>
      <c r="Q1589"/>
      <c r="R1589"/>
      <c r="S1589"/>
      <c r="T1589"/>
      <c r="U1589"/>
    </row>
    <row r="1590" spans="1:21" x14ac:dyDescent="0.2">
      <c r="A1590"/>
      <c r="B1590" s="399"/>
      <c r="C1590" s="297"/>
      <c r="D1590" s="394"/>
      <c r="E1590" s="297"/>
      <c r="F1590" s="394"/>
      <c r="G1590" s="297"/>
      <c r="H1590" s="297"/>
      <c r="I1590" s="297"/>
      <c r="J1590" s="297"/>
      <c r="K1590" s="297"/>
      <c r="L1590" s="297"/>
      <c r="M1590" s="297"/>
      <c r="N1590" s="297"/>
      <c r="O1590" s="297"/>
      <c r="P1590"/>
      <c r="Q1590"/>
      <c r="R1590"/>
      <c r="S1590"/>
      <c r="T1590"/>
      <c r="U1590"/>
    </row>
    <row r="1591" spans="1:21" x14ac:dyDescent="0.2">
      <c r="A1591"/>
      <c r="B1591" s="399"/>
      <c r="C1591" s="297"/>
      <c r="D1591" s="394"/>
      <c r="E1591" s="297"/>
      <c r="F1591" s="394"/>
      <c r="G1591" s="297"/>
      <c r="H1591" s="297"/>
      <c r="I1591" s="297"/>
      <c r="J1591" s="297"/>
      <c r="K1591" s="297"/>
      <c r="L1591" s="297"/>
      <c r="M1591" s="297"/>
      <c r="N1591" s="297"/>
      <c r="O1591" s="297"/>
      <c r="P1591"/>
      <c r="Q1591"/>
      <c r="R1591"/>
      <c r="S1591"/>
      <c r="T1591"/>
      <c r="U1591"/>
    </row>
    <row r="1592" spans="1:21" x14ac:dyDescent="0.2">
      <c r="A1592"/>
      <c r="B1592" s="399"/>
      <c r="C1592" s="297"/>
      <c r="D1592" s="394"/>
      <c r="E1592" s="297"/>
      <c r="F1592" s="394"/>
      <c r="G1592" s="297"/>
      <c r="H1592" s="297"/>
      <c r="I1592" s="297"/>
      <c r="J1592" s="297"/>
      <c r="K1592" s="297"/>
      <c r="L1592" s="297"/>
      <c r="M1592" s="297"/>
      <c r="N1592" s="297"/>
      <c r="O1592" s="297"/>
      <c r="P1592"/>
      <c r="Q1592"/>
      <c r="R1592"/>
      <c r="S1592"/>
      <c r="T1592"/>
      <c r="U1592"/>
    </row>
    <row r="1593" spans="1:21" x14ac:dyDescent="0.2">
      <c r="A1593"/>
      <c r="B1593" s="399"/>
      <c r="C1593" s="297"/>
      <c r="D1593" s="394"/>
      <c r="E1593" s="297"/>
      <c r="F1593" s="394"/>
      <c r="G1593" s="297"/>
      <c r="H1593" s="297"/>
      <c r="I1593" s="297"/>
      <c r="J1593" s="297"/>
      <c r="K1593" s="297"/>
      <c r="L1593" s="297"/>
      <c r="M1593" s="297"/>
      <c r="N1593" s="297"/>
      <c r="O1593" s="297"/>
      <c r="P1593"/>
      <c r="Q1593"/>
      <c r="R1593"/>
      <c r="S1593"/>
      <c r="T1593"/>
      <c r="U1593"/>
    </row>
    <row r="1594" spans="1:21" x14ac:dyDescent="0.2">
      <c r="A1594"/>
      <c r="B1594" s="399"/>
      <c r="C1594" s="297"/>
      <c r="D1594" s="394"/>
      <c r="E1594" s="297"/>
      <c r="F1594" s="394"/>
      <c r="G1594" s="297"/>
      <c r="H1594" s="297"/>
      <c r="I1594" s="297"/>
      <c r="J1594" s="297"/>
      <c r="K1594" s="297"/>
      <c r="L1594" s="297"/>
      <c r="M1594" s="297"/>
      <c r="N1594" s="297"/>
      <c r="O1594" s="297"/>
      <c r="P1594"/>
      <c r="Q1594"/>
      <c r="R1594"/>
      <c r="S1594"/>
      <c r="T1594"/>
      <c r="U1594"/>
    </row>
    <row r="1595" spans="1:21" x14ac:dyDescent="0.2">
      <c r="A1595"/>
      <c r="B1595" s="399"/>
      <c r="C1595" s="297"/>
      <c r="D1595" s="394"/>
      <c r="E1595" s="297"/>
      <c r="F1595" s="394"/>
      <c r="G1595" s="297"/>
      <c r="H1595" s="297"/>
      <c r="I1595" s="297"/>
      <c r="J1595" s="297"/>
      <c r="K1595" s="297"/>
      <c r="L1595" s="297"/>
      <c r="M1595" s="297"/>
      <c r="N1595" s="297"/>
      <c r="O1595" s="297"/>
      <c r="P1595"/>
      <c r="Q1595"/>
      <c r="R1595"/>
      <c r="S1595"/>
      <c r="T1595"/>
      <c r="U1595"/>
    </row>
    <row r="1596" spans="1:21" x14ac:dyDescent="0.2">
      <c r="A1596"/>
      <c r="B1596" s="399"/>
      <c r="C1596" s="297"/>
      <c r="D1596" s="394"/>
      <c r="E1596" s="297"/>
      <c r="F1596" s="394"/>
      <c r="G1596" s="297"/>
      <c r="H1596" s="297"/>
      <c r="I1596" s="297"/>
      <c r="J1596" s="297"/>
      <c r="K1596" s="297"/>
      <c r="L1596" s="297"/>
      <c r="M1596" s="297"/>
      <c r="N1596" s="297"/>
      <c r="O1596" s="297"/>
      <c r="P1596"/>
      <c r="Q1596"/>
      <c r="R1596"/>
      <c r="S1596"/>
      <c r="T1596"/>
      <c r="U1596"/>
    </row>
    <row r="1597" spans="1:21" x14ac:dyDescent="0.2">
      <c r="A1597"/>
      <c r="B1597" s="399"/>
      <c r="C1597" s="297"/>
      <c r="D1597" s="394"/>
      <c r="E1597" s="297"/>
      <c r="F1597" s="394"/>
      <c r="G1597" s="297"/>
      <c r="H1597" s="297"/>
      <c r="I1597" s="297"/>
      <c r="J1597" s="297"/>
      <c r="K1597" s="297"/>
      <c r="L1597" s="297"/>
      <c r="M1597" s="297"/>
      <c r="N1597" s="297"/>
      <c r="O1597" s="297"/>
      <c r="P1597"/>
      <c r="Q1597"/>
      <c r="R1597"/>
      <c r="S1597"/>
      <c r="T1597"/>
      <c r="U1597"/>
    </row>
    <row r="1598" spans="1:21" x14ac:dyDescent="0.2">
      <c r="A1598"/>
      <c r="B1598" s="399"/>
      <c r="C1598" s="297"/>
      <c r="D1598" s="394"/>
      <c r="E1598" s="297"/>
      <c r="F1598" s="394"/>
      <c r="G1598" s="297"/>
      <c r="H1598" s="297"/>
      <c r="I1598" s="297"/>
      <c r="J1598" s="297"/>
      <c r="K1598" s="297"/>
      <c r="L1598" s="297"/>
      <c r="M1598" s="297"/>
      <c r="N1598" s="297"/>
      <c r="O1598" s="297"/>
      <c r="P1598"/>
      <c r="Q1598"/>
      <c r="R1598"/>
      <c r="S1598"/>
      <c r="T1598"/>
      <c r="U1598"/>
    </row>
    <row r="1599" spans="1:21" x14ac:dyDescent="0.2">
      <c r="A1599"/>
      <c r="B1599" s="399"/>
      <c r="C1599" s="297"/>
      <c r="D1599" s="394"/>
      <c r="E1599" s="297"/>
      <c r="F1599" s="394"/>
      <c r="G1599" s="297"/>
      <c r="H1599" s="297"/>
      <c r="I1599" s="297"/>
      <c r="J1599" s="297"/>
      <c r="K1599" s="297"/>
      <c r="L1599" s="297"/>
      <c r="M1599" s="297"/>
      <c r="N1599" s="297"/>
      <c r="O1599" s="297"/>
      <c r="P1599"/>
      <c r="Q1599"/>
      <c r="R1599"/>
      <c r="S1599"/>
      <c r="T1599"/>
      <c r="U1599"/>
    </row>
    <row r="1600" spans="1:21" x14ac:dyDescent="0.2">
      <c r="A1600"/>
      <c r="B1600" s="399"/>
      <c r="C1600" s="297"/>
      <c r="D1600" s="394"/>
      <c r="E1600" s="297"/>
      <c r="F1600" s="394"/>
      <c r="G1600" s="297"/>
      <c r="H1600" s="297"/>
      <c r="I1600" s="297"/>
      <c r="J1600" s="297"/>
      <c r="K1600" s="297"/>
      <c r="L1600" s="297"/>
      <c r="M1600" s="297"/>
      <c r="N1600" s="297"/>
      <c r="O1600" s="297"/>
      <c r="P1600"/>
      <c r="Q1600"/>
      <c r="R1600"/>
      <c r="S1600"/>
      <c r="T1600"/>
      <c r="U1600"/>
    </row>
    <row r="1601" spans="1:21" x14ac:dyDescent="0.2">
      <c r="A1601"/>
      <c r="B1601" s="399"/>
      <c r="C1601" s="297"/>
      <c r="D1601" s="394"/>
      <c r="E1601" s="297"/>
      <c r="F1601" s="394"/>
      <c r="G1601" s="297"/>
      <c r="H1601" s="297"/>
      <c r="I1601" s="297"/>
      <c r="J1601" s="297"/>
      <c r="K1601" s="297"/>
      <c r="L1601" s="297"/>
      <c r="M1601" s="297"/>
      <c r="N1601" s="297"/>
      <c r="O1601" s="297"/>
      <c r="P1601"/>
      <c r="Q1601"/>
      <c r="R1601"/>
      <c r="S1601"/>
      <c r="T1601"/>
      <c r="U1601"/>
    </row>
    <row r="1602" spans="1:21" x14ac:dyDescent="0.2">
      <c r="A1602"/>
      <c r="B1602" s="399"/>
      <c r="C1602" s="297"/>
      <c r="D1602" s="394"/>
      <c r="E1602" s="297"/>
      <c r="F1602" s="394"/>
      <c r="G1602" s="297"/>
      <c r="H1602" s="297"/>
      <c r="I1602" s="297"/>
      <c r="J1602" s="297"/>
      <c r="K1602" s="297"/>
      <c r="L1602" s="297"/>
      <c r="M1602" s="297"/>
      <c r="N1602" s="297"/>
      <c r="O1602" s="297"/>
      <c r="P1602"/>
      <c r="Q1602"/>
      <c r="R1602"/>
      <c r="S1602"/>
      <c r="T1602"/>
      <c r="U1602"/>
    </row>
    <row r="1603" spans="1:21" x14ac:dyDescent="0.2">
      <c r="A1603"/>
      <c r="B1603" s="399"/>
      <c r="C1603" s="297"/>
      <c r="D1603" s="394"/>
      <c r="E1603" s="297"/>
      <c r="F1603" s="394"/>
      <c r="G1603" s="297"/>
      <c r="H1603" s="297"/>
      <c r="I1603" s="297"/>
      <c r="J1603" s="297"/>
      <c r="K1603" s="297"/>
      <c r="L1603" s="297"/>
      <c r="M1603" s="297"/>
      <c r="N1603" s="297"/>
      <c r="O1603" s="297"/>
      <c r="P1603"/>
      <c r="Q1603"/>
      <c r="R1603"/>
      <c r="S1603"/>
      <c r="T1603"/>
      <c r="U1603"/>
    </row>
    <row r="1604" spans="1:21" x14ac:dyDescent="0.2">
      <c r="A1604"/>
      <c r="B1604" s="399"/>
      <c r="C1604" s="297"/>
      <c r="D1604" s="394"/>
      <c r="E1604" s="297"/>
      <c r="F1604" s="394"/>
      <c r="G1604" s="297"/>
      <c r="H1604" s="297"/>
      <c r="I1604" s="297"/>
      <c r="J1604" s="297"/>
      <c r="K1604" s="297"/>
      <c r="L1604" s="297"/>
      <c r="M1604" s="297"/>
      <c r="N1604" s="297"/>
      <c r="O1604" s="297"/>
      <c r="P1604"/>
      <c r="Q1604"/>
      <c r="R1604"/>
      <c r="S1604"/>
      <c r="T1604"/>
      <c r="U1604"/>
    </row>
    <row r="1605" spans="1:21" x14ac:dyDescent="0.2">
      <c r="A1605"/>
      <c r="B1605" s="399"/>
      <c r="C1605" s="297"/>
      <c r="D1605" s="394"/>
      <c r="E1605" s="297"/>
      <c r="F1605" s="394"/>
      <c r="G1605" s="297"/>
      <c r="H1605" s="297"/>
      <c r="I1605" s="297"/>
      <c r="J1605" s="297"/>
      <c r="K1605" s="297"/>
      <c r="L1605" s="297"/>
      <c r="M1605" s="297"/>
      <c r="N1605" s="297"/>
      <c r="O1605" s="297"/>
      <c r="P1605"/>
      <c r="Q1605"/>
      <c r="R1605"/>
      <c r="S1605"/>
      <c r="T1605"/>
      <c r="U1605"/>
    </row>
    <row r="1606" spans="1:21" x14ac:dyDescent="0.2">
      <c r="A1606"/>
      <c r="B1606" s="399"/>
      <c r="C1606" s="297"/>
      <c r="D1606" s="394"/>
      <c r="E1606" s="297"/>
      <c r="F1606" s="394"/>
      <c r="G1606" s="297"/>
      <c r="H1606" s="297"/>
      <c r="I1606" s="297"/>
      <c r="J1606" s="297"/>
      <c r="K1606" s="297"/>
      <c r="L1606" s="297"/>
      <c r="M1606" s="297"/>
      <c r="N1606" s="297"/>
      <c r="O1606" s="297"/>
      <c r="P1606"/>
      <c r="Q1606"/>
      <c r="R1606"/>
      <c r="S1606"/>
      <c r="T1606"/>
      <c r="U1606"/>
    </row>
    <row r="1607" spans="1:21" x14ac:dyDescent="0.2">
      <c r="A1607"/>
      <c r="B1607" s="399"/>
      <c r="C1607" s="297"/>
      <c r="D1607" s="394"/>
      <c r="E1607" s="297"/>
      <c r="F1607" s="394"/>
      <c r="G1607" s="297"/>
      <c r="H1607" s="297"/>
      <c r="I1607" s="297"/>
      <c r="J1607" s="297"/>
      <c r="K1607" s="297"/>
      <c r="L1607" s="297"/>
      <c r="M1607" s="297"/>
      <c r="N1607" s="297"/>
      <c r="O1607" s="297"/>
      <c r="P1607"/>
      <c r="Q1607"/>
      <c r="R1607"/>
      <c r="S1607"/>
      <c r="T1607"/>
      <c r="U1607"/>
    </row>
    <row r="1608" spans="1:21" x14ac:dyDescent="0.2">
      <c r="A1608"/>
      <c r="B1608" s="399"/>
      <c r="C1608" s="297"/>
      <c r="D1608" s="394"/>
      <c r="E1608" s="297"/>
      <c r="F1608" s="394"/>
      <c r="G1608" s="297"/>
      <c r="H1608" s="297"/>
      <c r="I1608" s="297"/>
      <c r="J1608" s="297"/>
      <c r="K1608" s="297"/>
      <c r="L1608" s="297"/>
      <c r="M1608" s="297"/>
      <c r="N1608" s="297"/>
      <c r="O1608" s="297"/>
      <c r="P1608"/>
      <c r="Q1608"/>
      <c r="R1608"/>
      <c r="S1608"/>
      <c r="T1608"/>
      <c r="U1608"/>
    </row>
    <row r="1609" spans="1:21" x14ac:dyDescent="0.2">
      <c r="A1609"/>
      <c r="B1609" s="399"/>
      <c r="C1609" s="297"/>
      <c r="D1609" s="394"/>
      <c r="E1609" s="297"/>
      <c r="F1609" s="394"/>
      <c r="G1609" s="297"/>
      <c r="H1609" s="297"/>
      <c r="I1609" s="297"/>
      <c r="J1609" s="297"/>
      <c r="K1609" s="297"/>
      <c r="L1609" s="297"/>
      <c r="M1609" s="297"/>
      <c r="N1609" s="297"/>
      <c r="O1609" s="297"/>
      <c r="P1609"/>
      <c r="Q1609"/>
      <c r="R1609"/>
      <c r="S1609"/>
      <c r="T1609"/>
      <c r="U1609"/>
    </row>
    <row r="1610" spans="1:21" x14ac:dyDescent="0.2">
      <c r="A1610"/>
      <c r="B1610" s="399"/>
      <c r="C1610" s="297"/>
      <c r="D1610" s="394"/>
      <c r="E1610" s="297"/>
      <c r="F1610" s="394"/>
      <c r="G1610" s="297"/>
      <c r="H1610" s="297"/>
      <c r="I1610" s="297"/>
      <c r="J1610" s="297"/>
      <c r="K1610" s="297"/>
      <c r="L1610" s="297"/>
      <c r="M1610" s="297"/>
      <c r="N1610" s="297"/>
      <c r="O1610" s="297"/>
      <c r="P1610"/>
      <c r="Q1610"/>
      <c r="R1610"/>
      <c r="S1610"/>
      <c r="T1610"/>
      <c r="U1610"/>
    </row>
    <row r="1611" spans="1:21" x14ac:dyDescent="0.2">
      <c r="A1611"/>
      <c r="B1611" s="399"/>
      <c r="C1611" s="297"/>
      <c r="D1611" s="394"/>
      <c r="E1611" s="297"/>
      <c r="F1611" s="394"/>
      <c r="G1611" s="297"/>
      <c r="H1611" s="297"/>
      <c r="I1611" s="297"/>
      <c r="J1611" s="297"/>
      <c r="K1611" s="297"/>
      <c r="L1611" s="297"/>
      <c r="M1611" s="297"/>
      <c r="N1611" s="297"/>
      <c r="O1611" s="297"/>
      <c r="P1611"/>
      <c r="Q1611"/>
      <c r="R1611"/>
      <c r="S1611"/>
      <c r="T1611"/>
      <c r="U1611"/>
    </row>
    <row r="1612" spans="1:21" x14ac:dyDescent="0.2">
      <c r="A1612"/>
      <c r="B1612" s="399"/>
      <c r="C1612" s="297"/>
      <c r="D1612" s="394"/>
      <c r="E1612" s="297"/>
      <c r="F1612" s="394"/>
      <c r="G1612" s="297"/>
      <c r="H1612" s="297"/>
      <c r="I1612" s="297"/>
      <c r="J1612" s="297"/>
      <c r="K1612" s="297"/>
      <c r="L1612" s="297"/>
      <c r="M1612" s="297"/>
      <c r="N1612" s="297"/>
      <c r="O1612" s="297"/>
      <c r="P1612"/>
      <c r="Q1612"/>
      <c r="R1612"/>
      <c r="S1612"/>
      <c r="T1612"/>
      <c r="U1612"/>
    </row>
    <row r="1613" spans="1:21" x14ac:dyDescent="0.2">
      <c r="A1613"/>
      <c r="B1613" s="399"/>
      <c r="C1613" s="297"/>
      <c r="D1613" s="394"/>
      <c r="E1613" s="297"/>
      <c r="F1613" s="394"/>
      <c r="G1613" s="297"/>
      <c r="H1613" s="297"/>
      <c r="I1613" s="297"/>
      <c r="J1613" s="297"/>
      <c r="K1613" s="297"/>
      <c r="L1613" s="297"/>
      <c r="M1613" s="297"/>
      <c r="N1613" s="297"/>
      <c r="O1613" s="297"/>
      <c r="P1613"/>
      <c r="Q1613"/>
      <c r="R1613"/>
      <c r="S1613"/>
      <c r="T1613"/>
      <c r="U1613"/>
    </row>
    <row r="1614" spans="1:21" x14ac:dyDescent="0.2">
      <c r="A1614"/>
      <c r="B1614" s="399"/>
      <c r="C1614" s="297"/>
      <c r="D1614" s="394"/>
      <c r="E1614" s="297"/>
      <c r="F1614" s="394"/>
      <c r="G1614" s="297"/>
      <c r="H1614" s="297"/>
      <c r="I1614" s="297"/>
      <c r="J1614" s="297"/>
      <c r="K1614" s="297"/>
      <c r="L1614" s="297"/>
      <c r="M1614" s="297"/>
      <c r="N1614" s="297"/>
      <c r="O1614" s="297"/>
      <c r="P1614"/>
      <c r="Q1614"/>
      <c r="R1614"/>
      <c r="S1614"/>
      <c r="T1614"/>
      <c r="U1614"/>
    </row>
    <row r="1615" spans="1:21" x14ac:dyDescent="0.2">
      <c r="A1615"/>
      <c r="B1615" s="399"/>
      <c r="C1615" s="297"/>
      <c r="D1615" s="394"/>
      <c r="E1615" s="297"/>
      <c r="F1615" s="394"/>
      <c r="G1615" s="297"/>
      <c r="H1615" s="297"/>
      <c r="I1615" s="297"/>
      <c r="J1615" s="297"/>
      <c r="K1615" s="297"/>
      <c r="L1615" s="297"/>
      <c r="M1615" s="297"/>
      <c r="N1615" s="297"/>
      <c r="O1615" s="297"/>
      <c r="P1615"/>
      <c r="Q1615"/>
      <c r="R1615"/>
      <c r="S1615"/>
      <c r="T1615"/>
      <c r="U1615"/>
    </row>
    <row r="1616" spans="1:21" x14ac:dyDescent="0.2">
      <c r="A1616"/>
      <c r="B1616" s="399"/>
      <c r="C1616" s="297"/>
      <c r="D1616" s="394"/>
      <c r="E1616" s="297"/>
      <c r="F1616" s="394"/>
      <c r="G1616" s="297"/>
      <c r="H1616" s="297"/>
      <c r="I1616" s="297"/>
      <c r="J1616" s="297"/>
      <c r="K1616" s="297"/>
      <c r="L1616" s="297"/>
      <c r="M1616" s="297"/>
      <c r="N1616" s="297"/>
      <c r="O1616" s="297"/>
      <c r="P1616"/>
      <c r="Q1616"/>
      <c r="R1616"/>
      <c r="S1616"/>
      <c r="T1616"/>
      <c r="U1616"/>
    </row>
    <row r="1617" spans="1:21" x14ac:dyDescent="0.2">
      <c r="A1617"/>
      <c r="B1617" s="399"/>
      <c r="C1617" s="297"/>
      <c r="D1617" s="394"/>
      <c r="E1617" s="297"/>
      <c r="F1617" s="394"/>
      <c r="G1617" s="297"/>
      <c r="H1617" s="297"/>
      <c r="I1617" s="297"/>
      <c r="J1617" s="297"/>
      <c r="K1617" s="297"/>
      <c r="L1617" s="297"/>
      <c r="M1617" s="297"/>
      <c r="N1617" s="297"/>
      <c r="O1617" s="297"/>
      <c r="P1617"/>
      <c r="Q1617"/>
      <c r="R1617"/>
      <c r="S1617"/>
      <c r="T1617"/>
      <c r="U1617"/>
    </row>
    <row r="1618" spans="1:21" x14ac:dyDescent="0.2">
      <c r="A1618"/>
      <c r="B1618" s="399"/>
      <c r="C1618" s="297"/>
      <c r="D1618" s="394"/>
      <c r="E1618" s="297"/>
      <c r="F1618" s="394"/>
      <c r="G1618" s="297"/>
      <c r="H1618" s="297"/>
      <c r="I1618" s="297"/>
      <c r="J1618" s="297"/>
      <c r="K1618" s="297"/>
      <c r="L1618" s="297"/>
      <c r="M1618" s="297"/>
      <c r="N1618" s="297"/>
      <c r="O1618" s="297"/>
      <c r="P1618"/>
      <c r="Q1618"/>
      <c r="R1618"/>
      <c r="S1618"/>
      <c r="T1618"/>
      <c r="U1618"/>
    </row>
    <row r="1619" spans="1:21" x14ac:dyDescent="0.2">
      <c r="A1619"/>
      <c r="B1619" s="399"/>
      <c r="C1619" s="297"/>
      <c r="D1619" s="394"/>
      <c r="E1619" s="297"/>
      <c r="F1619" s="394"/>
      <c r="G1619" s="297"/>
      <c r="H1619" s="297"/>
      <c r="I1619" s="297"/>
      <c r="J1619" s="297"/>
      <c r="K1619" s="297"/>
      <c r="L1619" s="297"/>
      <c r="M1619" s="297"/>
      <c r="N1619" s="297"/>
      <c r="O1619" s="297"/>
      <c r="P1619"/>
      <c r="Q1619"/>
      <c r="R1619"/>
      <c r="S1619"/>
      <c r="T1619"/>
      <c r="U1619"/>
    </row>
    <row r="1620" spans="1:21" x14ac:dyDescent="0.2">
      <c r="A1620"/>
      <c r="B1620" s="399"/>
      <c r="C1620" s="297"/>
      <c r="D1620" s="394"/>
      <c r="E1620" s="297"/>
      <c r="F1620" s="394"/>
      <c r="G1620" s="297"/>
      <c r="H1620" s="297"/>
      <c r="I1620" s="297"/>
      <c r="J1620" s="297"/>
      <c r="K1620" s="297"/>
      <c r="L1620" s="297"/>
      <c r="M1620" s="297"/>
      <c r="N1620" s="297"/>
      <c r="O1620" s="297"/>
      <c r="P1620"/>
      <c r="Q1620"/>
      <c r="R1620"/>
      <c r="S1620"/>
      <c r="T1620"/>
      <c r="U1620"/>
    </row>
    <row r="1621" spans="1:21" x14ac:dyDescent="0.2">
      <c r="A1621"/>
      <c r="B1621" s="399"/>
      <c r="C1621" s="297"/>
      <c r="D1621" s="394"/>
      <c r="E1621" s="297"/>
      <c r="F1621" s="394"/>
      <c r="G1621" s="297"/>
      <c r="H1621" s="297"/>
      <c r="I1621" s="297"/>
      <c r="J1621" s="297"/>
      <c r="K1621" s="297"/>
      <c r="L1621" s="297"/>
      <c r="M1621" s="297"/>
      <c r="N1621" s="297"/>
      <c r="O1621" s="297"/>
      <c r="P1621"/>
      <c r="Q1621"/>
      <c r="R1621"/>
      <c r="S1621"/>
      <c r="T1621"/>
      <c r="U1621"/>
    </row>
    <row r="1622" spans="1:21" x14ac:dyDescent="0.2">
      <c r="A1622"/>
      <c r="B1622" s="399"/>
      <c r="C1622" s="297"/>
      <c r="D1622" s="394"/>
      <c r="E1622" s="297"/>
      <c r="F1622" s="394"/>
      <c r="G1622" s="297"/>
      <c r="H1622" s="297"/>
      <c r="I1622" s="297"/>
      <c r="J1622" s="297"/>
      <c r="K1622" s="297"/>
      <c r="L1622" s="297"/>
      <c r="M1622" s="297"/>
      <c r="N1622" s="297"/>
      <c r="O1622" s="297"/>
      <c r="P1622"/>
      <c r="Q1622"/>
      <c r="R1622"/>
      <c r="S1622"/>
      <c r="T1622"/>
      <c r="U1622"/>
    </row>
    <row r="1623" spans="1:21" x14ac:dyDescent="0.2">
      <c r="A1623"/>
      <c r="B1623" s="399"/>
      <c r="C1623" s="297"/>
      <c r="D1623" s="394"/>
      <c r="E1623" s="297"/>
      <c r="F1623" s="394"/>
      <c r="G1623" s="297"/>
      <c r="H1623" s="297"/>
      <c r="I1623" s="297"/>
      <c r="J1623" s="297"/>
      <c r="K1623" s="297"/>
      <c r="L1623" s="297"/>
      <c r="M1623" s="297"/>
      <c r="N1623" s="297"/>
      <c r="O1623" s="297"/>
      <c r="P1623"/>
      <c r="Q1623"/>
      <c r="R1623"/>
      <c r="S1623"/>
      <c r="T1623"/>
      <c r="U1623"/>
    </row>
    <row r="1624" spans="1:21" x14ac:dyDescent="0.2">
      <c r="A1624"/>
      <c r="B1624" s="399"/>
      <c r="C1624" s="297"/>
      <c r="D1624" s="394"/>
      <c r="E1624" s="297"/>
      <c r="F1624" s="394"/>
      <c r="G1624" s="297"/>
      <c r="H1624" s="297"/>
      <c r="I1624" s="297"/>
      <c r="J1624" s="297"/>
      <c r="K1624" s="297"/>
      <c r="L1624" s="297"/>
      <c r="M1624" s="297"/>
      <c r="N1624" s="297"/>
      <c r="O1624" s="297"/>
      <c r="P1624"/>
      <c r="Q1624"/>
      <c r="R1624"/>
      <c r="S1624"/>
      <c r="T1624"/>
      <c r="U1624"/>
    </row>
    <row r="1625" spans="1:21" x14ac:dyDescent="0.2">
      <c r="A1625"/>
      <c r="B1625" s="399"/>
      <c r="C1625" s="297"/>
      <c r="D1625" s="394"/>
      <c r="E1625" s="297"/>
      <c r="F1625" s="394"/>
      <c r="G1625" s="297"/>
      <c r="H1625" s="297"/>
      <c r="I1625" s="297"/>
      <c r="J1625" s="297"/>
      <c r="K1625" s="297"/>
      <c r="L1625" s="297"/>
      <c r="M1625" s="297"/>
      <c r="N1625" s="297"/>
      <c r="O1625" s="297"/>
      <c r="P1625"/>
      <c r="Q1625"/>
      <c r="R1625"/>
      <c r="S1625"/>
      <c r="T1625"/>
      <c r="U1625"/>
    </row>
    <row r="1626" spans="1:21" x14ac:dyDescent="0.2">
      <c r="A1626"/>
      <c r="B1626" s="399"/>
      <c r="C1626" s="297"/>
      <c r="D1626" s="394"/>
      <c r="E1626" s="297"/>
      <c r="F1626" s="394"/>
      <c r="G1626" s="297"/>
      <c r="H1626" s="297"/>
      <c r="I1626" s="297"/>
      <c r="J1626" s="297"/>
      <c r="K1626" s="297"/>
      <c r="L1626" s="297"/>
      <c r="M1626" s="297"/>
      <c r="N1626" s="297"/>
      <c r="O1626" s="297"/>
      <c r="P1626"/>
      <c r="Q1626"/>
      <c r="R1626"/>
      <c r="S1626"/>
      <c r="T1626"/>
      <c r="U1626"/>
    </row>
    <row r="1627" spans="1:21" x14ac:dyDescent="0.2">
      <c r="A1627"/>
      <c r="B1627" s="399"/>
      <c r="C1627" s="297"/>
      <c r="D1627" s="394"/>
      <c r="E1627" s="297"/>
      <c r="F1627" s="394"/>
      <c r="G1627" s="297"/>
      <c r="H1627" s="297"/>
      <c r="I1627" s="297"/>
      <c r="J1627" s="297"/>
      <c r="K1627" s="297"/>
      <c r="L1627" s="297"/>
      <c r="M1627" s="297"/>
      <c r="N1627" s="297"/>
      <c r="O1627" s="297"/>
      <c r="P1627"/>
      <c r="Q1627"/>
      <c r="R1627"/>
      <c r="S1627"/>
      <c r="T1627"/>
      <c r="U1627"/>
    </row>
    <row r="1628" spans="1:21" x14ac:dyDescent="0.2">
      <c r="A1628"/>
      <c r="B1628" s="399"/>
      <c r="C1628" s="297"/>
      <c r="D1628" s="394"/>
      <c r="E1628" s="297"/>
      <c r="F1628" s="394"/>
      <c r="G1628" s="297"/>
      <c r="H1628" s="297"/>
      <c r="I1628" s="297"/>
      <c r="J1628" s="297"/>
      <c r="K1628" s="297"/>
      <c r="L1628" s="297"/>
      <c r="M1628" s="297"/>
      <c r="N1628" s="297"/>
      <c r="O1628" s="297"/>
      <c r="P1628"/>
      <c r="Q1628"/>
      <c r="R1628"/>
      <c r="S1628"/>
      <c r="T1628"/>
      <c r="U1628"/>
    </row>
    <row r="1629" spans="1:21" x14ac:dyDescent="0.2">
      <c r="A1629"/>
      <c r="B1629" s="399"/>
      <c r="C1629" s="297"/>
      <c r="D1629" s="394"/>
      <c r="E1629" s="297"/>
      <c r="F1629" s="394"/>
      <c r="G1629" s="297"/>
      <c r="H1629" s="297"/>
      <c r="I1629" s="297"/>
      <c r="J1629" s="297"/>
      <c r="K1629" s="297"/>
      <c r="L1629" s="297"/>
      <c r="M1629" s="297"/>
      <c r="N1629" s="297"/>
      <c r="O1629" s="297"/>
      <c r="P1629"/>
      <c r="Q1629"/>
      <c r="R1629"/>
      <c r="S1629"/>
      <c r="T1629"/>
      <c r="U1629"/>
    </row>
    <row r="1630" spans="1:21" x14ac:dyDescent="0.2">
      <c r="A1630"/>
      <c r="B1630" s="399"/>
      <c r="C1630" s="297"/>
      <c r="D1630" s="394"/>
      <c r="E1630" s="297"/>
      <c r="F1630" s="394"/>
      <c r="G1630" s="297"/>
      <c r="H1630" s="297"/>
      <c r="I1630" s="297"/>
      <c r="J1630" s="297"/>
      <c r="K1630" s="297"/>
      <c r="L1630" s="297"/>
      <c r="M1630" s="297"/>
      <c r="N1630" s="297"/>
      <c r="O1630" s="297"/>
      <c r="P1630"/>
      <c r="Q1630"/>
      <c r="R1630"/>
      <c r="S1630"/>
      <c r="T1630"/>
      <c r="U1630"/>
    </row>
    <row r="1631" spans="1:21" x14ac:dyDescent="0.2">
      <c r="A1631"/>
      <c r="B1631" s="399"/>
      <c r="C1631" s="297"/>
      <c r="D1631" s="394"/>
      <c r="E1631" s="297"/>
      <c r="F1631" s="394"/>
      <c r="G1631" s="297"/>
      <c r="H1631" s="297"/>
      <c r="I1631" s="297"/>
      <c r="J1631" s="297"/>
      <c r="K1631" s="297"/>
      <c r="L1631" s="297"/>
      <c r="M1631" s="297"/>
      <c r="N1631" s="297"/>
      <c r="O1631" s="297"/>
      <c r="P1631"/>
      <c r="Q1631"/>
      <c r="R1631"/>
      <c r="S1631"/>
      <c r="T1631"/>
      <c r="U1631"/>
    </row>
    <row r="1632" spans="1:21" x14ac:dyDescent="0.2">
      <c r="A1632"/>
      <c r="B1632" s="399"/>
      <c r="C1632" s="297"/>
      <c r="D1632" s="394"/>
      <c r="E1632" s="297"/>
      <c r="F1632" s="394"/>
      <c r="G1632" s="297"/>
      <c r="H1632" s="297"/>
      <c r="I1632" s="297"/>
      <c r="J1632" s="297"/>
      <c r="K1632" s="297"/>
      <c r="L1632" s="297"/>
      <c r="M1632" s="297"/>
      <c r="N1632" s="297"/>
      <c r="O1632" s="297"/>
      <c r="P1632"/>
      <c r="Q1632"/>
      <c r="R1632"/>
      <c r="S1632"/>
      <c r="T1632"/>
      <c r="U1632"/>
    </row>
    <row r="1633" spans="1:21" x14ac:dyDescent="0.2">
      <c r="A1633"/>
      <c r="B1633" s="399"/>
      <c r="C1633" s="297"/>
      <c r="D1633" s="394"/>
      <c r="E1633" s="297"/>
      <c r="F1633" s="394"/>
      <c r="G1633" s="297"/>
      <c r="H1633" s="297"/>
      <c r="I1633" s="297"/>
      <c r="J1633" s="297"/>
      <c r="K1633" s="297"/>
      <c r="L1633" s="297"/>
      <c r="M1633" s="297"/>
      <c r="N1633" s="297"/>
      <c r="O1633" s="297"/>
      <c r="P1633"/>
      <c r="Q1633"/>
      <c r="R1633"/>
      <c r="S1633"/>
      <c r="T1633"/>
      <c r="U1633"/>
    </row>
    <row r="1634" spans="1:21" x14ac:dyDescent="0.2">
      <c r="A1634"/>
      <c r="B1634" s="399"/>
      <c r="C1634" s="297"/>
      <c r="D1634" s="394"/>
      <c r="E1634" s="297"/>
      <c r="F1634" s="394"/>
      <c r="G1634" s="297"/>
      <c r="H1634" s="297"/>
      <c r="I1634" s="297"/>
      <c r="J1634" s="297"/>
      <c r="K1634" s="297"/>
      <c r="L1634" s="297"/>
      <c r="M1634" s="297"/>
      <c r="N1634" s="297"/>
      <c r="O1634" s="297"/>
      <c r="P1634"/>
      <c r="Q1634"/>
      <c r="R1634"/>
      <c r="S1634"/>
      <c r="T1634"/>
      <c r="U1634"/>
    </row>
    <row r="1635" spans="1:21" x14ac:dyDescent="0.2">
      <c r="A1635"/>
      <c r="B1635" s="399"/>
      <c r="C1635" s="297"/>
      <c r="D1635" s="394"/>
      <c r="E1635" s="297"/>
      <c r="F1635" s="394"/>
      <c r="G1635" s="297"/>
      <c r="H1635" s="297"/>
      <c r="I1635" s="297"/>
      <c r="J1635" s="297"/>
      <c r="K1635" s="297"/>
      <c r="L1635" s="297"/>
      <c r="M1635" s="297"/>
      <c r="N1635" s="297"/>
      <c r="O1635" s="297"/>
      <c r="P1635"/>
      <c r="Q1635"/>
      <c r="R1635"/>
      <c r="S1635"/>
      <c r="T1635"/>
      <c r="U1635"/>
    </row>
    <row r="1636" spans="1:21" x14ac:dyDescent="0.2">
      <c r="A1636"/>
      <c r="B1636" s="399"/>
      <c r="C1636" s="297"/>
      <c r="D1636" s="394"/>
      <c r="E1636" s="297"/>
      <c r="F1636" s="394"/>
      <c r="G1636" s="297"/>
      <c r="H1636" s="297"/>
      <c r="I1636" s="297"/>
      <c r="J1636" s="297"/>
      <c r="K1636" s="297"/>
      <c r="L1636" s="297"/>
      <c r="M1636" s="297"/>
      <c r="N1636" s="297"/>
      <c r="O1636" s="297"/>
      <c r="P1636"/>
      <c r="Q1636"/>
      <c r="R1636"/>
      <c r="S1636"/>
      <c r="T1636"/>
      <c r="U1636"/>
    </row>
    <row r="1637" spans="1:21" x14ac:dyDescent="0.2">
      <c r="A1637"/>
      <c r="B1637" s="399"/>
      <c r="C1637" s="297"/>
      <c r="D1637" s="394"/>
      <c r="E1637" s="297"/>
      <c r="F1637" s="394"/>
      <c r="G1637" s="297"/>
      <c r="H1637" s="297"/>
      <c r="I1637" s="297"/>
      <c r="J1637" s="297"/>
      <c r="K1637" s="297"/>
      <c r="L1637" s="297"/>
      <c r="M1637" s="297"/>
      <c r="N1637" s="297"/>
      <c r="O1637" s="297"/>
      <c r="P1637"/>
      <c r="Q1637"/>
      <c r="R1637"/>
      <c r="S1637"/>
      <c r="T1637"/>
      <c r="U1637"/>
    </row>
    <row r="1638" spans="1:21" x14ac:dyDescent="0.2">
      <c r="A1638"/>
      <c r="B1638" s="399"/>
      <c r="C1638" s="297"/>
      <c r="D1638" s="394"/>
      <c r="E1638" s="297"/>
      <c r="F1638" s="394"/>
      <c r="G1638" s="297"/>
      <c r="H1638" s="297"/>
      <c r="I1638" s="297"/>
      <c r="J1638" s="297"/>
      <c r="K1638" s="297"/>
      <c r="L1638" s="297"/>
      <c r="M1638" s="297"/>
      <c r="N1638" s="297"/>
      <c r="O1638" s="297"/>
      <c r="P1638"/>
      <c r="Q1638"/>
      <c r="R1638"/>
      <c r="S1638"/>
      <c r="T1638"/>
      <c r="U1638"/>
    </row>
    <row r="1639" spans="1:21" x14ac:dyDescent="0.2">
      <c r="A1639"/>
      <c r="B1639" s="399"/>
      <c r="C1639" s="297"/>
      <c r="D1639" s="394"/>
      <c r="E1639" s="297"/>
      <c r="F1639" s="394"/>
      <c r="G1639" s="297"/>
      <c r="H1639" s="297"/>
      <c r="I1639" s="297"/>
      <c r="J1639" s="297"/>
      <c r="K1639" s="297"/>
      <c r="L1639" s="297"/>
      <c r="M1639" s="297"/>
      <c r="N1639" s="297"/>
      <c r="O1639" s="297"/>
      <c r="P1639"/>
      <c r="Q1639"/>
      <c r="R1639"/>
      <c r="S1639"/>
      <c r="T1639"/>
      <c r="U1639"/>
    </row>
    <row r="1640" spans="1:21" x14ac:dyDescent="0.2">
      <c r="A1640"/>
      <c r="B1640" s="399"/>
      <c r="C1640" s="297"/>
      <c r="D1640" s="394"/>
      <c r="E1640" s="297"/>
      <c r="F1640" s="394"/>
      <c r="G1640" s="297"/>
      <c r="H1640" s="297"/>
      <c r="I1640" s="297"/>
      <c r="J1640" s="297"/>
      <c r="K1640" s="297"/>
      <c r="L1640" s="297"/>
      <c r="M1640" s="297"/>
      <c r="N1640" s="297"/>
      <c r="O1640" s="297"/>
      <c r="P1640"/>
      <c r="Q1640"/>
      <c r="R1640"/>
      <c r="S1640"/>
      <c r="T1640"/>
      <c r="U1640"/>
    </row>
    <row r="1641" spans="1:21" x14ac:dyDescent="0.2">
      <c r="A1641"/>
      <c r="B1641" s="399"/>
      <c r="C1641" s="297"/>
      <c r="D1641" s="394"/>
      <c r="E1641" s="297"/>
      <c r="F1641" s="394"/>
      <c r="G1641" s="297"/>
      <c r="H1641" s="297"/>
      <c r="I1641" s="297"/>
      <c r="J1641" s="297"/>
      <c r="K1641" s="297"/>
      <c r="L1641" s="297"/>
      <c r="M1641" s="297"/>
      <c r="N1641" s="297"/>
      <c r="O1641" s="297"/>
      <c r="P1641"/>
      <c r="Q1641"/>
      <c r="R1641"/>
      <c r="S1641"/>
      <c r="T1641"/>
      <c r="U1641"/>
    </row>
    <row r="1642" spans="1:21" x14ac:dyDescent="0.2">
      <c r="A1642"/>
      <c r="B1642" s="399"/>
      <c r="C1642" s="297"/>
      <c r="D1642" s="394"/>
      <c r="E1642" s="297"/>
      <c r="F1642" s="394"/>
      <c r="G1642" s="297"/>
      <c r="H1642" s="297"/>
      <c r="I1642" s="297"/>
      <c r="J1642" s="297"/>
      <c r="K1642" s="297"/>
      <c r="L1642" s="297"/>
      <c r="M1642" s="297"/>
      <c r="N1642" s="297"/>
      <c r="O1642" s="297"/>
      <c r="P1642"/>
      <c r="Q1642"/>
      <c r="R1642"/>
      <c r="S1642"/>
      <c r="T1642"/>
      <c r="U1642"/>
    </row>
    <row r="1643" spans="1:21" x14ac:dyDescent="0.2">
      <c r="A1643"/>
      <c r="B1643" s="399"/>
      <c r="C1643" s="297"/>
      <c r="D1643" s="394"/>
      <c r="E1643" s="297"/>
      <c r="F1643" s="394"/>
      <c r="G1643" s="297"/>
      <c r="H1643" s="297"/>
      <c r="I1643" s="297"/>
      <c r="J1643" s="297"/>
      <c r="K1643" s="297"/>
      <c r="L1643" s="297"/>
      <c r="M1643" s="297"/>
      <c r="N1643" s="297"/>
      <c r="O1643" s="297"/>
      <c r="P1643"/>
      <c r="Q1643"/>
      <c r="R1643"/>
      <c r="S1643"/>
      <c r="T1643"/>
      <c r="U1643"/>
    </row>
    <row r="1644" spans="1:21" x14ac:dyDescent="0.2">
      <c r="A1644"/>
      <c r="B1644" s="399"/>
      <c r="C1644" s="297"/>
      <c r="D1644" s="394"/>
      <c r="E1644" s="297"/>
      <c r="F1644" s="394"/>
      <c r="G1644" s="297"/>
      <c r="H1644" s="297"/>
      <c r="I1644" s="297"/>
      <c r="J1644" s="297"/>
      <c r="K1644" s="297"/>
      <c r="L1644" s="297"/>
      <c r="M1644" s="297"/>
      <c r="N1644" s="297"/>
      <c r="O1644" s="297"/>
      <c r="P1644"/>
      <c r="Q1644"/>
      <c r="R1644"/>
      <c r="S1644"/>
      <c r="T1644"/>
      <c r="U1644"/>
    </row>
    <row r="1645" spans="1:21" x14ac:dyDescent="0.2">
      <c r="A1645"/>
      <c r="B1645" s="399"/>
      <c r="C1645" s="297"/>
      <c r="D1645" s="394"/>
      <c r="E1645" s="297"/>
      <c r="F1645" s="394"/>
      <c r="G1645" s="297"/>
      <c r="H1645" s="297"/>
      <c r="I1645" s="297"/>
      <c r="J1645" s="297"/>
      <c r="K1645" s="297"/>
      <c r="L1645" s="297"/>
      <c r="M1645" s="297"/>
      <c r="N1645" s="297"/>
      <c r="O1645" s="297"/>
      <c r="P1645"/>
      <c r="Q1645"/>
      <c r="R1645"/>
      <c r="S1645"/>
      <c r="T1645"/>
      <c r="U1645"/>
    </row>
    <row r="1646" spans="1:21" x14ac:dyDescent="0.2">
      <c r="A1646"/>
      <c r="B1646" s="399"/>
      <c r="C1646" s="297"/>
      <c r="D1646" s="394"/>
      <c r="E1646" s="297"/>
      <c r="F1646" s="394"/>
      <c r="G1646" s="297"/>
      <c r="H1646" s="297"/>
      <c r="I1646" s="297"/>
      <c r="J1646" s="297"/>
      <c r="K1646" s="297"/>
      <c r="L1646" s="297"/>
      <c r="M1646" s="297"/>
      <c r="N1646" s="297"/>
      <c r="O1646" s="297"/>
      <c r="P1646"/>
      <c r="Q1646"/>
      <c r="R1646"/>
      <c r="S1646"/>
      <c r="T1646"/>
      <c r="U1646"/>
    </row>
    <row r="1647" spans="1:21" x14ac:dyDescent="0.2">
      <c r="A1647"/>
      <c r="B1647" s="399"/>
      <c r="C1647" s="297"/>
      <c r="D1647" s="394"/>
      <c r="E1647" s="297"/>
      <c r="F1647" s="394"/>
      <c r="G1647" s="297"/>
      <c r="H1647" s="297"/>
      <c r="I1647" s="297"/>
      <c r="J1647" s="297"/>
      <c r="K1647" s="297"/>
      <c r="L1647" s="297"/>
      <c r="M1647" s="297"/>
      <c r="N1647" s="297"/>
      <c r="O1647" s="297"/>
      <c r="P1647"/>
      <c r="Q1647"/>
      <c r="R1647"/>
      <c r="S1647"/>
      <c r="T1647"/>
      <c r="U1647"/>
    </row>
    <row r="1648" spans="1:21" x14ac:dyDescent="0.2">
      <c r="A1648"/>
      <c r="B1648" s="399"/>
      <c r="C1648" s="297"/>
      <c r="D1648" s="394"/>
      <c r="E1648" s="297"/>
      <c r="F1648" s="394"/>
      <c r="G1648" s="297"/>
      <c r="H1648" s="297"/>
      <c r="I1648" s="297"/>
      <c r="J1648" s="297"/>
      <c r="K1648" s="297"/>
      <c r="L1648" s="297"/>
      <c r="M1648" s="297"/>
      <c r="N1648" s="297"/>
      <c r="O1648" s="297"/>
      <c r="P1648"/>
      <c r="Q1648"/>
      <c r="R1648"/>
      <c r="S1648"/>
      <c r="T1648"/>
      <c r="U1648"/>
    </row>
    <row r="1649" spans="1:21" x14ac:dyDescent="0.2">
      <c r="A1649"/>
      <c r="B1649" s="399"/>
      <c r="C1649" s="297"/>
      <c r="D1649" s="394"/>
      <c r="E1649" s="297"/>
      <c r="F1649" s="394"/>
      <c r="G1649" s="297"/>
      <c r="H1649" s="297"/>
      <c r="I1649" s="297"/>
      <c r="J1649" s="297"/>
      <c r="K1649" s="297"/>
      <c r="L1649" s="297"/>
      <c r="M1649" s="297"/>
      <c r="N1649" s="297"/>
      <c r="O1649" s="297"/>
      <c r="P1649"/>
      <c r="Q1649"/>
      <c r="R1649"/>
      <c r="S1649"/>
      <c r="T1649"/>
      <c r="U1649"/>
    </row>
    <row r="1650" spans="1:21" x14ac:dyDescent="0.2">
      <c r="A1650"/>
      <c r="B1650" s="399"/>
      <c r="C1650" s="297"/>
      <c r="D1650" s="394"/>
      <c r="E1650" s="297"/>
      <c r="F1650" s="394"/>
      <c r="G1650" s="297"/>
      <c r="H1650" s="297"/>
      <c r="I1650" s="297"/>
      <c r="J1650" s="297"/>
      <c r="K1650" s="297"/>
      <c r="L1650" s="297"/>
      <c r="M1650" s="297"/>
      <c r="N1650" s="297"/>
      <c r="O1650" s="297"/>
      <c r="P1650"/>
      <c r="Q1650"/>
      <c r="R1650"/>
      <c r="S1650"/>
      <c r="T1650"/>
      <c r="U1650"/>
    </row>
    <row r="1651" spans="1:21" x14ac:dyDescent="0.2">
      <c r="A1651"/>
      <c r="B1651" s="399"/>
      <c r="C1651" s="297"/>
      <c r="D1651" s="394"/>
      <c r="E1651" s="297"/>
      <c r="F1651" s="394"/>
      <c r="G1651" s="297"/>
      <c r="H1651" s="297"/>
      <c r="I1651" s="297"/>
      <c r="J1651" s="297"/>
      <c r="K1651" s="297"/>
      <c r="L1651" s="297"/>
      <c r="M1651" s="297"/>
      <c r="N1651" s="297"/>
      <c r="O1651" s="297"/>
      <c r="P1651"/>
      <c r="Q1651"/>
      <c r="R1651"/>
      <c r="S1651"/>
      <c r="T1651"/>
      <c r="U1651"/>
    </row>
    <row r="1652" spans="1:21" x14ac:dyDescent="0.2">
      <c r="A1652"/>
      <c r="B1652" s="399"/>
      <c r="C1652" s="297"/>
      <c r="D1652" s="394"/>
      <c r="E1652" s="297"/>
      <c r="F1652" s="394"/>
      <c r="G1652" s="297"/>
      <c r="H1652" s="297"/>
      <c r="I1652" s="297"/>
      <c r="J1652" s="297"/>
      <c r="K1652" s="297"/>
      <c r="L1652" s="297"/>
      <c r="M1652" s="297"/>
      <c r="N1652" s="297"/>
      <c r="O1652" s="297"/>
      <c r="P1652"/>
      <c r="Q1652"/>
      <c r="R1652"/>
      <c r="S1652"/>
      <c r="T1652"/>
      <c r="U1652"/>
    </row>
    <row r="1653" spans="1:21" x14ac:dyDescent="0.2">
      <c r="A1653"/>
      <c r="B1653" s="399"/>
      <c r="C1653" s="297"/>
      <c r="D1653" s="394"/>
      <c r="E1653" s="297"/>
      <c r="F1653" s="394"/>
      <c r="G1653" s="297"/>
      <c r="H1653" s="297"/>
      <c r="I1653" s="297"/>
      <c r="J1653" s="297"/>
      <c r="K1653" s="297"/>
      <c r="L1653" s="297"/>
      <c r="M1653" s="297"/>
      <c r="N1653" s="297"/>
      <c r="O1653" s="297"/>
      <c r="P1653"/>
      <c r="Q1653"/>
      <c r="R1653"/>
      <c r="S1653"/>
      <c r="T1653"/>
      <c r="U1653"/>
    </row>
    <row r="1654" spans="1:21" x14ac:dyDescent="0.2">
      <c r="A1654"/>
      <c r="B1654" s="399"/>
      <c r="C1654" s="297"/>
      <c r="D1654" s="394"/>
      <c r="E1654" s="297"/>
      <c r="F1654" s="394"/>
      <c r="G1654" s="297"/>
      <c r="H1654" s="297"/>
      <c r="I1654" s="297"/>
      <c r="J1654" s="297"/>
      <c r="K1654" s="297"/>
      <c r="L1654" s="297"/>
      <c r="M1654" s="297"/>
      <c r="N1654" s="297"/>
      <c r="O1654" s="297"/>
      <c r="P1654"/>
      <c r="Q1654"/>
      <c r="R1654"/>
      <c r="S1654"/>
      <c r="T1654"/>
      <c r="U1654"/>
    </row>
    <row r="1655" spans="1:21" x14ac:dyDescent="0.2">
      <c r="A1655"/>
      <c r="B1655" s="399"/>
      <c r="C1655" s="297"/>
      <c r="D1655" s="394"/>
      <c r="E1655" s="297"/>
      <c r="F1655" s="394"/>
      <c r="G1655" s="297"/>
      <c r="H1655" s="297"/>
      <c r="I1655" s="297"/>
      <c r="J1655" s="297"/>
      <c r="K1655" s="297"/>
      <c r="L1655" s="297"/>
      <c r="M1655" s="297"/>
      <c r="N1655" s="297"/>
      <c r="O1655" s="297"/>
      <c r="P1655"/>
      <c r="Q1655"/>
      <c r="R1655"/>
      <c r="S1655"/>
      <c r="T1655"/>
      <c r="U1655"/>
    </row>
    <row r="1656" spans="1:21" x14ac:dyDescent="0.2">
      <c r="A1656"/>
      <c r="B1656" s="399"/>
      <c r="C1656" s="297"/>
      <c r="D1656" s="394"/>
      <c r="E1656" s="297"/>
      <c r="F1656" s="394"/>
      <c r="G1656" s="297"/>
      <c r="H1656" s="297"/>
      <c r="I1656" s="297"/>
      <c r="J1656" s="297"/>
      <c r="K1656" s="297"/>
      <c r="L1656" s="297"/>
      <c r="M1656" s="297"/>
      <c r="N1656" s="297"/>
      <c r="O1656" s="297"/>
      <c r="P1656"/>
      <c r="Q1656"/>
      <c r="R1656"/>
      <c r="S1656"/>
      <c r="T1656"/>
      <c r="U1656"/>
    </row>
    <row r="1657" spans="1:21" x14ac:dyDescent="0.2">
      <c r="A1657"/>
      <c r="B1657" s="399"/>
      <c r="C1657" s="297"/>
      <c r="D1657" s="394"/>
      <c r="E1657" s="297"/>
      <c r="F1657" s="394"/>
      <c r="G1657" s="297"/>
      <c r="H1657" s="297"/>
      <c r="I1657" s="297"/>
      <c r="J1657" s="297"/>
      <c r="K1657" s="297"/>
      <c r="L1657" s="297"/>
      <c r="M1657" s="297"/>
      <c r="N1657" s="297"/>
      <c r="O1657" s="297"/>
      <c r="P1657"/>
      <c r="Q1657"/>
      <c r="R1657"/>
      <c r="S1657"/>
      <c r="T1657"/>
      <c r="U1657"/>
    </row>
    <row r="1658" spans="1:21" x14ac:dyDescent="0.2">
      <c r="A1658"/>
      <c r="B1658" s="399"/>
      <c r="C1658" s="297"/>
      <c r="D1658" s="394"/>
      <c r="E1658" s="297"/>
      <c r="F1658" s="394"/>
      <c r="G1658" s="297"/>
      <c r="H1658" s="297"/>
      <c r="I1658" s="297"/>
      <c r="J1658" s="297"/>
      <c r="K1658" s="297"/>
      <c r="L1658" s="297"/>
      <c r="M1658" s="297"/>
      <c r="N1658" s="297"/>
      <c r="O1658" s="297"/>
      <c r="P1658"/>
      <c r="Q1658"/>
      <c r="R1658"/>
      <c r="S1658"/>
      <c r="T1658"/>
      <c r="U1658"/>
    </row>
    <row r="1659" spans="1:21" x14ac:dyDescent="0.2">
      <c r="A1659"/>
      <c r="B1659" s="399"/>
      <c r="C1659" s="297"/>
      <c r="D1659" s="394"/>
      <c r="E1659" s="297"/>
      <c r="F1659" s="394"/>
      <c r="G1659" s="297"/>
      <c r="H1659" s="297"/>
      <c r="I1659" s="297"/>
      <c r="J1659" s="297"/>
      <c r="K1659" s="297"/>
      <c r="L1659" s="297"/>
      <c r="M1659" s="297"/>
      <c r="N1659" s="297"/>
      <c r="O1659" s="297"/>
      <c r="P1659"/>
      <c r="Q1659"/>
      <c r="R1659"/>
      <c r="S1659"/>
      <c r="T1659"/>
      <c r="U1659"/>
    </row>
    <row r="1660" spans="1:21" x14ac:dyDescent="0.2">
      <c r="A1660"/>
      <c r="B1660" s="399"/>
      <c r="C1660" s="297"/>
      <c r="D1660" s="394"/>
      <c r="E1660" s="297"/>
      <c r="F1660" s="394"/>
      <c r="G1660" s="297"/>
      <c r="H1660" s="297"/>
      <c r="I1660" s="297"/>
      <c r="J1660" s="297"/>
      <c r="K1660" s="297"/>
      <c r="L1660" s="297"/>
      <c r="M1660" s="297"/>
      <c r="N1660" s="297"/>
      <c r="O1660" s="297"/>
      <c r="P1660"/>
      <c r="Q1660"/>
      <c r="R1660"/>
      <c r="S1660"/>
      <c r="T1660"/>
      <c r="U1660"/>
    </row>
    <row r="1661" spans="1:21" x14ac:dyDescent="0.2">
      <c r="A1661"/>
      <c r="B1661" s="399"/>
      <c r="C1661" s="297"/>
      <c r="D1661" s="394"/>
      <c r="E1661" s="297"/>
      <c r="F1661" s="394"/>
      <c r="G1661" s="297"/>
      <c r="H1661" s="297"/>
      <c r="I1661" s="297"/>
      <c r="J1661" s="297"/>
      <c r="K1661" s="297"/>
      <c r="L1661" s="297"/>
      <c r="M1661" s="297"/>
      <c r="N1661" s="297"/>
      <c r="O1661" s="297"/>
      <c r="P1661"/>
      <c r="Q1661"/>
      <c r="R1661"/>
      <c r="S1661"/>
      <c r="T1661"/>
      <c r="U1661"/>
    </row>
    <row r="1662" spans="1:21" x14ac:dyDescent="0.2">
      <c r="A1662"/>
      <c r="B1662" s="399"/>
      <c r="C1662" s="297"/>
      <c r="D1662" s="394"/>
      <c r="E1662" s="297"/>
      <c r="F1662" s="394"/>
      <c r="G1662" s="297"/>
      <c r="H1662" s="297"/>
      <c r="I1662" s="297"/>
      <c r="J1662" s="297"/>
      <c r="K1662" s="297"/>
      <c r="L1662" s="297"/>
      <c r="M1662" s="297"/>
      <c r="N1662" s="297"/>
      <c r="O1662" s="297"/>
      <c r="P1662"/>
      <c r="Q1662"/>
      <c r="R1662"/>
      <c r="S1662"/>
      <c r="T1662"/>
      <c r="U1662"/>
    </row>
    <row r="1663" spans="1:21" x14ac:dyDescent="0.2">
      <c r="A1663"/>
      <c r="B1663" s="399"/>
      <c r="C1663" s="297"/>
      <c r="D1663" s="394"/>
      <c r="E1663" s="297"/>
      <c r="F1663" s="394"/>
      <c r="G1663" s="297"/>
      <c r="H1663" s="297"/>
      <c r="I1663" s="297"/>
      <c r="J1663" s="297"/>
      <c r="K1663" s="297"/>
      <c r="L1663" s="297"/>
      <c r="M1663" s="297"/>
      <c r="N1663" s="297"/>
      <c r="O1663" s="297"/>
      <c r="P1663"/>
      <c r="Q1663"/>
      <c r="R1663"/>
      <c r="S1663"/>
      <c r="T1663"/>
      <c r="U1663"/>
    </row>
    <row r="1664" spans="1:21" x14ac:dyDescent="0.2">
      <c r="A1664"/>
      <c r="B1664" s="399"/>
      <c r="C1664" s="297"/>
      <c r="D1664" s="394"/>
      <c r="E1664" s="297"/>
      <c r="F1664" s="394"/>
      <c r="G1664" s="297"/>
      <c r="H1664" s="297"/>
      <c r="I1664" s="297"/>
      <c r="J1664" s="297"/>
      <c r="K1664" s="297"/>
      <c r="L1664" s="297"/>
      <c r="M1664" s="297"/>
      <c r="N1664" s="297"/>
      <c r="O1664" s="297"/>
      <c r="P1664"/>
      <c r="Q1664"/>
      <c r="R1664"/>
      <c r="S1664"/>
      <c r="T1664"/>
      <c r="U1664"/>
    </row>
    <row r="1665" spans="1:21" x14ac:dyDescent="0.2">
      <c r="A1665"/>
      <c r="B1665" s="399"/>
      <c r="C1665" s="297"/>
      <c r="D1665" s="394"/>
      <c r="E1665" s="297"/>
      <c r="F1665" s="394"/>
      <c r="G1665" s="297"/>
      <c r="H1665" s="297"/>
      <c r="I1665" s="297"/>
      <c r="J1665" s="297"/>
      <c r="K1665" s="297"/>
      <c r="L1665" s="297"/>
      <c r="M1665" s="297"/>
      <c r="N1665" s="297"/>
      <c r="O1665" s="297"/>
      <c r="P1665"/>
      <c r="Q1665"/>
      <c r="R1665"/>
      <c r="S1665"/>
      <c r="T1665"/>
      <c r="U1665"/>
    </row>
    <row r="1666" spans="1:21" x14ac:dyDescent="0.2">
      <c r="A1666"/>
      <c r="B1666" s="399"/>
      <c r="C1666" s="297"/>
      <c r="D1666" s="394"/>
      <c r="E1666" s="297"/>
      <c r="F1666" s="394"/>
      <c r="G1666" s="297"/>
      <c r="H1666" s="297"/>
      <c r="I1666" s="297"/>
      <c r="J1666" s="297"/>
      <c r="K1666" s="297"/>
      <c r="L1666" s="297"/>
      <c r="M1666" s="297"/>
      <c r="N1666" s="297"/>
      <c r="O1666" s="297"/>
      <c r="P1666"/>
      <c r="Q1666"/>
      <c r="R1666"/>
      <c r="S1666"/>
      <c r="T1666"/>
      <c r="U1666"/>
    </row>
    <row r="1667" spans="1:21" x14ac:dyDescent="0.2">
      <c r="A1667"/>
      <c r="B1667" s="399"/>
      <c r="C1667" s="297"/>
      <c r="D1667" s="394"/>
      <c r="E1667" s="297"/>
      <c r="F1667" s="394"/>
      <c r="G1667" s="297"/>
      <c r="H1667" s="297"/>
      <c r="I1667" s="297"/>
      <c r="J1667" s="297"/>
      <c r="K1667" s="297"/>
      <c r="L1667" s="297"/>
      <c r="M1667" s="297"/>
      <c r="N1667" s="297"/>
      <c r="O1667" s="297"/>
      <c r="P1667"/>
      <c r="Q1667"/>
      <c r="R1667"/>
      <c r="S1667"/>
      <c r="T1667"/>
      <c r="U1667"/>
    </row>
    <row r="1668" spans="1:21" x14ac:dyDescent="0.2">
      <c r="A1668"/>
      <c r="B1668" s="399"/>
      <c r="C1668" s="297"/>
      <c r="D1668" s="394"/>
      <c r="E1668" s="297"/>
      <c r="F1668" s="394"/>
      <c r="G1668" s="297"/>
      <c r="H1668" s="297"/>
      <c r="I1668" s="297"/>
      <c r="J1668" s="297"/>
      <c r="K1668" s="297"/>
      <c r="L1668" s="297"/>
      <c r="M1668" s="297"/>
      <c r="N1668" s="297"/>
      <c r="O1668" s="297"/>
      <c r="P1668"/>
      <c r="Q1668"/>
      <c r="R1668"/>
      <c r="S1668"/>
      <c r="T1668"/>
      <c r="U1668"/>
    </row>
    <row r="1669" spans="1:21" x14ac:dyDescent="0.2">
      <c r="A1669"/>
      <c r="B1669" s="399"/>
      <c r="C1669" s="297"/>
      <c r="D1669" s="394"/>
      <c r="E1669" s="297"/>
      <c r="F1669" s="394"/>
      <c r="G1669" s="297"/>
      <c r="H1669" s="297"/>
      <c r="I1669" s="297"/>
      <c r="J1669" s="297"/>
      <c r="K1669" s="297"/>
      <c r="L1669" s="297"/>
      <c r="M1669" s="297"/>
      <c r="N1669" s="297"/>
      <c r="O1669" s="297"/>
      <c r="P1669"/>
      <c r="Q1669"/>
      <c r="R1669"/>
      <c r="S1669"/>
      <c r="T1669"/>
      <c r="U1669"/>
    </row>
    <row r="1670" spans="1:21" x14ac:dyDescent="0.2">
      <c r="A1670"/>
      <c r="B1670" s="399"/>
      <c r="C1670" s="297"/>
      <c r="D1670" s="394"/>
      <c r="E1670" s="297"/>
      <c r="F1670" s="394"/>
      <c r="G1670" s="297"/>
      <c r="H1670" s="297"/>
      <c r="I1670" s="297"/>
      <c r="J1670" s="297"/>
      <c r="K1670" s="297"/>
      <c r="L1670" s="297"/>
      <c r="M1670" s="297"/>
      <c r="N1670" s="297"/>
      <c r="O1670" s="297"/>
      <c r="P1670"/>
      <c r="Q1670"/>
      <c r="R1670"/>
      <c r="S1670"/>
      <c r="T1670"/>
      <c r="U1670"/>
    </row>
    <row r="1671" spans="1:21" x14ac:dyDescent="0.2">
      <c r="A1671"/>
      <c r="B1671" s="399"/>
      <c r="C1671" s="297"/>
      <c r="D1671" s="394"/>
      <c r="E1671" s="297"/>
      <c r="F1671" s="394"/>
      <c r="G1671" s="297"/>
      <c r="H1671" s="297"/>
      <c r="I1671" s="297"/>
      <c r="J1671" s="297"/>
      <c r="K1671" s="297"/>
      <c r="L1671" s="297"/>
      <c r="M1671" s="297"/>
      <c r="N1671" s="297"/>
      <c r="O1671" s="297"/>
      <c r="P1671"/>
      <c r="Q1671"/>
      <c r="R1671"/>
      <c r="S1671"/>
      <c r="T1671"/>
      <c r="U1671"/>
    </row>
    <row r="1672" spans="1:21" x14ac:dyDescent="0.2">
      <c r="A1672"/>
      <c r="B1672" s="399"/>
      <c r="C1672" s="297"/>
      <c r="D1672" s="394"/>
      <c r="E1672" s="297"/>
      <c r="F1672" s="394"/>
      <c r="G1672" s="297"/>
      <c r="H1672" s="297"/>
      <c r="I1672" s="297"/>
      <c r="J1672" s="297"/>
      <c r="K1672" s="297"/>
      <c r="L1672" s="297"/>
      <c r="M1672" s="297"/>
      <c r="N1672" s="297"/>
      <c r="O1672" s="297"/>
      <c r="P1672"/>
      <c r="Q1672"/>
      <c r="R1672"/>
      <c r="S1672"/>
      <c r="T1672"/>
      <c r="U1672"/>
    </row>
    <row r="1673" spans="1:21" x14ac:dyDescent="0.2">
      <c r="A1673"/>
      <c r="B1673" s="399"/>
      <c r="C1673" s="297"/>
      <c r="D1673" s="394"/>
      <c r="E1673" s="297"/>
      <c r="F1673" s="394"/>
      <c r="G1673" s="297"/>
      <c r="H1673" s="297"/>
      <c r="I1673" s="297"/>
      <c r="J1673" s="297"/>
      <c r="K1673" s="297"/>
      <c r="L1673" s="297"/>
      <c r="M1673" s="297"/>
      <c r="N1673" s="297"/>
      <c r="O1673" s="297"/>
      <c r="P1673"/>
      <c r="Q1673"/>
      <c r="R1673"/>
      <c r="S1673"/>
      <c r="T1673"/>
      <c r="U1673"/>
    </row>
    <row r="1674" spans="1:21" x14ac:dyDescent="0.2">
      <c r="A1674"/>
      <c r="B1674" s="399"/>
      <c r="C1674" s="297"/>
      <c r="D1674" s="394"/>
      <c r="E1674" s="297"/>
      <c r="F1674" s="394"/>
      <c r="G1674" s="297"/>
      <c r="H1674" s="297"/>
      <c r="I1674" s="297"/>
      <c r="J1674" s="297"/>
      <c r="K1674" s="297"/>
      <c r="L1674" s="297"/>
      <c r="M1674" s="297"/>
      <c r="N1674" s="297"/>
      <c r="O1674" s="297"/>
      <c r="P1674"/>
      <c r="Q1674"/>
      <c r="R1674"/>
      <c r="S1674"/>
      <c r="T1674"/>
      <c r="U1674"/>
    </row>
    <row r="1675" spans="1:21" x14ac:dyDescent="0.2">
      <c r="A1675"/>
      <c r="B1675" s="399"/>
      <c r="C1675" s="297"/>
      <c r="D1675" s="394"/>
      <c r="E1675" s="297"/>
      <c r="F1675" s="394"/>
      <c r="G1675" s="297"/>
      <c r="H1675" s="297"/>
      <c r="I1675" s="297"/>
      <c r="J1675" s="297"/>
      <c r="K1675" s="297"/>
      <c r="L1675" s="297"/>
      <c r="M1675" s="297"/>
      <c r="N1675" s="297"/>
      <c r="O1675" s="297"/>
      <c r="P1675"/>
      <c r="Q1675"/>
      <c r="R1675"/>
      <c r="S1675"/>
      <c r="T1675"/>
      <c r="U1675"/>
    </row>
    <row r="1676" spans="1:21" x14ac:dyDescent="0.2">
      <c r="A1676"/>
      <c r="B1676" s="399"/>
      <c r="C1676" s="297"/>
      <c r="D1676" s="394"/>
      <c r="E1676" s="297"/>
      <c r="F1676" s="394"/>
      <c r="G1676" s="297"/>
      <c r="H1676" s="297"/>
      <c r="I1676" s="297"/>
      <c r="J1676" s="297"/>
      <c r="K1676" s="297"/>
      <c r="L1676" s="297"/>
      <c r="M1676" s="297"/>
      <c r="N1676" s="297"/>
      <c r="O1676" s="297"/>
      <c r="P1676"/>
      <c r="Q1676"/>
      <c r="R1676"/>
      <c r="S1676"/>
      <c r="T1676"/>
      <c r="U1676"/>
    </row>
    <row r="1677" spans="1:21" x14ac:dyDescent="0.2">
      <c r="A1677"/>
      <c r="B1677" s="399"/>
      <c r="C1677" s="297"/>
      <c r="D1677" s="394"/>
      <c r="E1677" s="297"/>
      <c r="F1677" s="394"/>
      <c r="G1677" s="297"/>
      <c r="H1677" s="297"/>
      <c r="I1677" s="297"/>
      <c r="J1677" s="297"/>
      <c r="K1677" s="297"/>
      <c r="L1677" s="297"/>
      <c r="M1677" s="297"/>
      <c r="N1677" s="297"/>
      <c r="O1677" s="297"/>
      <c r="P1677"/>
      <c r="Q1677"/>
      <c r="R1677"/>
      <c r="S1677"/>
      <c r="T1677"/>
      <c r="U1677"/>
    </row>
    <row r="1678" spans="1:21" x14ac:dyDescent="0.2">
      <c r="A1678"/>
      <c r="B1678" s="399"/>
      <c r="C1678" s="297"/>
      <c r="D1678" s="394"/>
      <c r="E1678" s="297"/>
      <c r="F1678" s="394"/>
      <c r="G1678" s="297"/>
      <c r="H1678" s="297"/>
      <c r="I1678" s="297"/>
      <c r="J1678" s="297"/>
      <c r="K1678" s="297"/>
      <c r="L1678" s="297"/>
      <c r="M1678" s="297"/>
      <c r="N1678" s="297"/>
      <c r="O1678" s="297"/>
      <c r="P1678"/>
      <c r="Q1678"/>
      <c r="R1678"/>
      <c r="S1678"/>
      <c r="T1678"/>
      <c r="U1678"/>
    </row>
    <row r="1679" spans="1:21" x14ac:dyDescent="0.2">
      <c r="A1679"/>
      <c r="B1679" s="399"/>
      <c r="C1679" s="297"/>
      <c r="D1679" s="394"/>
      <c r="E1679" s="297"/>
      <c r="F1679" s="394"/>
      <c r="G1679" s="297"/>
      <c r="H1679" s="297"/>
      <c r="I1679" s="297"/>
      <c r="J1679" s="297"/>
      <c r="K1679" s="297"/>
      <c r="L1679" s="297"/>
      <c r="M1679" s="297"/>
      <c r="N1679" s="297"/>
      <c r="O1679" s="297"/>
      <c r="P1679"/>
      <c r="Q1679"/>
      <c r="R1679"/>
      <c r="S1679"/>
      <c r="T1679"/>
      <c r="U1679"/>
    </row>
    <row r="1680" spans="1:21" x14ac:dyDescent="0.2">
      <c r="A1680"/>
      <c r="B1680" s="399"/>
      <c r="C1680" s="297"/>
      <c r="D1680" s="394"/>
      <c r="E1680" s="297"/>
      <c r="F1680" s="394"/>
      <c r="G1680" s="297"/>
      <c r="H1680" s="297"/>
      <c r="I1680" s="297"/>
      <c r="J1680" s="297"/>
      <c r="K1680" s="297"/>
      <c r="L1680" s="297"/>
      <c r="M1680" s="297"/>
      <c r="N1680" s="297"/>
      <c r="O1680" s="297"/>
      <c r="P1680"/>
      <c r="Q1680"/>
      <c r="R1680"/>
      <c r="S1680"/>
      <c r="T1680"/>
      <c r="U1680"/>
    </row>
    <row r="1681" spans="1:21" x14ac:dyDescent="0.2">
      <c r="A1681"/>
      <c r="B1681" s="399"/>
      <c r="C1681" s="297"/>
      <c r="D1681" s="394"/>
      <c r="E1681" s="297"/>
      <c r="F1681" s="394"/>
      <c r="G1681" s="297"/>
      <c r="H1681" s="297"/>
      <c r="I1681" s="297"/>
      <c r="J1681" s="297"/>
      <c r="K1681" s="297"/>
      <c r="L1681" s="297"/>
      <c r="M1681" s="297"/>
      <c r="N1681" s="297"/>
      <c r="O1681" s="297"/>
      <c r="P1681"/>
      <c r="Q1681"/>
      <c r="R1681"/>
      <c r="S1681"/>
      <c r="T1681"/>
      <c r="U1681"/>
    </row>
    <row r="1682" spans="1:21" x14ac:dyDescent="0.2">
      <c r="A1682"/>
      <c r="B1682" s="399"/>
      <c r="C1682" s="297"/>
      <c r="D1682" s="394"/>
      <c r="E1682" s="297"/>
      <c r="F1682" s="394"/>
      <c r="G1682" s="297"/>
      <c r="H1682" s="297"/>
      <c r="I1682" s="297"/>
      <c r="J1682" s="297"/>
      <c r="K1682" s="297"/>
      <c r="L1682" s="297"/>
      <c r="M1682" s="297"/>
      <c r="N1682" s="297"/>
      <c r="O1682" s="297"/>
      <c r="P1682"/>
      <c r="Q1682"/>
      <c r="R1682"/>
      <c r="S1682"/>
      <c r="T1682"/>
      <c r="U1682"/>
    </row>
    <row r="1683" spans="1:21" x14ac:dyDescent="0.2">
      <c r="A1683"/>
      <c r="B1683" s="399"/>
      <c r="C1683" s="297"/>
      <c r="D1683" s="394"/>
      <c r="E1683" s="297"/>
      <c r="F1683" s="394"/>
      <c r="G1683" s="297"/>
      <c r="H1683" s="297"/>
      <c r="I1683" s="297"/>
      <c r="J1683" s="297"/>
      <c r="K1683" s="297"/>
      <c r="L1683" s="297"/>
      <c r="M1683" s="297"/>
      <c r="N1683" s="297"/>
      <c r="O1683" s="297"/>
      <c r="P1683"/>
      <c r="Q1683"/>
      <c r="R1683"/>
      <c r="S1683"/>
      <c r="T1683"/>
      <c r="U1683"/>
    </row>
    <row r="1684" spans="1:21" x14ac:dyDescent="0.2">
      <c r="A1684"/>
      <c r="B1684" s="399"/>
      <c r="C1684" s="297"/>
      <c r="D1684" s="394"/>
      <c r="E1684" s="297"/>
      <c r="F1684" s="394"/>
      <c r="G1684" s="297"/>
      <c r="H1684" s="297"/>
      <c r="I1684" s="297"/>
      <c r="J1684" s="297"/>
      <c r="K1684" s="297"/>
      <c r="L1684" s="297"/>
      <c r="M1684" s="297"/>
      <c r="N1684" s="297"/>
      <c r="O1684" s="297"/>
      <c r="P1684"/>
      <c r="Q1684"/>
      <c r="R1684"/>
      <c r="S1684"/>
      <c r="T1684"/>
      <c r="U1684"/>
    </row>
    <row r="1685" spans="1:21" x14ac:dyDescent="0.2">
      <c r="A1685"/>
      <c r="B1685" s="399"/>
      <c r="C1685" s="297"/>
      <c r="D1685" s="394"/>
      <c r="E1685" s="297"/>
      <c r="F1685" s="394"/>
      <c r="G1685" s="297"/>
      <c r="H1685" s="297"/>
      <c r="I1685" s="297"/>
      <c r="J1685" s="297"/>
      <c r="K1685" s="297"/>
      <c r="L1685" s="297"/>
      <c r="M1685" s="297"/>
      <c r="N1685" s="297"/>
      <c r="O1685" s="297"/>
      <c r="P1685"/>
      <c r="Q1685"/>
      <c r="R1685"/>
      <c r="S1685"/>
      <c r="T1685"/>
      <c r="U1685"/>
    </row>
    <row r="1686" spans="1:21" x14ac:dyDescent="0.2">
      <c r="A1686"/>
      <c r="B1686" s="399"/>
      <c r="C1686" s="297"/>
      <c r="D1686" s="394"/>
      <c r="E1686" s="297"/>
      <c r="F1686" s="394"/>
      <c r="G1686" s="297"/>
      <c r="H1686" s="297"/>
      <c r="I1686" s="297"/>
      <c r="J1686" s="297"/>
      <c r="K1686" s="297"/>
      <c r="L1686" s="297"/>
      <c r="M1686" s="297"/>
      <c r="N1686" s="297"/>
      <c r="O1686" s="297"/>
      <c r="P1686"/>
      <c r="Q1686"/>
      <c r="R1686"/>
      <c r="S1686"/>
      <c r="T1686"/>
      <c r="U1686"/>
    </row>
    <row r="1687" spans="1:21" x14ac:dyDescent="0.2">
      <c r="A1687"/>
      <c r="B1687" s="399"/>
      <c r="C1687" s="297"/>
      <c r="D1687" s="394"/>
      <c r="E1687" s="297"/>
      <c r="F1687" s="394"/>
      <c r="G1687" s="297"/>
      <c r="H1687" s="297"/>
      <c r="I1687" s="297"/>
      <c r="J1687" s="297"/>
      <c r="K1687" s="297"/>
      <c r="L1687" s="297"/>
      <c r="M1687" s="297"/>
      <c r="N1687" s="297"/>
      <c r="O1687" s="297"/>
      <c r="P1687"/>
      <c r="Q1687"/>
      <c r="R1687"/>
      <c r="S1687"/>
      <c r="T1687"/>
      <c r="U1687"/>
    </row>
    <row r="1688" spans="1:21" x14ac:dyDescent="0.2">
      <c r="A1688"/>
      <c r="B1688" s="399"/>
      <c r="C1688" s="297"/>
      <c r="D1688" s="394"/>
      <c r="E1688" s="297"/>
      <c r="F1688" s="394"/>
      <c r="G1688" s="297"/>
      <c r="H1688" s="297"/>
      <c r="I1688" s="297"/>
      <c r="J1688" s="297"/>
      <c r="K1688" s="297"/>
      <c r="L1688" s="297"/>
      <c r="M1688" s="297"/>
      <c r="N1688" s="297"/>
      <c r="O1688" s="297"/>
      <c r="P1688"/>
      <c r="Q1688"/>
      <c r="R1688"/>
      <c r="S1688"/>
      <c r="T1688"/>
      <c r="U1688"/>
    </row>
    <row r="1689" spans="1:21" x14ac:dyDescent="0.2">
      <c r="A1689"/>
      <c r="B1689" s="399"/>
      <c r="C1689" s="297"/>
      <c r="D1689" s="394"/>
      <c r="E1689" s="297"/>
      <c r="F1689" s="394"/>
      <c r="G1689" s="297"/>
      <c r="H1689" s="297"/>
      <c r="I1689" s="297"/>
      <c r="J1689" s="297"/>
      <c r="K1689" s="297"/>
      <c r="L1689" s="297"/>
      <c r="M1689" s="297"/>
      <c r="N1689" s="297"/>
      <c r="O1689" s="297"/>
      <c r="P1689"/>
      <c r="Q1689"/>
      <c r="R1689"/>
      <c r="S1689"/>
      <c r="T1689"/>
      <c r="U1689"/>
    </row>
    <row r="1690" spans="1:21" x14ac:dyDescent="0.2">
      <c r="A1690"/>
      <c r="B1690" s="399"/>
      <c r="C1690" s="297"/>
      <c r="D1690" s="394"/>
      <c r="E1690" s="297"/>
      <c r="F1690" s="394"/>
      <c r="G1690" s="297"/>
      <c r="H1690" s="297"/>
      <c r="I1690" s="297"/>
      <c r="J1690" s="297"/>
      <c r="K1690" s="297"/>
      <c r="L1690" s="297"/>
      <c r="M1690" s="297"/>
      <c r="N1690" s="297"/>
      <c r="O1690" s="297"/>
      <c r="P1690"/>
      <c r="Q1690"/>
      <c r="R1690"/>
      <c r="S1690"/>
      <c r="T1690"/>
      <c r="U1690"/>
    </row>
    <row r="1691" spans="1:21" x14ac:dyDescent="0.2">
      <c r="A1691"/>
      <c r="B1691" s="399"/>
      <c r="C1691" s="297"/>
      <c r="D1691" s="394"/>
      <c r="E1691" s="297"/>
      <c r="F1691" s="394"/>
      <c r="G1691" s="297"/>
      <c r="H1691" s="297"/>
      <c r="I1691" s="297"/>
      <c r="J1691" s="297"/>
      <c r="K1691" s="297"/>
      <c r="L1691" s="297"/>
      <c r="M1691" s="297"/>
      <c r="N1691" s="297"/>
      <c r="O1691" s="297"/>
      <c r="P1691"/>
      <c r="Q1691"/>
      <c r="R1691"/>
      <c r="S1691"/>
      <c r="T1691"/>
      <c r="U1691"/>
    </row>
    <row r="1692" spans="1:21" x14ac:dyDescent="0.2">
      <c r="A1692"/>
      <c r="B1692" s="399"/>
      <c r="C1692" s="297"/>
      <c r="D1692" s="394"/>
      <c r="E1692" s="297"/>
      <c r="F1692" s="394"/>
      <c r="G1692" s="297"/>
      <c r="H1692" s="297"/>
      <c r="I1692" s="297"/>
      <c r="J1692" s="297"/>
      <c r="K1692" s="297"/>
      <c r="L1692" s="297"/>
      <c r="M1692" s="297"/>
      <c r="N1692" s="297"/>
      <c r="O1692" s="297"/>
      <c r="P1692"/>
      <c r="Q1692"/>
      <c r="R1692"/>
      <c r="S1692"/>
      <c r="T1692"/>
      <c r="U1692"/>
    </row>
    <row r="1693" spans="1:21" x14ac:dyDescent="0.2">
      <c r="A1693"/>
      <c r="B1693" s="399"/>
      <c r="C1693" s="297"/>
      <c r="D1693" s="394"/>
      <c r="E1693" s="297"/>
      <c r="F1693" s="394"/>
      <c r="G1693" s="297"/>
      <c r="H1693" s="297"/>
      <c r="I1693" s="297"/>
      <c r="J1693" s="297"/>
      <c r="K1693" s="297"/>
      <c r="L1693" s="297"/>
      <c r="M1693" s="297"/>
      <c r="N1693" s="297"/>
      <c r="O1693" s="297"/>
      <c r="P1693"/>
      <c r="Q1693"/>
      <c r="R1693"/>
      <c r="S1693"/>
      <c r="T1693"/>
      <c r="U1693"/>
    </row>
    <row r="1694" spans="1:21" x14ac:dyDescent="0.2">
      <c r="A1694"/>
      <c r="B1694" s="399"/>
      <c r="C1694" s="297"/>
      <c r="D1694" s="394"/>
      <c r="E1694" s="297"/>
      <c r="F1694" s="394"/>
      <c r="G1694" s="297"/>
      <c r="H1694" s="297"/>
      <c r="I1694" s="297"/>
      <c r="J1694" s="297"/>
      <c r="K1694" s="297"/>
      <c r="L1694" s="297"/>
      <c r="M1694" s="297"/>
      <c r="N1694" s="297"/>
      <c r="O1694" s="297"/>
      <c r="P1694"/>
      <c r="Q1694"/>
      <c r="R1694"/>
      <c r="S1694"/>
      <c r="T1694"/>
      <c r="U1694"/>
    </row>
    <row r="1695" spans="1:21" x14ac:dyDescent="0.2">
      <c r="A1695"/>
      <c r="B1695" s="399"/>
      <c r="C1695" s="297"/>
      <c r="D1695" s="394"/>
      <c r="E1695" s="297"/>
      <c r="F1695" s="394"/>
      <c r="G1695" s="297"/>
      <c r="H1695" s="297"/>
      <c r="I1695" s="297"/>
      <c r="J1695" s="297"/>
      <c r="K1695" s="297"/>
      <c r="L1695" s="297"/>
      <c r="M1695" s="297"/>
      <c r="N1695" s="297"/>
      <c r="O1695" s="297"/>
      <c r="P1695"/>
      <c r="Q1695"/>
      <c r="R1695"/>
      <c r="S1695"/>
      <c r="T1695"/>
      <c r="U1695"/>
    </row>
    <row r="1696" spans="1:21" x14ac:dyDescent="0.2">
      <c r="A1696"/>
      <c r="B1696" s="399"/>
      <c r="C1696" s="297"/>
      <c r="D1696" s="394"/>
      <c r="E1696" s="297"/>
      <c r="F1696" s="394"/>
      <c r="G1696" s="297"/>
      <c r="H1696" s="297"/>
      <c r="I1696" s="297"/>
      <c r="J1696" s="297"/>
      <c r="K1696" s="297"/>
      <c r="L1696" s="297"/>
      <c r="M1696" s="297"/>
      <c r="N1696" s="297"/>
      <c r="O1696" s="297"/>
      <c r="P1696"/>
      <c r="Q1696"/>
      <c r="R1696"/>
      <c r="S1696"/>
      <c r="T1696"/>
      <c r="U1696"/>
    </row>
    <row r="1697" spans="1:21" x14ac:dyDescent="0.2">
      <c r="A1697"/>
      <c r="B1697" s="399"/>
      <c r="C1697" s="297"/>
      <c r="D1697" s="394"/>
      <c r="E1697" s="297"/>
      <c r="F1697" s="394"/>
      <c r="G1697" s="297"/>
      <c r="H1697" s="297"/>
      <c r="I1697" s="297"/>
      <c r="J1697" s="297"/>
      <c r="K1697" s="297"/>
      <c r="L1697" s="297"/>
      <c r="M1697" s="297"/>
      <c r="N1697" s="297"/>
      <c r="O1697" s="297"/>
      <c r="P1697"/>
      <c r="Q1697"/>
      <c r="R1697"/>
      <c r="S1697"/>
      <c r="T1697"/>
      <c r="U1697"/>
    </row>
    <row r="1698" spans="1:21" x14ac:dyDescent="0.2">
      <c r="A1698"/>
      <c r="B1698" s="399"/>
      <c r="C1698" s="297"/>
      <c r="D1698" s="394"/>
      <c r="E1698" s="297"/>
      <c r="F1698" s="394"/>
      <c r="G1698" s="297"/>
      <c r="H1698" s="297"/>
      <c r="I1698" s="297"/>
      <c r="J1698" s="297"/>
      <c r="K1698" s="297"/>
      <c r="L1698" s="297"/>
      <c r="M1698" s="297"/>
      <c r="N1698" s="297"/>
      <c r="O1698" s="297"/>
      <c r="P1698"/>
      <c r="Q1698"/>
      <c r="R1698"/>
      <c r="S1698"/>
      <c r="T1698"/>
      <c r="U1698"/>
    </row>
    <row r="1699" spans="1:21" x14ac:dyDescent="0.2">
      <c r="A1699"/>
      <c r="B1699" s="399"/>
      <c r="C1699" s="297"/>
      <c r="D1699" s="394"/>
      <c r="E1699" s="297"/>
      <c r="F1699" s="394"/>
      <c r="G1699" s="297"/>
      <c r="H1699" s="297"/>
      <c r="I1699" s="297"/>
      <c r="J1699" s="297"/>
      <c r="K1699" s="297"/>
      <c r="L1699" s="297"/>
      <c r="M1699" s="297"/>
      <c r="N1699" s="297"/>
      <c r="O1699" s="297"/>
      <c r="P1699"/>
      <c r="Q1699"/>
      <c r="R1699"/>
      <c r="S1699"/>
      <c r="T1699"/>
      <c r="U1699"/>
    </row>
    <row r="1700" spans="1:21" x14ac:dyDescent="0.2">
      <c r="A1700"/>
      <c r="B1700" s="399"/>
      <c r="C1700" s="297"/>
      <c r="D1700" s="394"/>
      <c r="E1700" s="297"/>
      <c r="F1700" s="394"/>
      <c r="G1700" s="297"/>
      <c r="H1700" s="297"/>
      <c r="I1700" s="297"/>
      <c r="J1700" s="297"/>
      <c r="K1700" s="297"/>
      <c r="L1700" s="297"/>
      <c r="M1700" s="297"/>
      <c r="N1700" s="297"/>
      <c r="O1700" s="297"/>
      <c r="P1700"/>
      <c r="Q1700"/>
      <c r="R1700"/>
      <c r="S1700"/>
      <c r="T1700"/>
      <c r="U1700"/>
    </row>
    <row r="1701" spans="1:21" x14ac:dyDescent="0.2">
      <c r="A1701"/>
      <c r="B1701" s="399"/>
      <c r="C1701" s="297"/>
      <c r="D1701" s="394"/>
      <c r="E1701" s="297"/>
      <c r="F1701" s="394"/>
      <c r="G1701" s="297"/>
      <c r="H1701" s="297"/>
      <c r="I1701" s="297"/>
      <c r="J1701" s="297"/>
      <c r="K1701" s="297"/>
      <c r="L1701" s="297"/>
      <c r="M1701" s="297"/>
      <c r="N1701" s="297"/>
      <c r="O1701" s="297"/>
      <c r="P1701"/>
      <c r="Q1701"/>
      <c r="R1701"/>
      <c r="S1701"/>
      <c r="T1701"/>
      <c r="U1701"/>
    </row>
    <row r="1702" spans="1:21" x14ac:dyDescent="0.2">
      <c r="A1702"/>
      <c r="B1702" s="399"/>
      <c r="C1702" s="297"/>
      <c r="D1702" s="394"/>
      <c r="E1702" s="297"/>
      <c r="F1702" s="394"/>
      <c r="G1702" s="297"/>
      <c r="H1702" s="297"/>
      <c r="I1702" s="297"/>
      <c r="J1702" s="297"/>
      <c r="K1702" s="297"/>
      <c r="L1702" s="297"/>
      <c r="M1702" s="297"/>
      <c r="N1702" s="297"/>
      <c r="O1702" s="297"/>
      <c r="P1702"/>
      <c r="Q1702"/>
      <c r="R1702"/>
      <c r="S1702"/>
      <c r="T1702"/>
      <c r="U1702"/>
    </row>
    <row r="1703" spans="1:21" x14ac:dyDescent="0.2">
      <c r="A1703"/>
      <c r="B1703" s="399"/>
      <c r="C1703" s="297"/>
      <c r="D1703" s="394"/>
      <c r="E1703" s="297"/>
      <c r="F1703" s="394"/>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1550</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2020-07-17</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1350</v>
      </c>
      <c r="D48" s="125"/>
      <c r="E48" s="125"/>
      <c r="F48" s="125"/>
      <c r="G48" s="125"/>
      <c r="H48" s="125"/>
      <c r="I48" s="257"/>
      <c r="J48" s="125"/>
      <c r="K48" s="125"/>
      <c r="L48" s="125"/>
      <c r="M48" s="125"/>
      <c r="N48" s="125"/>
      <c r="O48" s="125"/>
      <c r="P48" s="125"/>
      <c r="Q48" s="125"/>
      <c r="R48" s="125"/>
      <c r="S48" s="2"/>
      <c r="T48" s="2"/>
    </row>
    <row r="49" spans="2:20" x14ac:dyDescent="0.2">
      <c r="B49" s="2"/>
      <c r="C49" s="125" t="s">
        <v>1351</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2020-07-17</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2020-07-17</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2020-07-17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2020-07-17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B2:T262"/>
  <sheetViews>
    <sheetView showRowColHeaders="0" workbookViewId="0">
      <pane ySplit="26" topLeftCell="A249"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2020-07-17</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6" t="s">
        <v>90</v>
      </c>
      <c r="D25" s="416" t="s">
        <v>91</v>
      </c>
      <c r="E25" s="417" t="s">
        <v>142</v>
      </c>
      <c r="F25" s="417"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6"/>
      <c r="D26" s="416"/>
      <c r="E26" s="418"/>
      <c r="F26" s="41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39"/>
      <c r="F257" s="39"/>
      <c r="G257" s="39"/>
      <c r="H257" s="39"/>
      <c r="I257" s="39"/>
      <c r="J257" s="44"/>
      <c r="K257" s="44"/>
      <c r="L257" s="44"/>
      <c r="M257" s="44"/>
    </row>
    <row r="258" spans="2:13" x14ac:dyDescent="0.2">
      <c r="B258" s="376">
        <v>43890</v>
      </c>
      <c r="C258" s="181">
        <v>7.2189494967460646E-2</v>
      </c>
      <c r="D258" s="181">
        <v>5.9997791811012169E-2</v>
      </c>
      <c r="E258" s="39"/>
      <c r="F258" s="39"/>
      <c r="G258" s="39"/>
      <c r="H258" s="39"/>
      <c r="I258" s="39"/>
      <c r="J258" s="44"/>
      <c r="K258" s="44"/>
      <c r="L258" s="44"/>
      <c r="M258" s="44"/>
    </row>
    <row r="259" spans="2:13" x14ac:dyDescent="0.2">
      <c r="B259" s="376">
        <v>43921</v>
      </c>
      <c r="C259" s="181">
        <v>6.3094696402549749E-2</v>
      </c>
      <c r="D259" s="181">
        <v>5.1116558366631759E-2</v>
      </c>
      <c r="E259" s="39"/>
      <c r="F259" s="39"/>
      <c r="G259" s="39"/>
      <c r="H259" s="39"/>
      <c r="I259" s="39"/>
      <c r="J259" s="44"/>
      <c r="K259" s="44"/>
      <c r="L259" s="44"/>
      <c r="M259" s="44"/>
    </row>
    <row r="260" spans="2:13" x14ac:dyDescent="0.2">
      <c r="B260" s="376">
        <v>43951</v>
      </c>
      <c r="C260" s="181">
        <v>6.8944838643074033E-2</v>
      </c>
      <c r="D260" s="181">
        <v>5.7067675100245463E-2</v>
      </c>
      <c r="E260" s="39"/>
      <c r="F260" s="39"/>
      <c r="G260" s="39"/>
      <c r="H260" s="39"/>
      <c r="I260" s="39"/>
      <c r="J260" s="44"/>
      <c r="K260" s="44"/>
      <c r="L260" s="44"/>
      <c r="M260" s="44"/>
    </row>
    <row r="261" spans="2:13" x14ac:dyDescent="0.2">
      <c r="B261" s="376">
        <v>43982</v>
      </c>
      <c r="C261" s="181">
        <v>6.9733425974845886E-2</v>
      </c>
      <c r="D261" s="181">
        <v>5.7634335766477029E-2</v>
      </c>
      <c r="E261" s="39"/>
      <c r="F261" s="39"/>
      <c r="G261" s="39"/>
      <c r="H261" s="39"/>
      <c r="I261" s="39"/>
      <c r="J261" s="44"/>
      <c r="K261" s="44"/>
      <c r="L261" s="44"/>
      <c r="M261" s="44"/>
    </row>
    <row r="262" spans="2:13" x14ac:dyDescent="0.2">
      <c r="B262" s="376"/>
      <c r="C262" s="181"/>
      <c r="D262" s="181"/>
      <c r="E262" s="39"/>
      <c r="F262" s="39"/>
      <c r="G262" s="39"/>
      <c r="H262" s="39"/>
      <c r="I262" s="39"/>
      <c r="J262" s="44"/>
      <c r="K262" s="44"/>
      <c r="L262" s="44"/>
      <c r="M262"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row>
    <row r="3" spans="1:23" ht="24.95" customHeight="1" x14ac:dyDescent="0.2">
      <c r="B3" s="44"/>
      <c r="C3" s="39"/>
      <c r="D3" s="39"/>
      <c r="E3" s="39"/>
      <c r="F3" s="39"/>
      <c r="G3" s="39"/>
      <c r="H3" s="39"/>
      <c r="I3" s="39"/>
      <c r="J3" s="44"/>
      <c r="K3" s="44"/>
      <c r="L3" s="44"/>
      <c r="M3" s="44"/>
      <c r="N3" s="44"/>
      <c r="O3" s="44"/>
      <c r="P3" s="44"/>
      <c r="Q3" s="44"/>
      <c r="R3" s="44"/>
      <c r="S3" s="44"/>
      <c r="T3" s="44"/>
      <c r="U3" s="44"/>
      <c r="V3" s="44"/>
    </row>
    <row r="4" spans="1:23" x14ac:dyDescent="0.2">
      <c r="A4" s="80" t="s">
        <v>69</v>
      </c>
      <c r="B4" s="44"/>
      <c r="C4" s="39"/>
      <c r="D4" s="39"/>
      <c r="E4" s="39"/>
      <c r="F4" s="39"/>
      <c r="G4" s="39"/>
      <c r="H4" s="39"/>
      <c r="I4" s="39"/>
      <c r="J4" s="44"/>
      <c r="K4" s="44"/>
      <c r="L4" s="44"/>
      <c r="M4" s="44"/>
      <c r="N4" s="44"/>
      <c r="O4" s="44"/>
      <c r="P4" s="44"/>
      <c r="Q4" s="44"/>
      <c r="R4" s="44"/>
      <c r="S4" s="44"/>
      <c r="T4" s="44"/>
      <c r="U4" s="44"/>
      <c r="V4" s="44"/>
    </row>
    <row r="5" spans="1:23" ht="18" x14ac:dyDescent="0.25">
      <c r="B5" s="270" t="s">
        <v>98</v>
      </c>
      <c r="C5" s="39"/>
      <c r="D5" s="39"/>
      <c r="E5" s="39"/>
      <c r="F5" s="39"/>
      <c r="G5" s="39"/>
      <c r="H5" s="39"/>
      <c r="I5" s="39"/>
      <c r="J5" s="44"/>
      <c r="K5" s="44"/>
      <c r="L5" s="44"/>
      <c r="M5" s="44"/>
      <c r="N5" s="44"/>
      <c r="O5" s="44"/>
      <c r="P5" s="44"/>
      <c r="Q5" s="85"/>
      <c r="R5" s="85"/>
      <c r="S5" s="85"/>
      <c r="T5" s="85"/>
      <c r="U5" s="44"/>
      <c r="V5" s="44"/>
    </row>
    <row r="6" spans="1:23" x14ac:dyDescent="0.2">
      <c r="B6" s="271" t="str">
        <f>'Värdeutveckling - konto'!C8</f>
        <v>Nästa uppdatering 2020-07-17</v>
      </c>
      <c r="C6" s="39"/>
      <c r="D6" s="39"/>
      <c r="E6" s="39"/>
      <c r="F6" s="39"/>
      <c r="G6" s="39"/>
      <c r="H6" s="39"/>
      <c r="I6" s="39"/>
      <c r="J6" s="44"/>
      <c r="K6" s="44"/>
      <c r="L6" s="44"/>
      <c r="M6" s="44"/>
      <c r="N6" s="44"/>
      <c r="O6" s="44"/>
      <c r="P6" s="44"/>
      <c r="Q6" s="44"/>
      <c r="R6" s="44"/>
      <c r="S6" s="44"/>
      <c r="T6" s="44"/>
      <c r="U6" s="44"/>
      <c r="V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row>
    <row r="8" spans="1:23" x14ac:dyDescent="0.2">
      <c r="B8" s="53" t="s">
        <v>95</v>
      </c>
      <c r="C8" s="39"/>
      <c r="D8" s="39"/>
      <c r="E8" s="39"/>
      <c r="F8" s="39"/>
      <c r="G8" s="39"/>
      <c r="H8" s="39"/>
      <c r="I8" s="39"/>
      <c r="J8" s="44"/>
      <c r="K8" s="44"/>
      <c r="L8" s="44"/>
      <c r="M8" s="44"/>
      <c r="N8" s="44"/>
      <c r="O8" s="44"/>
      <c r="P8" s="44"/>
      <c r="Q8" s="177"/>
      <c r="R8" s="177"/>
      <c r="S8" s="177"/>
      <c r="T8" s="177"/>
      <c r="U8" s="44"/>
      <c r="V8" s="44"/>
    </row>
    <row r="9" spans="1:23" x14ac:dyDescent="0.2">
      <c r="B9" s="53" t="s">
        <v>96</v>
      </c>
      <c r="C9" s="39"/>
      <c r="D9" s="39"/>
      <c r="E9" s="39"/>
      <c r="F9" s="39"/>
      <c r="G9" s="39"/>
      <c r="H9" s="39"/>
      <c r="I9" s="39"/>
      <c r="J9" s="44"/>
      <c r="K9" s="44"/>
      <c r="L9" s="44"/>
      <c r="M9" s="44"/>
      <c r="N9" s="44"/>
      <c r="O9" s="44"/>
      <c r="P9" s="44"/>
      <c r="Q9" s="177"/>
      <c r="R9" s="177"/>
      <c r="S9" s="177"/>
      <c r="T9" s="177"/>
      <c r="U9" s="44"/>
      <c r="V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x14ac:dyDescent="0.2">
      <c r="B14" s="274" t="s">
        <v>62</v>
      </c>
      <c r="C14" s="388">
        <v>2001</v>
      </c>
      <c r="D14" s="388">
        <v>2002</v>
      </c>
      <c r="E14" s="388">
        <v>2003</v>
      </c>
      <c r="F14" s="388">
        <v>2004</v>
      </c>
      <c r="G14" s="388">
        <v>2005</v>
      </c>
      <c r="H14" s="388">
        <v>2006</v>
      </c>
      <c r="I14" s="388">
        <v>2007</v>
      </c>
      <c r="J14" s="388">
        <v>2008</v>
      </c>
      <c r="K14" s="388">
        <v>2009</v>
      </c>
      <c r="L14" s="388">
        <v>2010</v>
      </c>
      <c r="M14" s="388">
        <v>2011</v>
      </c>
      <c r="N14" s="388">
        <v>2012</v>
      </c>
      <c r="O14" s="388">
        <v>2013</v>
      </c>
      <c r="P14" s="388">
        <v>2014</v>
      </c>
      <c r="Q14" s="388">
        <v>2015</v>
      </c>
      <c r="R14" s="388">
        <v>2016</v>
      </c>
      <c r="S14" s="388">
        <v>2017</v>
      </c>
      <c r="T14" s="388">
        <v>2018</v>
      </c>
      <c r="U14" s="388">
        <v>2019</v>
      </c>
      <c r="V14" s="357">
        <v>43982</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-7.0384279546928719E-2</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-8.7860551690249089E-2</v>
      </c>
    </row>
    <row r="17" spans="1:22"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2.5981126300865576E-2</v>
      </c>
    </row>
    <row r="18" spans="1:22" ht="17.25" customHeight="1" x14ac:dyDescent="0.2">
      <c r="C18" s="80"/>
      <c r="D18" s="80"/>
      <c r="E18" s="80"/>
      <c r="F18" s="80"/>
      <c r="G18" s="80"/>
      <c r="H18" s="80"/>
      <c r="I18" s="80"/>
    </row>
    <row r="19" spans="1:22" x14ac:dyDescent="0.2">
      <c r="B19" s="44"/>
      <c r="C19" s="39"/>
      <c r="D19" s="39"/>
      <c r="E19" s="39"/>
      <c r="F19" s="39"/>
      <c r="G19" s="39"/>
      <c r="H19" s="39"/>
      <c r="I19" s="39"/>
      <c r="J19" s="39"/>
      <c r="K19" s="39"/>
      <c r="L19" s="44"/>
      <c r="M19" s="44"/>
      <c r="N19" s="44"/>
      <c r="O19" s="44"/>
      <c r="P19" s="44"/>
      <c r="Q19" s="51"/>
      <c r="R19" s="51"/>
      <c r="S19" s="51"/>
      <c r="T19" s="51"/>
      <c r="U19" s="44"/>
      <c r="V19" s="44"/>
    </row>
    <row r="20" spans="1:22" x14ac:dyDescent="0.2">
      <c r="B20" s="183" t="s">
        <v>113</v>
      </c>
      <c r="C20" s="39"/>
      <c r="D20" s="39"/>
      <c r="E20" s="39"/>
      <c r="F20" s="39"/>
      <c r="G20" s="39"/>
      <c r="H20" s="39"/>
      <c r="I20" s="39"/>
      <c r="J20" s="44"/>
      <c r="K20" s="44"/>
      <c r="L20" s="20"/>
      <c r="M20" s="44"/>
      <c r="N20" s="44"/>
      <c r="O20" s="44"/>
      <c r="P20" s="44"/>
      <c r="Q20" s="182"/>
      <c r="R20" s="182"/>
      <c r="S20" s="182"/>
      <c r="T20" s="182"/>
      <c r="U20" s="44"/>
      <c r="V20" s="44"/>
    </row>
    <row r="21" spans="1:22" x14ac:dyDescent="0.2">
      <c r="B21" s="183" t="s">
        <v>130</v>
      </c>
      <c r="C21" s="39"/>
      <c r="D21" s="39"/>
      <c r="E21" s="39"/>
      <c r="F21" s="39"/>
      <c r="G21" s="39"/>
      <c r="H21" s="39"/>
      <c r="I21" s="39"/>
      <c r="J21" s="44"/>
      <c r="K21" s="44"/>
      <c r="L21" s="20"/>
      <c r="M21" s="44"/>
      <c r="N21" s="44"/>
      <c r="O21" s="44"/>
      <c r="P21" s="44"/>
      <c r="Q21" s="43"/>
      <c r="R21" s="367"/>
      <c r="S21" s="367"/>
      <c r="T21" s="43"/>
      <c r="U21" s="44"/>
      <c r="V21" s="44"/>
    </row>
    <row r="22" spans="1:22" x14ac:dyDescent="0.2">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
      <c r="A23" s="165"/>
      <c r="F23" s="173"/>
      <c r="G23" s="173"/>
      <c r="H23" s="173"/>
      <c r="I23" s="173"/>
      <c r="J23" s="173"/>
      <c r="K23" s="173"/>
      <c r="L23" s="175"/>
      <c r="M23" s="165"/>
      <c r="N23" s="174"/>
      <c r="Q23" s="171"/>
      <c r="R23" s="171"/>
      <c r="S23" s="171"/>
      <c r="T23" s="171"/>
      <c r="V23" s="170"/>
    </row>
    <row r="24" spans="1:22" x14ac:dyDescent="0.2">
      <c r="A24" s="165"/>
      <c r="F24" s="173"/>
      <c r="G24" s="173"/>
      <c r="H24" s="173"/>
      <c r="I24" s="173"/>
      <c r="J24" s="173"/>
      <c r="K24" s="173"/>
      <c r="L24" s="175"/>
      <c r="M24" s="165"/>
      <c r="N24" s="174"/>
      <c r="Q24" s="171"/>
      <c r="R24" s="171"/>
      <c r="S24" s="171"/>
      <c r="T24" s="171"/>
      <c r="V24" s="170"/>
    </row>
    <row r="25" spans="1:22" x14ac:dyDescent="0.2">
      <c r="F25" s="166"/>
      <c r="G25" s="166"/>
      <c r="H25" s="166"/>
      <c r="I25" s="166"/>
      <c r="J25" s="165"/>
      <c r="K25" s="165"/>
      <c r="L25" s="165"/>
      <c r="M25" s="165"/>
      <c r="N25" s="174"/>
      <c r="Q25" s="171"/>
      <c r="R25" s="171"/>
      <c r="S25" s="171"/>
      <c r="T25" s="171"/>
      <c r="V25" s="170"/>
    </row>
    <row r="26" spans="1:22" x14ac:dyDescent="0.2">
      <c r="F26" s="140"/>
      <c r="G26" s="140"/>
      <c r="H26" s="140"/>
      <c r="I26" s="140"/>
      <c r="K26" s="81"/>
      <c r="L26" s="81"/>
      <c r="Q26" s="171"/>
      <c r="R26" s="171"/>
      <c r="S26" s="171"/>
      <c r="T26" s="171"/>
      <c r="V26" s="170"/>
    </row>
    <row r="27" spans="1:22" x14ac:dyDescent="0.2">
      <c r="B27" s="102"/>
      <c r="C27" s="102"/>
      <c r="D27" s="102"/>
      <c r="E27" s="173"/>
      <c r="F27" s="140"/>
      <c r="G27" s="140"/>
      <c r="H27" s="140"/>
      <c r="I27" s="140"/>
      <c r="K27" s="81"/>
      <c r="L27" s="81"/>
      <c r="Q27" s="171"/>
      <c r="R27" s="171"/>
      <c r="S27" s="171"/>
      <c r="T27" s="171"/>
    </row>
    <row r="28" spans="1:22" x14ac:dyDescent="0.2">
      <c r="B28" s="102"/>
      <c r="C28" s="102"/>
      <c r="D28" s="102"/>
      <c r="E28" s="166"/>
      <c r="F28" s="102"/>
      <c r="G28" s="102"/>
      <c r="H28" s="140"/>
      <c r="I28" s="140"/>
      <c r="K28" s="81"/>
      <c r="L28" s="81"/>
      <c r="M28" s="171"/>
      <c r="N28" s="174"/>
      <c r="O28" s="174"/>
      <c r="P28" s="174"/>
      <c r="Q28" s="172"/>
      <c r="R28" s="172"/>
      <c r="S28" s="172"/>
      <c r="T28" s="172"/>
    </row>
    <row r="29" spans="1:22" x14ac:dyDescent="0.2">
      <c r="B29" s="102"/>
      <c r="C29" s="102"/>
      <c r="D29" s="102"/>
      <c r="E29" s="140"/>
      <c r="F29" s="102"/>
      <c r="G29" s="102"/>
      <c r="H29" s="140"/>
      <c r="I29" s="140"/>
      <c r="K29" s="81"/>
      <c r="L29" s="81"/>
      <c r="M29" s="171"/>
      <c r="O29" s="170"/>
      <c r="P29" s="170"/>
    </row>
    <row r="30" spans="1:22" x14ac:dyDescent="0.2">
      <c r="B30" s="102"/>
      <c r="C30" s="102"/>
      <c r="D30" s="102"/>
      <c r="E30" s="140"/>
      <c r="F30" s="102"/>
      <c r="G30" s="102"/>
      <c r="H30" s="140"/>
      <c r="I30" s="140"/>
      <c r="K30" s="81"/>
      <c r="L30" s="171"/>
      <c r="M30" s="172"/>
      <c r="N30" s="172"/>
    </row>
    <row r="31" spans="1:22" x14ac:dyDescent="0.2">
      <c r="B31" s="102"/>
      <c r="C31" s="102"/>
      <c r="D31" s="102"/>
      <c r="E31" s="102"/>
      <c r="F31" s="102"/>
      <c r="G31" s="102"/>
      <c r="H31" s="140"/>
      <c r="I31" s="140"/>
      <c r="J31" s="172"/>
      <c r="K31" s="81"/>
      <c r="M31" s="172"/>
      <c r="N31" s="170"/>
    </row>
    <row r="32" spans="1:22"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A2:AD97"/>
  <sheetViews>
    <sheetView showRowColHeaders="0"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2" width="5.5703125" style="80" customWidth="1"/>
    <col min="23"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row>
    <row r="4" spans="1:30" x14ac:dyDescent="0.2">
      <c r="B4" s="44"/>
      <c r="C4" s="39"/>
      <c r="D4" s="39"/>
      <c r="E4" s="39"/>
      <c r="F4" s="39"/>
      <c r="G4" s="39"/>
      <c r="H4" s="39"/>
      <c r="I4" s="39"/>
      <c r="J4" s="44"/>
      <c r="K4" s="44"/>
      <c r="L4" s="44"/>
      <c r="M4" s="44"/>
      <c r="N4" s="44"/>
      <c r="O4" s="44"/>
      <c r="P4" s="44"/>
      <c r="Q4" s="44"/>
      <c r="R4" s="44"/>
      <c r="S4" s="44"/>
      <c r="T4" s="44"/>
      <c r="U4" s="44"/>
      <c r="V4" s="44"/>
      <c r="W4" s="44"/>
    </row>
    <row r="5" spans="1:30" x14ac:dyDescent="0.2">
      <c r="B5" s="44"/>
      <c r="C5" s="39"/>
      <c r="D5" s="39"/>
      <c r="E5" s="39"/>
      <c r="F5" s="39"/>
      <c r="G5" s="39"/>
      <c r="H5" s="39"/>
      <c r="I5" s="39"/>
      <c r="J5" s="44"/>
      <c r="K5" s="44"/>
      <c r="L5" s="44"/>
      <c r="M5" s="44"/>
      <c r="N5" s="44"/>
      <c r="O5" s="44"/>
      <c r="P5" s="44"/>
      <c r="Q5" s="44"/>
      <c r="R5" s="44"/>
      <c r="S5" s="44"/>
      <c r="T5" s="44"/>
      <c r="U5" s="44"/>
      <c r="V5" s="44"/>
      <c r="W5" s="44"/>
    </row>
    <row r="6" spans="1:30" ht="18" x14ac:dyDescent="0.25">
      <c r="B6" s="265" t="s">
        <v>6</v>
      </c>
      <c r="C6" s="39"/>
      <c r="D6" s="39"/>
      <c r="E6" s="39"/>
      <c r="F6" s="39"/>
      <c r="G6" s="39"/>
      <c r="H6" s="39"/>
      <c r="I6" s="39"/>
      <c r="J6" s="39"/>
      <c r="K6" s="44"/>
      <c r="L6" s="44"/>
      <c r="M6" s="44"/>
      <c r="N6" s="44"/>
      <c r="O6" s="44"/>
      <c r="P6" s="85"/>
      <c r="Q6" s="85"/>
      <c r="R6" s="44"/>
      <c r="S6" s="44"/>
      <c r="T6" s="44"/>
      <c r="U6" s="44"/>
      <c r="V6" s="44"/>
      <c r="W6" s="44"/>
    </row>
    <row r="7" spans="1:30" x14ac:dyDescent="0.2">
      <c r="B7" s="271" t="str">
        <f>'Värdeutveckling - konto'!C8</f>
        <v>Nästa uppdatering 2020-07-17</v>
      </c>
      <c r="C7" s="39"/>
      <c r="D7" s="39"/>
      <c r="E7" s="39"/>
      <c r="F7" s="39"/>
      <c r="G7" s="39"/>
      <c r="H7" s="39"/>
      <c r="I7" s="39"/>
      <c r="J7" s="44"/>
      <c r="K7" s="44"/>
      <c r="L7" s="44"/>
      <c r="M7" s="44"/>
      <c r="N7" s="44"/>
      <c r="O7" s="44"/>
      <c r="P7" s="44"/>
      <c r="Q7" s="44"/>
      <c r="R7" s="44"/>
      <c r="S7" s="44"/>
      <c r="T7" s="44"/>
      <c r="U7" s="44"/>
      <c r="V7" s="44"/>
      <c r="W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row>
    <row r="9" spans="1:30" x14ac:dyDescent="0.2">
      <c r="B9" s="272" t="s">
        <v>1</v>
      </c>
      <c r="C9" s="39"/>
      <c r="D9" s="39"/>
      <c r="E9" s="39"/>
      <c r="F9" s="39"/>
      <c r="G9" s="39"/>
      <c r="H9" s="39"/>
      <c r="I9" s="39"/>
      <c r="J9" s="44"/>
      <c r="K9" s="44"/>
      <c r="L9" s="44"/>
      <c r="M9" s="44"/>
      <c r="N9" s="44"/>
      <c r="O9" s="44"/>
      <c r="P9" s="177"/>
      <c r="Q9" s="177"/>
      <c r="R9" s="44"/>
      <c r="S9" s="44"/>
      <c r="T9" s="44"/>
      <c r="U9" s="44"/>
      <c r="V9" s="44"/>
      <c r="W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43982</v>
      </c>
      <c r="X15" s="168"/>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689.37491081301823</v>
      </c>
    </row>
    <row r="17" spans="2:23"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1353.6382194198702</v>
      </c>
    </row>
    <row r="18" spans="2:23"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
      <c r="B19" s="140"/>
      <c r="C19" s="140"/>
      <c r="D19" s="140"/>
      <c r="E19" s="140"/>
      <c r="F19" s="140"/>
      <c r="G19" s="140"/>
      <c r="H19" s="140"/>
      <c r="I19" s="140"/>
      <c r="K19" s="81"/>
      <c r="L19" s="184"/>
      <c r="N19" s="170"/>
    </row>
    <row r="20" spans="2:23" x14ac:dyDescent="0.2">
      <c r="B20" s="140"/>
      <c r="C20" s="140"/>
      <c r="D20" s="140"/>
      <c r="E20" s="140"/>
      <c r="F20" s="140"/>
      <c r="G20" s="140"/>
      <c r="H20" s="140"/>
      <c r="I20" s="140"/>
      <c r="K20" s="81"/>
      <c r="N20" s="170"/>
      <c r="P20" s="165"/>
      <c r="Q20" s="165"/>
      <c r="R20" s="165"/>
      <c r="S20" s="165"/>
      <c r="T20" s="165"/>
      <c r="U20" s="165"/>
    </row>
    <row r="21" spans="2:23" x14ac:dyDescent="0.2">
      <c r="B21" s="140"/>
      <c r="C21" s="140"/>
      <c r="D21" s="140"/>
      <c r="E21" s="140"/>
      <c r="F21" s="140"/>
      <c r="G21" s="140"/>
      <c r="H21" s="140"/>
      <c r="I21" s="140"/>
      <c r="K21" s="81"/>
      <c r="N21" s="170"/>
      <c r="P21" s="165"/>
      <c r="Q21" s="165"/>
      <c r="R21" s="105"/>
      <c r="S21" s="105"/>
      <c r="T21" s="105"/>
      <c r="U21" s="105"/>
    </row>
    <row r="22" spans="2:23" x14ac:dyDescent="0.2">
      <c r="B22" s="185"/>
      <c r="C22" s="140"/>
      <c r="D22" s="140"/>
      <c r="E22" s="140"/>
      <c r="F22" s="140"/>
      <c r="G22" s="140"/>
      <c r="H22" s="140"/>
      <c r="I22" s="140"/>
      <c r="K22" s="81"/>
      <c r="L22" s="185"/>
      <c r="N22" s="170"/>
      <c r="P22" s="165"/>
      <c r="Q22" s="165"/>
      <c r="R22" s="105"/>
      <c r="S22" s="105"/>
      <c r="T22" s="105"/>
      <c r="U22" s="105"/>
    </row>
    <row r="23" spans="2:23" x14ac:dyDescent="0.2">
      <c r="B23" s="185"/>
      <c r="C23" s="140"/>
      <c r="D23" s="140"/>
      <c r="E23" s="140"/>
      <c r="F23" s="140"/>
      <c r="G23" s="186"/>
      <c r="H23" s="186"/>
      <c r="I23" s="140"/>
      <c r="K23" s="81"/>
      <c r="N23" s="170"/>
      <c r="P23" s="165"/>
      <c r="Q23" s="165"/>
      <c r="R23" s="165"/>
      <c r="S23" s="165"/>
      <c r="T23" s="165"/>
      <c r="U23" s="165"/>
    </row>
    <row r="24" spans="2:23" x14ac:dyDescent="0.2">
      <c r="B24" s="140"/>
      <c r="C24" s="140"/>
      <c r="D24" s="140"/>
      <c r="E24" s="140"/>
      <c r="F24" s="140"/>
      <c r="G24" s="186"/>
      <c r="H24" s="186"/>
      <c r="K24" s="81"/>
      <c r="N24" s="170"/>
      <c r="P24" s="165"/>
      <c r="Q24" s="165"/>
      <c r="R24" s="165"/>
      <c r="S24" s="165"/>
      <c r="T24" s="165"/>
      <c r="U24" s="165"/>
    </row>
    <row r="25" spans="2:23" x14ac:dyDescent="0.2">
      <c r="B25" s="140"/>
      <c r="C25" s="140"/>
      <c r="D25" s="140"/>
      <c r="E25" s="140"/>
      <c r="F25" s="140"/>
      <c r="G25" s="186"/>
      <c r="H25" s="186"/>
      <c r="K25" s="81"/>
      <c r="N25" s="170"/>
    </row>
    <row r="26" spans="2:23" x14ac:dyDescent="0.2">
      <c r="B26" s="140"/>
      <c r="C26" s="140"/>
      <c r="D26" s="140"/>
      <c r="E26" s="140"/>
      <c r="F26" s="140"/>
      <c r="G26" s="140"/>
      <c r="H26" s="140"/>
      <c r="I26" s="140"/>
      <c r="K26" s="81"/>
      <c r="N26" s="170"/>
    </row>
    <row r="27" spans="2:23" x14ac:dyDescent="0.2">
      <c r="B27" s="140"/>
      <c r="C27" s="140"/>
      <c r="D27" s="140"/>
      <c r="E27" s="140"/>
      <c r="F27" s="140"/>
      <c r="G27" s="140"/>
      <c r="H27" s="140"/>
      <c r="I27" s="140"/>
      <c r="K27" s="81"/>
      <c r="N27" s="170"/>
    </row>
    <row r="28" spans="2:23" x14ac:dyDescent="0.2">
      <c r="B28" s="140"/>
      <c r="C28" s="140"/>
      <c r="D28" s="140"/>
      <c r="E28" s="140"/>
      <c r="F28" s="140"/>
      <c r="G28" s="140"/>
      <c r="H28" s="140"/>
      <c r="I28" s="140"/>
      <c r="K28" s="81"/>
      <c r="N28" s="170"/>
    </row>
    <row r="29" spans="2:23" x14ac:dyDescent="0.2">
      <c r="B29" s="140"/>
      <c r="C29" s="140"/>
      <c r="D29" s="140"/>
      <c r="E29" s="140"/>
      <c r="F29" s="140"/>
      <c r="G29" s="140"/>
      <c r="H29" s="140"/>
      <c r="I29" s="140"/>
      <c r="K29" s="81"/>
      <c r="N29" s="170"/>
    </row>
    <row r="30" spans="2:23" x14ac:dyDescent="0.2">
      <c r="B30" s="140"/>
      <c r="C30" s="140"/>
      <c r="D30" s="140"/>
      <c r="E30" s="140"/>
      <c r="F30" s="140"/>
      <c r="G30" s="140"/>
      <c r="H30" s="140"/>
      <c r="I30" s="140"/>
      <c r="K30" s="81"/>
      <c r="N30" s="170"/>
    </row>
    <row r="31" spans="2:23" x14ac:dyDescent="0.2">
      <c r="B31" s="140"/>
      <c r="C31" s="140"/>
      <c r="D31" s="140"/>
      <c r="E31" s="140"/>
      <c r="F31" s="140"/>
      <c r="G31" s="140"/>
      <c r="H31" s="140"/>
      <c r="I31" s="140"/>
      <c r="K31" s="81"/>
      <c r="N31" s="170"/>
    </row>
    <row r="32" spans="2:23"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B1:V953"/>
  <sheetViews>
    <sheetView showGridLines="0" showRowColHeaders="0" zoomScale="85" zoomScaleNormal="85" workbookViewId="0">
      <pane ySplit="25" topLeftCell="A239"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2020-07-17</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1" t="s">
        <v>133</v>
      </c>
      <c r="C20" s="421"/>
      <c r="D20" s="364"/>
      <c r="E20" s="364"/>
      <c r="F20" s="364"/>
      <c r="H20" s="421" t="s">
        <v>128</v>
      </c>
      <c r="I20" s="421"/>
      <c r="J20" s="421"/>
      <c r="K20" s="421"/>
    </row>
    <row r="21" spans="2:22" ht="12.75" customHeight="1" x14ac:dyDescent="0.2">
      <c r="B21" s="421"/>
      <c r="C21" s="421"/>
      <c r="D21" s="364"/>
      <c r="E21" s="364"/>
      <c r="F21" s="364"/>
      <c r="H21" s="421"/>
      <c r="I21" s="421"/>
      <c r="J21" s="421"/>
      <c r="K21" s="421"/>
      <c r="L21" s="188"/>
      <c r="M21" s="188"/>
      <c r="N21" s="188"/>
      <c r="O21" s="188"/>
      <c r="P21" s="188"/>
      <c r="Q21" s="188"/>
      <c r="R21" s="188"/>
      <c r="S21" s="188"/>
      <c r="T21" s="188"/>
      <c r="U21" s="188"/>
      <c r="V21" s="165"/>
    </row>
    <row r="22" spans="2:22" ht="12.75" customHeight="1" x14ac:dyDescent="0.2">
      <c r="B22" s="204"/>
      <c r="C22" s="420" t="s">
        <v>138</v>
      </c>
      <c r="D22" s="420" t="s">
        <v>139</v>
      </c>
      <c r="E22" s="420" t="s">
        <v>66</v>
      </c>
      <c r="F22" s="420" t="s">
        <v>67</v>
      </c>
      <c r="H22" s="420" t="s">
        <v>138</v>
      </c>
      <c r="I22" s="420" t="s">
        <v>139</v>
      </c>
      <c r="J22" s="420" t="s">
        <v>66</v>
      </c>
      <c r="K22" s="420" t="s">
        <v>67</v>
      </c>
      <c r="L22" s="189"/>
      <c r="M22" s="189"/>
      <c r="N22" s="189"/>
      <c r="O22" s="189"/>
      <c r="P22" s="189"/>
      <c r="Q22" s="189"/>
      <c r="R22" s="189"/>
      <c r="S22" s="189"/>
      <c r="T22" s="189"/>
      <c r="U22" s="189"/>
      <c r="V22" s="165"/>
    </row>
    <row r="23" spans="2:22" x14ac:dyDescent="0.2">
      <c r="B23" s="204"/>
      <c r="C23" s="420"/>
      <c r="D23" s="420"/>
      <c r="E23" s="420"/>
      <c r="F23" s="420"/>
      <c r="H23" s="420"/>
      <c r="I23" s="420"/>
      <c r="J23" s="420"/>
      <c r="K23" s="420"/>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19"/>
      <c r="M24" s="419"/>
      <c r="N24" s="419"/>
      <c r="O24" s="419"/>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19"/>
      <c r="M25" s="419"/>
      <c r="N25" s="419"/>
      <c r="O25" s="419"/>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c r="C261" s="163"/>
      <c r="D261" s="163"/>
      <c r="E261" s="163"/>
      <c r="F261" s="163"/>
      <c r="H261" s="181"/>
      <c r="I261" s="181"/>
      <c r="J261" s="181"/>
      <c r="K261" s="181"/>
    </row>
    <row r="262" spans="2:11" x14ac:dyDescent="0.2">
      <c r="B262" s="203"/>
      <c r="C262" s="163"/>
      <c r="D262" s="163"/>
      <c r="E262" s="163"/>
      <c r="F262" s="163"/>
      <c r="H262" s="181"/>
      <c r="I262" s="181"/>
      <c r="J262" s="181"/>
      <c r="K262" s="181"/>
    </row>
    <row r="263" spans="2:11" x14ac:dyDescent="0.2">
      <c r="B263" s="203"/>
      <c r="C263" s="163"/>
      <c r="D263" s="163"/>
      <c r="E263" s="163"/>
      <c r="F263" s="163"/>
      <c r="H263" s="181"/>
      <c r="I263" s="181"/>
      <c r="J263" s="181"/>
      <c r="K263" s="181"/>
    </row>
    <row r="264" spans="2:11" x14ac:dyDescent="0.2">
      <c r="B264" s="203"/>
      <c r="C264" s="163"/>
      <c r="D264" s="163"/>
      <c r="E264" s="163"/>
      <c r="F264" s="163"/>
      <c r="H264" s="181"/>
      <c r="I264" s="181"/>
      <c r="J264" s="181"/>
      <c r="K264" s="181"/>
    </row>
    <row r="265" spans="2:11" x14ac:dyDescent="0.2">
      <c r="B265" s="203"/>
      <c r="C265" s="163"/>
      <c r="D265" s="163"/>
      <c r="E265" s="163"/>
      <c r="F265" s="163"/>
      <c r="H265" s="181"/>
      <c r="I265" s="181"/>
      <c r="J265" s="181"/>
      <c r="K265" s="181"/>
    </row>
    <row r="266" spans="2:11" x14ac:dyDescent="0.2">
      <c r="B266" s="203"/>
      <c r="C266" s="163"/>
      <c r="D266" s="163"/>
      <c r="E266" s="163"/>
      <c r="F266" s="163"/>
      <c r="H266" s="181"/>
      <c r="I266" s="181"/>
      <c r="J266" s="181"/>
      <c r="K266" s="181"/>
    </row>
    <row r="267" spans="2:11" x14ac:dyDescent="0.2">
      <c r="B267" s="203"/>
      <c r="C267" s="163"/>
      <c r="D267" s="163"/>
      <c r="E267" s="163"/>
      <c r="F267" s="163"/>
      <c r="H267" s="181"/>
      <c r="I267" s="181"/>
      <c r="J267" s="181"/>
      <c r="K267" s="181"/>
    </row>
    <row r="268" spans="2:11" x14ac:dyDescent="0.2">
      <c r="B268" s="192"/>
      <c r="J268" s="82"/>
    </row>
    <row r="269" spans="2:11" x14ac:dyDescent="0.2">
      <c r="B269" s="192"/>
      <c r="J269" s="82"/>
    </row>
    <row r="270" spans="2:11" x14ac:dyDescent="0.2">
      <c r="B270" s="192"/>
      <c r="J270" s="82"/>
    </row>
    <row r="271" spans="2:11" x14ac:dyDescent="0.2">
      <c r="B271" s="192"/>
      <c r="J271" s="82"/>
    </row>
    <row r="272" spans="2:11" x14ac:dyDescent="0.2">
      <c r="B272" s="192"/>
      <c r="J272" s="82"/>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5" t="s">
        <v>1434</v>
      </c>
      <c r="C10" s="401" t="s">
        <v>1435</v>
      </c>
      <c r="D10" s="44"/>
    </row>
    <row r="11" spans="2:4" x14ac:dyDescent="0.2">
      <c r="B11" s="406"/>
      <c r="C11" s="402"/>
      <c r="D11" s="44"/>
    </row>
    <row r="12" spans="2:4" x14ac:dyDescent="0.2">
      <c r="B12" s="405" t="s">
        <v>1437</v>
      </c>
      <c r="C12" s="401" t="s">
        <v>1436</v>
      </c>
      <c r="D12" s="44"/>
    </row>
    <row r="13" spans="2:4" x14ac:dyDescent="0.2">
      <c r="B13" s="406"/>
      <c r="C13" s="402"/>
      <c r="D13" s="44"/>
    </row>
    <row r="14" spans="2:4" x14ac:dyDescent="0.2">
      <c r="B14" s="405" t="s">
        <v>1438</v>
      </c>
      <c r="C14" s="403" t="s">
        <v>1439</v>
      </c>
      <c r="D14" s="44"/>
    </row>
    <row r="15" spans="2:4" x14ac:dyDescent="0.2">
      <c r="B15" s="406"/>
      <c r="C15" s="404"/>
      <c r="D15" s="44"/>
    </row>
    <row r="16" spans="2:4" x14ac:dyDescent="0.2">
      <c r="B16" s="405" t="s">
        <v>1440</v>
      </c>
      <c r="C16" s="403" t="s">
        <v>1444</v>
      </c>
      <c r="D16" s="44"/>
    </row>
    <row r="17" spans="2:4" x14ac:dyDescent="0.2">
      <c r="B17" s="406"/>
      <c r="C17" s="404"/>
      <c r="D17" s="44"/>
    </row>
    <row r="18" spans="2:4" ht="25.5" x14ac:dyDescent="0.2">
      <c r="B18" s="405" t="s">
        <v>1441</v>
      </c>
      <c r="C18" s="401" t="s">
        <v>1445</v>
      </c>
      <c r="D18" s="44"/>
    </row>
    <row r="19" spans="2:4" x14ac:dyDescent="0.2">
      <c r="B19" s="406"/>
      <c r="C19" s="402"/>
      <c r="D19" s="44"/>
    </row>
    <row r="20" spans="2:4" x14ac:dyDescent="0.2">
      <c r="B20" s="406"/>
      <c r="C20" s="402"/>
      <c r="D20" s="44"/>
    </row>
    <row r="21" spans="2:4" ht="25.5" x14ac:dyDescent="0.2">
      <c r="B21" s="405" t="s">
        <v>1442</v>
      </c>
      <c r="C21" s="401" t="s">
        <v>1443</v>
      </c>
      <c r="D21" s="44"/>
    </row>
    <row r="22" spans="2:4" x14ac:dyDescent="0.2">
      <c r="B22" s="405"/>
      <c r="C22" s="402"/>
      <c r="D22" s="44"/>
    </row>
    <row r="23" spans="2:4" ht="45.75" customHeight="1" x14ac:dyDescent="0.2">
      <c r="B23" s="405" t="s">
        <v>1431</v>
      </c>
      <c r="C23" s="407" t="s">
        <v>1446</v>
      </c>
      <c r="D23" s="44"/>
    </row>
    <row r="24" spans="2:4" ht="36" customHeight="1" x14ac:dyDescent="0.2">
      <c r="B24" s="400"/>
      <c r="C24" s="408" t="s">
        <v>1432</v>
      </c>
      <c r="D24" s="44"/>
    </row>
    <row r="25" spans="2:4" ht="47.25" customHeight="1" x14ac:dyDescent="0.2">
      <c r="B25" s="400"/>
      <c r="C25" s="408" t="s">
        <v>1433</v>
      </c>
      <c r="D25" s="44"/>
    </row>
    <row r="26" spans="2:4" ht="46.5" customHeight="1" x14ac:dyDescent="0.2">
      <c r="B26" s="400"/>
      <c r="C26" s="407" t="s">
        <v>1449</v>
      </c>
      <c r="D26" s="44"/>
    </row>
    <row r="27" spans="2:4" ht="84" customHeight="1" x14ac:dyDescent="0.2">
      <c r="B27" s="400"/>
      <c r="C27" s="407" t="s">
        <v>1450</v>
      </c>
      <c r="D27" s="44"/>
    </row>
    <row r="28" spans="2:4" ht="21.75" customHeight="1" x14ac:dyDescent="0.2">
      <c r="B28" s="400"/>
      <c r="C28" s="407" t="s">
        <v>1447</v>
      </c>
      <c r="D28" s="44"/>
    </row>
    <row r="29" spans="2:4" x14ac:dyDescent="0.2">
      <c r="B29" s="400"/>
      <c r="C29" s="409" t="s">
        <v>1448</v>
      </c>
      <c r="D29" s="44"/>
    </row>
    <row r="30" spans="2:4" x14ac:dyDescent="0.2">
      <c r="B30" s="400"/>
      <c r="C30" s="38"/>
      <c r="D30" s="44"/>
    </row>
    <row r="31" spans="2:4" x14ac:dyDescent="0.2">
      <c r="B31" s="400"/>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1"/>
  <dimension ref="B1:O47"/>
  <sheetViews>
    <sheetView showGridLines="0" showRowColHeaders="0" tabSelected="1" zoomScale="85" zoomScaleNormal="85" workbookViewId="0">
      <selection activeCell="AE28" sqref="AE28"/>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2020-06-17T06:42:18Z</dcterms:modified>
</cp:coreProperties>
</file>