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0" yWindow="6450" windowWidth="28275" windowHeight="7305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Fondstatistik!$A$18:$M$686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10" i="53" l="1"/>
  <c r="I24" i="53" l="1"/>
</calcChain>
</file>

<file path=xl/sharedStrings.xml><?xml version="1.0" encoding="utf-8"?>
<sst xmlns="http://schemas.openxmlformats.org/spreadsheetml/2006/main" count="8386" uniqueCount="1140">
  <si>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</si>
  <si>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</si>
  <si>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</si>
  <si>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</si>
  <si>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</si>
  <si>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</si>
  <si>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</si>
  <si>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</si>
  <si>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</si>
  <si>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</si>
  <si>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</si>
  <si>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</si>
  <si>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</si>
  <si>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</si>
  <si>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</si>
  <si>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</si>
  <si>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</si>
  <si>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</si>
  <si>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</si>
  <si>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</si>
  <si>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</si>
  <si>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</si>
  <si>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</si>
  <si>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</si>
  <si>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</si>
  <si>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</si>
  <si>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</si>
  <si>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</si>
  <si>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</si>
  <si>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</si>
  <si>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</si>
  <si>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</si>
  <si>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</si>
  <si>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</si>
  <si>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</si>
  <si>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</si>
  <si>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</si>
  <si>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</si>
  <si>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</si>
  <si>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</si>
  <si>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</si>
  <si>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</si>
  <si>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</si>
  <si>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</si>
  <si>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</si>
  <si>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</si>
  <si>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</si>
  <si>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</si>
  <si>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</si>
  <si>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</si>
  <si>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</si>
  <si>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</si>
  <si>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</si>
  <si>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</si>
  <si>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</si>
  <si>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</si>
  <si>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</si>
  <si>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</si>
  <si>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</si>
  <si>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</si>
  <si>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</si>
  <si>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</si>
  <si>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</si>
  <si>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</si>
  <si>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</si>
  <si>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</si>
  <si>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</si>
  <si>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</si>
  <si>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</si>
  <si>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</si>
  <si>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</si>
  <si>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</si>
  <si>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</si>
  <si>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</si>
  <si>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</si>
  <si>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</si>
  <si>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</si>
  <si>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</si>
  <si>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</si>
  <si>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</si>
  <si>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</si>
  <si>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</si>
  <si>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</si>
  <si>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</si>
  <si>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</si>
  <si>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</si>
  <si>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</si>
  <si>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</si>
  <si>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</si>
  <si>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</si>
  <si>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</si>
  <si>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</si>
  <si>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</si>
  <si>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</si>
  <si>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</si>
  <si>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</si>
  <si>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</si>
  <si>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</si>
  <si>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</si>
  <si>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</si>
  <si>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</si>
  <si>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</si>
  <si>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</si>
  <si>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</si>
  <si>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</si>
  <si>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</si>
  <si>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</si>
  <si>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</si>
  <si>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</si>
  <si>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</si>
  <si>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</si>
  <si>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</si>
  <si>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</si>
  <si>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</si>
  <si>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</si>
  <si>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</si>
  <si>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</si>
  <si>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</si>
  <si>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</si>
  <si>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</si>
  <si>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</si>
  <si>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</si>
  <si>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</si>
  <si>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</si>
  <si>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</si>
  <si>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</si>
  <si>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</si>
  <si>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</si>
  <si>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</si>
  <si>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</si>
  <si>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</si>
  <si>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</si>
  <si>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</si>
  <si>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</si>
  <si>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</si>
  <si>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</si>
  <si>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</si>
  <si>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</si>
  <si>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</si>
  <si>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</si>
  <si>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</si>
  <si>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</si>
  <si>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</si>
  <si>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</si>
  <si>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</si>
  <si>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</si>
  <si>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</si>
  <si>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</si>
  <si>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</si>
  <si>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</si>
  <si>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</si>
  <si>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</si>
  <si>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</si>
  <si>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</si>
  <si>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</si>
  <si>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</si>
  <si>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</si>
  <si>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</si>
  <si>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</si>
  <si>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</si>
  <si>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</si>
  <si>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</si>
  <si>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</si>
  <si>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</si>
  <si>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</si>
  <si>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</si>
  <si>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</si>
  <si>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</si>
  <si>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</si>
  <si>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</si>
  <si>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</si>
  <si>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</si>
  <si>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</si>
  <si>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</si>
  <si>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</si>
  <si>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</si>
  <si>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</si>
  <si>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</si>
  <si>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</si>
  <si>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</si>
  <si>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</si>
  <si>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</si>
  <si>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</si>
  <si>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</si>
  <si>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</si>
  <si>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</si>
  <si>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</si>
  <si>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</si>
  <si>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</si>
  <si>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</si>
  <si>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</si>
  <si>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</si>
  <si>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</si>
  <si>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</si>
  <si>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</si>
  <si>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</si>
  <si>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</si>
  <si>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</si>
  <si>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</si>
  <si>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</si>
  <si>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</si>
  <si>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</si>
  <si>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</si>
  <si>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</si>
  <si>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</si>
  <si>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</si>
  <si>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</si>
  <si>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</si>
  <si>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</si>
  <si>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</si>
  <si>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</si>
  <si>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</si>
  <si>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</si>
  <si>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</si>
  <si>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</si>
  <si>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</si>
  <si>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</si>
  <si>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</si>
  <si>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</si>
  <si>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</si>
  <si>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</si>
  <si>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</si>
  <si>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</si>
  <si>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</si>
  <si>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</si>
  <si>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</si>
  <si>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</si>
  <si>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</si>
  <si>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</si>
  <si>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</si>
  <si>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</si>
  <si>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</si>
  <si>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</si>
  <si>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</si>
  <si>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</si>
  <si>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</si>
  <si>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</si>
  <si>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</si>
  <si>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</si>
  <si>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</si>
  <si>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</si>
  <si>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</si>
  <si>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</si>
  <si>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</si>
  <si>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</si>
  <si>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</si>
  <si>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</si>
  <si>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</si>
  <si>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</si>
  <si>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</si>
  <si>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</si>
  <si>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</si>
  <si>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</si>
  <si>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</si>
  <si>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</si>
  <si>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</si>
  <si>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</si>
  <si>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</si>
  <si>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</si>
  <si>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</si>
  <si>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</si>
  <si>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</si>
  <si>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</si>
  <si>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</si>
  <si>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</si>
  <si>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</si>
  <si>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</si>
  <si>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</si>
  <si>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</si>
  <si>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</si>
  <si>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</si>
  <si>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</si>
  <si>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</si>
  <si>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</si>
  <si>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</si>
  <si>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</si>
  <si>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</si>
  <si>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</si>
  <si>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</si>
  <si>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</si>
  <si>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</si>
  <si>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</si>
  <si>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</si>
  <si>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</si>
  <si>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</si>
  <si>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</si>
  <si>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</si>
  <si>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</si>
  <si>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</si>
  <si>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</si>
  <si>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</si>
  <si>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</si>
  <si>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</si>
  <si>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</si>
  <si>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</si>
  <si>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</si>
  <si>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</si>
  <si>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</si>
  <si>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</si>
  <si>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</si>
  <si>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</si>
  <si>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</si>
  <si>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</si>
  <si>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</si>
  <si>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</si>
  <si>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</si>
  <si>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</si>
  <si>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</si>
  <si>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</si>
  <si>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</si>
  <si>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</si>
  <si>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</si>
  <si>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</si>
  <si>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</si>
  <si>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</si>
  <si>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</si>
  <si>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</si>
  <si>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</si>
  <si>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</si>
  <si>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</si>
  <si>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</si>
  <si>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</si>
  <si>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</si>
  <si>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</si>
  <si>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</si>
  <si>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</si>
  <si>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</si>
  <si>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</si>
  <si>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</si>
  <si>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</si>
  <si>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</si>
  <si>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</si>
  <si>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</si>
  <si>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</si>
  <si>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</si>
  <si>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</si>
  <si>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</si>
  <si>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</si>
  <si>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</si>
  <si>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</si>
  <si>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</si>
  <si>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</si>
  <si>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</si>
  <si>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</si>
  <si>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</si>
  <si>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</si>
  <si>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</si>
  <si>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</si>
  <si>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</si>
  <si>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</si>
  <si>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</si>
  <si>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</si>
  <si>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</si>
  <si>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</si>
  <si>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</si>
  <si>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</si>
  <si>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</si>
  <si>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</si>
  <si>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</si>
  <si>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</si>
  <si>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</si>
  <si>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</si>
  <si>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</si>
  <si>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</si>
  <si>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</si>
  <si>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</si>
  <si>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</si>
  <si>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</si>
  <si>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</si>
  <si>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</si>
  <si>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</si>
  <si>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</si>
  <si>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</si>
  <si>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</si>
  <si>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</si>
  <si>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</si>
  <si>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</si>
  <si>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</si>
  <si>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</si>
  <si>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</si>
  <si>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</si>
  <si>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</si>
  <si>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</si>
  <si>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</si>
  <si>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</si>
  <si>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</si>
  <si>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</si>
  <si>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</si>
  <si>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</si>
  <si>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</si>
  <si>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</si>
  <si>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</si>
  <si>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</si>
  <si>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</si>
  <si>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</si>
  <si>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</si>
  <si>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</si>
  <si>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</si>
  <si>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</si>
  <si>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</si>
  <si>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</si>
  <si>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</si>
  <si>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</si>
  <si>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</si>
  <si>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</si>
  <si>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</si>
  <si>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</si>
  <si>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</si>
  <si>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</si>
  <si>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</si>
  <si>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</si>
  <si>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</si>
  <si>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</si>
  <si>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</si>
  <si>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</si>
  <si>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</si>
  <si>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</si>
  <si>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</si>
  <si>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</si>
  <si>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</si>
  <si>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</si>
  <si>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</si>
  <si>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</si>
  <si>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</si>
  <si>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</si>
  <si>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</si>
  <si>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</si>
  <si>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</si>
  <si>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</si>
  <si>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</si>
  <si>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</si>
  <si>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</si>
  <si>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</si>
  <si>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</si>
  <si>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</si>
  <si>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</si>
  <si>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</si>
  <si>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</si>
  <si>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</si>
  <si>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</si>
  <si>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</si>
  <si>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</si>
  <si>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</si>
  <si>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</si>
  <si>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</si>
  <si>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</si>
  <si>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</si>
  <si>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</si>
  <si>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</si>
  <si>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</si>
  <si>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</si>
  <si>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</si>
  <si>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</si>
  <si>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</si>
  <si>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</si>
  <si>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</si>
  <si>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</si>
  <si>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</si>
  <si>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</si>
  <si>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</si>
  <si>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</si>
  <si>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</si>
  <si>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</si>
  <si>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</si>
  <si>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</si>
  <si>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</si>
  <si>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</si>
  <si>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</si>
  <si>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</si>
  <si>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</si>
  <si>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</si>
  <si>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</si>
  <si>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</si>
  <si>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</si>
  <si>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</si>
  <si>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</si>
  <si>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</si>
  <si>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</si>
  <si>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</si>
  <si>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</si>
  <si>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</si>
  <si>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</si>
  <si>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</si>
  <si>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</si>
  <si>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</si>
  <si>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</si>
  <si>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</si>
  <si>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</si>
  <si>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</si>
  <si>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</si>
  <si>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</si>
  <si>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</si>
  <si>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</si>
  <si>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</si>
  <si>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</si>
  <si>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</si>
  <si>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</si>
  <si>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</si>
  <si>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</si>
  <si>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</si>
  <si>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</si>
  <si>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</si>
  <si>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</si>
  <si>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</si>
  <si>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</si>
  <si>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</si>
  <si>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</si>
  <si>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</si>
  <si>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</si>
  <si>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</si>
  <si>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</si>
  <si>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</si>
  <si>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</si>
  <si>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</si>
  <si>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</si>
  <si>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</si>
  <si>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</si>
  <si>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</si>
  <si>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</si>
  <si>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</si>
  <si>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</si>
  <si>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</si>
  <si>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</si>
  <si>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</si>
  <si>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</si>
  <si>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</si>
  <si>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</si>
  <si>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</si>
  <si>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</si>
  <si>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</si>
  <si>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</si>
  <si>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</si>
  <si>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</si>
  <si>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</si>
  <si>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</si>
  <si>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</si>
  <si>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</si>
  <si>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</si>
  <si>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</si>
  <si>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</si>
  <si>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</si>
  <si>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</si>
  <si>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</si>
  <si>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</si>
  <si>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</si>
  <si>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</si>
  <si>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</si>
  <si>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</si>
  <si>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</si>
  <si>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</si>
  <si>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</si>
  <si>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</si>
  <si>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</si>
  <si>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</si>
  <si>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</si>
  <si>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</si>
  <si>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</si>
  <si>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</si>
  <si>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</si>
  <si>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</si>
  <si>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</si>
  <si>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</si>
  <si>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</si>
  <si>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</si>
  <si>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</si>
  <si>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</si>
  <si>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</si>
  <si>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</si>
  <si>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</si>
  <si>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</si>
  <si>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</si>
  <si>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</si>
  <si>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</si>
  <si>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</si>
  <si>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</si>
  <si>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</si>
  <si>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</si>
  <si>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</si>
  <si>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</si>
  <si>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</si>
  <si>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</si>
  <si>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</si>
  <si>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</si>
  <si>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</si>
  <si>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</si>
  <si>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</si>
  <si>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</si>
  <si>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</si>
  <si>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</si>
  <si>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</si>
  <si>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</si>
  <si>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</si>
  <si>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</si>
  <si>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</si>
  <si>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</si>
  <si>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</si>
  <si>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</si>
  <si>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</si>
  <si>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</si>
  <si>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</si>
  <si>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</si>
  <si>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</si>
  <si>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</si>
  <si>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</si>
  <si>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</si>
  <si>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</si>
  <si>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</si>
  <si>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</si>
  <si>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</si>
  <si>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</si>
  <si>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</si>
  <si>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</si>
  <si>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</si>
  <si>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</si>
  <si>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</si>
  <si>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</si>
  <si>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</si>
  <si>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</si>
  <si>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</si>
  <si>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</si>
  <si>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</si>
  <si>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</si>
  <si>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</si>
  <si>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</si>
  <si>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</si>
  <si>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</si>
  <si>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</si>
  <si>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</si>
  <si>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</si>
  <si>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</si>
  <si>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</si>
  <si>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</si>
  <si>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</si>
  <si>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</si>
  <si>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</si>
  <si>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</si>
  <si>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</si>
  <si>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</si>
  <si>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</si>
  <si>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</si>
  <si>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</si>
  <si>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</si>
  <si>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</si>
  <si>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</si>
  <si>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</si>
  <si>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</si>
  <si>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</si>
  <si>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</si>
  <si>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</si>
  <si>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</si>
  <si>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</si>
  <si>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</si>
  <si>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</si>
  <si>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</si>
  <si>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</si>
  <si>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</si>
  <si>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</si>
  <si>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</si>
  <si>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</si>
  <si>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</si>
  <si>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</si>
  <si>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</si>
  <si>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</si>
  <si>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</si>
  <si>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</si>
  <si>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</si>
  <si>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</si>
  <si>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</si>
  <si>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</si>
  <si>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</si>
  <si>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</si>
  <si>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</si>
  <si>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</si>
  <si>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</si>
  <si>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</si>
  <si>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</si>
  <si>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</si>
  <si>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</si>
  <si>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</si>
  <si>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</si>
  <si>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</si>
  <si>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</si>
  <si>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</si>
  <si>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</si>
  <si>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</si>
  <si>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</si>
  <si>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</si>
  <si>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</si>
  <si>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</si>
  <si>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</si>
  <si>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</si>
  <si>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</si>
  <si>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</si>
  <si>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</si>
  <si>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</si>
  <si>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</si>
  <si>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</si>
  <si>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</si>
  <si>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</si>
  <si>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</si>
  <si>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</si>
  <si>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</si>
  <si>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</si>
  <si>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</si>
  <si>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</si>
  <si>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</si>
  <si>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</si>
  <si>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</si>
  <si>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</si>
  <si>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</si>
  <si>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</si>
  <si>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</si>
  <si>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</si>
  <si>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</si>
  <si>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</si>
  <si>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</si>
  <si>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</si>
  <si>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</si>
  <si>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</si>
  <si>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</si>
  <si>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</si>
  <si>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</si>
  <si>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</si>
  <si>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</si>
  <si>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</si>
  <si>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</si>
  <si>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</si>
  <si>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</si>
  <si>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</si>
  <si>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</si>
  <si>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</si>
  <si>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</si>
  <si>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</si>
  <si>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</si>
  <si>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</si>
  <si>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</si>
  <si>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</si>
  <si>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</si>
  <si>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</si>
  <si>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</si>
  <si>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</si>
  <si>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</si>
  <si>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</si>
  <si>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</si>
  <si>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</si>
  <si>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</si>
  <si>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</si>
  <si>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</si>
  <si>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</si>
  <si>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</si>
  <si>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</si>
  <si>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</si>
  <si>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</si>
  <si>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</si>
  <si>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</si>
  <si>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</si>
  <si>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</si>
  <si>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</si>
  <si>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</si>
  <si>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</si>
  <si>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</si>
  <si>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</si>
  <si>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</si>
  <si>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</si>
  <si>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</si>
  <si>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</si>
  <si>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</si>
  <si>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</si>
  <si>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</si>
  <si>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</si>
  <si>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</si>
  <si>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</si>
  <si>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</si>
  <si>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</si>
  <si>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</si>
  <si>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</si>
  <si>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</si>
  <si>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</si>
  <si>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</si>
  <si>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</si>
  <si>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</si>
  <si>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</si>
  <si>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</si>
  <si>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</si>
  <si>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</si>
  <si>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</si>
  <si>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</si>
  <si>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</si>
  <si>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</si>
  <si>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</si>
  <si>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</si>
  <si>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</si>
  <si>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</si>
  <si>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</si>
  <si>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</si>
  <si>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</si>
  <si>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</si>
  <si>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</si>
  <si>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</si>
  <si>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</si>
  <si>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</si>
  <si>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</si>
  <si>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</si>
  <si>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</si>
  <si>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</si>
  <si>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</si>
  <si>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</si>
  <si>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</si>
  <si>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</si>
  <si>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</si>
  <si>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</si>
  <si>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</si>
  <si>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</si>
  <si>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</si>
  <si>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</si>
  <si>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</si>
  <si>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</si>
  <si>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</si>
  <si>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</si>
  <si>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</si>
  <si>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</si>
  <si>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</si>
  <si>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</si>
  <si>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</si>
  <si>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</si>
  <si>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</si>
  <si>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</si>
  <si>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</si>
  <si>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</si>
  <si>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</si>
  <si>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</si>
  <si>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</si>
  <si>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</si>
  <si>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</si>
  <si>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</si>
  <si>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</si>
  <si>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</si>
  <si>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</si>
  <si>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</si>
  <si>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</si>
  <si>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</si>
  <si>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</si>
  <si>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</si>
  <si>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</si>
  <si>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</si>
  <si>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</si>
  <si>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</si>
  <si>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</si>
  <si>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</si>
  <si>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</si>
  <si>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</si>
  <si>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</si>
  <si>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</si>
  <si>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</si>
  <si>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</si>
  <si>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</si>
  <si>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</si>
  <si>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</si>
  <si>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</si>
  <si>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</si>
  <si>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</si>
  <si>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</si>
  <si>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Prudentis UAB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</si>
  <si>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</si>
  <si>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</si>
  <si>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</si>
  <si>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</si>
  <si>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</si>
  <si>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</si>
  <si>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</si>
  <si>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</si>
  <si>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</si>
  <si>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</si>
  <si>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</si>
  <si>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</si>
  <si>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</si>
  <si>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</si>
  <si>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Enter Maximal</t>
  </si>
  <si>
    <t>Independent Investment Group Sweden AB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</si>
  <si>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</si>
  <si>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</si>
  <si>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</si>
  <si>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</si>
  <si>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</si>
  <si>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</si>
  <si>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</si>
  <si>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</si>
  <si>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</si>
  <si>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</si>
  <si>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</si>
  <si>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</si>
  <si>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</si>
  <si>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</si>
  <si>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</si>
  <si>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</si>
  <si>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</si>
  <si>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</si>
  <si>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</si>
  <si>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</si>
  <si>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</si>
  <si>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</si>
  <si>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</si>
  <si>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</si>
  <si>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</si>
  <si>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</si>
  <si>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</si>
  <si>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</si>
  <si>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</si>
  <si>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</si>
  <si>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</si>
  <si>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</si>
  <si>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</si>
  <si>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</si>
  <si>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</si>
  <si>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</si>
  <si>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</si>
  <si>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</si>
  <si>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</si>
  <si>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</si>
  <si>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</si>
  <si>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</si>
  <si>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</si>
  <si>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</si>
  <si>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</si>
  <si>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</si>
  <si>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</si>
  <si>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</si>
  <si>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</si>
  <si>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</si>
  <si>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</si>
  <si>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</si>
  <si>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</si>
  <si>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</si>
  <si>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</si>
  <si>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</si>
  <si>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</si>
  <si>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</si>
  <si>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</si>
  <si>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</si>
  <si>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</si>
  <si>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</si>
  <si>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</si>
  <si>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</si>
  <si>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</si>
  <si>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</si>
  <si>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</si>
  <si>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</si>
  <si>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</si>
  <si>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</si>
  <si>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</si>
  <si>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</si>
  <si>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</si>
  <si>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</si>
  <si>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</si>
  <si>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</si>
  <si>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</si>
  <si>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</si>
  <si>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</si>
  <si>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</si>
  <si>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</si>
  <si>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</si>
  <si>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</si>
  <si>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</si>
  <si>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</si>
  <si>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</si>
  <si>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</si>
  <si>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</si>
  <si>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</si>
  <si>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</si>
  <si>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</si>
  <si>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</si>
  <si>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</si>
  <si>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</si>
  <si>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</si>
  <si>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</si>
  <si>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</si>
  <si>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</si>
  <si>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</si>
  <si>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</si>
  <si>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</si>
  <si>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</si>
  <si>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</si>
  <si>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</si>
  <si>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</si>
  <si>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</si>
  <si>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</si>
  <si>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</si>
  <si>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</si>
  <si>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</si>
  <si>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</si>
  <si>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</si>
  <si>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</si>
  <si>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</si>
  <si>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</si>
  <si>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</si>
  <si>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</si>
  <si>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</si>
  <si>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</si>
  <si>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</si>
  <si>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</si>
  <si>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</si>
  <si>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</si>
  <si>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</si>
  <si>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</si>
  <si>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</si>
  <si>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</si>
  <si>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</si>
  <si>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</si>
  <si>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</si>
  <si>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</si>
  <si>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</si>
  <si>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</si>
  <si>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</si>
  <si>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</si>
  <si>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</si>
  <si>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</si>
  <si>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</si>
  <si>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</si>
  <si>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</si>
  <si>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</si>
  <si>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</si>
  <si>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</si>
  <si>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</si>
  <si>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</si>
  <si>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</si>
  <si>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Alpha Management Company S.A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</si>
  <si>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</si>
  <si>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</si>
  <si>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</si>
  <si>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</si>
  <si>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</si>
  <si>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</si>
  <si>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</si>
  <si>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</si>
  <si>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</si>
  <si>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</si>
  <si>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</si>
  <si>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</si>
  <si>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</si>
  <si>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</si>
  <si>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</si>
  <si>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</si>
  <si>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</si>
  <si>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</si>
  <si>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</si>
  <si>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</si>
  <si>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</si>
  <si>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</si>
  <si>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</si>
  <si>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</si>
  <si>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</si>
  <si>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</si>
  <si>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</si>
  <si>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</si>
  <si>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</si>
  <si>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</si>
  <si>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</si>
  <si>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</si>
  <si>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</si>
  <si>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</si>
  <si>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High Yield SEK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</si>
  <si>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</si>
  <si>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</si>
  <si>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</si>
  <si>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</si>
  <si>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</si>
  <si>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</si>
  <si>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</si>
  <si>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</si>
  <si>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</si>
  <si>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</si>
  <si>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</si>
  <si>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</si>
  <si>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</si>
  <si>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</si>
  <si>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</si>
  <si>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</si>
  <si>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</si>
  <si>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</si>
  <si>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</si>
  <si>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</si>
  <si>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</si>
  <si>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</si>
  <si>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</si>
  <si>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</si>
  <si>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</si>
  <si>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</si>
  <si>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</si>
  <si>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</si>
  <si>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</si>
  <si>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</si>
  <si>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</si>
  <si>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</si>
  <si>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</si>
  <si>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</si>
  <si>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</si>
  <si>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</si>
  <si>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</si>
  <si>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</si>
  <si>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</si>
  <si>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</si>
  <si>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</si>
  <si>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</si>
  <si>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</si>
  <si>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</si>
  <si>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</si>
  <si>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</si>
  <si>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</si>
  <si>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</si>
  <si>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</si>
  <si>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</si>
  <si>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</si>
  <si>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</si>
  <si>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</si>
  <si>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ING (L) Invest First Class Protection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</si>
  <si>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</si>
  <si>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</si>
  <si>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</si>
  <si>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</si>
  <si>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</si>
  <si>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</si>
  <si>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</si>
  <si>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</si>
  <si>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</si>
  <si>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</si>
  <si>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</si>
  <si>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</si>
  <si>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</si>
  <si>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</si>
  <si>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</si>
  <si>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</si>
  <si>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</si>
  <si>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</si>
  <si>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</si>
  <si>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</si>
  <si>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Fondstatistik per 2012-10-31</t>
  </si>
  <si>
    <t>Nästa uppdatering: 2012-12-06</t>
  </si>
  <si>
    <t>Antal fondval och marknadsvärde i fonderna 2012-10-31</t>
  </si>
  <si>
    <t>Nästa uppdatering: 2012-12-13</t>
  </si>
  <si>
    <t>Nästa uppdatering: 2012-12-31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</si>
</sst>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3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</cellStyleXfs>
  <cellXfs count="292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0" fontId="31" fillId="0" borderId="0" xfId="6"/>
    <xf numFmtId="3" fontId="31" fillId="0" borderId="0" xfId="6" applyNumberFormat="1"/>
    <xf numFmtId="0" fontId="32" fillId="0" borderId="0" xfId="8" applyAlignment="1">
      <alignment horizontal="left" indent="1"/>
    </xf>
    <xf numFmtId="0" fontId="32" fillId="0" borderId="0" xfId="8"/>
    <xf numFmtId="3" fontId="32" fillId="0" borderId="0" xfId="8" applyNumberFormat="1"/>
    <xf numFmtId="3" fontId="32" fillId="0" borderId="0" xfId="8" applyNumberFormat="1"/>
    <xf numFmtId="3" fontId="32" fillId="0" borderId="0" xfId="8" applyNumberFormat="1"/>
    <xf numFmtId="0" fontId="0" fillId="0" borderId="0" xfId="0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9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2012-10-31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1216"/>
        <c:axId val="49482752"/>
      </c:lineChart>
      <c:dateAx>
        <c:axId val="49481216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4827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948275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481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41213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9.611628172338138E-2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41213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0.15135384757065684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49544192"/>
        <c:axId val="184201984"/>
      </c:barChart>
      <c:catAx>
        <c:axId val="4954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2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201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5441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41213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355.43909777910881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41213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429.77920547154798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5911680"/>
        <c:axId val="195913216"/>
      </c:barChart>
      <c:catAx>
        <c:axId val="1959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591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132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59116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27520"/>
        <c:axId val="196029056"/>
      </c:lineChart>
      <c:dateAx>
        <c:axId val="19602752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029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0290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027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</c:numCache>
            </c:numRef>
          </c:cat>
          <c:val>
            <c:numRef>
              <c:f>'Avkastning sedan 2000'!$C$20:$C$163</c:f>
              <c:numCache>
                <c:formatCode>0.0%</c:formatCode>
                <c:ptCount val="14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</c:numCache>
            </c:numRef>
          </c:cat>
          <c:val>
            <c:numRef>
              <c:f>'Avkastning sedan 2000'!$D$20:$D$163</c:f>
              <c:numCache>
                <c:formatCode>0.0%</c:formatCode>
                <c:ptCount val="144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30688"/>
        <c:axId val="196132224"/>
      </c:lineChart>
      <c:dateAx>
        <c:axId val="196130688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1322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13222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1306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11</xdr:row>
          <xdr:rowOff>0</xdr:rowOff>
        </xdr:from>
        <xdr:to>
          <xdr:col>1</xdr:col>
          <xdr:colOff>1514475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133350</xdr:rowOff>
    </xdr:from>
    <xdr:to>
      <xdr:col>15</xdr:col>
      <xdr:colOff>579868</xdr:colOff>
      <xdr:row>37</xdr:row>
      <xdr:rowOff>75560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096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3" sqref="B13"/>
    </sheetView>
  </sheetViews>
  <sheetFormatPr defaultRowHeight="12.75" x14ac:dyDescent="0.2"/>
  <cols>
    <col min="1" max="1" width="3.140625" style="3" hidden="1" customWidth="1"/>
    <col min="2" max="2" width="41.28515625" style="156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1"/>
      <c r="C7" s="182"/>
      <c r="D7" s="182"/>
    </row>
    <row r="8" spans="2:11" ht="13.5" x14ac:dyDescent="0.2">
      <c r="B8" s="183" t="s">
        <v>687</v>
      </c>
      <c r="C8" s="182"/>
      <c r="D8" s="182"/>
      <c r="E8" s="165"/>
      <c r="F8" s="165"/>
      <c r="G8" s="165"/>
      <c r="H8" s="165"/>
      <c r="I8" s="165"/>
      <c r="J8" s="165"/>
      <c r="K8" s="165"/>
    </row>
    <row r="9" spans="2:11" ht="15.75" x14ac:dyDescent="0.25">
      <c r="B9" s="181" t="s">
        <v>462</v>
      </c>
      <c r="C9" s="182"/>
      <c r="D9" s="182"/>
      <c r="E9" s="165"/>
      <c r="F9" s="165"/>
      <c r="G9" s="165"/>
      <c r="H9" s="180"/>
      <c r="I9" s="165"/>
      <c r="J9" s="165"/>
      <c r="K9" s="165"/>
    </row>
    <row r="10" spans="2:11" ht="15.75" x14ac:dyDescent="0.25">
      <c r="B10" s="181"/>
      <c r="C10" s="182"/>
      <c r="D10" s="182"/>
      <c r="E10" s="165"/>
      <c r="F10" s="165"/>
      <c r="G10" s="165"/>
      <c r="H10" s="180"/>
      <c r="I10" s="165"/>
      <c r="J10" s="165"/>
      <c r="K10" s="165"/>
    </row>
    <row r="11" spans="2:11" ht="22.5" customHeight="1" x14ac:dyDescent="0.2">
      <c r="B11" s="184" t="s">
        <v>851</v>
      </c>
      <c r="C11" s="182"/>
      <c r="D11" s="182"/>
      <c r="E11" s="165"/>
      <c r="F11" s="166"/>
      <c r="G11" s="165"/>
      <c r="H11" s="165"/>
      <c r="I11" s="165"/>
      <c r="J11" s="165"/>
      <c r="K11" s="165"/>
    </row>
    <row r="12" spans="2:11" ht="22.5" customHeight="1" x14ac:dyDescent="0.2">
      <c r="B12" s="184" t="s">
        <v>459</v>
      </c>
      <c r="C12" s="182"/>
      <c r="D12" s="182"/>
      <c r="E12" s="165"/>
      <c r="F12" s="167"/>
      <c r="G12" s="165"/>
      <c r="H12" s="165"/>
      <c r="I12" s="165"/>
      <c r="J12" s="165"/>
      <c r="K12" s="165"/>
    </row>
    <row r="13" spans="2:11" ht="22.5" customHeight="1" x14ac:dyDescent="0.2">
      <c r="B13" s="184" t="s">
        <v>974</v>
      </c>
      <c r="C13" s="182"/>
      <c r="D13" s="182"/>
      <c r="E13" s="165"/>
      <c r="F13" s="166"/>
      <c r="G13" s="165"/>
      <c r="H13" s="165"/>
      <c r="I13" s="165"/>
      <c r="J13" s="165"/>
      <c r="K13" s="165"/>
    </row>
    <row r="14" spans="2:11" ht="22.5" customHeight="1" x14ac:dyDescent="0.2">
      <c r="B14" s="185" t="s">
        <v>460</v>
      </c>
      <c r="C14" s="182"/>
      <c r="D14" s="182"/>
      <c r="E14" s="165"/>
      <c r="F14" s="168"/>
      <c r="G14" s="165"/>
      <c r="H14" s="165"/>
      <c r="I14" s="165"/>
      <c r="J14" s="165"/>
      <c r="K14" s="165"/>
    </row>
    <row r="15" spans="2:11" ht="22.5" customHeight="1" x14ac:dyDescent="0.2">
      <c r="B15" s="185" t="s">
        <v>461</v>
      </c>
      <c r="C15" s="182"/>
      <c r="D15" s="182"/>
      <c r="E15" s="165"/>
      <c r="F15" s="166"/>
      <c r="G15" s="165"/>
      <c r="H15" s="165"/>
      <c r="I15" s="165"/>
      <c r="J15" s="165"/>
      <c r="K15" s="165"/>
    </row>
    <row r="16" spans="2:11" ht="22.5" customHeight="1" x14ac:dyDescent="0.2">
      <c r="B16" s="185" t="s">
        <v>896</v>
      </c>
      <c r="C16" s="182"/>
      <c r="D16" s="182"/>
      <c r="E16" s="165"/>
      <c r="F16" s="166"/>
      <c r="G16" s="165"/>
      <c r="H16" s="165"/>
      <c r="I16" s="165"/>
      <c r="J16" s="165"/>
      <c r="K16" s="165"/>
    </row>
    <row r="17" spans="2:11" ht="22.5" customHeight="1" x14ac:dyDescent="0.2">
      <c r="B17" s="185" t="s">
        <v>6</v>
      </c>
      <c r="C17" s="182"/>
      <c r="D17" s="182"/>
      <c r="E17" s="165"/>
      <c r="F17" s="166"/>
      <c r="G17" s="165"/>
      <c r="H17" s="165"/>
      <c r="I17" s="165"/>
      <c r="J17" s="165"/>
      <c r="K17" s="165"/>
    </row>
    <row r="18" spans="2:11" ht="22.5" customHeight="1" x14ac:dyDescent="0.2">
      <c r="B18" s="186" t="s">
        <v>890</v>
      </c>
      <c r="C18" s="187"/>
      <c r="D18" s="187"/>
      <c r="E18" s="165"/>
      <c r="F18" s="166"/>
      <c r="G18" s="165"/>
      <c r="H18" s="165"/>
      <c r="I18" s="165"/>
      <c r="J18" s="165"/>
      <c r="K18" s="165"/>
    </row>
    <row r="19" spans="2:11" ht="22.5" customHeight="1" x14ac:dyDescent="0.2">
      <c r="B19" s="186" t="s">
        <v>606</v>
      </c>
      <c r="C19" s="186"/>
      <c r="D19" s="186"/>
      <c r="E19" s="186"/>
      <c r="F19" s="166"/>
      <c r="G19" s="165"/>
      <c r="H19" s="165"/>
      <c r="I19" s="165"/>
      <c r="J19" s="165"/>
      <c r="K19" s="165"/>
    </row>
    <row r="20" spans="2:11" ht="13.5" x14ac:dyDescent="0.2">
      <c r="B20" s="189" t="s">
        <v>458</v>
      </c>
      <c r="C20" s="187"/>
      <c r="D20" s="187"/>
      <c r="E20" s="165"/>
      <c r="F20" s="166"/>
      <c r="G20" s="165"/>
      <c r="H20" s="165"/>
      <c r="I20" s="165"/>
      <c r="J20" s="165"/>
      <c r="K20" s="165"/>
    </row>
    <row r="21" spans="2:11" ht="13.5" x14ac:dyDescent="0.2">
      <c r="B21" s="188" t="s">
        <v>407</v>
      </c>
      <c r="C21" s="187"/>
      <c r="D21" s="187"/>
      <c r="E21" s="165"/>
      <c r="F21" s="166"/>
      <c r="G21" s="165"/>
      <c r="I21" s="165"/>
      <c r="J21" s="165"/>
      <c r="K21" s="165"/>
    </row>
    <row r="22" spans="2:11" ht="13.5" x14ac:dyDescent="0.2">
      <c r="B22" s="189"/>
      <c r="C22" s="187"/>
      <c r="D22" s="187"/>
      <c r="E22" s="165"/>
      <c r="F22" s="166"/>
    </row>
    <row r="23" spans="2:11" ht="13.5" x14ac:dyDescent="0.2">
      <c r="B23" s="186" t="s">
        <v>658</v>
      </c>
      <c r="C23" s="187"/>
      <c r="D23" s="187"/>
      <c r="E23" s="165"/>
      <c r="F23" s="166"/>
    </row>
    <row r="24" spans="2:11" ht="13.5" x14ac:dyDescent="0.2">
      <c r="B24" s="189"/>
      <c r="C24" s="187"/>
      <c r="D24" s="187"/>
      <c r="E24" s="165"/>
      <c r="F24" s="168"/>
    </row>
    <row r="25" spans="2:11" ht="13.5" x14ac:dyDescent="0.2">
      <c r="B25" s="181"/>
      <c r="C25" s="187"/>
      <c r="D25" s="187"/>
      <c r="E25" s="165"/>
      <c r="F25" s="166"/>
    </row>
    <row r="26" spans="2:11" ht="13.5" x14ac:dyDescent="0.2">
      <c r="B26" s="181"/>
      <c r="C26" s="165"/>
      <c r="D26" s="165"/>
      <c r="E26" s="165"/>
      <c r="F26" s="168"/>
    </row>
    <row r="27" spans="2:11" ht="13.5" x14ac:dyDescent="0.2">
      <c r="B27" s="181"/>
      <c r="C27" s="165"/>
      <c r="D27" s="165"/>
      <c r="E27" s="165"/>
      <c r="F27" s="166"/>
    </row>
    <row r="28" spans="2:11" ht="13.5" x14ac:dyDescent="0.2">
      <c r="B28" s="181"/>
      <c r="F28" s="96"/>
    </row>
    <row r="29" spans="2:11" ht="13.5" x14ac:dyDescent="0.2">
      <c r="B29" s="181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1"/>
      <c r="C32" s="222"/>
    </row>
    <row r="33" spans="2:3" ht="13.5" x14ac:dyDescent="0.2">
      <c r="B33" s="181"/>
      <c r="C33" s="222"/>
    </row>
    <row r="34" spans="2:3" ht="13.5" x14ac:dyDescent="0.2">
      <c r="B34" s="181"/>
      <c r="C34" s="222"/>
    </row>
    <row r="35" spans="2:3" ht="13.5" x14ac:dyDescent="0.2">
      <c r="B35" s="181"/>
      <c r="C35" s="222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344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37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28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29" t="s">
        <v>1137</v>
      </c>
      <c r="B2" s="140"/>
      <c r="C2" s="253" t="s">
        <v>1136</v>
      </c>
      <c r="D2" s="113"/>
      <c r="E2" s="114"/>
      <c r="F2" s="114"/>
      <c r="G2" s="114"/>
      <c r="H2" s="114"/>
      <c r="I2" s="141"/>
      <c r="J2" s="116"/>
      <c r="K2" s="117"/>
      <c r="L2" s="113"/>
      <c r="M2" s="116"/>
      <c r="N2" s="116"/>
      <c r="O2" s="118"/>
    </row>
    <row r="3" spans="1:15" s="119" customFormat="1" x14ac:dyDescent="0.2">
      <c r="A3" s="230"/>
      <c r="B3" s="142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1" t="s">
        <v>849</v>
      </c>
      <c r="B4" s="114"/>
      <c r="C4" s="112"/>
      <c r="D4" s="145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2" t="s">
        <v>697</v>
      </c>
      <c r="B5" s="15"/>
      <c r="D5" s="144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4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4" t="s">
        <v>481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4" t="s">
        <v>469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4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0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4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3" t="s">
        <v>468</v>
      </c>
      <c r="B12" s="122"/>
      <c r="C12" s="121"/>
      <c r="D12" s="120"/>
      <c r="E12" s="114"/>
      <c r="F12" s="114"/>
      <c r="G12" s="114"/>
      <c r="H12" s="151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3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3"/>
      <c r="B14" s="122"/>
      <c r="C14" s="121"/>
      <c r="D14" s="120"/>
      <c r="E14" s="112"/>
      <c r="F14" s="126"/>
      <c r="G14" s="127"/>
      <c r="H14" s="112"/>
      <c r="I14" s="148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3"/>
      <c r="B15" s="122"/>
      <c r="C15" s="112"/>
      <c r="D15" s="113"/>
      <c r="E15" s="112"/>
      <c r="F15" s="126"/>
      <c r="G15" s="127"/>
      <c r="H15" s="112"/>
      <c r="I15" s="148"/>
      <c r="J15" s="116"/>
      <c r="K15" s="117"/>
      <c r="L15" s="113"/>
      <c r="M15" s="116"/>
      <c r="N15" s="116"/>
      <c r="O15" s="118"/>
    </row>
    <row r="16" spans="1:15" s="119" customFormat="1" x14ac:dyDescent="0.2">
      <c r="A16" s="234"/>
      <c r="B16" s="143"/>
      <c r="C16" s="144"/>
      <c r="D16" s="145"/>
      <c r="E16" s="144"/>
      <c r="F16" s="146"/>
      <c r="G16" s="147"/>
      <c r="H16" s="144"/>
      <c r="I16" s="198"/>
      <c r="J16" s="148"/>
      <c r="K16" s="149"/>
      <c r="L16" s="145"/>
      <c r="M16" s="148"/>
      <c r="N16" s="148"/>
      <c r="O16" s="150"/>
    </row>
    <row r="17" spans="1:22" s="25" customFormat="1" x14ac:dyDescent="0.2">
      <c r="A17" s="235"/>
      <c r="B17" s="26"/>
      <c r="C17" s="277" t="s">
        <v>850</v>
      </c>
      <c r="D17" s="278"/>
      <c r="E17" s="279"/>
      <c r="F17" s="280" t="s">
        <v>639</v>
      </c>
      <c r="G17" s="281"/>
      <c r="H17" s="281"/>
      <c r="I17" s="201" t="s">
        <v>23</v>
      </c>
      <c r="J17" s="199"/>
      <c r="K17" s="196"/>
      <c r="L17" s="163"/>
    </row>
    <row r="18" spans="1:22" x14ac:dyDescent="0.2">
      <c r="A18" s="236" t="s">
        <v>637</v>
      </c>
      <c r="B18" s="137" t="s">
        <v>636</v>
      </c>
      <c r="C18" s="138" t="s">
        <v>642</v>
      </c>
      <c r="D18" s="138" t="s">
        <v>643</v>
      </c>
      <c r="E18" s="138" t="s">
        <v>644</v>
      </c>
      <c r="F18" s="138" t="s">
        <v>642</v>
      </c>
      <c r="G18" s="138" t="s">
        <v>643</v>
      </c>
      <c r="H18" s="262" t="s">
        <v>644</v>
      </c>
      <c r="I18" s="202" t="s">
        <v>633</v>
      </c>
      <c r="J18" s="200" t="s">
        <v>645</v>
      </c>
      <c r="K18" s="197" t="s">
        <v>641</v>
      </c>
      <c r="L18" s="163" t="s">
        <v>640</v>
      </c>
    </row>
    <row r="19" spans="1:22" x14ac:dyDescent="0.2">
      <c r="A19" s="267" t="s">
        <v>785</v>
      </c>
      <c r="B19" s="267" t="s">
        <v>117</v>
      </c>
      <c r="C19" s="268">
        <v>1391782</v>
      </c>
      <c r="D19" s="268">
        <v>1502709</v>
      </c>
      <c r="E19" s="268">
        <v>2894491</v>
      </c>
      <c r="F19" s="268">
        <v>51749298087.349655</v>
      </c>
      <c r="G19" s="268">
        <v>66034272822.723152</v>
      </c>
      <c r="H19" s="268">
        <v>117783570910.0728</v>
      </c>
      <c r="I19" s="267" t="s">
        <v>753</v>
      </c>
      <c r="J19" s="267" t="s">
        <v>125</v>
      </c>
      <c r="K19" s="267">
        <v>1</v>
      </c>
      <c r="L19" s="267" t="s">
        <v>696</v>
      </c>
      <c r="M19" s="264"/>
      <c r="N19"/>
      <c r="O19"/>
      <c r="P19"/>
      <c r="Q19" s="151"/>
      <c r="R19"/>
      <c r="S19"/>
      <c r="T19"/>
      <c r="U19"/>
      <c r="V19"/>
    </row>
    <row r="20" spans="1:22" x14ac:dyDescent="0.2">
      <c r="A20" s="267" t="s">
        <v>785</v>
      </c>
      <c r="B20" s="267" t="s">
        <v>118</v>
      </c>
      <c r="C20" s="268">
        <v>1825</v>
      </c>
      <c r="D20" s="268">
        <v>2094</v>
      </c>
      <c r="E20" s="268">
        <v>3919</v>
      </c>
      <c r="F20" s="268">
        <v>145057393.4493309</v>
      </c>
      <c r="G20" s="268">
        <v>191983647.47643971</v>
      </c>
      <c r="H20" s="268">
        <v>337041040.92576998</v>
      </c>
      <c r="I20" s="267" t="s">
        <v>753</v>
      </c>
      <c r="J20" s="267" t="s">
        <v>123</v>
      </c>
      <c r="K20" s="267">
        <v>2</v>
      </c>
      <c r="L20" s="267" t="s">
        <v>696</v>
      </c>
      <c r="M20" s="264"/>
      <c r="N20"/>
      <c r="O20"/>
      <c r="P20"/>
      <c r="Q20" s="151"/>
      <c r="R20"/>
      <c r="S20"/>
      <c r="T20"/>
      <c r="U20"/>
      <c r="V20"/>
    </row>
    <row r="21" spans="1:22" x14ac:dyDescent="0.2">
      <c r="A21" s="267" t="s">
        <v>785</v>
      </c>
      <c r="B21" s="267" t="s">
        <v>119</v>
      </c>
      <c r="C21" s="268">
        <v>2339</v>
      </c>
      <c r="D21" s="268">
        <v>2756</v>
      </c>
      <c r="E21" s="268">
        <v>5095</v>
      </c>
      <c r="F21" s="268">
        <v>203358351.0993202</v>
      </c>
      <c r="G21" s="268">
        <v>255864752.67006499</v>
      </c>
      <c r="H21" s="268">
        <v>459223103.76938605</v>
      </c>
      <c r="I21" s="267" t="s">
        <v>753</v>
      </c>
      <c r="J21" s="267" t="s">
        <v>123</v>
      </c>
      <c r="K21" s="267">
        <v>3</v>
      </c>
      <c r="L21" s="267" t="s">
        <v>696</v>
      </c>
      <c r="M21" s="264"/>
      <c r="N21"/>
      <c r="O21"/>
      <c r="P21"/>
      <c r="Q21" s="151"/>
      <c r="R21"/>
      <c r="S21"/>
      <c r="T21"/>
      <c r="U21"/>
      <c r="V21"/>
    </row>
    <row r="22" spans="1:22" x14ac:dyDescent="0.2">
      <c r="A22" s="267" t="s">
        <v>785</v>
      </c>
      <c r="B22" s="267" t="s">
        <v>120</v>
      </c>
      <c r="C22" s="268">
        <v>1743</v>
      </c>
      <c r="D22" s="268">
        <v>3299</v>
      </c>
      <c r="E22" s="268">
        <v>5042</v>
      </c>
      <c r="F22" s="268">
        <v>132482263.0946767</v>
      </c>
      <c r="G22" s="268">
        <v>267990550.99874812</v>
      </c>
      <c r="H22" s="268">
        <v>400472814.0934248</v>
      </c>
      <c r="I22" s="267" t="s">
        <v>753</v>
      </c>
      <c r="J22" s="267" t="s">
        <v>123</v>
      </c>
      <c r="K22" s="267">
        <v>4</v>
      </c>
      <c r="L22" s="267" t="s">
        <v>696</v>
      </c>
      <c r="M22" s="264"/>
      <c r="N22"/>
      <c r="O22"/>
      <c r="P22"/>
      <c r="Q22" s="151"/>
      <c r="R22"/>
      <c r="S22"/>
      <c r="T22"/>
      <c r="U22"/>
      <c r="V22"/>
    </row>
    <row r="23" spans="1:22" x14ac:dyDescent="0.2">
      <c r="A23" s="267" t="s">
        <v>44</v>
      </c>
      <c r="B23" s="267" t="s">
        <v>688</v>
      </c>
      <c r="C23" s="268">
        <v>8370</v>
      </c>
      <c r="D23" s="268">
        <v>9597</v>
      </c>
      <c r="E23" s="268">
        <v>17967</v>
      </c>
      <c r="F23" s="268">
        <v>61007056.400799997</v>
      </c>
      <c r="G23" s="268">
        <v>89463623.039901003</v>
      </c>
      <c r="H23" s="268">
        <v>150470679.44070101</v>
      </c>
      <c r="I23" s="267" t="s">
        <v>753</v>
      </c>
      <c r="J23" s="267" t="s">
        <v>121</v>
      </c>
      <c r="K23" s="267">
        <v>102897</v>
      </c>
      <c r="L23" s="267" t="s">
        <v>501</v>
      </c>
      <c r="M23" s="264"/>
      <c r="N23"/>
      <c r="O23"/>
      <c r="P23"/>
      <c r="Q23" s="151"/>
      <c r="R23"/>
      <c r="S23"/>
      <c r="T23"/>
      <c r="U23"/>
      <c r="V23"/>
    </row>
    <row r="24" spans="1:22" x14ac:dyDescent="0.2">
      <c r="A24" s="267" t="s">
        <v>626</v>
      </c>
      <c r="B24" s="267" t="s">
        <v>30</v>
      </c>
      <c r="C24" s="268">
        <v>462</v>
      </c>
      <c r="D24" s="268">
        <v>658</v>
      </c>
      <c r="E24" s="268">
        <v>1120</v>
      </c>
      <c r="F24" s="268">
        <v>10601851.7346127</v>
      </c>
      <c r="G24" s="268">
        <v>17936503.493080199</v>
      </c>
      <c r="H24" s="268">
        <v>28538355.227692898</v>
      </c>
      <c r="I24" s="267" t="s">
        <v>633</v>
      </c>
      <c r="J24" s="267" t="s">
        <v>122</v>
      </c>
      <c r="K24" s="267">
        <v>103010</v>
      </c>
      <c r="L24" s="267" t="s">
        <v>358</v>
      </c>
      <c r="M24" s="264"/>
      <c r="N24"/>
      <c r="O24"/>
      <c r="P24"/>
      <c r="Q24" s="151"/>
      <c r="R24"/>
      <c r="S24"/>
      <c r="T24"/>
      <c r="U24"/>
      <c r="V24"/>
    </row>
    <row r="25" spans="1:22" x14ac:dyDescent="0.2">
      <c r="A25" s="267" t="s">
        <v>724</v>
      </c>
      <c r="B25" s="267" t="s">
        <v>726</v>
      </c>
      <c r="C25" s="268">
        <v>1057</v>
      </c>
      <c r="D25" s="268">
        <v>1497</v>
      </c>
      <c r="E25" s="268">
        <v>2554</v>
      </c>
      <c r="F25" s="268">
        <v>26252839.2719112</v>
      </c>
      <c r="G25" s="268">
        <v>45282852.739455998</v>
      </c>
      <c r="H25" s="268">
        <v>71535692.011367202</v>
      </c>
      <c r="I25" s="267" t="s">
        <v>753</v>
      </c>
      <c r="J25" s="267" t="s">
        <v>121</v>
      </c>
      <c r="K25" s="267">
        <v>103606</v>
      </c>
      <c r="L25" s="267" t="s">
        <v>680</v>
      </c>
      <c r="M25" s="264"/>
      <c r="N25"/>
      <c r="O25"/>
      <c r="P25"/>
      <c r="Q25" s="151"/>
      <c r="R25"/>
      <c r="S25"/>
      <c r="T25"/>
      <c r="U25"/>
      <c r="V25"/>
    </row>
    <row r="26" spans="1:22" x14ac:dyDescent="0.2">
      <c r="A26" s="267" t="s">
        <v>131</v>
      </c>
      <c r="B26" s="267" t="s">
        <v>1100</v>
      </c>
      <c r="C26" s="268">
        <v>14851</v>
      </c>
      <c r="D26" s="268">
        <v>17036</v>
      </c>
      <c r="E26" s="268">
        <v>31887</v>
      </c>
      <c r="F26" s="268">
        <v>251666103.68580902</v>
      </c>
      <c r="G26" s="268">
        <v>388140619.10682499</v>
      </c>
      <c r="H26" s="268">
        <v>639806722.79263401</v>
      </c>
      <c r="I26" s="267" t="s">
        <v>753</v>
      </c>
      <c r="J26" s="267" t="s">
        <v>121</v>
      </c>
      <c r="K26" s="267">
        <v>104257</v>
      </c>
      <c r="L26" s="267" t="s">
        <v>174</v>
      </c>
      <c r="M26" s="264"/>
      <c r="N26"/>
      <c r="O26"/>
      <c r="P26"/>
      <c r="Q26" s="151"/>
      <c r="R26"/>
      <c r="S26"/>
      <c r="T26"/>
      <c r="U26"/>
      <c r="V26"/>
    </row>
    <row r="27" spans="1:22" x14ac:dyDescent="0.2">
      <c r="A27" s="267" t="s">
        <v>626</v>
      </c>
      <c r="B27" s="267" t="s">
        <v>548</v>
      </c>
      <c r="C27" s="268">
        <v>6496</v>
      </c>
      <c r="D27" s="268">
        <v>6681</v>
      </c>
      <c r="E27" s="268">
        <v>13177</v>
      </c>
      <c r="F27" s="268">
        <v>159663654.466187</v>
      </c>
      <c r="G27" s="268">
        <v>212931236.70253101</v>
      </c>
      <c r="H27" s="268">
        <v>372594891.16871804</v>
      </c>
      <c r="I27" s="267" t="s">
        <v>753</v>
      </c>
      <c r="J27" s="267" t="s">
        <v>122</v>
      </c>
      <c r="K27" s="267">
        <v>104786</v>
      </c>
      <c r="L27" s="267" t="s">
        <v>684</v>
      </c>
      <c r="M27" s="264"/>
      <c r="N27"/>
      <c r="O27"/>
      <c r="P27"/>
      <c r="Q27" s="151"/>
      <c r="R27"/>
      <c r="S27"/>
      <c r="T27"/>
      <c r="U27"/>
      <c r="V27"/>
    </row>
    <row r="28" spans="1:22" x14ac:dyDescent="0.2">
      <c r="A28" s="267" t="s">
        <v>671</v>
      </c>
      <c r="B28" s="267" t="s">
        <v>961</v>
      </c>
      <c r="C28" s="268">
        <v>15853</v>
      </c>
      <c r="D28" s="268">
        <v>14832</v>
      </c>
      <c r="E28" s="268">
        <v>30685</v>
      </c>
      <c r="F28" s="268">
        <v>414189020.045555</v>
      </c>
      <c r="G28" s="268">
        <v>471035229.73031104</v>
      </c>
      <c r="H28" s="268">
        <v>885224249.77586591</v>
      </c>
      <c r="I28" s="267" t="s">
        <v>753</v>
      </c>
      <c r="J28" s="267" t="s">
        <v>121</v>
      </c>
      <c r="K28" s="267">
        <v>104844</v>
      </c>
      <c r="L28" s="267" t="s">
        <v>796</v>
      </c>
      <c r="M28" s="264"/>
      <c r="N28"/>
      <c r="O28"/>
      <c r="P28"/>
      <c r="Q28" s="151"/>
      <c r="R28"/>
      <c r="S28"/>
      <c r="T28"/>
      <c r="U28"/>
      <c r="V28"/>
    </row>
    <row r="29" spans="1:22" x14ac:dyDescent="0.2">
      <c r="A29" s="267" t="s">
        <v>145</v>
      </c>
      <c r="B29" s="267" t="s">
        <v>448</v>
      </c>
      <c r="C29" s="268">
        <v>285</v>
      </c>
      <c r="D29" s="268">
        <v>189</v>
      </c>
      <c r="E29" s="268">
        <v>474</v>
      </c>
      <c r="F29" s="268">
        <v>5583186.5201123003</v>
      </c>
      <c r="G29" s="268">
        <v>4706206.1438947497</v>
      </c>
      <c r="H29" s="268">
        <v>10289392.664007101</v>
      </c>
      <c r="I29" s="267" t="s">
        <v>633</v>
      </c>
      <c r="J29" s="267" t="s">
        <v>121</v>
      </c>
      <c r="K29" s="267">
        <v>106492</v>
      </c>
      <c r="L29" s="267" t="s">
        <v>764</v>
      </c>
      <c r="M29" s="264"/>
      <c r="N29"/>
      <c r="O29"/>
      <c r="P29"/>
      <c r="Q29" s="151"/>
      <c r="R29"/>
      <c r="S29"/>
      <c r="T29"/>
      <c r="U29"/>
      <c r="V29"/>
    </row>
    <row r="30" spans="1:22" x14ac:dyDescent="0.2">
      <c r="A30" s="267" t="s">
        <v>102</v>
      </c>
      <c r="B30" s="267" t="s">
        <v>103</v>
      </c>
      <c r="C30" s="268">
        <v>215</v>
      </c>
      <c r="D30" s="268">
        <v>404</v>
      </c>
      <c r="E30" s="268">
        <v>619</v>
      </c>
      <c r="F30" s="268">
        <v>4502154.87902172</v>
      </c>
      <c r="G30" s="268">
        <v>11321653.774509599</v>
      </c>
      <c r="H30" s="268">
        <v>15823808.6535314</v>
      </c>
      <c r="I30" s="267" t="s">
        <v>633</v>
      </c>
      <c r="J30" s="267" t="s">
        <v>121</v>
      </c>
      <c r="K30" s="267">
        <v>107201</v>
      </c>
      <c r="L30" s="267" t="s">
        <v>992</v>
      </c>
      <c r="M30" s="264"/>
      <c r="N30"/>
      <c r="O30"/>
      <c r="P30"/>
      <c r="Q30" s="151"/>
      <c r="R30"/>
      <c r="S30"/>
      <c r="T30"/>
      <c r="U30"/>
      <c r="V30"/>
    </row>
    <row r="31" spans="1:22" x14ac:dyDescent="0.2">
      <c r="A31" s="267" t="s">
        <v>44</v>
      </c>
      <c r="B31" s="267" t="s">
        <v>47</v>
      </c>
      <c r="C31" s="268">
        <v>24210</v>
      </c>
      <c r="D31" s="268">
        <v>22904</v>
      </c>
      <c r="E31" s="268">
        <v>47114</v>
      </c>
      <c r="F31" s="268">
        <v>387829161.98281103</v>
      </c>
      <c r="G31" s="268">
        <v>445818228.93425202</v>
      </c>
      <c r="H31" s="268">
        <v>833647390.91706204</v>
      </c>
      <c r="I31" s="267" t="s">
        <v>753</v>
      </c>
      <c r="J31" s="267" t="s">
        <v>121</v>
      </c>
      <c r="K31" s="267">
        <v>108506</v>
      </c>
      <c r="L31" s="267" t="s">
        <v>703</v>
      </c>
      <c r="M31" s="264"/>
      <c r="N31"/>
      <c r="O31"/>
      <c r="P31"/>
      <c r="Q31" s="151"/>
      <c r="R31"/>
      <c r="S31"/>
      <c r="T31"/>
      <c r="U31"/>
      <c r="V31"/>
    </row>
    <row r="32" spans="1:22" x14ac:dyDescent="0.2">
      <c r="A32" s="267" t="s">
        <v>279</v>
      </c>
      <c r="B32" s="267" t="s">
        <v>11</v>
      </c>
      <c r="C32" s="268">
        <v>3451</v>
      </c>
      <c r="D32" s="268">
        <v>4171</v>
      </c>
      <c r="E32" s="268">
        <v>7622</v>
      </c>
      <c r="F32" s="268">
        <v>64095818.504167601</v>
      </c>
      <c r="G32" s="268">
        <v>101763560.96700899</v>
      </c>
      <c r="H32" s="268">
        <v>165859379.471176</v>
      </c>
      <c r="I32" s="267" t="s">
        <v>753</v>
      </c>
      <c r="J32" s="267" t="s">
        <v>121</v>
      </c>
      <c r="K32" s="267">
        <v>110098</v>
      </c>
      <c r="L32" s="267" t="s">
        <v>677</v>
      </c>
      <c r="M32" s="264"/>
      <c r="N32"/>
      <c r="O32"/>
      <c r="P32"/>
      <c r="Q32" s="151"/>
      <c r="R32"/>
      <c r="S32"/>
      <c r="T32"/>
      <c r="U32"/>
      <c r="V32"/>
    </row>
    <row r="33" spans="1:22" x14ac:dyDescent="0.2">
      <c r="A33" s="267" t="s">
        <v>626</v>
      </c>
      <c r="B33" s="267" t="s">
        <v>252</v>
      </c>
      <c r="C33" s="268">
        <v>3040</v>
      </c>
      <c r="D33" s="268">
        <v>2944</v>
      </c>
      <c r="E33" s="268">
        <v>5984</v>
      </c>
      <c r="F33" s="268">
        <v>75133018.118443102</v>
      </c>
      <c r="G33" s="268">
        <v>92022707.797943801</v>
      </c>
      <c r="H33" s="268">
        <v>167155725.91638702</v>
      </c>
      <c r="I33" s="267" t="s">
        <v>633</v>
      </c>
      <c r="J33" s="267" t="s">
        <v>122</v>
      </c>
      <c r="K33" s="267">
        <v>111518</v>
      </c>
      <c r="L33" s="267" t="s">
        <v>754</v>
      </c>
      <c r="M33" s="264"/>
      <c r="N33"/>
      <c r="O33"/>
      <c r="P33"/>
      <c r="Q33" s="151"/>
      <c r="R33"/>
      <c r="S33"/>
      <c r="T33"/>
      <c r="U33"/>
      <c r="V33"/>
    </row>
    <row r="34" spans="1:22" x14ac:dyDescent="0.2">
      <c r="A34" s="267" t="s">
        <v>546</v>
      </c>
      <c r="B34" s="267" t="s">
        <v>554</v>
      </c>
      <c r="C34" s="268">
        <v>1581</v>
      </c>
      <c r="D34" s="268">
        <v>1640</v>
      </c>
      <c r="E34" s="268">
        <v>3221</v>
      </c>
      <c r="F34" s="268">
        <v>48552672.866238199</v>
      </c>
      <c r="G34" s="268">
        <v>68647384.012069389</v>
      </c>
      <c r="H34" s="268">
        <v>117200056.878308</v>
      </c>
      <c r="I34" s="267" t="s">
        <v>753</v>
      </c>
      <c r="J34" s="267" t="s">
        <v>122</v>
      </c>
      <c r="K34" s="267">
        <v>112755</v>
      </c>
      <c r="L34" s="267" t="s">
        <v>675</v>
      </c>
      <c r="M34"/>
      <c r="N34"/>
      <c r="O34"/>
      <c r="P34"/>
      <c r="Q34" s="151"/>
      <c r="R34"/>
      <c r="S34"/>
      <c r="T34"/>
      <c r="U34"/>
      <c r="V34"/>
    </row>
    <row r="35" spans="1:22" x14ac:dyDescent="0.2">
      <c r="A35" s="267" t="s">
        <v>161</v>
      </c>
      <c r="B35" s="267" t="s">
        <v>1090</v>
      </c>
      <c r="C35" s="268">
        <v>38</v>
      </c>
      <c r="D35" s="268">
        <v>81</v>
      </c>
      <c r="E35" s="268">
        <v>119</v>
      </c>
      <c r="F35" s="268">
        <v>819230.97923436097</v>
      </c>
      <c r="G35" s="268">
        <v>2178893.7069279901</v>
      </c>
      <c r="H35" s="268">
        <v>2998124.6861623595</v>
      </c>
      <c r="I35" s="267" t="s">
        <v>633</v>
      </c>
      <c r="J35" s="267" t="s">
        <v>121</v>
      </c>
      <c r="K35" s="267">
        <v>114280</v>
      </c>
      <c r="L35" s="267" t="s">
        <v>1067</v>
      </c>
      <c r="M35"/>
      <c r="N35"/>
      <c r="O35"/>
      <c r="P35"/>
      <c r="Q35" s="151"/>
      <c r="R35"/>
      <c r="S35"/>
      <c r="T35"/>
      <c r="U35"/>
      <c r="V35"/>
    </row>
    <row r="36" spans="1:22" x14ac:dyDescent="0.2">
      <c r="A36" s="267" t="s">
        <v>239</v>
      </c>
      <c r="B36" s="267" t="s">
        <v>1018</v>
      </c>
      <c r="C36" s="268">
        <v>68</v>
      </c>
      <c r="D36" s="268">
        <v>102</v>
      </c>
      <c r="E36" s="268">
        <v>170</v>
      </c>
      <c r="F36" s="268">
        <v>1434092.3741955601</v>
      </c>
      <c r="G36" s="268">
        <v>3322952.8013769896</v>
      </c>
      <c r="H36" s="268">
        <v>4757045.1755725499</v>
      </c>
      <c r="I36" s="267" t="s">
        <v>633</v>
      </c>
      <c r="J36" s="267" t="s">
        <v>121</v>
      </c>
      <c r="K36" s="267">
        <v>116111</v>
      </c>
      <c r="L36" s="267" t="s">
        <v>522</v>
      </c>
      <c r="M36"/>
      <c r="N36"/>
      <c r="O36"/>
      <c r="P36"/>
      <c r="Q36" s="151"/>
      <c r="R36"/>
      <c r="S36"/>
      <c r="T36"/>
      <c r="U36"/>
      <c r="V36"/>
    </row>
    <row r="37" spans="1:22" x14ac:dyDescent="0.2">
      <c r="A37" s="267" t="s">
        <v>92</v>
      </c>
      <c r="B37" s="267" t="s">
        <v>799</v>
      </c>
      <c r="C37" s="268">
        <v>83</v>
      </c>
      <c r="D37" s="268">
        <v>156</v>
      </c>
      <c r="E37" s="268">
        <v>239</v>
      </c>
      <c r="F37" s="268">
        <v>1725308.18315701</v>
      </c>
      <c r="G37" s="268">
        <v>4122811.9229611196</v>
      </c>
      <c r="H37" s="268">
        <v>5848120.1061181296</v>
      </c>
      <c r="I37" s="267" t="s">
        <v>633</v>
      </c>
      <c r="J37" s="267" t="s">
        <v>121</v>
      </c>
      <c r="K37" s="267">
        <v>116293</v>
      </c>
      <c r="L37" s="267" t="s">
        <v>88</v>
      </c>
      <c r="M37"/>
      <c r="N37"/>
      <c r="O37"/>
      <c r="P37"/>
      <c r="Q37" s="151"/>
      <c r="R37"/>
      <c r="S37"/>
      <c r="T37"/>
      <c r="U37"/>
      <c r="V37"/>
    </row>
    <row r="38" spans="1:22" x14ac:dyDescent="0.2">
      <c r="A38" s="267" t="s">
        <v>370</v>
      </c>
      <c r="B38" s="267" t="s">
        <v>774</v>
      </c>
      <c r="C38" s="268">
        <v>291</v>
      </c>
      <c r="D38" s="268">
        <v>447</v>
      </c>
      <c r="E38" s="268">
        <v>738</v>
      </c>
      <c r="F38" s="268">
        <v>6759056.8774843896</v>
      </c>
      <c r="G38" s="268">
        <v>13220144.583376899</v>
      </c>
      <c r="H38" s="268">
        <v>19979201.460861303</v>
      </c>
      <c r="I38" s="267" t="s">
        <v>633</v>
      </c>
      <c r="J38" s="267" t="s">
        <v>121</v>
      </c>
      <c r="K38" s="267">
        <v>116822</v>
      </c>
      <c r="L38" s="267" t="s">
        <v>767</v>
      </c>
      <c r="M38"/>
      <c r="N38"/>
      <c r="O38"/>
      <c r="P38"/>
      <c r="Q38" s="151"/>
      <c r="R38"/>
      <c r="S38"/>
      <c r="T38"/>
      <c r="U38"/>
      <c r="V38"/>
    </row>
    <row r="39" spans="1:22" x14ac:dyDescent="0.2">
      <c r="A39" s="267" t="s">
        <v>293</v>
      </c>
      <c r="B39" s="267" t="s">
        <v>295</v>
      </c>
      <c r="C39" s="268">
        <v>12364</v>
      </c>
      <c r="D39" s="268">
        <v>5399</v>
      </c>
      <c r="E39" s="268">
        <v>17763</v>
      </c>
      <c r="F39" s="268">
        <v>479480944.39809299</v>
      </c>
      <c r="G39" s="268">
        <v>203402875.84143299</v>
      </c>
      <c r="H39" s="268">
        <v>682883820.23952603</v>
      </c>
      <c r="I39" s="267" t="s">
        <v>753</v>
      </c>
      <c r="J39" s="267" t="s">
        <v>123</v>
      </c>
      <c r="K39" s="267">
        <v>117002</v>
      </c>
      <c r="L39" s="267" t="s">
        <v>746</v>
      </c>
      <c r="M39"/>
      <c r="N39"/>
      <c r="O39"/>
      <c r="P39"/>
      <c r="Q39" s="151"/>
      <c r="R39"/>
      <c r="S39"/>
      <c r="T39"/>
      <c r="U39"/>
      <c r="V39"/>
    </row>
    <row r="40" spans="1:22" x14ac:dyDescent="0.2">
      <c r="A40" s="267" t="s">
        <v>145</v>
      </c>
      <c r="B40" s="267" t="s">
        <v>387</v>
      </c>
      <c r="C40" s="268">
        <v>680</v>
      </c>
      <c r="D40" s="268">
        <v>2046</v>
      </c>
      <c r="E40" s="268">
        <v>2726</v>
      </c>
      <c r="F40" s="268">
        <v>7325043.7806673404</v>
      </c>
      <c r="G40" s="268">
        <v>24300475.442460097</v>
      </c>
      <c r="H40" s="268">
        <v>31625519.223127402</v>
      </c>
      <c r="I40" s="267" t="s">
        <v>633</v>
      </c>
      <c r="J40" s="267" t="s">
        <v>121</v>
      </c>
      <c r="K40" s="267">
        <v>118000</v>
      </c>
      <c r="L40" s="267" t="s">
        <v>58</v>
      </c>
      <c r="M40"/>
      <c r="N40"/>
      <c r="O40"/>
      <c r="P40"/>
      <c r="Q40" s="151"/>
      <c r="R40"/>
      <c r="S40"/>
      <c r="T40"/>
      <c r="U40"/>
      <c r="V40"/>
    </row>
    <row r="41" spans="1:22" x14ac:dyDescent="0.2">
      <c r="A41" s="267" t="s">
        <v>145</v>
      </c>
      <c r="B41" s="267" t="s">
        <v>228</v>
      </c>
      <c r="C41" s="268">
        <v>286</v>
      </c>
      <c r="D41" s="268">
        <v>323</v>
      </c>
      <c r="E41" s="268">
        <v>609</v>
      </c>
      <c r="F41" s="268">
        <v>4452640.49686951</v>
      </c>
      <c r="G41" s="268">
        <v>5907950.4057403998</v>
      </c>
      <c r="H41" s="268">
        <v>10360590.902609902</v>
      </c>
      <c r="I41" s="267" t="s">
        <v>633</v>
      </c>
      <c r="J41" s="267" t="s">
        <v>121</v>
      </c>
      <c r="K41" s="267">
        <v>118067</v>
      </c>
      <c r="L41" s="267" t="s">
        <v>88</v>
      </c>
      <c r="M41"/>
      <c r="N41"/>
      <c r="O41"/>
      <c r="P41"/>
      <c r="Q41" s="151"/>
      <c r="R41"/>
      <c r="S41"/>
      <c r="T41"/>
      <c r="U41"/>
      <c r="V41"/>
    </row>
    <row r="42" spans="1:22" x14ac:dyDescent="0.2">
      <c r="A42" s="267" t="s">
        <v>367</v>
      </c>
      <c r="B42" s="267" t="s">
        <v>137</v>
      </c>
      <c r="C42" s="268">
        <v>400</v>
      </c>
      <c r="D42" s="268">
        <v>694</v>
      </c>
      <c r="E42" s="268">
        <v>1094</v>
      </c>
      <c r="F42" s="268">
        <v>6948413.3235588307</v>
      </c>
      <c r="G42" s="268">
        <v>16480069.176159399</v>
      </c>
      <c r="H42" s="268">
        <v>23428482.4997182</v>
      </c>
      <c r="I42" s="267" t="s">
        <v>633</v>
      </c>
      <c r="J42" s="267" t="s">
        <v>121</v>
      </c>
      <c r="K42" s="267">
        <v>118182</v>
      </c>
      <c r="L42" s="267" t="s">
        <v>449</v>
      </c>
      <c r="M42"/>
      <c r="N42"/>
      <c r="O42"/>
      <c r="P42"/>
      <c r="Q42" s="151"/>
      <c r="R42"/>
      <c r="S42"/>
      <c r="T42"/>
      <c r="U42"/>
      <c r="V42"/>
    </row>
    <row r="43" spans="1:22" x14ac:dyDescent="0.2">
      <c r="A43" s="267" t="s">
        <v>301</v>
      </c>
      <c r="B43" s="267" t="s">
        <v>904</v>
      </c>
      <c r="C43" s="268">
        <v>24625</v>
      </c>
      <c r="D43" s="268">
        <v>21694</v>
      </c>
      <c r="E43" s="268">
        <v>46319</v>
      </c>
      <c r="F43" s="268">
        <v>2031347962.10639</v>
      </c>
      <c r="G43" s="268">
        <v>2128811066.7900701</v>
      </c>
      <c r="H43" s="268">
        <v>4160159028.8964601</v>
      </c>
      <c r="I43" s="267" t="s">
        <v>633</v>
      </c>
      <c r="J43" s="267" t="s">
        <v>123</v>
      </c>
      <c r="K43" s="267">
        <v>119776</v>
      </c>
      <c r="L43" s="267" t="s">
        <v>397</v>
      </c>
      <c r="M43"/>
      <c r="N43"/>
      <c r="O43"/>
      <c r="P43"/>
      <c r="Q43" s="151"/>
      <c r="R43"/>
      <c r="S43"/>
      <c r="T43"/>
      <c r="U43"/>
      <c r="V43"/>
    </row>
    <row r="44" spans="1:22" x14ac:dyDescent="0.2">
      <c r="A44" s="267" t="s">
        <v>671</v>
      </c>
      <c r="B44" s="267" t="s">
        <v>87</v>
      </c>
      <c r="C44" s="268">
        <v>189</v>
      </c>
      <c r="D44" s="268">
        <v>290</v>
      </c>
      <c r="E44" s="268">
        <v>479</v>
      </c>
      <c r="F44" s="268">
        <v>3854922.4788091802</v>
      </c>
      <c r="G44" s="268">
        <v>7640423.9397026403</v>
      </c>
      <c r="H44" s="268">
        <v>11495346.418511799</v>
      </c>
      <c r="I44" s="267" t="s">
        <v>753</v>
      </c>
      <c r="J44" s="267" t="s">
        <v>121</v>
      </c>
      <c r="K44" s="267">
        <v>119891</v>
      </c>
      <c r="L44" s="267" t="s">
        <v>619</v>
      </c>
      <c r="M44"/>
      <c r="N44"/>
      <c r="O44"/>
      <c r="P44"/>
      <c r="Q44" s="151"/>
      <c r="R44"/>
      <c r="S44"/>
      <c r="T44"/>
      <c r="U44"/>
      <c r="V44"/>
    </row>
    <row r="45" spans="1:22" x14ac:dyDescent="0.2">
      <c r="A45" s="267" t="s">
        <v>145</v>
      </c>
      <c r="B45" s="267" t="s">
        <v>153</v>
      </c>
      <c r="C45" s="268">
        <v>3298</v>
      </c>
      <c r="D45" s="268">
        <v>4208</v>
      </c>
      <c r="E45" s="268">
        <v>7506</v>
      </c>
      <c r="F45" s="268">
        <v>61218793.446221098</v>
      </c>
      <c r="G45" s="268">
        <v>96011009.137857899</v>
      </c>
      <c r="H45" s="268">
        <v>157229802.58407903</v>
      </c>
      <c r="I45" s="267" t="s">
        <v>633</v>
      </c>
      <c r="J45" s="267" t="s">
        <v>121</v>
      </c>
      <c r="K45" s="267">
        <v>120014</v>
      </c>
      <c r="L45" s="267" t="s">
        <v>795</v>
      </c>
      <c r="M45"/>
      <c r="N45"/>
      <c r="O45"/>
      <c r="P45"/>
      <c r="Q45" s="151"/>
      <c r="R45"/>
      <c r="S45"/>
      <c r="T45"/>
      <c r="U45"/>
      <c r="V45"/>
    </row>
    <row r="46" spans="1:22" x14ac:dyDescent="0.2">
      <c r="A46" s="267" t="s">
        <v>239</v>
      </c>
      <c r="B46" s="267" t="s">
        <v>1130</v>
      </c>
      <c r="C46" s="268">
        <v>560</v>
      </c>
      <c r="D46" s="268">
        <v>908</v>
      </c>
      <c r="E46" s="268">
        <v>1468</v>
      </c>
      <c r="F46" s="268">
        <v>15249399.908086</v>
      </c>
      <c r="G46" s="268">
        <v>33938844.0056905</v>
      </c>
      <c r="H46" s="268">
        <v>49188243.913776398</v>
      </c>
      <c r="I46" s="267" t="s">
        <v>633</v>
      </c>
      <c r="J46" s="267" t="s">
        <v>121</v>
      </c>
      <c r="K46" s="267">
        <v>121608</v>
      </c>
      <c r="L46" s="267" t="s">
        <v>466</v>
      </c>
      <c r="M46"/>
      <c r="N46"/>
      <c r="O46"/>
      <c r="P46"/>
      <c r="Q46" s="151"/>
      <c r="R46"/>
      <c r="S46"/>
      <c r="T46"/>
      <c r="U46"/>
      <c r="V46"/>
    </row>
    <row r="47" spans="1:22" x14ac:dyDescent="0.2">
      <c r="A47" s="267" t="s">
        <v>293</v>
      </c>
      <c r="B47" s="267" t="s">
        <v>124</v>
      </c>
      <c r="C47" s="268">
        <v>2189</v>
      </c>
      <c r="D47" s="268">
        <v>1100</v>
      </c>
      <c r="E47" s="268">
        <v>3289</v>
      </c>
      <c r="F47" s="268">
        <v>120441682.099622</v>
      </c>
      <c r="G47" s="268">
        <v>58929941.735801101</v>
      </c>
      <c r="H47" s="268">
        <v>179371623.83542302</v>
      </c>
      <c r="I47" s="267" t="s">
        <v>753</v>
      </c>
      <c r="J47" s="267" t="s">
        <v>123</v>
      </c>
      <c r="K47" s="267">
        <v>121780</v>
      </c>
      <c r="L47" s="267" t="s">
        <v>174</v>
      </c>
      <c r="M47"/>
      <c r="N47"/>
      <c r="O47"/>
      <c r="P47"/>
      <c r="Q47" s="151"/>
      <c r="R47"/>
      <c r="S47"/>
      <c r="T47"/>
      <c r="U47"/>
      <c r="V47"/>
    </row>
    <row r="48" spans="1:22" x14ac:dyDescent="0.2">
      <c r="A48" s="267" t="s">
        <v>44</v>
      </c>
      <c r="B48" s="267" t="s">
        <v>49</v>
      </c>
      <c r="C48" s="268">
        <v>8011</v>
      </c>
      <c r="D48" s="268">
        <v>7372</v>
      </c>
      <c r="E48" s="268">
        <v>15383</v>
      </c>
      <c r="F48" s="268">
        <v>127587035.812822</v>
      </c>
      <c r="G48" s="268">
        <v>142943793.29374301</v>
      </c>
      <c r="H48" s="268">
        <v>270530829.106565</v>
      </c>
      <c r="I48" s="267" t="s">
        <v>753</v>
      </c>
      <c r="J48" s="267" t="s">
        <v>121</v>
      </c>
      <c r="K48" s="267">
        <v>122432</v>
      </c>
      <c r="L48" s="267" t="s">
        <v>790</v>
      </c>
      <c r="M48"/>
      <c r="N48"/>
      <c r="O48"/>
      <c r="P48"/>
      <c r="Q48" s="151"/>
      <c r="R48"/>
      <c r="S48"/>
      <c r="T48"/>
      <c r="U48"/>
      <c r="V48"/>
    </row>
    <row r="49" spans="1:22" x14ac:dyDescent="0.2">
      <c r="A49" s="267" t="s">
        <v>145</v>
      </c>
      <c r="B49" s="267" t="s">
        <v>401</v>
      </c>
      <c r="C49" s="268">
        <v>861</v>
      </c>
      <c r="D49" s="268">
        <v>396</v>
      </c>
      <c r="E49" s="268">
        <v>1257</v>
      </c>
      <c r="F49" s="268">
        <v>62506506.092437103</v>
      </c>
      <c r="G49" s="268">
        <v>31464230.936199602</v>
      </c>
      <c r="H49" s="268">
        <v>93970737.028636694</v>
      </c>
      <c r="I49" s="267" t="s">
        <v>633</v>
      </c>
      <c r="J49" s="267" t="s">
        <v>121</v>
      </c>
      <c r="K49" s="267">
        <v>123430</v>
      </c>
      <c r="L49" s="267" t="s">
        <v>397</v>
      </c>
      <c r="M49"/>
      <c r="N49"/>
      <c r="O49"/>
      <c r="P49"/>
      <c r="Q49" s="151"/>
      <c r="R49"/>
      <c r="S49"/>
      <c r="T49"/>
      <c r="U49"/>
      <c r="V49"/>
    </row>
    <row r="50" spans="1:22" x14ac:dyDescent="0.2">
      <c r="A50" s="267" t="s">
        <v>367</v>
      </c>
      <c r="B50" s="267" t="s">
        <v>993</v>
      </c>
      <c r="C50" s="268">
        <v>663</v>
      </c>
      <c r="D50" s="268">
        <v>1152</v>
      </c>
      <c r="E50" s="268">
        <v>1815</v>
      </c>
      <c r="F50" s="268">
        <v>13005407.9886212</v>
      </c>
      <c r="G50" s="268">
        <v>30147563.2774693</v>
      </c>
      <c r="H50" s="268">
        <v>43152971.266090505</v>
      </c>
      <c r="I50" s="267" t="s">
        <v>633</v>
      </c>
      <c r="J50" s="267" t="s">
        <v>121</v>
      </c>
      <c r="K50" s="267">
        <v>123497</v>
      </c>
      <c r="L50" s="267" t="s">
        <v>880</v>
      </c>
      <c r="M50"/>
      <c r="N50"/>
      <c r="O50"/>
      <c r="P50"/>
      <c r="Q50" s="151"/>
      <c r="R50"/>
      <c r="S50"/>
      <c r="T50"/>
      <c r="U50"/>
      <c r="V50"/>
    </row>
    <row r="51" spans="1:22" x14ac:dyDescent="0.2">
      <c r="A51" s="267" t="s">
        <v>226</v>
      </c>
      <c r="B51" s="267" t="s">
        <v>555</v>
      </c>
      <c r="C51" s="268">
        <v>32</v>
      </c>
      <c r="D51" s="268">
        <v>65</v>
      </c>
      <c r="E51" s="268">
        <v>97</v>
      </c>
      <c r="F51" s="268">
        <v>708749.94032553816</v>
      </c>
      <c r="G51" s="268">
        <v>1239282.2016101601</v>
      </c>
      <c r="H51" s="268">
        <v>1948032.1419357001</v>
      </c>
      <c r="I51" s="267" t="s">
        <v>633</v>
      </c>
      <c r="J51" s="267" t="s">
        <v>121</v>
      </c>
      <c r="K51" s="267">
        <v>123612</v>
      </c>
      <c r="L51" s="267" t="s">
        <v>760</v>
      </c>
      <c r="M51"/>
      <c r="N51"/>
      <c r="O51"/>
      <c r="P51"/>
      <c r="Q51" s="151"/>
      <c r="R51"/>
      <c r="S51"/>
      <c r="T51"/>
      <c r="U51"/>
      <c r="V51"/>
    </row>
    <row r="52" spans="1:22" x14ac:dyDescent="0.2">
      <c r="A52" s="267" t="s">
        <v>145</v>
      </c>
      <c r="B52" s="267" t="s">
        <v>780</v>
      </c>
      <c r="C52" s="268">
        <v>14321</v>
      </c>
      <c r="D52" s="268">
        <v>13584</v>
      </c>
      <c r="E52" s="268">
        <v>27905</v>
      </c>
      <c r="F52" s="268">
        <v>265018573.49763101</v>
      </c>
      <c r="G52" s="268">
        <v>294900509.201487</v>
      </c>
      <c r="H52" s="268">
        <v>559919082.6991179</v>
      </c>
      <c r="I52" s="267" t="s">
        <v>753</v>
      </c>
      <c r="J52" s="267" t="s">
        <v>121</v>
      </c>
      <c r="K52" s="267">
        <v>123679</v>
      </c>
      <c r="L52" s="267" t="s">
        <v>677</v>
      </c>
      <c r="M52"/>
      <c r="N52"/>
      <c r="O52"/>
      <c r="P52"/>
      <c r="Q52" s="151"/>
      <c r="R52"/>
      <c r="S52"/>
      <c r="T52"/>
      <c r="U52"/>
      <c r="V52"/>
    </row>
    <row r="53" spans="1:22" x14ac:dyDescent="0.2">
      <c r="A53" s="267" t="s">
        <v>86</v>
      </c>
      <c r="B53" s="267" t="s">
        <v>324</v>
      </c>
      <c r="C53" s="268">
        <v>890</v>
      </c>
      <c r="D53" s="268">
        <v>1518</v>
      </c>
      <c r="E53" s="268">
        <v>2408</v>
      </c>
      <c r="F53" s="268">
        <v>11522082.314915499</v>
      </c>
      <c r="G53" s="268">
        <v>24901937.310851499</v>
      </c>
      <c r="H53" s="268">
        <v>36424019.625767</v>
      </c>
      <c r="I53" s="267" t="s">
        <v>633</v>
      </c>
      <c r="J53" s="267" t="s">
        <v>121</v>
      </c>
      <c r="K53" s="267">
        <v>125856</v>
      </c>
      <c r="L53" s="267" t="s">
        <v>812</v>
      </c>
      <c r="M53"/>
      <c r="N53"/>
      <c r="O53"/>
      <c r="P53"/>
      <c r="Q53" s="151"/>
      <c r="R53"/>
      <c r="S53"/>
      <c r="T53"/>
      <c r="U53"/>
      <c r="V53"/>
    </row>
    <row r="54" spans="1:22" x14ac:dyDescent="0.2">
      <c r="A54" s="267" t="s">
        <v>261</v>
      </c>
      <c r="B54" s="267" t="s">
        <v>269</v>
      </c>
      <c r="C54" s="268">
        <v>2083</v>
      </c>
      <c r="D54" s="268">
        <v>2632</v>
      </c>
      <c r="E54" s="268">
        <v>4715</v>
      </c>
      <c r="F54" s="268">
        <v>31095107.584568299</v>
      </c>
      <c r="G54" s="268">
        <v>49970641.580279097</v>
      </c>
      <c r="H54" s="268">
        <v>81065749.164847299</v>
      </c>
      <c r="I54" s="267" t="s">
        <v>753</v>
      </c>
      <c r="J54" s="267" t="s">
        <v>121</v>
      </c>
      <c r="K54" s="267">
        <v>126094</v>
      </c>
      <c r="L54" s="267" t="s">
        <v>699</v>
      </c>
      <c r="M54"/>
      <c r="N54"/>
      <c r="O54"/>
      <c r="P54"/>
      <c r="Q54" s="151"/>
      <c r="R54"/>
      <c r="S54"/>
      <c r="T54"/>
      <c r="U54"/>
      <c r="V54"/>
    </row>
    <row r="55" spans="1:22" x14ac:dyDescent="0.2">
      <c r="A55" s="267" t="s">
        <v>301</v>
      </c>
      <c r="B55" s="267" t="s">
        <v>317</v>
      </c>
      <c r="C55" s="268">
        <v>24</v>
      </c>
      <c r="D55" s="268">
        <v>27</v>
      </c>
      <c r="E55" s="268">
        <v>51</v>
      </c>
      <c r="F55" s="268">
        <v>362872.06415885198</v>
      </c>
      <c r="G55" s="268">
        <v>794057.32206528401</v>
      </c>
      <c r="H55" s="268">
        <v>1156929.3862241399</v>
      </c>
      <c r="I55" s="267" t="s">
        <v>633</v>
      </c>
      <c r="J55" s="267" t="s">
        <v>123</v>
      </c>
      <c r="K55" s="267">
        <v>131342</v>
      </c>
      <c r="L55" s="267" t="s">
        <v>303</v>
      </c>
      <c r="M55"/>
      <c r="N55"/>
      <c r="O55"/>
      <c r="P55"/>
      <c r="Q55" s="151"/>
      <c r="R55"/>
      <c r="S55"/>
      <c r="T55"/>
      <c r="U55"/>
      <c r="V55"/>
    </row>
    <row r="56" spans="1:22" x14ac:dyDescent="0.2">
      <c r="A56" s="267" t="s">
        <v>611</v>
      </c>
      <c r="B56" s="267" t="s">
        <v>787</v>
      </c>
      <c r="C56" s="268">
        <v>3793</v>
      </c>
      <c r="D56" s="268">
        <v>3568</v>
      </c>
      <c r="E56" s="268">
        <v>7361</v>
      </c>
      <c r="F56" s="268">
        <v>125667525.28737301</v>
      </c>
      <c r="G56" s="268">
        <v>143498445.306263</v>
      </c>
      <c r="H56" s="268">
        <v>269165970.59363604</v>
      </c>
      <c r="I56" s="267" t="s">
        <v>633</v>
      </c>
      <c r="J56" s="267" t="s">
        <v>122</v>
      </c>
      <c r="K56" s="267">
        <v>131409</v>
      </c>
      <c r="L56" s="267" t="s">
        <v>505</v>
      </c>
      <c r="M56"/>
      <c r="N56"/>
      <c r="O56"/>
      <c r="P56"/>
      <c r="Q56" s="151"/>
      <c r="R56"/>
      <c r="S56"/>
      <c r="T56"/>
      <c r="U56"/>
      <c r="V56"/>
    </row>
    <row r="57" spans="1:22" x14ac:dyDescent="0.2">
      <c r="A57" s="267" t="s">
        <v>626</v>
      </c>
      <c r="B57" s="267" t="s">
        <v>784</v>
      </c>
      <c r="C57" s="268">
        <v>729</v>
      </c>
      <c r="D57" s="268">
        <v>689</v>
      </c>
      <c r="E57" s="268">
        <v>1418</v>
      </c>
      <c r="F57" s="268">
        <v>10439587.239384402</v>
      </c>
      <c r="G57" s="268">
        <v>11703338.586763799</v>
      </c>
      <c r="H57" s="268">
        <v>22142925.826148201</v>
      </c>
      <c r="I57" s="267" t="s">
        <v>633</v>
      </c>
      <c r="J57" s="267" t="s">
        <v>122</v>
      </c>
      <c r="K57" s="267">
        <v>132175</v>
      </c>
      <c r="L57" s="267" t="s">
        <v>782</v>
      </c>
      <c r="M57"/>
      <c r="N57"/>
      <c r="O57"/>
      <c r="P57"/>
      <c r="Q57" s="151"/>
      <c r="R57"/>
      <c r="S57"/>
      <c r="T57"/>
      <c r="U57"/>
      <c r="V57"/>
    </row>
    <row r="58" spans="1:22" x14ac:dyDescent="0.2">
      <c r="A58" s="267" t="s">
        <v>293</v>
      </c>
      <c r="B58" s="267" t="s">
        <v>1036</v>
      </c>
      <c r="C58" s="268">
        <v>2</v>
      </c>
      <c r="D58" s="268">
        <v>7</v>
      </c>
      <c r="E58" s="268">
        <v>9</v>
      </c>
      <c r="F58" s="268">
        <v>125089.39678333999</v>
      </c>
      <c r="G58" s="268">
        <v>325816.593918</v>
      </c>
      <c r="H58" s="268">
        <v>450905.99070134002</v>
      </c>
      <c r="I58" s="267" t="s">
        <v>633</v>
      </c>
      <c r="J58" s="267" t="s">
        <v>123</v>
      </c>
      <c r="K58" s="267">
        <v>133116</v>
      </c>
      <c r="L58" s="267" t="s">
        <v>397</v>
      </c>
      <c r="M58"/>
      <c r="N58"/>
      <c r="O58"/>
      <c r="P58"/>
      <c r="Q58" s="151"/>
      <c r="R58"/>
      <c r="S58"/>
      <c r="T58"/>
      <c r="U58"/>
      <c r="V58"/>
    </row>
    <row r="59" spans="1:22" x14ac:dyDescent="0.2">
      <c r="A59" s="267" t="s">
        <v>239</v>
      </c>
      <c r="B59" s="267" t="s">
        <v>793</v>
      </c>
      <c r="C59" s="268">
        <v>191</v>
      </c>
      <c r="D59" s="268">
        <v>210</v>
      </c>
      <c r="E59" s="268">
        <v>401</v>
      </c>
      <c r="F59" s="268">
        <v>3001997.5859740502</v>
      </c>
      <c r="G59" s="268">
        <v>4120106.1269593001</v>
      </c>
      <c r="H59" s="268">
        <v>7122103.7129333606</v>
      </c>
      <c r="I59" s="267" t="s">
        <v>633</v>
      </c>
      <c r="J59" s="267" t="s">
        <v>121</v>
      </c>
      <c r="K59" s="267">
        <v>133298</v>
      </c>
      <c r="L59" s="267" t="s">
        <v>100</v>
      </c>
      <c r="M59"/>
      <c r="N59"/>
      <c r="O59"/>
      <c r="P59"/>
      <c r="Q59" s="151"/>
      <c r="R59"/>
      <c r="S59"/>
      <c r="T59"/>
      <c r="U59"/>
      <c r="V59"/>
    </row>
    <row r="60" spans="1:22" x14ac:dyDescent="0.2">
      <c r="A60" s="267" t="s">
        <v>491</v>
      </c>
      <c r="B60" s="267" t="s">
        <v>493</v>
      </c>
      <c r="C60" s="268">
        <v>192</v>
      </c>
      <c r="D60" s="268">
        <v>194</v>
      </c>
      <c r="E60" s="268">
        <v>386</v>
      </c>
      <c r="F60" s="268">
        <v>5778997.1169968797</v>
      </c>
      <c r="G60" s="268">
        <v>7979541.0928990403</v>
      </c>
      <c r="H60" s="268">
        <v>13758538.2098959</v>
      </c>
      <c r="I60" s="267" t="s">
        <v>753</v>
      </c>
      <c r="J60" s="267" t="s">
        <v>122</v>
      </c>
      <c r="K60" s="267">
        <v>134593</v>
      </c>
      <c r="L60" s="267" t="s">
        <v>704</v>
      </c>
      <c r="M60"/>
      <c r="N60"/>
      <c r="O60"/>
      <c r="P60"/>
      <c r="Q60" s="151"/>
      <c r="R60"/>
      <c r="S60"/>
      <c r="T60"/>
      <c r="U60"/>
      <c r="V60"/>
    </row>
    <row r="61" spans="1:22" x14ac:dyDescent="0.2">
      <c r="A61" s="267" t="s">
        <v>239</v>
      </c>
      <c r="B61" s="267" t="s">
        <v>240</v>
      </c>
      <c r="C61" s="268">
        <v>3663</v>
      </c>
      <c r="D61" s="268">
        <v>5663</v>
      </c>
      <c r="E61" s="268">
        <v>9326</v>
      </c>
      <c r="F61" s="268">
        <v>61200145.639614895</v>
      </c>
      <c r="G61" s="268">
        <v>120706898.320352</v>
      </c>
      <c r="H61" s="268">
        <v>181907043.95996702</v>
      </c>
      <c r="I61" s="267" t="s">
        <v>633</v>
      </c>
      <c r="J61" s="267" t="s">
        <v>121</v>
      </c>
      <c r="K61" s="267">
        <v>135129</v>
      </c>
      <c r="L61" s="267" t="s">
        <v>449</v>
      </c>
      <c r="M61"/>
      <c r="N61"/>
      <c r="O61"/>
      <c r="P61"/>
      <c r="Q61" s="151"/>
      <c r="R61"/>
      <c r="S61"/>
      <c r="T61"/>
      <c r="U61"/>
      <c r="V61"/>
    </row>
    <row r="62" spans="1:22" x14ac:dyDescent="0.2">
      <c r="A62" s="267" t="s">
        <v>279</v>
      </c>
      <c r="B62" s="267" t="s">
        <v>24</v>
      </c>
      <c r="C62" s="268">
        <v>350</v>
      </c>
      <c r="D62" s="268">
        <v>427</v>
      </c>
      <c r="E62" s="268">
        <v>777</v>
      </c>
      <c r="F62" s="268">
        <v>5491712.8840174396</v>
      </c>
      <c r="G62" s="268">
        <v>9030125.9333473593</v>
      </c>
      <c r="H62" s="268">
        <v>14521838.817364801</v>
      </c>
      <c r="I62" s="267" t="s">
        <v>633</v>
      </c>
      <c r="J62" s="267" t="s">
        <v>121</v>
      </c>
      <c r="K62" s="267">
        <v>136895</v>
      </c>
      <c r="L62" s="267" t="s">
        <v>358</v>
      </c>
      <c r="M62"/>
      <c r="N62"/>
      <c r="O62"/>
      <c r="P62"/>
      <c r="Q62" s="151"/>
      <c r="R62"/>
      <c r="S62"/>
      <c r="T62"/>
      <c r="U62"/>
      <c r="V62"/>
    </row>
    <row r="63" spans="1:22" x14ac:dyDescent="0.2">
      <c r="A63" s="267" t="s">
        <v>626</v>
      </c>
      <c r="B63" s="267" t="s">
        <v>830</v>
      </c>
      <c r="C63" s="268">
        <v>17</v>
      </c>
      <c r="D63" s="268">
        <v>31</v>
      </c>
      <c r="E63" s="268">
        <v>48</v>
      </c>
      <c r="F63" s="268">
        <v>376536.05786876002</v>
      </c>
      <c r="G63" s="268">
        <v>837200.50436377001</v>
      </c>
      <c r="H63" s="268">
        <v>1213736.56223253</v>
      </c>
      <c r="I63" s="267" t="s">
        <v>633</v>
      </c>
      <c r="J63" s="267" t="s">
        <v>122</v>
      </c>
      <c r="K63" s="267">
        <v>140434</v>
      </c>
      <c r="L63" s="267" t="s">
        <v>126</v>
      </c>
      <c r="M63"/>
      <c r="N63"/>
      <c r="O63"/>
      <c r="P63"/>
      <c r="Q63" s="151"/>
      <c r="R63"/>
      <c r="S63"/>
      <c r="T63"/>
      <c r="U63"/>
      <c r="V63"/>
    </row>
    <row r="64" spans="1:22" x14ac:dyDescent="0.2">
      <c r="A64" s="267" t="s">
        <v>748</v>
      </c>
      <c r="B64" s="267" t="s">
        <v>689</v>
      </c>
      <c r="C64" s="268">
        <v>7702</v>
      </c>
      <c r="D64" s="268">
        <v>9944</v>
      </c>
      <c r="E64" s="268">
        <v>17646</v>
      </c>
      <c r="F64" s="268">
        <v>228285600.50012901</v>
      </c>
      <c r="G64" s="268">
        <v>355274119.47193301</v>
      </c>
      <c r="H64" s="268">
        <v>583559719.97206199</v>
      </c>
      <c r="I64" s="267" t="s">
        <v>753</v>
      </c>
      <c r="J64" s="267" t="s">
        <v>121</v>
      </c>
      <c r="K64" s="267">
        <v>140491</v>
      </c>
      <c r="L64" s="267" t="s">
        <v>682</v>
      </c>
      <c r="M64"/>
      <c r="N64"/>
      <c r="O64"/>
      <c r="P64"/>
      <c r="Q64" s="151"/>
      <c r="R64"/>
      <c r="S64"/>
      <c r="T64"/>
      <c r="U64"/>
      <c r="V64"/>
    </row>
    <row r="65" spans="1:22" x14ac:dyDescent="0.2">
      <c r="A65" s="267" t="s">
        <v>44</v>
      </c>
      <c r="B65" s="267" t="s">
        <v>958</v>
      </c>
      <c r="C65" s="268">
        <v>33002</v>
      </c>
      <c r="D65" s="268">
        <v>31738</v>
      </c>
      <c r="E65" s="268">
        <v>64740</v>
      </c>
      <c r="F65" s="268">
        <v>494730624.47852898</v>
      </c>
      <c r="G65" s="268">
        <v>584285459.98583198</v>
      </c>
      <c r="H65" s="268">
        <v>1079016084.46436</v>
      </c>
      <c r="I65" s="267" t="s">
        <v>753</v>
      </c>
      <c r="J65" s="267" t="s">
        <v>121</v>
      </c>
      <c r="K65" s="267">
        <v>140673</v>
      </c>
      <c r="L65" s="267" t="s">
        <v>796</v>
      </c>
      <c r="M65"/>
      <c r="N65"/>
      <c r="O65"/>
      <c r="P65"/>
      <c r="Q65" s="151"/>
      <c r="R65"/>
      <c r="S65"/>
      <c r="T65"/>
      <c r="U65"/>
      <c r="V65"/>
    </row>
    <row r="66" spans="1:22" x14ac:dyDescent="0.2">
      <c r="A66" s="267" t="s">
        <v>44</v>
      </c>
      <c r="B66" s="267" t="s">
        <v>805</v>
      </c>
      <c r="C66" s="268">
        <v>579</v>
      </c>
      <c r="D66" s="268">
        <v>683</v>
      </c>
      <c r="E66" s="268">
        <v>1262</v>
      </c>
      <c r="F66" s="268">
        <v>13095571.3085027</v>
      </c>
      <c r="G66" s="268">
        <v>18585010.926601801</v>
      </c>
      <c r="H66" s="268">
        <v>31680582.235104498</v>
      </c>
      <c r="I66" s="267" t="s">
        <v>753</v>
      </c>
      <c r="J66" s="267" t="s">
        <v>121</v>
      </c>
      <c r="K66" s="267">
        <v>144923</v>
      </c>
      <c r="L66" s="267" t="s">
        <v>433</v>
      </c>
      <c r="M66"/>
      <c r="N66"/>
      <c r="O66"/>
      <c r="P66"/>
      <c r="Q66" s="151"/>
      <c r="R66"/>
      <c r="S66"/>
      <c r="T66"/>
      <c r="U66"/>
      <c r="V66"/>
    </row>
    <row r="67" spans="1:22" x14ac:dyDescent="0.2">
      <c r="A67" s="267" t="s">
        <v>239</v>
      </c>
      <c r="B67" s="267" t="s">
        <v>248</v>
      </c>
      <c r="C67" s="268">
        <v>1804</v>
      </c>
      <c r="D67" s="268">
        <v>2612</v>
      </c>
      <c r="E67" s="268">
        <v>4416</v>
      </c>
      <c r="F67" s="268">
        <v>44696284.563961603</v>
      </c>
      <c r="G67" s="268">
        <v>80554089.740965694</v>
      </c>
      <c r="H67" s="268">
        <v>125250374.30492701</v>
      </c>
      <c r="I67" s="267" t="s">
        <v>633</v>
      </c>
      <c r="J67" s="267" t="s">
        <v>121</v>
      </c>
      <c r="K67" s="267">
        <v>147348</v>
      </c>
      <c r="L67" s="267" t="s">
        <v>754</v>
      </c>
      <c r="M67"/>
      <c r="N67"/>
      <c r="O67"/>
      <c r="P67"/>
      <c r="Q67" s="151"/>
      <c r="R67"/>
      <c r="S67"/>
      <c r="T67"/>
      <c r="U67"/>
      <c r="V67"/>
    </row>
    <row r="68" spans="1:22" x14ac:dyDescent="0.2">
      <c r="A68" s="267" t="s">
        <v>44</v>
      </c>
      <c r="B68" s="267" t="s">
        <v>48</v>
      </c>
      <c r="C68" s="268">
        <v>899</v>
      </c>
      <c r="D68" s="268">
        <v>863</v>
      </c>
      <c r="E68" s="268">
        <v>1762</v>
      </c>
      <c r="F68" s="268">
        <v>13483817.927604301</v>
      </c>
      <c r="G68" s="268">
        <v>15769431.517971398</v>
      </c>
      <c r="H68" s="268">
        <v>29253249.445575599</v>
      </c>
      <c r="I68" s="267" t="s">
        <v>753</v>
      </c>
      <c r="J68" s="267" t="s">
        <v>121</v>
      </c>
      <c r="K68" s="267">
        <v>148585</v>
      </c>
      <c r="L68" s="267" t="s">
        <v>675</v>
      </c>
      <c r="M68"/>
      <c r="N68"/>
      <c r="O68"/>
      <c r="P68"/>
      <c r="Q68" s="151"/>
      <c r="R68"/>
      <c r="S68"/>
      <c r="T68"/>
      <c r="U68"/>
      <c r="V68"/>
    </row>
    <row r="69" spans="1:22" x14ac:dyDescent="0.2">
      <c r="A69" s="267" t="s">
        <v>131</v>
      </c>
      <c r="B69" s="267" t="s">
        <v>1089</v>
      </c>
      <c r="C69" s="268">
        <v>4</v>
      </c>
      <c r="D69" s="268">
        <v>7</v>
      </c>
      <c r="E69" s="268">
        <v>11</v>
      </c>
      <c r="F69" s="268">
        <v>72601.116773248301</v>
      </c>
      <c r="G69" s="268">
        <v>139723.90265378298</v>
      </c>
      <c r="H69" s="268">
        <v>212325.01942703201</v>
      </c>
      <c r="I69" s="267" t="s">
        <v>633</v>
      </c>
      <c r="J69" s="267" t="s">
        <v>121</v>
      </c>
      <c r="K69" s="267">
        <v>150110</v>
      </c>
      <c r="L69" s="267" t="s">
        <v>1067</v>
      </c>
      <c r="M69"/>
      <c r="N69"/>
      <c r="O69"/>
      <c r="P69"/>
      <c r="Q69" s="151"/>
      <c r="R69"/>
      <c r="S69"/>
      <c r="T69"/>
      <c r="U69"/>
      <c r="V69"/>
    </row>
    <row r="70" spans="1:22" x14ac:dyDescent="0.2">
      <c r="A70" s="267" t="s">
        <v>86</v>
      </c>
      <c r="B70" s="267" t="s">
        <v>89</v>
      </c>
      <c r="C70" s="268">
        <v>68</v>
      </c>
      <c r="D70" s="268">
        <v>94</v>
      </c>
      <c r="E70" s="268">
        <v>162</v>
      </c>
      <c r="F70" s="268">
        <v>1001080.60734067</v>
      </c>
      <c r="G70" s="268">
        <v>1617894.63311018</v>
      </c>
      <c r="H70" s="268">
        <v>2618975.2404508498</v>
      </c>
      <c r="I70" s="267" t="s">
        <v>633</v>
      </c>
      <c r="J70" s="267" t="s">
        <v>121</v>
      </c>
      <c r="K70" s="267">
        <v>151001</v>
      </c>
      <c r="L70" s="267" t="s">
        <v>758</v>
      </c>
      <c r="M70"/>
      <c r="N70"/>
      <c r="O70"/>
      <c r="P70"/>
      <c r="Q70" s="151"/>
      <c r="R70"/>
      <c r="S70"/>
      <c r="T70"/>
      <c r="U70"/>
      <c r="V70"/>
    </row>
    <row r="71" spans="1:22" x14ac:dyDescent="0.2">
      <c r="A71" s="267" t="s">
        <v>671</v>
      </c>
      <c r="B71" s="267" t="s">
        <v>620</v>
      </c>
      <c r="C71" s="268">
        <v>1858</v>
      </c>
      <c r="D71" s="268">
        <v>2709</v>
      </c>
      <c r="E71" s="268">
        <v>4567</v>
      </c>
      <c r="F71" s="268">
        <v>63955769.380125299</v>
      </c>
      <c r="G71" s="268">
        <v>105523426.421444</v>
      </c>
      <c r="H71" s="268">
        <v>169479195.80157003</v>
      </c>
      <c r="I71" s="267" t="s">
        <v>753</v>
      </c>
      <c r="J71" s="267" t="s">
        <v>121</v>
      </c>
      <c r="K71" s="267">
        <v>152181</v>
      </c>
      <c r="L71" s="267" t="s">
        <v>619</v>
      </c>
      <c r="M71"/>
      <c r="N71"/>
      <c r="O71"/>
      <c r="P71"/>
      <c r="Q71" s="151"/>
      <c r="R71"/>
      <c r="S71"/>
      <c r="T71"/>
      <c r="U71"/>
      <c r="V71"/>
    </row>
    <row r="72" spans="1:22" x14ac:dyDescent="0.2">
      <c r="A72" s="267" t="s">
        <v>92</v>
      </c>
      <c r="B72" s="267" t="s">
        <v>165</v>
      </c>
      <c r="C72" s="268">
        <v>103</v>
      </c>
      <c r="D72" s="268">
        <v>163</v>
      </c>
      <c r="E72" s="268">
        <v>266</v>
      </c>
      <c r="F72" s="268">
        <v>2682993.8518103398</v>
      </c>
      <c r="G72" s="268">
        <v>5131199.6430458501</v>
      </c>
      <c r="H72" s="268">
        <v>7814193.4948561797</v>
      </c>
      <c r="I72" s="267" t="s">
        <v>633</v>
      </c>
      <c r="J72" s="267" t="s">
        <v>121</v>
      </c>
      <c r="K72" s="267">
        <v>152652</v>
      </c>
      <c r="L72" s="267" t="s">
        <v>767</v>
      </c>
      <c r="M72"/>
      <c r="N72"/>
      <c r="O72"/>
      <c r="P72"/>
      <c r="Q72" s="151"/>
      <c r="R72"/>
      <c r="S72"/>
      <c r="T72"/>
      <c r="U72"/>
      <c r="V72"/>
    </row>
    <row r="73" spans="1:22" x14ac:dyDescent="0.2">
      <c r="A73" s="267" t="s">
        <v>730</v>
      </c>
      <c r="B73" s="267" t="s">
        <v>747</v>
      </c>
      <c r="C73" s="268">
        <v>12089</v>
      </c>
      <c r="D73" s="268">
        <v>4701</v>
      </c>
      <c r="E73" s="268">
        <v>16790</v>
      </c>
      <c r="F73" s="268">
        <v>480904365.61333203</v>
      </c>
      <c r="G73" s="268">
        <v>209629049.74773201</v>
      </c>
      <c r="H73" s="268">
        <v>690533415.36106396</v>
      </c>
      <c r="I73" s="267" t="s">
        <v>753</v>
      </c>
      <c r="J73" s="267" t="s">
        <v>121</v>
      </c>
      <c r="K73" s="267">
        <v>152835</v>
      </c>
      <c r="L73" s="267" t="s">
        <v>746</v>
      </c>
      <c r="M73"/>
      <c r="N73"/>
      <c r="O73"/>
      <c r="P73"/>
      <c r="Q73" s="151"/>
      <c r="R73"/>
      <c r="S73"/>
      <c r="T73"/>
      <c r="U73"/>
      <c r="V73"/>
    </row>
    <row r="74" spans="1:22" x14ac:dyDescent="0.2">
      <c r="A74" s="267" t="s">
        <v>161</v>
      </c>
      <c r="B74" s="267" t="s">
        <v>392</v>
      </c>
      <c r="C74" s="268">
        <v>720</v>
      </c>
      <c r="D74" s="268">
        <v>1628</v>
      </c>
      <c r="E74" s="268">
        <v>2348</v>
      </c>
      <c r="F74" s="268">
        <v>12751526.258031899</v>
      </c>
      <c r="G74" s="268">
        <v>26846773.767745502</v>
      </c>
      <c r="H74" s="268">
        <v>39598300.0257774</v>
      </c>
      <c r="I74" s="267" t="s">
        <v>633</v>
      </c>
      <c r="J74" s="267" t="s">
        <v>121</v>
      </c>
      <c r="K74" s="267">
        <v>153833</v>
      </c>
      <c r="L74" s="267" t="s">
        <v>58</v>
      </c>
      <c r="M74"/>
      <c r="N74"/>
      <c r="O74"/>
      <c r="P74"/>
      <c r="Q74" s="151"/>
      <c r="R74"/>
      <c r="S74"/>
      <c r="T74"/>
      <c r="U74"/>
      <c r="V74"/>
    </row>
    <row r="75" spans="1:22" x14ac:dyDescent="0.2">
      <c r="A75" s="267" t="s">
        <v>239</v>
      </c>
      <c r="B75" s="267" t="s">
        <v>1075</v>
      </c>
      <c r="C75" s="268">
        <v>13</v>
      </c>
      <c r="D75" s="268">
        <v>23</v>
      </c>
      <c r="E75" s="268">
        <v>36</v>
      </c>
      <c r="F75" s="268">
        <v>310340.96166996704</v>
      </c>
      <c r="G75" s="268">
        <v>645999.89617408405</v>
      </c>
      <c r="H75" s="268">
        <v>956340.85784405097</v>
      </c>
      <c r="I75" s="267" t="s">
        <v>753</v>
      </c>
      <c r="J75" s="267" t="s">
        <v>121</v>
      </c>
      <c r="K75" s="267">
        <v>154369</v>
      </c>
      <c r="L75" s="267" t="s">
        <v>13</v>
      </c>
      <c r="M75"/>
      <c r="N75"/>
      <c r="O75"/>
      <c r="P75"/>
      <c r="Q75" s="151"/>
      <c r="R75"/>
      <c r="S75"/>
      <c r="T75"/>
      <c r="U75"/>
      <c r="V75"/>
    </row>
    <row r="76" spans="1:22" x14ac:dyDescent="0.2">
      <c r="A76" s="267" t="s">
        <v>44</v>
      </c>
      <c r="B76" s="267" t="s">
        <v>57</v>
      </c>
      <c r="C76" s="268">
        <v>418</v>
      </c>
      <c r="D76" s="268">
        <v>532</v>
      </c>
      <c r="E76" s="268">
        <v>950</v>
      </c>
      <c r="F76" s="268">
        <v>6706129.84958738</v>
      </c>
      <c r="G76" s="268">
        <v>9981602.5681689195</v>
      </c>
      <c r="H76" s="268">
        <v>16687732.417756299</v>
      </c>
      <c r="I76" s="267" t="s">
        <v>633</v>
      </c>
      <c r="J76" s="267" t="s">
        <v>121</v>
      </c>
      <c r="K76" s="267">
        <v>155259</v>
      </c>
      <c r="L76" s="267" t="s">
        <v>354</v>
      </c>
      <c r="M76"/>
      <c r="N76"/>
      <c r="O76"/>
      <c r="P76"/>
      <c r="Q76" s="151"/>
      <c r="R76"/>
      <c r="S76"/>
      <c r="T76"/>
      <c r="U76"/>
      <c r="V76"/>
    </row>
    <row r="77" spans="1:22" x14ac:dyDescent="0.2">
      <c r="A77" s="267" t="s">
        <v>301</v>
      </c>
      <c r="B77" s="267" t="s">
        <v>903</v>
      </c>
      <c r="C77" s="268">
        <v>4272</v>
      </c>
      <c r="D77" s="268">
        <v>3175</v>
      </c>
      <c r="E77" s="268">
        <v>7447</v>
      </c>
      <c r="F77" s="268">
        <v>322233134.060628</v>
      </c>
      <c r="G77" s="268">
        <v>279620705.26173198</v>
      </c>
      <c r="H77" s="268">
        <v>601853839.32236099</v>
      </c>
      <c r="I77" s="267" t="s">
        <v>633</v>
      </c>
      <c r="J77" s="267" t="s">
        <v>123</v>
      </c>
      <c r="K77" s="267">
        <v>155606</v>
      </c>
      <c r="L77" s="267" t="s">
        <v>397</v>
      </c>
      <c r="M77"/>
      <c r="N77"/>
      <c r="O77"/>
      <c r="P77"/>
      <c r="Q77" s="151"/>
      <c r="R77"/>
      <c r="S77"/>
      <c r="T77"/>
      <c r="U77"/>
      <c r="V77"/>
    </row>
    <row r="78" spans="1:22" x14ac:dyDescent="0.2">
      <c r="A78" s="267" t="s">
        <v>44</v>
      </c>
      <c r="B78" s="267" t="s">
        <v>886</v>
      </c>
      <c r="C78" s="268">
        <v>228</v>
      </c>
      <c r="D78" s="268">
        <v>297</v>
      </c>
      <c r="E78" s="268">
        <v>525</v>
      </c>
      <c r="F78" s="268">
        <v>3532836.49517356</v>
      </c>
      <c r="G78" s="268">
        <v>5658475.1154369796</v>
      </c>
      <c r="H78" s="268">
        <v>9191311.6106105484</v>
      </c>
      <c r="I78" s="267" t="s">
        <v>633</v>
      </c>
      <c r="J78" s="267" t="s">
        <v>121</v>
      </c>
      <c r="K78" s="267">
        <v>155788</v>
      </c>
      <c r="L78" s="267" t="s">
        <v>358</v>
      </c>
      <c r="M78"/>
      <c r="N78"/>
      <c r="O78"/>
      <c r="P78"/>
      <c r="Q78" s="151"/>
      <c r="R78"/>
      <c r="S78"/>
      <c r="T78"/>
      <c r="U78"/>
      <c r="V78"/>
    </row>
    <row r="79" spans="1:22" x14ac:dyDescent="0.2">
      <c r="A79" s="267" t="s">
        <v>626</v>
      </c>
      <c r="B79" s="267" t="s">
        <v>1041</v>
      </c>
      <c r="C79" s="268">
        <v>89</v>
      </c>
      <c r="D79" s="268">
        <v>127</v>
      </c>
      <c r="E79" s="268">
        <v>216</v>
      </c>
      <c r="F79" s="268">
        <v>5454992.10193252</v>
      </c>
      <c r="G79" s="268">
        <v>9366554.8831137195</v>
      </c>
      <c r="H79" s="268">
        <v>14821546.9850462</v>
      </c>
      <c r="I79" s="267" t="s">
        <v>753</v>
      </c>
      <c r="J79" s="267" t="s">
        <v>122</v>
      </c>
      <c r="K79" s="267">
        <v>156315</v>
      </c>
      <c r="L79" s="267" t="s">
        <v>404</v>
      </c>
      <c r="M79"/>
      <c r="N79"/>
      <c r="O79"/>
      <c r="P79"/>
      <c r="Q79" s="151"/>
      <c r="R79"/>
      <c r="S79"/>
      <c r="T79"/>
      <c r="U79"/>
      <c r="V79"/>
    </row>
    <row r="80" spans="1:22" x14ac:dyDescent="0.2">
      <c r="A80" s="267" t="s">
        <v>239</v>
      </c>
      <c r="B80" s="267" t="s">
        <v>1122</v>
      </c>
      <c r="C80" s="268">
        <v>7</v>
      </c>
      <c r="D80" s="268">
        <v>5</v>
      </c>
      <c r="E80" s="268">
        <v>12</v>
      </c>
      <c r="F80" s="268">
        <v>151002.678262234</v>
      </c>
      <c r="G80" s="268">
        <v>120117.730438774</v>
      </c>
      <c r="H80" s="268">
        <v>271120.40870100801</v>
      </c>
      <c r="I80" s="267" t="s">
        <v>633</v>
      </c>
      <c r="J80" s="267" t="s">
        <v>121</v>
      </c>
      <c r="K80" s="267">
        <v>157438</v>
      </c>
      <c r="L80" s="267" t="s">
        <v>466</v>
      </c>
      <c r="M80"/>
      <c r="N80"/>
      <c r="O80"/>
      <c r="P80"/>
      <c r="Q80" s="151"/>
      <c r="R80"/>
      <c r="S80"/>
      <c r="T80"/>
      <c r="U80"/>
      <c r="V80"/>
    </row>
    <row r="81" spans="1:22" x14ac:dyDescent="0.2">
      <c r="A81" s="267" t="s">
        <v>671</v>
      </c>
      <c r="B81" s="267" t="s">
        <v>267</v>
      </c>
      <c r="C81" s="268">
        <v>7798</v>
      </c>
      <c r="D81" s="268">
        <v>7574</v>
      </c>
      <c r="E81" s="268">
        <v>15372</v>
      </c>
      <c r="F81" s="268">
        <v>208880921.78690299</v>
      </c>
      <c r="G81" s="268">
        <v>254164448.86877301</v>
      </c>
      <c r="H81" s="268">
        <v>463045370.65567702</v>
      </c>
      <c r="I81" s="267" t="s">
        <v>753</v>
      </c>
      <c r="J81" s="267" t="s">
        <v>121</v>
      </c>
      <c r="K81" s="267">
        <v>158261</v>
      </c>
      <c r="L81" s="267" t="s">
        <v>790</v>
      </c>
      <c r="M81"/>
      <c r="N81"/>
      <c r="O81"/>
      <c r="P81"/>
      <c r="Q81" s="151"/>
      <c r="R81"/>
      <c r="S81"/>
      <c r="T81"/>
      <c r="U81"/>
      <c r="V81"/>
    </row>
    <row r="82" spans="1:22" x14ac:dyDescent="0.2">
      <c r="A82" s="267" t="s">
        <v>226</v>
      </c>
      <c r="B82" s="267" t="s">
        <v>865</v>
      </c>
      <c r="C82" s="268">
        <v>178</v>
      </c>
      <c r="D82" s="268">
        <v>313</v>
      </c>
      <c r="E82" s="268">
        <v>491</v>
      </c>
      <c r="F82" s="268">
        <v>2731741.0159873497</v>
      </c>
      <c r="G82" s="268">
        <v>6574166.2723219506</v>
      </c>
      <c r="H82" s="268">
        <v>9305907.2883092985</v>
      </c>
      <c r="I82" s="267" t="s">
        <v>633</v>
      </c>
      <c r="J82" s="267" t="s">
        <v>121</v>
      </c>
      <c r="K82" s="267">
        <v>159442</v>
      </c>
      <c r="L82" s="267" t="s">
        <v>760</v>
      </c>
      <c r="M82"/>
      <c r="N82"/>
      <c r="O82"/>
      <c r="P82"/>
      <c r="Q82" s="151"/>
      <c r="R82"/>
      <c r="S82"/>
      <c r="T82"/>
      <c r="U82"/>
      <c r="V82"/>
    </row>
    <row r="83" spans="1:22" x14ac:dyDescent="0.2">
      <c r="A83" s="267" t="s">
        <v>293</v>
      </c>
      <c r="B83" s="267" t="s">
        <v>325</v>
      </c>
      <c r="C83" s="268">
        <v>1512</v>
      </c>
      <c r="D83" s="268">
        <v>1485</v>
      </c>
      <c r="E83" s="268">
        <v>2997</v>
      </c>
      <c r="F83" s="268">
        <v>37417713.222032703</v>
      </c>
      <c r="G83" s="268">
        <v>46240860.772697203</v>
      </c>
      <c r="H83" s="268">
        <v>83658573.994729906</v>
      </c>
      <c r="I83" s="267" t="s">
        <v>633</v>
      </c>
      <c r="J83" s="267" t="s">
        <v>123</v>
      </c>
      <c r="K83" s="267">
        <v>159509</v>
      </c>
      <c r="L83" s="267" t="s">
        <v>859</v>
      </c>
      <c r="M83"/>
      <c r="N83"/>
      <c r="O83"/>
      <c r="P83"/>
      <c r="Q83" s="151"/>
      <c r="R83"/>
      <c r="S83"/>
      <c r="T83"/>
      <c r="U83"/>
      <c r="V83"/>
    </row>
    <row r="84" spans="1:22" x14ac:dyDescent="0.2">
      <c r="A84" s="267" t="s">
        <v>161</v>
      </c>
      <c r="B84" s="267" t="s">
        <v>326</v>
      </c>
      <c r="C84" s="268">
        <v>25</v>
      </c>
      <c r="D84" s="268">
        <v>68</v>
      </c>
      <c r="E84" s="268">
        <v>93</v>
      </c>
      <c r="F84" s="268">
        <v>514241.40199103806</v>
      </c>
      <c r="G84" s="268">
        <v>1473587.4902565</v>
      </c>
      <c r="H84" s="268">
        <v>1987828.8922475399</v>
      </c>
      <c r="I84" s="267" t="s">
        <v>633</v>
      </c>
      <c r="J84" s="267" t="s">
        <v>121</v>
      </c>
      <c r="K84" s="267">
        <v>161687</v>
      </c>
      <c r="L84" s="267" t="s">
        <v>812</v>
      </c>
      <c r="M84"/>
      <c r="N84"/>
      <c r="O84"/>
      <c r="P84"/>
      <c r="Q84" s="151"/>
      <c r="R84"/>
      <c r="S84"/>
      <c r="T84"/>
      <c r="U84"/>
      <c r="V84"/>
    </row>
    <row r="85" spans="1:22" x14ac:dyDescent="0.2">
      <c r="A85" s="267" t="s">
        <v>131</v>
      </c>
      <c r="B85" s="267" t="s">
        <v>601</v>
      </c>
      <c r="C85" s="268">
        <v>247</v>
      </c>
      <c r="D85" s="268">
        <v>400</v>
      </c>
      <c r="E85" s="268">
        <v>647</v>
      </c>
      <c r="F85" s="268">
        <v>4648547.3178881602</v>
      </c>
      <c r="G85" s="268">
        <v>9454170.9091103096</v>
      </c>
      <c r="H85" s="268">
        <v>14102718.226998499</v>
      </c>
      <c r="I85" s="267" t="s">
        <v>633</v>
      </c>
      <c r="J85" s="267" t="s">
        <v>121</v>
      </c>
      <c r="K85" s="267">
        <v>166173</v>
      </c>
      <c r="L85" s="267" t="s">
        <v>812</v>
      </c>
      <c r="M85"/>
      <c r="N85"/>
      <c r="O85"/>
      <c r="P85"/>
      <c r="Q85" s="151"/>
      <c r="R85"/>
      <c r="S85"/>
      <c r="T85"/>
      <c r="U85"/>
      <c r="V85"/>
    </row>
    <row r="86" spans="1:22" x14ac:dyDescent="0.2">
      <c r="A86" s="267" t="s">
        <v>344</v>
      </c>
      <c r="B86" s="267" t="s">
        <v>1093</v>
      </c>
      <c r="C86" s="268">
        <v>781</v>
      </c>
      <c r="D86" s="268">
        <v>496</v>
      </c>
      <c r="E86" s="268">
        <v>1277</v>
      </c>
      <c r="F86" s="268">
        <v>40255003.949111804</v>
      </c>
      <c r="G86" s="268">
        <v>27448200.379005298</v>
      </c>
      <c r="H86" s="268">
        <v>67703204.328117102</v>
      </c>
      <c r="I86" s="267" t="s">
        <v>633</v>
      </c>
      <c r="J86" s="267" t="s">
        <v>125</v>
      </c>
      <c r="K86" s="267">
        <v>167114</v>
      </c>
      <c r="L86" s="267" t="s">
        <v>1094</v>
      </c>
      <c r="M86"/>
      <c r="N86"/>
      <c r="O86"/>
      <c r="P86"/>
      <c r="Q86" s="151"/>
      <c r="R86"/>
      <c r="S86"/>
      <c r="T86"/>
      <c r="U86"/>
      <c r="V86"/>
    </row>
    <row r="87" spans="1:22" x14ac:dyDescent="0.2">
      <c r="A87" s="267" t="s">
        <v>239</v>
      </c>
      <c r="B87" s="267" t="s">
        <v>314</v>
      </c>
      <c r="C87" s="268">
        <v>38</v>
      </c>
      <c r="D87" s="268">
        <v>42</v>
      </c>
      <c r="E87" s="268">
        <v>80</v>
      </c>
      <c r="F87" s="268">
        <v>865526.392230383</v>
      </c>
      <c r="G87" s="268">
        <v>1041951.22362734</v>
      </c>
      <c r="H87" s="268">
        <v>1907477.6158577199</v>
      </c>
      <c r="I87" s="267" t="s">
        <v>633</v>
      </c>
      <c r="J87" s="267" t="s">
        <v>121</v>
      </c>
      <c r="K87" s="267">
        <v>167171</v>
      </c>
      <c r="L87" s="267" t="s">
        <v>303</v>
      </c>
      <c r="M87"/>
      <c r="N87"/>
      <c r="O87"/>
      <c r="P87"/>
      <c r="Q87" s="151"/>
      <c r="R87"/>
      <c r="S87"/>
      <c r="T87"/>
      <c r="U87"/>
      <c r="V87"/>
    </row>
    <row r="88" spans="1:22" x14ac:dyDescent="0.2">
      <c r="A88" s="267" t="s">
        <v>161</v>
      </c>
      <c r="B88" s="267" t="s">
        <v>556</v>
      </c>
      <c r="C88" s="268">
        <v>7598</v>
      </c>
      <c r="D88" s="268">
        <v>9802</v>
      </c>
      <c r="E88" s="268">
        <v>17400</v>
      </c>
      <c r="F88" s="268">
        <v>140912064.95300999</v>
      </c>
      <c r="G88" s="268">
        <v>226430859.88914701</v>
      </c>
      <c r="H88" s="268">
        <v>367342924.84215701</v>
      </c>
      <c r="I88" s="267" t="s">
        <v>633</v>
      </c>
      <c r="J88" s="267" t="s">
        <v>121</v>
      </c>
      <c r="K88" s="267">
        <v>167239</v>
      </c>
      <c r="L88" s="267" t="s">
        <v>505</v>
      </c>
      <c r="M88"/>
      <c r="N88"/>
      <c r="O88"/>
      <c r="P88"/>
      <c r="Q88" s="151"/>
      <c r="R88"/>
      <c r="S88"/>
      <c r="T88"/>
      <c r="U88"/>
      <c r="V88"/>
    </row>
    <row r="89" spans="1:22" x14ac:dyDescent="0.2">
      <c r="A89" s="267" t="s">
        <v>131</v>
      </c>
      <c r="B89" s="267" t="s">
        <v>599</v>
      </c>
      <c r="C89" s="268">
        <v>831</v>
      </c>
      <c r="D89" s="268">
        <v>1248</v>
      </c>
      <c r="E89" s="268">
        <v>2079</v>
      </c>
      <c r="F89" s="268">
        <v>17499172.333023801</v>
      </c>
      <c r="G89" s="268">
        <v>35541499.995129801</v>
      </c>
      <c r="H89" s="268">
        <v>53040672.328153603</v>
      </c>
      <c r="I89" s="267" t="s">
        <v>633</v>
      </c>
      <c r="J89" s="267" t="s">
        <v>121</v>
      </c>
      <c r="K89" s="267">
        <v>169060</v>
      </c>
      <c r="L89" s="267" t="s">
        <v>812</v>
      </c>
      <c r="M89"/>
      <c r="N89"/>
      <c r="O89"/>
      <c r="P89"/>
      <c r="Q89" s="151"/>
      <c r="R89"/>
      <c r="S89"/>
      <c r="T89"/>
      <c r="U89"/>
      <c r="V89"/>
    </row>
    <row r="90" spans="1:22" x14ac:dyDescent="0.2">
      <c r="A90" s="267" t="s">
        <v>671</v>
      </c>
      <c r="B90" s="267" t="s">
        <v>705</v>
      </c>
      <c r="C90" s="268">
        <v>1074</v>
      </c>
      <c r="D90" s="268">
        <v>1413</v>
      </c>
      <c r="E90" s="268">
        <v>2487</v>
      </c>
      <c r="F90" s="268">
        <v>25161088.101565402</v>
      </c>
      <c r="G90" s="268">
        <v>41184552.636576205</v>
      </c>
      <c r="H90" s="268">
        <v>66345640.738141596</v>
      </c>
      <c r="I90" s="267" t="s">
        <v>753</v>
      </c>
      <c r="J90" s="267" t="s">
        <v>121</v>
      </c>
      <c r="K90" s="267">
        <v>170423</v>
      </c>
      <c r="L90" s="267" t="s">
        <v>704</v>
      </c>
      <c r="M90"/>
      <c r="N90"/>
      <c r="O90"/>
      <c r="P90"/>
      <c r="Q90" s="151"/>
      <c r="R90"/>
      <c r="S90"/>
      <c r="T90"/>
      <c r="U90"/>
      <c r="V90"/>
    </row>
    <row r="91" spans="1:22" x14ac:dyDescent="0.2">
      <c r="A91" s="267" t="s">
        <v>131</v>
      </c>
      <c r="B91" s="267" t="s">
        <v>175</v>
      </c>
      <c r="C91" s="268">
        <v>1754</v>
      </c>
      <c r="D91" s="268">
        <v>3066</v>
      </c>
      <c r="E91" s="268">
        <v>4820</v>
      </c>
      <c r="F91" s="268">
        <v>28571629.131350897</v>
      </c>
      <c r="G91" s="268">
        <v>68711094.610759899</v>
      </c>
      <c r="H91" s="268">
        <v>97282723.742110789</v>
      </c>
      <c r="I91" s="267" t="s">
        <v>633</v>
      </c>
      <c r="J91" s="267" t="s">
        <v>121</v>
      </c>
      <c r="K91" s="267">
        <v>170894</v>
      </c>
      <c r="L91" s="267" t="s">
        <v>777</v>
      </c>
      <c r="M91"/>
      <c r="N91"/>
      <c r="O91"/>
      <c r="P91"/>
      <c r="Q91" s="151"/>
      <c r="R91"/>
      <c r="S91"/>
      <c r="T91"/>
      <c r="U91"/>
      <c r="V91"/>
    </row>
    <row r="92" spans="1:22" x14ac:dyDescent="0.2">
      <c r="A92" s="267" t="s">
        <v>748</v>
      </c>
      <c r="B92" s="267" t="s">
        <v>1052</v>
      </c>
      <c r="C92" s="268">
        <v>321</v>
      </c>
      <c r="D92" s="268">
        <v>360</v>
      </c>
      <c r="E92" s="268">
        <v>681</v>
      </c>
      <c r="F92" s="268">
        <v>4604672.2806430301</v>
      </c>
      <c r="G92" s="268">
        <v>7134707.8867437299</v>
      </c>
      <c r="H92" s="268">
        <v>11739380.1673868</v>
      </c>
      <c r="I92" s="267" t="s">
        <v>633</v>
      </c>
      <c r="J92" s="267" t="s">
        <v>121</v>
      </c>
      <c r="K92" s="267">
        <v>170951</v>
      </c>
      <c r="L92" s="267" t="s">
        <v>1025</v>
      </c>
      <c r="M92"/>
      <c r="N92"/>
      <c r="O92"/>
      <c r="P92"/>
      <c r="Q92" s="151"/>
      <c r="R92"/>
      <c r="S92"/>
      <c r="T92"/>
      <c r="U92"/>
      <c r="V92"/>
    </row>
    <row r="93" spans="1:22" x14ac:dyDescent="0.2">
      <c r="A93" s="267" t="s">
        <v>301</v>
      </c>
      <c r="B93" s="267" t="s">
        <v>945</v>
      </c>
      <c r="C93" s="268">
        <v>606</v>
      </c>
      <c r="D93" s="268">
        <v>974</v>
      </c>
      <c r="E93" s="268">
        <v>1580</v>
      </c>
      <c r="F93" s="268">
        <v>74155090.275802404</v>
      </c>
      <c r="G93" s="268">
        <v>131439403.763648</v>
      </c>
      <c r="H93" s="268">
        <v>205594494.03944999</v>
      </c>
      <c r="I93" s="267" t="s">
        <v>753</v>
      </c>
      <c r="J93" s="267" t="s">
        <v>123</v>
      </c>
      <c r="K93" s="267">
        <v>172601</v>
      </c>
      <c r="L93" s="267" t="s">
        <v>790</v>
      </c>
      <c r="M93"/>
      <c r="N93"/>
      <c r="O93"/>
      <c r="P93"/>
      <c r="Q93" s="151"/>
      <c r="R93"/>
      <c r="S93"/>
      <c r="T93"/>
      <c r="U93"/>
      <c r="V93"/>
    </row>
    <row r="94" spans="1:22" x14ac:dyDescent="0.2">
      <c r="A94" s="267" t="s">
        <v>626</v>
      </c>
      <c r="B94" s="267" t="s">
        <v>191</v>
      </c>
      <c r="C94" s="268">
        <v>797</v>
      </c>
      <c r="D94" s="268">
        <v>1043</v>
      </c>
      <c r="E94" s="268">
        <v>1840</v>
      </c>
      <c r="F94" s="268">
        <v>17919413.896690901</v>
      </c>
      <c r="G94" s="268">
        <v>28804394.928196099</v>
      </c>
      <c r="H94" s="268">
        <v>46723808.824887</v>
      </c>
      <c r="I94" s="267" t="s">
        <v>633</v>
      </c>
      <c r="J94" s="267" t="s">
        <v>122</v>
      </c>
      <c r="K94" s="267">
        <v>173435</v>
      </c>
      <c r="L94" s="267" t="s">
        <v>423</v>
      </c>
      <c r="M94"/>
      <c r="N94"/>
      <c r="O94"/>
      <c r="P94"/>
      <c r="Q94" s="151"/>
      <c r="R94"/>
      <c r="S94"/>
      <c r="T94"/>
      <c r="U94"/>
      <c r="V94"/>
    </row>
    <row r="95" spans="1:22" x14ac:dyDescent="0.2">
      <c r="A95" s="267" t="s">
        <v>102</v>
      </c>
      <c r="B95" s="267" t="s">
        <v>349</v>
      </c>
      <c r="C95" s="268">
        <v>1900</v>
      </c>
      <c r="D95" s="268">
        <v>2954</v>
      </c>
      <c r="E95" s="268">
        <v>4854</v>
      </c>
      <c r="F95" s="268">
        <v>32963546.972105801</v>
      </c>
      <c r="G95" s="268">
        <v>61488367.696964003</v>
      </c>
      <c r="H95" s="268">
        <v>94451914.669069812</v>
      </c>
      <c r="I95" s="267" t="s">
        <v>633</v>
      </c>
      <c r="J95" s="267" t="s">
        <v>121</v>
      </c>
      <c r="K95" s="267">
        <v>174086</v>
      </c>
      <c r="L95" s="267" t="s">
        <v>358</v>
      </c>
      <c r="M95"/>
      <c r="N95"/>
      <c r="O95"/>
      <c r="P95"/>
      <c r="Q95" s="151"/>
      <c r="R95"/>
      <c r="S95"/>
      <c r="T95"/>
      <c r="U95"/>
      <c r="V95"/>
    </row>
    <row r="96" spans="1:22" x14ac:dyDescent="0.2">
      <c r="A96" s="267" t="s">
        <v>368</v>
      </c>
      <c r="B96" s="267" t="s">
        <v>534</v>
      </c>
      <c r="C96" s="268">
        <v>12</v>
      </c>
      <c r="D96" s="268">
        <v>44</v>
      </c>
      <c r="E96" s="268">
        <v>56</v>
      </c>
      <c r="F96" s="268">
        <v>445841.88516064599</v>
      </c>
      <c r="G96" s="268">
        <v>1585829.2888090599</v>
      </c>
      <c r="H96" s="268">
        <v>2031671.17396971</v>
      </c>
      <c r="I96" s="267" t="s">
        <v>633</v>
      </c>
      <c r="J96" s="267" t="s">
        <v>121</v>
      </c>
      <c r="K96" s="267">
        <v>174433</v>
      </c>
      <c r="L96" s="267" t="s">
        <v>397</v>
      </c>
      <c r="M96"/>
      <c r="N96"/>
      <c r="O96"/>
      <c r="P96"/>
      <c r="Q96" s="151"/>
      <c r="R96"/>
      <c r="S96"/>
      <c r="T96"/>
      <c r="U96"/>
      <c r="V96"/>
    </row>
    <row r="97" spans="1:22" x14ac:dyDescent="0.2">
      <c r="A97" s="267" t="s">
        <v>226</v>
      </c>
      <c r="B97" s="267" t="s">
        <v>597</v>
      </c>
      <c r="C97" s="268">
        <v>3444</v>
      </c>
      <c r="D97" s="268">
        <v>4517</v>
      </c>
      <c r="E97" s="268">
        <v>7961</v>
      </c>
      <c r="F97" s="268">
        <v>30721219.952113699</v>
      </c>
      <c r="G97" s="268">
        <v>52746864.157062002</v>
      </c>
      <c r="H97" s="268">
        <v>83468084.109175697</v>
      </c>
      <c r="I97" s="267" t="s">
        <v>633</v>
      </c>
      <c r="J97" s="267" t="s">
        <v>121</v>
      </c>
      <c r="K97" s="267">
        <v>174490</v>
      </c>
      <c r="L97" s="267" t="s">
        <v>812</v>
      </c>
      <c r="M97"/>
      <c r="N97"/>
      <c r="O97"/>
      <c r="P97"/>
      <c r="Q97" s="151"/>
      <c r="R97"/>
      <c r="S97"/>
      <c r="T97"/>
      <c r="U97"/>
      <c r="V97"/>
    </row>
    <row r="98" spans="1:22" x14ac:dyDescent="0.2">
      <c r="A98" s="267" t="s">
        <v>369</v>
      </c>
      <c r="B98" s="267" t="s">
        <v>698</v>
      </c>
      <c r="C98" s="268">
        <v>495</v>
      </c>
      <c r="D98" s="268">
        <v>737</v>
      </c>
      <c r="E98" s="268">
        <v>1232</v>
      </c>
      <c r="F98" s="268">
        <v>10247805.441642301</v>
      </c>
      <c r="G98" s="268">
        <v>18761360.1262917</v>
      </c>
      <c r="H98" s="268">
        <v>29009165.567933999</v>
      </c>
      <c r="I98" s="267" t="s">
        <v>633</v>
      </c>
      <c r="J98" s="267" t="s">
        <v>121</v>
      </c>
      <c r="K98" s="267">
        <v>174672</v>
      </c>
      <c r="L98" s="267" t="s">
        <v>358</v>
      </c>
      <c r="M98"/>
      <c r="N98"/>
      <c r="O98"/>
      <c r="P98"/>
      <c r="Q98" s="151"/>
      <c r="R98"/>
      <c r="S98"/>
      <c r="T98"/>
      <c r="U98"/>
      <c r="V98"/>
    </row>
    <row r="99" spans="1:22" x14ac:dyDescent="0.2">
      <c r="A99" s="267" t="s">
        <v>145</v>
      </c>
      <c r="B99" s="267" t="s">
        <v>155</v>
      </c>
      <c r="C99" s="268">
        <v>163</v>
      </c>
      <c r="D99" s="268">
        <v>173</v>
      </c>
      <c r="E99" s="268">
        <v>336</v>
      </c>
      <c r="F99" s="268">
        <v>2758044.2334157196</v>
      </c>
      <c r="G99" s="268">
        <v>3689267.3921807501</v>
      </c>
      <c r="H99" s="268">
        <v>6447311.6255964702</v>
      </c>
      <c r="I99" s="267" t="s">
        <v>633</v>
      </c>
      <c r="J99" s="267" t="s">
        <v>121</v>
      </c>
      <c r="K99" s="267">
        <v>175265</v>
      </c>
      <c r="L99" s="267" t="s">
        <v>361</v>
      </c>
      <c r="M99"/>
      <c r="N99"/>
      <c r="O99"/>
      <c r="P99"/>
      <c r="Q99" s="151"/>
      <c r="R99"/>
      <c r="S99"/>
      <c r="T99"/>
      <c r="U99"/>
      <c r="V99"/>
    </row>
    <row r="100" spans="1:22" x14ac:dyDescent="0.2">
      <c r="A100" s="267" t="s">
        <v>730</v>
      </c>
      <c r="B100" s="267" t="s">
        <v>502</v>
      </c>
      <c r="C100" s="268">
        <v>13926</v>
      </c>
      <c r="D100" s="268">
        <v>12502</v>
      </c>
      <c r="E100" s="268">
        <v>26428</v>
      </c>
      <c r="F100" s="268">
        <v>312084650.38407898</v>
      </c>
      <c r="G100" s="268">
        <v>344150563.41325903</v>
      </c>
      <c r="H100" s="268">
        <v>656235213.79733896</v>
      </c>
      <c r="I100" s="267" t="s">
        <v>753</v>
      </c>
      <c r="J100" s="267" t="s">
        <v>121</v>
      </c>
      <c r="K100" s="267">
        <v>175919</v>
      </c>
      <c r="L100" s="267" t="s">
        <v>174</v>
      </c>
      <c r="M100"/>
      <c r="N100"/>
      <c r="O100"/>
      <c r="P100"/>
      <c r="Q100" s="151"/>
      <c r="R100"/>
      <c r="S100"/>
      <c r="T100"/>
      <c r="U100"/>
      <c r="V100"/>
    </row>
    <row r="101" spans="1:22" x14ac:dyDescent="0.2">
      <c r="A101" s="267" t="s">
        <v>226</v>
      </c>
      <c r="B101" s="267" t="s">
        <v>959</v>
      </c>
      <c r="C101" s="268">
        <v>7004</v>
      </c>
      <c r="D101" s="268">
        <v>9909</v>
      </c>
      <c r="E101" s="268">
        <v>16913</v>
      </c>
      <c r="F101" s="268">
        <v>68032016.391019002</v>
      </c>
      <c r="G101" s="268">
        <v>124797123.692808</v>
      </c>
      <c r="H101" s="268">
        <v>192829140.083828</v>
      </c>
      <c r="I101" s="267" t="s">
        <v>753</v>
      </c>
      <c r="J101" s="267" t="s">
        <v>121</v>
      </c>
      <c r="K101" s="267">
        <v>176503</v>
      </c>
      <c r="L101" s="267" t="s">
        <v>796</v>
      </c>
      <c r="M101"/>
      <c r="N101"/>
      <c r="O101"/>
      <c r="P101"/>
      <c r="Q101" s="151"/>
      <c r="R101"/>
      <c r="S101"/>
      <c r="T101"/>
      <c r="U101"/>
      <c r="V101"/>
    </row>
    <row r="102" spans="1:22" x14ac:dyDescent="0.2">
      <c r="A102" s="267" t="s">
        <v>546</v>
      </c>
      <c r="B102" s="267" t="s">
        <v>377</v>
      </c>
      <c r="C102" s="268">
        <v>1885</v>
      </c>
      <c r="D102" s="268">
        <v>1963</v>
      </c>
      <c r="E102" s="268">
        <v>3848</v>
      </c>
      <c r="F102" s="268">
        <v>48166576.6329377</v>
      </c>
      <c r="G102" s="268">
        <v>62094277.658361204</v>
      </c>
      <c r="H102" s="268">
        <v>110260854.291299</v>
      </c>
      <c r="I102" s="267" t="s">
        <v>753</v>
      </c>
      <c r="J102" s="267" t="s">
        <v>122</v>
      </c>
      <c r="K102" s="267">
        <v>178335</v>
      </c>
      <c r="L102" s="267" t="s">
        <v>859</v>
      </c>
      <c r="M102"/>
      <c r="N102"/>
      <c r="O102"/>
      <c r="P102"/>
      <c r="Q102" s="151"/>
      <c r="R102"/>
      <c r="S102"/>
      <c r="T102"/>
      <c r="U102"/>
      <c r="V102"/>
    </row>
    <row r="103" spans="1:22" x14ac:dyDescent="0.2">
      <c r="A103" s="267" t="s">
        <v>239</v>
      </c>
      <c r="B103" s="267" t="s">
        <v>260</v>
      </c>
      <c r="C103" s="268">
        <v>1377</v>
      </c>
      <c r="D103" s="268">
        <v>1549</v>
      </c>
      <c r="E103" s="268">
        <v>2926</v>
      </c>
      <c r="F103" s="268">
        <v>30635696.429899499</v>
      </c>
      <c r="G103" s="268">
        <v>39205039.518818498</v>
      </c>
      <c r="H103" s="268">
        <v>69840735.948717892</v>
      </c>
      <c r="I103" s="267" t="s">
        <v>633</v>
      </c>
      <c r="J103" s="267" t="s">
        <v>121</v>
      </c>
      <c r="K103" s="267">
        <v>182584</v>
      </c>
      <c r="L103" s="267" t="s">
        <v>259</v>
      </c>
      <c r="M103"/>
      <c r="N103"/>
      <c r="O103"/>
      <c r="P103"/>
      <c r="Q103" s="151"/>
      <c r="R103"/>
      <c r="S103"/>
      <c r="T103"/>
      <c r="U103"/>
      <c r="V103"/>
    </row>
    <row r="104" spans="1:22" x14ac:dyDescent="0.2">
      <c r="A104" s="267" t="s">
        <v>239</v>
      </c>
      <c r="B104" s="267" t="s">
        <v>249</v>
      </c>
      <c r="C104" s="268">
        <v>3398</v>
      </c>
      <c r="D104" s="268">
        <v>4129</v>
      </c>
      <c r="E104" s="268">
        <v>7527</v>
      </c>
      <c r="F104" s="268">
        <v>92290068.833335698</v>
      </c>
      <c r="G104" s="268">
        <v>134220083.136318</v>
      </c>
      <c r="H104" s="268">
        <v>226510151.96965402</v>
      </c>
      <c r="I104" s="267" t="s">
        <v>633</v>
      </c>
      <c r="J104" s="267" t="s">
        <v>121</v>
      </c>
      <c r="K104" s="267">
        <v>183178</v>
      </c>
      <c r="L104" s="267" t="s">
        <v>754</v>
      </c>
      <c r="M104"/>
      <c r="N104"/>
      <c r="O104"/>
      <c r="P104"/>
      <c r="Q104" s="151"/>
      <c r="R104"/>
      <c r="S104"/>
      <c r="T104"/>
      <c r="U104"/>
      <c r="V104"/>
    </row>
    <row r="105" spans="1:22" x14ac:dyDescent="0.2">
      <c r="A105" s="267" t="s">
        <v>145</v>
      </c>
      <c r="B105" s="267" t="s">
        <v>1112</v>
      </c>
      <c r="C105" s="268">
        <v>18</v>
      </c>
      <c r="D105" s="268">
        <v>22</v>
      </c>
      <c r="E105" s="268">
        <v>40</v>
      </c>
      <c r="F105" s="268">
        <v>394385.62225202902</v>
      </c>
      <c r="G105" s="268">
        <v>686130.47642163991</v>
      </c>
      <c r="H105" s="268">
        <v>1080516.0986736701</v>
      </c>
      <c r="I105" s="267" t="s">
        <v>753</v>
      </c>
      <c r="J105" s="267" t="s">
        <v>121</v>
      </c>
      <c r="K105" s="267">
        <v>184119</v>
      </c>
      <c r="L105" s="267" t="s">
        <v>796</v>
      </c>
      <c r="M105"/>
      <c r="N105"/>
      <c r="O105"/>
      <c r="P105"/>
      <c r="Q105" s="151"/>
      <c r="R105"/>
      <c r="S105"/>
      <c r="T105"/>
      <c r="U105"/>
      <c r="V105"/>
    </row>
    <row r="106" spans="1:22" x14ac:dyDescent="0.2">
      <c r="A106" s="267" t="s">
        <v>161</v>
      </c>
      <c r="B106" s="267" t="s">
        <v>396</v>
      </c>
      <c r="C106" s="268">
        <v>2501</v>
      </c>
      <c r="D106" s="268">
        <v>5061</v>
      </c>
      <c r="E106" s="268">
        <v>7562</v>
      </c>
      <c r="F106" s="268">
        <v>47924870.825735204</v>
      </c>
      <c r="G106" s="268">
        <v>131579753.935633</v>
      </c>
      <c r="H106" s="268">
        <v>179504624.76136902</v>
      </c>
      <c r="I106" s="267" t="s">
        <v>753</v>
      </c>
      <c r="J106" s="267" t="s">
        <v>121</v>
      </c>
      <c r="K106" s="267">
        <v>184291</v>
      </c>
      <c r="L106" s="267" t="s">
        <v>859</v>
      </c>
      <c r="M106"/>
      <c r="N106"/>
      <c r="O106"/>
      <c r="P106"/>
      <c r="Q106" s="151"/>
      <c r="R106"/>
      <c r="S106"/>
      <c r="T106"/>
      <c r="U106"/>
      <c r="V106"/>
    </row>
    <row r="107" spans="1:22" x14ac:dyDescent="0.2">
      <c r="A107" s="267" t="s">
        <v>671</v>
      </c>
      <c r="B107" s="267" t="s">
        <v>839</v>
      </c>
      <c r="C107" s="268">
        <v>1349</v>
      </c>
      <c r="D107" s="268">
        <v>1235</v>
      </c>
      <c r="E107" s="268">
        <v>2584</v>
      </c>
      <c r="F107" s="268">
        <v>32290686.408495601</v>
      </c>
      <c r="G107" s="268">
        <v>37801492.177457199</v>
      </c>
      <c r="H107" s="268">
        <v>70092178.585952803</v>
      </c>
      <c r="I107" s="267" t="s">
        <v>753</v>
      </c>
      <c r="J107" s="267" t="s">
        <v>121</v>
      </c>
      <c r="K107" s="267">
        <v>184416</v>
      </c>
      <c r="L107" s="267" t="s">
        <v>675</v>
      </c>
      <c r="M107"/>
      <c r="N107"/>
      <c r="O107"/>
      <c r="P107"/>
      <c r="Q107" s="151"/>
      <c r="R107"/>
      <c r="S107"/>
      <c r="T107"/>
      <c r="U107"/>
      <c r="V107"/>
    </row>
    <row r="108" spans="1:22" x14ac:dyDescent="0.2">
      <c r="A108" s="267" t="s">
        <v>301</v>
      </c>
      <c r="B108" s="267" t="s">
        <v>1021</v>
      </c>
      <c r="C108" s="268">
        <v>50</v>
      </c>
      <c r="D108" s="268">
        <v>26</v>
      </c>
      <c r="E108" s="268">
        <v>76</v>
      </c>
      <c r="F108" s="268">
        <v>4074362.9748189696</v>
      </c>
      <c r="G108" s="268">
        <v>2328057.9554729098</v>
      </c>
      <c r="H108" s="268">
        <v>6402420.9302918697</v>
      </c>
      <c r="I108" s="267" t="s">
        <v>753</v>
      </c>
      <c r="J108" s="267" t="s">
        <v>123</v>
      </c>
      <c r="K108" s="267">
        <v>187898</v>
      </c>
      <c r="L108" s="267" t="s">
        <v>674</v>
      </c>
      <c r="M108"/>
      <c r="N108"/>
      <c r="O108"/>
      <c r="P108"/>
      <c r="Q108" s="151"/>
      <c r="R108"/>
      <c r="S108"/>
      <c r="T108"/>
      <c r="U108"/>
      <c r="V108"/>
    </row>
    <row r="109" spans="1:22" x14ac:dyDescent="0.2">
      <c r="A109" s="267" t="s">
        <v>44</v>
      </c>
      <c r="B109" s="267" t="s">
        <v>164</v>
      </c>
      <c r="C109" s="268">
        <v>15</v>
      </c>
      <c r="D109" s="268">
        <v>17</v>
      </c>
      <c r="E109" s="268">
        <v>32</v>
      </c>
      <c r="F109" s="268">
        <v>357518.77678050002</v>
      </c>
      <c r="G109" s="268">
        <v>487951.96432573005</v>
      </c>
      <c r="H109" s="268">
        <v>845470.741106231</v>
      </c>
      <c r="I109" s="267" t="s">
        <v>633</v>
      </c>
      <c r="J109" s="267" t="s">
        <v>121</v>
      </c>
      <c r="K109" s="267">
        <v>188482</v>
      </c>
      <c r="L109" s="267" t="s">
        <v>767</v>
      </c>
      <c r="M109"/>
      <c r="N109"/>
      <c r="O109"/>
      <c r="P109"/>
      <c r="Q109" s="151"/>
      <c r="R109"/>
      <c r="S109"/>
      <c r="T109"/>
      <c r="U109"/>
      <c r="V109"/>
    </row>
    <row r="110" spans="1:22" x14ac:dyDescent="0.2">
      <c r="A110" s="267" t="s">
        <v>491</v>
      </c>
      <c r="B110" s="267" t="s">
        <v>496</v>
      </c>
      <c r="C110" s="268">
        <v>4676</v>
      </c>
      <c r="D110" s="268">
        <v>2078</v>
      </c>
      <c r="E110" s="268">
        <v>6754</v>
      </c>
      <c r="F110" s="268">
        <v>104366835.82702699</v>
      </c>
      <c r="G110" s="268">
        <v>62989761.6398753</v>
      </c>
      <c r="H110" s="268">
        <v>167356597.46690199</v>
      </c>
      <c r="I110" s="267" t="s">
        <v>753</v>
      </c>
      <c r="J110" s="267" t="s">
        <v>122</v>
      </c>
      <c r="K110" s="267">
        <v>188664</v>
      </c>
      <c r="L110" s="267" t="s">
        <v>776</v>
      </c>
      <c r="M110"/>
      <c r="N110"/>
      <c r="O110"/>
      <c r="P110"/>
      <c r="Q110" s="151"/>
      <c r="R110"/>
      <c r="S110"/>
      <c r="T110"/>
      <c r="U110"/>
      <c r="V110"/>
    </row>
    <row r="111" spans="1:22" x14ac:dyDescent="0.2">
      <c r="A111" s="267" t="s">
        <v>279</v>
      </c>
      <c r="B111" s="267" t="s">
        <v>199</v>
      </c>
      <c r="C111" s="268">
        <v>598</v>
      </c>
      <c r="D111" s="268">
        <v>680</v>
      </c>
      <c r="E111" s="268">
        <v>1278</v>
      </c>
      <c r="F111" s="268">
        <v>9544685.7957414892</v>
      </c>
      <c r="G111" s="268">
        <v>13590171.1184594</v>
      </c>
      <c r="H111" s="268">
        <v>23134856.914200898</v>
      </c>
      <c r="I111" s="267" t="s">
        <v>633</v>
      </c>
      <c r="J111" s="267" t="s">
        <v>121</v>
      </c>
      <c r="K111" s="267">
        <v>189258</v>
      </c>
      <c r="L111" s="267" t="s">
        <v>423</v>
      </c>
      <c r="M111"/>
      <c r="N111"/>
      <c r="O111"/>
      <c r="P111"/>
      <c r="Q111" s="151"/>
      <c r="R111"/>
      <c r="S111"/>
      <c r="T111"/>
      <c r="U111"/>
      <c r="V111"/>
    </row>
    <row r="112" spans="1:22" x14ac:dyDescent="0.2">
      <c r="A112" s="267" t="s">
        <v>611</v>
      </c>
      <c r="B112" s="267" t="s">
        <v>922</v>
      </c>
      <c r="C112" s="268">
        <v>726</v>
      </c>
      <c r="D112" s="268">
        <v>775</v>
      </c>
      <c r="E112" s="268">
        <v>1501</v>
      </c>
      <c r="F112" s="268">
        <v>23151022.619393699</v>
      </c>
      <c r="G112" s="268">
        <v>30302496.895599499</v>
      </c>
      <c r="H112" s="268">
        <v>53453519.514993206</v>
      </c>
      <c r="I112" s="267" t="s">
        <v>753</v>
      </c>
      <c r="J112" s="267" t="s">
        <v>122</v>
      </c>
      <c r="K112" s="267">
        <v>189662</v>
      </c>
      <c r="L112" s="267" t="s">
        <v>763</v>
      </c>
      <c r="M112"/>
      <c r="N112"/>
      <c r="O112"/>
      <c r="P112"/>
      <c r="Q112" s="151"/>
      <c r="R112"/>
      <c r="S112"/>
      <c r="T112"/>
      <c r="U112"/>
      <c r="V112"/>
    </row>
    <row r="113" spans="1:22" x14ac:dyDescent="0.2">
      <c r="A113" s="267" t="s">
        <v>239</v>
      </c>
      <c r="B113" s="267" t="s">
        <v>1072</v>
      </c>
      <c r="C113" s="268">
        <v>2</v>
      </c>
      <c r="D113" s="268">
        <v>5</v>
      </c>
      <c r="E113" s="268">
        <v>7</v>
      </c>
      <c r="F113" s="268">
        <v>40879.215560396799</v>
      </c>
      <c r="G113" s="268">
        <v>100197.76017609001</v>
      </c>
      <c r="H113" s="268">
        <v>141076.97573648699</v>
      </c>
      <c r="I113" s="267" t="s">
        <v>753</v>
      </c>
      <c r="J113" s="267" t="s">
        <v>121</v>
      </c>
      <c r="K113" s="267">
        <v>190199</v>
      </c>
      <c r="L113" s="267" t="s">
        <v>13</v>
      </c>
      <c r="M113"/>
      <c r="N113"/>
      <c r="O113"/>
      <c r="P113"/>
      <c r="Q113" s="151"/>
      <c r="R113"/>
      <c r="S113"/>
      <c r="T113"/>
      <c r="U113"/>
      <c r="V113"/>
    </row>
    <row r="114" spans="1:22" x14ac:dyDescent="0.2">
      <c r="A114" s="267" t="s">
        <v>161</v>
      </c>
      <c r="B114" s="267" t="s">
        <v>162</v>
      </c>
      <c r="C114" s="268">
        <v>8856</v>
      </c>
      <c r="D114" s="268">
        <v>9159</v>
      </c>
      <c r="E114" s="268">
        <v>18015</v>
      </c>
      <c r="F114" s="268">
        <v>102941403.20169699</v>
      </c>
      <c r="G114" s="268">
        <v>148114051.67946699</v>
      </c>
      <c r="H114" s="268">
        <v>251055454.88116401</v>
      </c>
      <c r="I114" s="267" t="s">
        <v>633</v>
      </c>
      <c r="J114" s="267" t="s">
        <v>121</v>
      </c>
      <c r="K114" s="267">
        <v>191080</v>
      </c>
      <c r="L114" s="267" t="s">
        <v>354</v>
      </c>
      <c r="M114"/>
      <c r="N114"/>
      <c r="O114"/>
      <c r="P114"/>
      <c r="Q114" s="151"/>
      <c r="R114"/>
      <c r="S114"/>
      <c r="T114"/>
      <c r="U114"/>
      <c r="V114"/>
    </row>
    <row r="115" spans="1:22" x14ac:dyDescent="0.2">
      <c r="A115" s="267" t="s">
        <v>626</v>
      </c>
      <c r="B115" s="267" t="s">
        <v>901</v>
      </c>
      <c r="C115" s="268">
        <v>8468</v>
      </c>
      <c r="D115" s="268">
        <v>7120</v>
      </c>
      <c r="E115" s="268">
        <v>15588</v>
      </c>
      <c r="F115" s="268">
        <v>189469613.88656601</v>
      </c>
      <c r="G115" s="268">
        <v>196210973.60308701</v>
      </c>
      <c r="H115" s="268">
        <v>385680587.48965299</v>
      </c>
      <c r="I115" s="267" t="s">
        <v>633</v>
      </c>
      <c r="J115" s="267" t="s">
        <v>122</v>
      </c>
      <c r="K115" s="267">
        <v>191437</v>
      </c>
      <c r="L115" s="267" t="s">
        <v>397</v>
      </c>
      <c r="M115"/>
      <c r="N115"/>
      <c r="O115"/>
      <c r="P115"/>
      <c r="Q115" s="151"/>
      <c r="R115"/>
      <c r="S115"/>
      <c r="T115"/>
      <c r="U115"/>
      <c r="V115"/>
    </row>
    <row r="116" spans="1:22" x14ac:dyDescent="0.2">
      <c r="A116" s="267" t="s">
        <v>145</v>
      </c>
      <c r="B116" s="267" t="s">
        <v>872</v>
      </c>
      <c r="C116" s="268">
        <v>28</v>
      </c>
      <c r="D116" s="268">
        <v>36</v>
      </c>
      <c r="E116" s="268">
        <v>64</v>
      </c>
      <c r="F116" s="268">
        <v>704935.27212503995</v>
      </c>
      <c r="G116" s="268">
        <v>1396280.7805495199</v>
      </c>
      <c r="H116" s="268">
        <v>2101216.0526745599</v>
      </c>
      <c r="I116" s="267" t="s">
        <v>753</v>
      </c>
      <c r="J116" s="267" t="s">
        <v>121</v>
      </c>
      <c r="K116" s="267">
        <v>191494</v>
      </c>
      <c r="L116" s="267" t="s">
        <v>32</v>
      </c>
      <c r="M116"/>
      <c r="N116"/>
      <c r="O116"/>
      <c r="P116"/>
      <c r="Q116" s="151"/>
      <c r="R116"/>
      <c r="S116"/>
      <c r="T116"/>
      <c r="U116"/>
      <c r="V116"/>
    </row>
    <row r="117" spans="1:22" x14ac:dyDescent="0.2">
      <c r="A117" s="267" t="s">
        <v>261</v>
      </c>
      <c r="B117" s="267" t="s">
        <v>930</v>
      </c>
      <c r="C117" s="268">
        <v>2913</v>
      </c>
      <c r="D117" s="268">
        <v>4387</v>
      </c>
      <c r="E117" s="268">
        <v>7300</v>
      </c>
      <c r="F117" s="268">
        <v>56163295.5013014</v>
      </c>
      <c r="G117" s="268">
        <v>102270879.724797</v>
      </c>
      <c r="H117" s="268">
        <v>158434175.226098</v>
      </c>
      <c r="I117" s="267" t="s">
        <v>633</v>
      </c>
      <c r="J117" s="267" t="s">
        <v>121</v>
      </c>
      <c r="K117" s="267">
        <v>191676</v>
      </c>
      <c r="L117" s="267" t="s">
        <v>931</v>
      </c>
      <c r="M117"/>
      <c r="N117"/>
      <c r="O117"/>
      <c r="P117"/>
      <c r="Q117" s="151"/>
      <c r="R117"/>
      <c r="S117"/>
      <c r="T117"/>
      <c r="U117"/>
      <c r="V117"/>
    </row>
    <row r="118" spans="1:22" x14ac:dyDescent="0.2">
      <c r="A118" s="267" t="s">
        <v>226</v>
      </c>
      <c r="B118" s="267" t="s">
        <v>711</v>
      </c>
      <c r="C118" s="268">
        <v>425</v>
      </c>
      <c r="D118" s="268">
        <v>873</v>
      </c>
      <c r="E118" s="268">
        <v>1298</v>
      </c>
      <c r="F118" s="268">
        <v>8224204.2544205105</v>
      </c>
      <c r="G118" s="268">
        <v>19903903.8204665</v>
      </c>
      <c r="H118" s="268">
        <v>28128108.074887</v>
      </c>
      <c r="I118" s="267" t="s">
        <v>633</v>
      </c>
      <c r="J118" s="267" t="s">
        <v>121</v>
      </c>
      <c r="K118" s="267">
        <v>192146</v>
      </c>
      <c r="L118" s="267" t="s">
        <v>752</v>
      </c>
      <c r="M118"/>
      <c r="N118"/>
      <c r="O118"/>
      <c r="P118"/>
      <c r="Q118" s="151"/>
      <c r="R118"/>
      <c r="S118"/>
      <c r="T118"/>
      <c r="U118"/>
      <c r="V118"/>
    </row>
    <row r="119" spans="1:22" x14ac:dyDescent="0.2">
      <c r="A119" s="267" t="s">
        <v>261</v>
      </c>
      <c r="B119" s="267" t="s">
        <v>265</v>
      </c>
      <c r="C119" s="268">
        <v>19241</v>
      </c>
      <c r="D119" s="268">
        <v>21910</v>
      </c>
      <c r="E119" s="268">
        <v>41151</v>
      </c>
      <c r="F119" s="268">
        <v>358029445.708269</v>
      </c>
      <c r="G119" s="268">
        <v>528033338.87289</v>
      </c>
      <c r="H119" s="268">
        <v>886062784.581159</v>
      </c>
      <c r="I119" s="267" t="s">
        <v>753</v>
      </c>
      <c r="J119" s="267" t="s">
        <v>121</v>
      </c>
      <c r="K119" s="267">
        <v>194092</v>
      </c>
      <c r="L119" s="267" t="s">
        <v>790</v>
      </c>
      <c r="M119"/>
      <c r="N119"/>
      <c r="O119"/>
      <c r="P119"/>
      <c r="Q119" s="151"/>
      <c r="R119"/>
      <c r="S119"/>
      <c r="T119"/>
      <c r="U119"/>
      <c r="V119"/>
    </row>
    <row r="120" spans="1:22" x14ac:dyDescent="0.2">
      <c r="A120" s="267" t="s">
        <v>145</v>
      </c>
      <c r="B120" s="267" t="s">
        <v>557</v>
      </c>
      <c r="C120" s="268">
        <v>390</v>
      </c>
      <c r="D120" s="268">
        <v>423</v>
      </c>
      <c r="E120" s="268">
        <v>813</v>
      </c>
      <c r="F120" s="268">
        <v>6354337.2399383998</v>
      </c>
      <c r="G120" s="268">
        <v>8470603.1192236803</v>
      </c>
      <c r="H120" s="268">
        <v>14824940.3591621</v>
      </c>
      <c r="I120" s="267" t="s">
        <v>633</v>
      </c>
      <c r="J120" s="267" t="s">
        <v>121</v>
      </c>
      <c r="K120" s="267">
        <v>195271</v>
      </c>
      <c r="L120" s="267" t="s">
        <v>760</v>
      </c>
      <c r="M120"/>
      <c r="N120"/>
      <c r="O120"/>
      <c r="P120"/>
      <c r="Q120" s="151"/>
      <c r="R120"/>
      <c r="S120"/>
      <c r="T120"/>
      <c r="U120"/>
      <c r="V120"/>
    </row>
    <row r="121" spans="1:22" x14ac:dyDescent="0.2">
      <c r="A121" s="267" t="s">
        <v>102</v>
      </c>
      <c r="B121" s="267" t="s">
        <v>327</v>
      </c>
      <c r="C121" s="268">
        <v>869</v>
      </c>
      <c r="D121" s="268">
        <v>875</v>
      </c>
      <c r="E121" s="268">
        <v>1744</v>
      </c>
      <c r="F121" s="268">
        <v>18185029.436849002</v>
      </c>
      <c r="G121" s="268">
        <v>22372204.755979698</v>
      </c>
      <c r="H121" s="268">
        <v>40557234.1928287</v>
      </c>
      <c r="I121" s="267" t="s">
        <v>633</v>
      </c>
      <c r="J121" s="267" t="s">
        <v>121</v>
      </c>
      <c r="K121" s="267">
        <v>197517</v>
      </c>
      <c r="L121" s="267" t="s">
        <v>812</v>
      </c>
      <c r="M121"/>
      <c r="N121"/>
      <c r="O121"/>
      <c r="P121"/>
      <c r="Q121" s="151"/>
      <c r="R121"/>
      <c r="S121"/>
      <c r="T121"/>
      <c r="U121"/>
      <c r="V121"/>
    </row>
    <row r="122" spans="1:22" x14ac:dyDescent="0.2">
      <c r="A122" s="267" t="s">
        <v>367</v>
      </c>
      <c r="B122" s="267" t="s">
        <v>602</v>
      </c>
      <c r="C122" s="268">
        <v>1206</v>
      </c>
      <c r="D122" s="268">
        <v>2183</v>
      </c>
      <c r="E122" s="268">
        <v>3389</v>
      </c>
      <c r="F122" s="268">
        <v>24110418.205439899</v>
      </c>
      <c r="G122" s="268">
        <v>54824457.076465406</v>
      </c>
      <c r="H122" s="268">
        <v>78934875.281905204</v>
      </c>
      <c r="I122" s="267" t="s">
        <v>633</v>
      </c>
      <c r="J122" s="267" t="s">
        <v>121</v>
      </c>
      <c r="K122" s="267">
        <v>197632</v>
      </c>
      <c r="L122" s="267" t="s">
        <v>812</v>
      </c>
      <c r="M122"/>
      <c r="N122"/>
      <c r="O122"/>
      <c r="P122"/>
      <c r="Q122" s="151"/>
      <c r="R122"/>
      <c r="S122"/>
      <c r="T122"/>
      <c r="U122"/>
      <c r="V122"/>
    </row>
    <row r="123" spans="1:22" x14ac:dyDescent="0.2">
      <c r="A123" s="267" t="s">
        <v>145</v>
      </c>
      <c r="B123" s="267" t="s">
        <v>65</v>
      </c>
      <c r="C123" s="268">
        <v>12</v>
      </c>
      <c r="D123" s="268">
        <v>6</v>
      </c>
      <c r="E123" s="268">
        <v>18</v>
      </c>
      <c r="F123" s="268">
        <v>148611.84019501499</v>
      </c>
      <c r="G123" s="268">
        <v>60756.982862519202</v>
      </c>
      <c r="H123" s="268">
        <v>209368.823057534</v>
      </c>
      <c r="I123" s="267" t="s">
        <v>633</v>
      </c>
      <c r="J123" s="267" t="s">
        <v>121</v>
      </c>
      <c r="K123" s="267">
        <v>199406</v>
      </c>
      <c r="L123" s="267" t="s">
        <v>362</v>
      </c>
      <c r="M123"/>
      <c r="N123"/>
      <c r="O123"/>
      <c r="P123"/>
      <c r="Q123" s="151"/>
      <c r="R123"/>
      <c r="S123"/>
      <c r="T123"/>
      <c r="U123"/>
      <c r="V123"/>
    </row>
    <row r="124" spans="1:22" x14ac:dyDescent="0.2">
      <c r="A124" s="267" t="s">
        <v>279</v>
      </c>
      <c r="B124" s="267" t="s">
        <v>286</v>
      </c>
      <c r="C124" s="268">
        <v>123</v>
      </c>
      <c r="D124" s="268">
        <v>144</v>
      </c>
      <c r="E124" s="268">
        <v>267</v>
      </c>
      <c r="F124" s="268">
        <v>2013320.32638892</v>
      </c>
      <c r="G124" s="268">
        <v>2766275.0265323599</v>
      </c>
      <c r="H124" s="268">
        <v>4779595.3529212903</v>
      </c>
      <c r="I124" s="267" t="s">
        <v>633</v>
      </c>
      <c r="J124" s="267" t="s">
        <v>121</v>
      </c>
      <c r="K124" s="267">
        <v>202002</v>
      </c>
      <c r="L124" s="267" t="s">
        <v>41</v>
      </c>
      <c r="M124"/>
      <c r="N124"/>
      <c r="O124"/>
      <c r="P124"/>
      <c r="Q124" s="151"/>
      <c r="R124"/>
      <c r="S124"/>
      <c r="T124"/>
      <c r="U124"/>
      <c r="V124"/>
    </row>
    <row r="125" spans="1:22" x14ac:dyDescent="0.2">
      <c r="A125" s="267" t="s">
        <v>615</v>
      </c>
      <c r="B125" s="267" t="s">
        <v>379</v>
      </c>
      <c r="C125" s="268">
        <v>50</v>
      </c>
      <c r="D125" s="268">
        <v>44</v>
      </c>
      <c r="E125" s="268">
        <v>94</v>
      </c>
      <c r="F125" s="268">
        <v>904157.11858612404</v>
      </c>
      <c r="G125" s="268">
        <v>1000888.92130669</v>
      </c>
      <c r="H125" s="268">
        <v>1905046.0398928199</v>
      </c>
      <c r="I125" s="267" t="s">
        <v>633</v>
      </c>
      <c r="J125" s="267" t="s">
        <v>122</v>
      </c>
      <c r="K125" s="267">
        <v>203000</v>
      </c>
      <c r="L125" s="267" t="s">
        <v>303</v>
      </c>
      <c r="M125"/>
      <c r="N125"/>
      <c r="O125"/>
      <c r="P125"/>
      <c r="Q125" s="151"/>
      <c r="R125"/>
      <c r="S125"/>
      <c r="T125"/>
      <c r="U125"/>
      <c r="V125"/>
    </row>
    <row r="126" spans="1:22" x14ac:dyDescent="0.2">
      <c r="A126" s="267" t="s">
        <v>671</v>
      </c>
      <c r="B126" s="267" t="s">
        <v>994</v>
      </c>
      <c r="C126" s="268">
        <v>1057</v>
      </c>
      <c r="D126" s="268">
        <v>642</v>
      </c>
      <c r="E126" s="268">
        <v>1699</v>
      </c>
      <c r="F126" s="268">
        <v>21660340.112443</v>
      </c>
      <c r="G126" s="268">
        <v>14938754.5624098</v>
      </c>
      <c r="H126" s="268">
        <v>36599094.674852803</v>
      </c>
      <c r="I126" s="267" t="s">
        <v>753</v>
      </c>
      <c r="J126" s="267" t="s">
        <v>121</v>
      </c>
      <c r="K126" s="267">
        <v>203067</v>
      </c>
      <c r="L126" s="267" t="s">
        <v>703</v>
      </c>
      <c r="M126"/>
      <c r="N126"/>
      <c r="O126"/>
      <c r="P126"/>
      <c r="Q126" s="151"/>
      <c r="R126"/>
      <c r="S126"/>
      <c r="T126"/>
      <c r="U126"/>
      <c r="V126"/>
    </row>
    <row r="127" spans="1:22" x14ac:dyDescent="0.2">
      <c r="A127" s="267" t="s">
        <v>226</v>
      </c>
      <c r="B127" s="267" t="s">
        <v>365</v>
      </c>
      <c r="C127" s="268">
        <v>461</v>
      </c>
      <c r="D127" s="268">
        <v>556</v>
      </c>
      <c r="E127" s="268">
        <v>1017</v>
      </c>
      <c r="F127" s="268">
        <v>6572874.9442060003</v>
      </c>
      <c r="G127" s="268">
        <v>10887319.963337701</v>
      </c>
      <c r="H127" s="268">
        <v>17460194.9075437</v>
      </c>
      <c r="I127" s="267" t="s">
        <v>753</v>
      </c>
      <c r="J127" s="267" t="s">
        <v>121</v>
      </c>
      <c r="K127" s="267">
        <v>203182</v>
      </c>
      <c r="L127" s="267" t="s">
        <v>677</v>
      </c>
      <c r="M127"/>
      <c r="N127"/>
      <c r="O127"/>
      <c r="P127"/>
      <c r="Q127" s="151"/>
      <c r="R127"/>
      <c r="S127"/>
      <c r="T127"/>
      <c r="U127"/>
      <c r="V127"/>
    </row>
    <row r="128" spans="1:22" x14ac:dyDescent="0.2">
      <c r="A128" s="267" t="s">
        <v>615</v>
      </c>
      <c r="B128" s="267" t="s">
        <v>618</v>
      </c>
      <c r="C128" s="268">
        <v>572</v>
      </c>
      <c r="D128" s="268">
        <v>552</v>
      </c>
      <c r="E128" s="268">
        <v>1124</v>
      </c>
      <c r="F128" s="268">
        <v>8441120.706367569</v>
      </c>
      <c r="G128" s="268">
        <v>9557743.2594281491</v>
      </c>
      <c r="H128" s="268">
        <v>17998863.965795703</v>
      </c>
      <c r="I128" s="267" t="s">
        <v>633</v>
      </c>
      <c r="J128" s="267" t="s">
        <v>122</v>
      </c>
      <c r="K128" s="267">
        <v>203836</v>
      </c>
      <c r="L128" s="267" t="s">
        <v>782</v>
      </c>
      <c r="M128"/>
      <c r="N128"/>
      <c r="O128"/>
      <c r="P128"/>
      <c r="Q128" s="151"/>
      <c r="R128"/>
      <c r="S128"/>
      <c r="T128"/>
      <c r="U128"/>
      <c r="V128"/>
    </row>
    <row r="129" spans="1:22" x14ac:dyDescent="0.2">
      <c r="A129" s="267" t="s">
        <v>369</v>
      </c>
      <c r="B129" s="267" t="s">
        <v>1054</v>
      </c>
      <c r="C129" s="268">
        <v>1896</v>
      </c>
      <c r="D129" s="268">
        <v>3206</v>
      </c>
      <c r="E129" s="268">
        <v>5102</v>
      </c>
      <c r="F129" s="268">
        <v>33602777.7025875</v>
      </c>
      <c r="G129" s="268">
        <v>69776465.481557399</v>
      </c>
      <c r="H129" s="268">
        <v>103379243.184145</v>
      </c>
      <c r="I129" s="267" t="s">
        <v>633</v>
      </c>
      <c r="J129" s="267" t="s">
        <v>121</v>
      </c>
      <c r="K129" s="267">
        <v>204891</v>
      </c>
      <c r="L129" s="267" t="s">
        <v>812</v>
      </c>
      <c r="M129"/>
      <c r="N129"/>
      <c r="O129"/>
      <c r="P129"/>
      <c r="Q129" s="151"/>
      <c r="R129"/>
      <c r="S129"/>
      <c r="T129"/>
      <c r="U129"/>
      <c r="V129"/>
    </row>
    <row r="130" spans="1:22" x14ac:dyDescent="0.2">
      <c r="A130" s="267" t="s">
        <v>161</v>
      </c>
      <c r="B130" s="267" t="s">
        <v>179</v>
      </c>
      <c r="C130" s="268">
        <v>1198</v>
      </c>
      <c r="D130" s="268">
        <v>1549</v>
      </c>
      <c r="E130" s="268">
        <v>2747</v>
      </c>
      <c r="F130" s="268">
        <v>23529836.262391001</v>
      </c>
      <c r="G130" s="268">
        <v>37352910.083109401</v>
      </c>
      <c r="H130" s="268">
        <v>60882746.345500402</v>
      </c>
      <c r="I130" s="267" t="s">
        <v>753</v>
      </c>
      <c r="J130" s="267" t="s">
        <v>121</v>
      </c>
      <c r="K130" s="267">
        <v>206250</v>
      </c>
      <c r="L130" s="267" t="s">
        <v>699</v>
      </c>
      <c r="M130"/>
      <c r="N130"/>
      <c r="O130"/>
      <c r="P130"/>
      <c r="Q130" s="151"/>
      <c r="R130"/>
      <c r="S130"/>
      <c r="T130"/>
      <c r="U130"/>
      <c r="V130"/>
    </row>
    <row r="131" spans="1:22" x14ac:dyDescent="0.2">
      <c r="A131" s="267" t="s">
        <v>145</v>
      </c>
      <c r="B131" s="267" t="s">
        <v>938</v>
      </c>
      <c r="C131" s="268">
        <v>33</v>
      </c>
      <c r="D131" s="268">
        <v>38</v>
      </c>
      <c r="E131" s="268">
        <v>71</v>
      </c>
      <c r="F131" s="268">
        <v>1080385.2035025</v>
      </c>
      <c r="G131" s="268">
        <v>1776307.8041435999</v>
      </c>
      <c r="H131" s="268">
        <v>2856693.0076461001</v>
      </c>
      <c r="I131" s="267" t="s">
        <v>753</v>
      </c>
      <c r="J131" s="267" t="s">
        <v>121</v>
      </c>
      <c r="K131" s="267">
        <v>208439</v>
      </c>
      <c r="L131" s="267" t="s">
        <v>734</v>
      </c>
      <c r="M131"/>
      <c r="N131"/>
      <c r="O131"/>
      <c r="P131"/>
      <c r="Q131" s="151"/>
      <c r="R131"/>
      <c r="S131"/>
      <c r="T131"/>
      <c r="U131"/>
      <c r="V131"/>
    </row>
    <row r="132" spans="1:22" x14ac:dyDescent="0.2">
      <c r="A132" s="267" t="s">
        <v>226</v>
      </c>
      <c r="B132" s="267" t="s">
        <v>503</v>
      </c>
      <c r="C132" s="268">
        <v>4365</v>
      </c>
      <c r="D132" s="268">
        <v>5900</v>
      </c>
      <c r="E132" s="268">
        <v>10265</v>
      </c>
      <c r="F132" s="268">
        <v>43355784.231030501</v>
      </c>
      <c r="G132" s="268">
        <v>78962438.530259997</v>
      </c>
      <c r="H132" s="268">
        <v>122318222.76129</v>
      </c>
      <c r="I132" s="267" t="s">
        <v>753</v>
      </c>
      <c r="J132" s="267" t="s">
        <v>121</v>
      </c>
      <c r="K132" s="267">
        <v>211748</v>
      </c>
      <c r="L132" s="267" t="s">
        <v>174</v>
      </c>
      <c r="M132"/>
      <c r="N132"/>
      <c r="O132"/>
      <c r="P132"/>
      <c r="Q132" s="151"/>
      <c r="R132"/>
      <c r="S132"/>
      <c r="T132"/>
      <c r="U132"/>
      <c r="V132"/>
    </row>
    <row r="133" spans="1:22" x14ac:dyDescent="0.2">
      <c r="A133" s="267" t="s">
        <v>727</v>
      </c>
      <c r="B133" s="267" t="s">
        <v>723</v>
      </c>
      <c r="C133" s="268">
        <v>31898</v>
      </c>
      <c r="D133" s="268">
        <v>36367</v>
      </c>
      <c r="E133" s="268">
        <v>68265</v>
      </c>
      <c r="F133" s="268">
        <v>910230711.67634392</v>
      </c>
      <c r="G133" s="268">
        <v>1294237621.5065</v>
      </c>
      <c r="H133" s="268">
        <v>2204468333.1828499</v>
      </c>
      <c r="I133" s="267" t="s">
        <v>753</v>
      </c>
      <c r="J133" s="267" t="s">
        <v>121</v>
      </c>
      <c r="K133" s="267">
        <v>212332</v>
      </c>
      <c r="L133" s="267" t="s">
        <v>796</v>
      </c>
      <c r="M133"/>
      <c r="N133"/>
      <c r="O133"/>
      <c r="P133"/>
      <c r="Q133" s="151"/>
      <c r="R133"/>
      <c r="S133"/>
      <c r="T133"/>
      <c r="U133"/>
      <c r="V133"/>
    </row>
    <row r="134" spans="1:22" x14ac:dyDescent="0.2">
      <c r="A134" s="267" t="s">
        <v>491</v>
      </c>
      <c r="B134" s="267" t="s">
        <v>376</v>
      </c>
      <c r="C134" s="268">
        <v>1017</v>
      </c>
      <c r="D134" s="268">
        <v>1099</v>
      </c>
      <c r="E134" s="268">
        <v>2116</v>
      </c>
      <c r="F134" s="268">
        <v>37559370.179540806</v>
      </c>
      <c r="G134" s="268">
        <v>53018147.6371696</v>
      </c>
      <c r="H134" s="268">
        <v>90577517.816710398</v>
      </c>
      <c r="I134" s="267" t="s">
        <v>753</v>
      </c>
      <c r="J134" s="267" t="s">
        <v>122</v>
      </c>
      <c r="K134" s="267">
        <v>214163</v>
      </c>
      <c r="L134" s="267" t="s">
        <v>859</v>
      </c>
      <c r="M134"/>
      <c r="N134"/>
      <c r="O134"/>
      <c r="P134"/>
      <c r="Q134" s="151"/>
      <c r="R134"/>
      <c r="S134"/>
      <c r="T134"/>
      <c r="U134"/>
      <c r="V134"/>
    </row>
    <row r="135" spans="1:22" x14ac:dyDescent="0.2">
      <c r="A135" s="267" t="s">
        <v>473</v>
      </c>
      <c r="B135" s="267" t="s">
        <v>1110</v>
      </c>
      <c r="C135" s="268">
        <v>15223</v>
      </c>
      <c r="D135" s="268">
        <v>13269</v>
      </c>
      <c r="E135" s="268">
        <v>28492</v>
      </c>
      <c r="F135" s="268">
        <v>411666187.895441</v>
      </c>
      <c r="G135" s="268">
        <v>445138102.746984</v>
      </c>
      <c r="H135" s="268">
        <v>856804290.64242494</v>
      </c>
      <c r="I135" s="267" t="s">
        <v>753</v>
      </c>
      <c r="J135" s="267" t="s">
        <v>125</v>
      </c>
      <c r="K135" s="267">
        <v>215996</v>
      </c>
      <c r="L135" s="267" t="s">
        <v>703</v>
      </c>
      <c r="M135"/>
      <c r="N135"/>
      <c r="O135"/>
      <c r="P135"/>
      <c r="Q135" s="151"/>
      <c r="R135"/>
      <c r="S135"/>
      <c r="T135"/>
      <c r="U135"/>
      <c r="V135"/>
    </row>
    <row r="136" spans="1:22" x14ac:dyDescent="0.2">
      <c r="A136" s="267" t="s">
        <v>145</v>
      </c>
      <c r="B136" s="267" t="s">
        <v>72</v>
      </c>
      <c r="C136" s="268">
        <v>9</v>
      </c>
      <c r="D136" s="268">
        <v>3</v>
      </c>
      <c r="E136" s="268">
        <v>12</v>
      </c>
      <c r="F136" s="268">
        <v>243775.60391233602</v>
      </c>
      <c r="G136" s="268">
        <v>68513.353670248907</v>
      </c>
      <c r="H136" s="268">
        <v>312288.95758258499</v>
      </c>
      <c r="I136" s="267" t="s">
        <v>633</v>
      </c>
      <c r="J136" s="267" t="s">
        <v>121</v>
      </c>
      <c r="K136" s="267">
        <v>216408</v>
      </c>
      <c r="L136" s="267" t="s">
        <v>58</v>
      </c>
      <c r="M136"/>
      <c r="N136"/>
      <c r="O136"/>
      <c r="P136"/>
      <c r="Q136" s="151"/>
      <c r="R136"/>
      <c r="S136"/>
      <c r="T136"/>
      <c r="U136"/>
      <c r="V136"/>
    </row>
    <row r="137" spans="1:22" x14ac:dyDescent="0.2">
      <c r="A137" s="267" t="s">
        <v>131</v>
      </c>
      <c r="B137" s="267" t="s">
        <v>995</v>
      </c>
      <c r="C137" s="268">
        <v>1633</v>
      </c>
      <c r="D137" s="268">
        <v>2594</v>
      </c>
      <c r="E137" s="268">
        <v>4227</v>
      </c>
      <c r="F137" s="268">
        <v>35132107.603070602</v>
      </c>
      <c r="G137" s="268">
        <v>67711210.464218989</v>
      </c>
      <c r="H137" s="268">
        <v>102843318.06728999</v>
      </c>
      <c r="I137" s="267" t="s">
        <v>633</v>
      </c>
      <c r="J137" s="267" t="s">
        <v>121</v>
      </c>
      <c r="K137" s="267">
        <v>218297</v>
      </c>
      <c r="L137" s="267" t="s">
        <v>880</v>
      </c>
      <c r="M137"/>
      <c r="N137"/>
      <c r="O137"/>
      <c r="P137"/>
      <c r="Q137" s="151"/>
      <c r="R137"/>
      <c r="S137"/>
      <c r="T137"/>
      <c r="U137"/>
      <c r="V137"/>
    </row>
    <row r="138" spans="1:22" x14ac:dyDescent="0.2">
      <c r="A138" s="267" t="s">
        <v>748</v>
      </c>
      <c r="B138" s="267" t="s">
        <v>107</v>
      </c>
      <c r="C138" s="268">
        <v>345</v>
      </c>
      <c r="D138" s="268">
        <v>410</v>
      </c>
      <c r="E138" s="268">
        <v>755</v>
      </c>
      <c r="F138" s="268">
        <v>5905450.5318570696</v>
      </c>
      <c r="G138" s="268">
        <v>8705831.8419084195</v>
      </c>
      <c r="H138" s="268">
        <v>14611282.3737655</v>
      </c>
      <c r="I138" s="267" t="s">
        <v>633</v>
      </c>
      <c r="J138" s="267" t="s">
        <v>121</v>
      </c>
      <c r="K138" s="267">
        <v>219006</v>
      </c>
      <c r="L138" s="267" t="s">
        <v>754</v>
      </c>
      <c r="M138"/>
      <c r="N138"/>
      <c r="O138"/>
      <c r="P138"/>
      <c r="Q138" s="151"/>
      <c r="R138"/>
      <c r="S138"/>
      <c r="T138"/>
      <c r="U138"/>
      <c r="V138"/>
    </row>
    <row r="139" spans="1:22" x14ac:dyDescent="0.2">
      <c r="A139" s="267" t="s">
        <v>131</v>
      </c>
      <c r="B139" s="267" t="s">
        <v>136</v>
      </c>
      <c r="C139" s="268">
        <v>1390</v>
      </c>
      <c r="D139" s="268">
        <v>2158</v>
      </c>
      <c r="E139" s="268">
        <v>3548</v>
      </c>
      <c r="F139" s="268">
        <v>25912886.940751299</v>
      </c>
      <c r="G139" s="268">
        <v>51028518.784237899</v>
      </c>
      <c r="H139" s="268">
        <v>76941405.724989101</v>
      </c>
      <c r="I139" s="267" t="s">
        <v>633</v>
      </c>
      <c r="J139" s="267" t="s">
        <v>121</v>
      </c>
      <c r="K139" s="267">
        <v>220186</v>
      </c>
      <c r="L139" s="267" t="s">
        <v>449</v>
      </c>
      <c r="M139"/>
      <c r="N139"/>
      <c r="O139"/>
      <c r="P139"/>
      <c r="Q139" s="151"/>
      <c r="R139"/>
      <c r="S139"/>
      <c r="T139"/>
      <c r="U139"/>
      <c r="V139"/>
    </row>
    <row r="140" spans="1:22" x14ac:dyDescent="0.2">
      <c r="A140" s="267" t="s">
        <v>671</v>
      </c>
      <c r="B140" s="267" t="s">
        <v>676</v>
      </c>
      <c r="C140" s="268">
        <v>10580</v>
      </c>
      <c r="D140" s="268">
        <v>11692</v>
      </c>
      <c r="E140" s="268">
        <v>22272</v>
      </c>
      <c r="F140" s="268">
        <v>302420553.46812099</v>
      </c>
      <c r="G140" s="268">
        <v>408381424.73595399</v>
      </c>
      <c r="H140" s="268">
        <v>710801978.20407498</v>
      </c>
      <c r="I140" s="267" t="s">
        <v>753</v>
      </c>
      <c r="J140" s="267" t="s">
        <v>121</v>
      </c>
      <c r="K140" s="267">
        <v>220244</v>
      </c>
      <c r="L140" s="267" t="s">
        <v>675</v>
      </c>
      <c r="M140"/>
      <c r="N140"/>
      <c r="O140"/>
      <c r="P140"/>
      <c r="Q140" s="151"/>
      <c r="R140"/>
      <c r="S140"/>
      <c r="T140"/>
      <c r="U140"/>
      <c r="V140"/>
    </row>
    <row r="141" spans="1:22" x14ac:dyDescent="0.2">
      <c r="A141" s="267" t="s">
        <v>44</v>
      </c>
      <c r="B141" s="267" t="s">
        <v>63</v>
      </c>
      <c r="C141" s="268">
        <v>106</v>
      </c>
      <c r="D141" s="268">
        <v>149</v>
      </c>
      <c r="E141" s="268">
        <v>255</v>
      </c>
      <c r="F141" s="268">
        <v>1487310.18597613</v>
      </c>
      <c r="G141" s="268">
        <v>2445821.4156289799</v>
      </c>
      <c r="H141" s="268">
        <v>3933131.6016051001</v>
      </c>
      <c r="I141" s="267" t="s">
        <v>633</v>
      </c>
      <c r="J141" s="267" t="s">
        <v>121</v>
      </c>
      <c r="K141" s="267">
        <v>222661</v>
      </c>
      <c r="L141" s="267" t="s">
        <v>758</v>
      </c>
      <c r="M141"/>
      <c r="N141"/>
      <c r="O141"/>
      <c r="P141"/>
      <c r="Q141" s="151"/>
      <c r="R141"/>
      <c r="S141"/>
      <c r="T141"/>
      <c r="U141"/>
      <c r="V141"/>
    </row>
    <row r="142" spans="1:22" x14ac:dyDescent="0.2">
      <c r="A142" s="267" t="s">
        <v>145</v>
      </c>
      <c r="B142" s="267" t="s">
        <v>773</v>
      </c>
      <c r="C142" s="268">
        <v>34</v>
      </c>
      <c r="D142" s="268">
        <v>31</v>
      </c>
      <c r="E142" s="268">
        <v>65</v>
      </c>
      <c r="F142" s="268">
        <v>668991.09746842296</v>
      </c>
      <c r="G142" s="268">
        <v>660674.15583491407</v>
      </c>
      <c r="H142" s="268">
        <v>1329665.2533033399</v>
      </c>
      <c r="I142" s="267" t="s">
        <v>633</v>
      </c>
      <c r="J142" s="267" t="s">
        <v>121</v>
      </c>
      <c r="K142" s="267">
        <v>224311</v>
      </c>
      <c r="L142" s="267" t="s">
        <v>767</v>
      </c>
      <c r="M142"/>
      <c r="N142"/>
      <c r="O142"/>
      <c r="P142"/>
      <c r="Q142" s="151"/>
      <c r="R142"/>
      <c r="S142"/>
      <c r="T142"/>
      <c r="U142"/>
      <c r="V142"/>
    </row>
    <row r="143" spans="1:22" x14ac:dyDescent="0.2">
      <c r="A143" s="267" t="s">
        <v>293</v>
      </c>
      <c r="B143" s="267" t="s">
        <v>299</v>
      </c>
      <c r="C143" s="268">
        <v>12173</v>
      </c>
      <c r="D143" s="268">
        <v>4447</v>
      </c>
      <c r="E143" s="268">
        <v>16620</v>
      </c>
      <c r="F143" s="268">
        <v>301186696.823672</v>
      </c>
      <c r="G143" s="268">
        <v>122338055.818078</v>
      </c>
      <c r="H143" s="268">
        <v>423524752.64175004</v>
      </c>
      <c r="I143" s="267" t="s">
        <v>753</v>
      </c>
      <c r="J143" s="267" t="s">
        <v>123</v>
      </c>
      <c r="K143" s="267">
        <v>224493</v>
      </c>
      <c r="L143" s="267" t="s">
        <v>776</v>
      </c>
      <c r="M143"/>
      <c r="N143"/>
      <c r="O143"/>
      <c r="P143"/>
      <c r="Q143" s="151"/>
      <c r="R143"/>
      <c r="S143"/>
      <c r="T143"/>
      <c r="U143"/>
      <c r="V143"/>
    </row>
    <row r="144" spans="1:22" x14ac:dyDescent="0.2">
      <c r="A144" s="267" t="s">
        <v>279</v>
      </c>
      <c r="B144" s="267" t="s">
        <v>932</v>
      </c>
      <c r="C144" s="268">
        <v>608</v>
      </c>
      <c r="D144" s="268">
        <v>1062</v>
      </c>
      <c r="E144" s="268">
        <v>1670</v>
      </c>
      <c r="F144" s="268">
        <v>12454250.7520376</v>
      </c>
      <c r="G144" s="268">
        <v>28460766.154986698</v>
      </c>
      <c r="H144" s="268">
        <v>40915016.907024205</v>
      </c>
      <c r="I144" s="267" t="s">
        <v>633</v>
      </c>
      <c r="J144" s="267" t="s">
        <v>121</v>
      </c>
      <c r="K144" s="267">
        <v>225490</v>
      </c>
      <c r="L144" s="267" t="s">
        <v>920</v>
      </c>
      <c r="M144"/>
      <c r="N144"/>
      <c r="O144"/>
      <c r="P144"/>
      <c r="Q144" s="151"/>
      <c r="R144"/>
      <c r="S144"/>
      <c r="T144"/>
      <c r="U144"/>
      <c r="V144"/>
    </row>
    <row r="145" spans="1:22" x14ac:dyDescent="0.2">
      <c r="A145" s="267" t="s">
        <v>370</v>
      </c>
      <c r="B145" s="267" t="s">
        <v>1079</v>
      </c>
      <c r="C145" s="268">
        <v>2</v>
      </c>
      <c r="D145" s="268">
        <v>7</v>
      </c>
      <c r="E145" s="268">
        <v>9</v>
      </c>
      <c r="F145" s="268">
        <v>30980.875601060397</v>
      </c>
      <c r="G145" s="268">
        <v>116947.491734084</v>
      </c>
      <c r="H145" s="268">
        <v>147928.36733514402</v>
      </c>
      <c r="I145" s="267" t="s">
        <v>753</v>
      </c>
      <c r="J145" s="267" t="s">
        <v>121</v>
      </c>
      <c r="K145" s="267">
        <v>226027</v>
      </c>
      <c r="L145" s="267" t="s">
        <v>13</v>
      </c>
      <c r="M145"/>
      <c r="N145"/>
      <c r="O145"/>
      <c r="P145"/>
      <c r="Q145" s="151"/>
      <c r="R145"/>
      <c r="S145"/>
      <c r="T145"/>
      <c r="U145"/>
      <c r="V145"/>
    </row>
    <row r="146" spans="1:22" x14ac:dyDescent="0.2">
      <c r="A146" s="267" t="s">
        <v>145</v>
      </c>
      <c r="B146" s="267" t="s">
        <v>978</v>
      </c>
      <c r="C146" s="268">
        <v>289</v>
      </c>
      <c r="D146" s="268">
        <v>348</v>
      </c>
      <c r="E146" s="268">
        <v>637</v>
      </c>
      <c r="F146" s="268">
        <v>6997252.0686796</v>
      </c>
      <c r="G146" s="268">
        <v>11148620.7878536</v>
      </c>
      <c r="H146" s="268">
        <v>18145872.8565332</v>
      </c>
      <c r="I146" s="267" t="s">
        <v>753</v>
      </c>
      <c r="J146" s="267" t="s">
        <v>121</v>
      </c>
      <c r="K146" s="267">
        <v>229682</v>
      </c>
      <c r="L146" s="267" t="s">
        <v>809</v>
      </c>
      <c r="M146"/>
      <c r="N146"/>
      <c r="O146"/>
      <c r="P146"/>
      <c r="Q146" s="151"/>
      <c r="R146"/>
      <c r="S146"/>
      <c r="T146"/>
      <c r="U146"/>
      <c r="V146"/>
    </row>
    <row r="147" spans="1:22" x14ac:dyDescent="0.2">
      <c r="A147" s="267" t="s">
        <v>270</v>
      </c>
      <c r="B147" s="267" t="s">
        <v>277</v>
      </c>
      <c r="C147" s="268">
        <v>39875</v>
      </c>
      <c r="D147" s="268">
        <v>38877</v>
      </c>
      <c r="E147" s="268">
        <v>78752</v>
      </c>
      <c r="F147" s="268">
        <v>785478960.73561299</v>
      </c>
      <c r="G147" s="268">
        <v>950018500.17544401</v>
      </c>
      <c r="H147" s="268">
        <v>1735497460.9110601</v>
      </c>
      <c r="I147" s="267" t="s">
        <v>753</v>
      </c>
      <c r="J147" s="267" t="s">
        <v>121</v>
      </c>
      <c r="K147" s="267">
        <v>229922</v>
      </c>
      <c r="L147" s="267" t="s">
        <v>790</v>
      </c>
      <c r="M147"/>
      <c r="N147"/>
      <c r="O147"/>
      <c r="P147"/>
      <c r="Q147" s="151"/>
      <c r="R147"/>
      <c r="S147"/>
      <c r="T147"/>
      <c r="U147"/>
      <c r="V147"/>
    </row>
    <row r="148" spans="1:22" x14ac:dyDescent="0.2">
      <c r="A148" s="267" t="s">
        <v>161</v>
      </c>
      <c r="B148" s="267" t="s">
        <v>558</v>
      </c>
      <c r="C148" s="268">
        <v>494</v>
      </c>
      <c r="D148" s="268">
        <v>739</v>
      </c>
      <c r="E148" s="268">
        <v>1233</v>
      </c>
      <c r="F148" s="268">
        <v>8420276.997579189</v>
      </c>
      <c r="G148" s="268">
        <v>16230144.191687699</v>
      </c>
      <c r="H148" s="268">
        <v>24650421.189266901</v>
      </c>
      <c r="I148" s="267" t="s">
        <v>633</v>
      </c>
      <c r="J148" s="267" t="s">
        <v>121</v>
      </c>
      <c r="K148" s="267">
        <v>231100</v>
      </c>
      <c r="L148" s="267" t="s">
        <v>760</v>
      </c>
      <c r="M148"/>
      <c r="N148"/>
      <c r="O148"/>
      <c r="P148"/>
      <c r="Q148" s="151"/>
      <c r="R148"/>
      <c r="S148"/>
      <c r="T148"/>
      <c r="U148"/>
      <c r="V148"/>
    </row>
    <row r="149" spans="1:22" x14ac:dyDescent="0.2">
      <c r="A149" s="267" t="s">
        <v>270</v>
      </c>
      <c r="B149" s="267" t="s">
        <v>273</v>
      </c>
      <c r="C149" s="268">
        <v>210</v>
      </c>
      <c r="D149" s="268">
        <v>271</v>
      </c>
      <c r="E149" s="268">
        <v>481</v>
      </c>
      <c r="F149" s="268">
        <v>4238415.6013166104</v>
      </c>
      <c r="G149" s="268">
        <v>7077026.12636034</v>
      </c>
      <c r="H149" s="268">
        <v>11315441.727677001</v>
      </c>
      <c r="I149" s="267" t="s">
        <v>633</v>
      </c>
      <c r="J149" s="267" t="s">
        <v>121</v>
      </c>
      <c r="K149" s="267">
        <v>231753</v>
      </c>
      <c r="L149" s="267" t="s">
        <v>259</v>
      </c>
      <c r="M149"/>
      <c r="N149"/>
      <c r="O149"/>
      <c r="P149"/>
      <c r="Q149" s="151"/>
      <c r="R149"/>
      <c r="S149"/>
      <c r="T149"/>
      <c r="U149"/>
      <c r="V149"/>
    </row>
    <row r="150" spans="1:22" x14ac:dyDescent="0.2">
      <c r="A150" s="267" t="s">
        <v>161</v>
      </c>
      <c r="B150" s="267" t="s">
        <v>596</v>
      </c>
      <c r="C150" s="268">
        <v>1219</v>
      </c>
      <c r="D150" s="268">
        <v>1911</v>
      </c>
      <c r="E150" s="268">
        <v>3130</v>
      </c>
      <c r="F150" s="268">
        <v>21977829.006576698</v>
      </c>
      <c r="G150" s="268">
        <v>41466643.637941502</v>
      </c>
      <c r="H150" s="268">
        <v>63444472.644518197</v>
      </c>
      <c r="I150" s="267" t="s">
        <v>633</v>
      </c>
      <c r="J150" s="267" t="s">
        <v>121</v>
      </c>
      <c r="K150" s="267">
        <v>232991</v>
      </c>
      <c r="L150" s="267" t="s">
        <v>434</v>
      </c>
      <c r="M150"/>
      <c r="N150"/>
      <c r="O150"/>
      <c r="P150"/>
      <c r="Q150" s="151"/>
      <c r="R150"/>
      <c r="S150"/>
      <c r="T150"/>
      <c r="U150"/>
      <c r="V150"/>
    </row>
    <row r="151" spans="1:22" x14ac:dyDescent="0.2">
      <c r="A151" s="267" t="s">
        <v>279</v>
      </c>
      <c r="B151" s="267" t="s">
        <v>328</v>
      </c>
      <c r="C151" s="268">
        <v>145</v>
      </c>
      <c r="D151" s="268">
        <v>240</v>
      </c>
      <c r="E151" s="268">
        <v>385</v>
      </c>
      <c r="F151" s="268">
        <v>3474383.4618249396</v>
      </c>
      <c r="G151" s="268">
        <v>6519716.7498758705</v>
      </c>
      <c r="H151" s="268">
        <v>9994100.2117008008</v>
      </c>
      <c r="I151" s="267" t="s">
        <v>633</v>
      </c>
      <c r="J151" s="267" t="s">
        <v>121</v>
      </c>
      <c r="K151" s="267">
        <v>233346</v>
      </c>
      <c r="L151" s="267" t="s">
        <v>812</v>
      </c>
      <c r="M151"/>
      <c r="N151"/>
      <c r="O151"/>
      <c r="P151"/>
      <c r="Q151" s="151"/>
      <c r="R151"/>
      <c r="S151"/>
      <c r="T151"/>
      <c r="U151"/>
      <c r="V151"/>
    </row>
    <row r="152" spans="1:22" x14ac:dyDescent="0.2">
      <c r="A152" s="267" t="s">
        <v>131</v>
      </c>
      <c r="B152" s="267" t="s">
        <v>600</v>
      </c>
      <c r="C152" s="268">
        <v>1107</v>
      </c>
      <c r="D152" s="268">
        <v>1914</v>
      </c>
      <c r="E152" s="268">
        <v>3021</v>
      </c>
      <c r="F152" s="268">
        <v>22984263.2493679</v>
      </c>
      <c r="G152" s="268">
        <v>51296772.802844301</v>
      </c>
      <c r="H152" s="268">
        <v>74281036.052212194</v>
      </c>
      <c r="I152" s="267" t="s">
        <v>633</v>
      </c>
      <c r="J152" s="267" t="s">
        <v>121</v>
      </c>
      <c r="K152" s="267">
        <v>233460</v>
      </c>
      <c r="L152" s="267" t="s">
        <v>812</v>
      </c>
      <c r="M152"/>
      <c r="N152"/>
      <c r="O152"/>
      <c r="P152"/>
      <c r="Q152" s="151"/>
      <c r="R152"/>
      <c r="S152"/>
      <c r="T152"/>
      <c r="U152"/>
      <c r="V152"/>
    </row>
    <row r="153" spans="1:22" x14ac:dyDescent="0.2">
      <c r="A153" s="267" t="s">
        <v>367</v>
      </c>
      <c r="B153" s="267" t="s">
        <v>144</v>
      </c>
      <c r="C153" s="268">
        <v>4949</v>
      </c>
      <c r="D153" s="268">
        <v>7678</v>
      </c>
      <c r="E153" s="268">
        <v>12627</v>
      </c>
      <c r="F153" s="268">
        <v>103612578.61356899</v>
      </c>
      <c r="G153" s="268">
        <v>208012110.51421699</v>
      </c>
      <c r="H153" s="268">
        <v>311624689.12778604</v>
      </c>
      <c r="I153" s="267" t="s">
        <v>633</v>
      </c>
      <c r="J153" s="267" t="s">
        <v>121</v>
      </c>
      <c r="K153" s="267">
        <v>233585</v>
      </c>
      <c r="L153" s="267" t="s">
        <v>782</v>
      </c>
      <c r="M153"/>
      <c r="N153"/>
      <c r="O153"/>
      <c r="P153"/>
      <c r="Q153" s="151"/>
      <c r="R153"/>
      <c r="S153"/>
      <c r="T153"/>
      <c r="U153"/>
      <c r="V153"/>
    </row>
    <row r="154" spans="1:22" x14ac:dyDescent="0.2">
      <c r="A154" s="267" t="s">
        <v>301</v>
      </c>
      <c r="B154" s="267" t="s">
        <v>66</v>
      </c>
      <c r="C154" s="268">
        <v>8</v>
      </c>
      <c r="D154" s="268">
        <v>12</v>
      </c>
      <c r="E154" s="268">
        <v>20</v>
      </c>
      <c r="F154" s="268">
        <v>164463.04688224199</v>
      </c>
      <c r="G154" s="268">
        <v>221579.904144206</v>
      </c>
      <c r="H154" s="268">
        <v>386042.95102644706</v>
      </c>
      <c r="I154" s="267" t="s">
        <v>633</v>
      </c>
      <c r="J154" s="267" t="s">
        <v>123</v>
      </c>
      <c r="K154" s="267">
        <v>235234</v>
      </c>
      <c r="L154" s="267" t="s">
        <v>362</v>
      </c>
      <c r="M154"/>
      <c r="N154"/>
      <c r="O154"/>
      <c r="P154"/>
      <c r="Q154" s="151"/>
      <c r="R154"/>
      <c r="S154"/>
      <c r="T154"/>
      <c r="U154"/>
      <c r="V154"/>
    </row>
    <row r="155" spans="1:22" x14ac:dyDescent="0.2">
      <c r="A155" s="267" t="s">
        <v>369</v>
      </c>
      <c r="B155" s="267" t="s">
        <v>621</v>
      </c>
      <c r="C155" s="268">
        <v>2129</v>
      </c>
      <c r="D155" s="268">
        <v>3203</v>
      </c>
      <c r="E155" s="268">
        <v>5332</v>
      </c>
      <c r="F155" s="268">
        <v>37640216.390321806</v>
      </c>
      <c r="G155" s="268">
        <v>73528464.429628402</v>
      </c>
      <c r="H155" s="268">
        <v>111168680.81995</v>
      </c>
      <c r="I155" s="267" t="s">
        <v>633</v>
      </c>
      <c r="J155" s="267" t="s">
        <v>121</v>
      </c>
      <c r="K155" s="267">
        <v>235291</v>
      </c>
      <c r="L155" s="267" t="s">
        <v>354</v>
      </c>
      <c r="M155"/>
      <c r="N155"/>
      <c r="O155"/>
      <c r="P155"/>
      <c r="Q155" s="151"/>
      <c r="R155"/>
      <c r="S155"/>
      <c r="T155"/>
      <c r="U155"/>
      <c r="V155"/>
    </row>
    <row r="156" spans="1:22" x14ac:dyDescent="0.2">
      <c r="A156" s="267" t="s">
        <v>145</v>
      </c>
      <c r="B156" s="267" t="s">
        <v>1014</v>
      </c>
      <c r="C156" s="268">
        <v>2946</v>
      </c>
      <c r="D156" s="268">
        <v>3980</v>
      </c>
      <c r="E156" s="268">
        <v>6926</v>
      </c>
      <c r="F156" s="268">
        <v>259099549.99185899</v>
      </c>
      <c r="G156" s="268">
        <v>418844584.48422498</v>
      </c>
      <c r="H156" s="268">
        <v>677944134.47608495</v>
      </c>
      <c r="I156" s="267" t="s">
        <v>633</v>
      </c>
      <c r="J156" s="267" t="s">
        <v>121</v>
      </c>
      <c r="K156" s="267">
        <v>237008</v>
      </c>
      <c r="L156" s="267" t="s">
        <v>454</v>
      </c>
      <c r="M156"/>
      <c r="N156"/>
      <c r="O156"/>
      <c r="P156"/>
      <c r="Q156" s="151"/>
      <c r="R156"/>
      <c r="S156"/>
      <c r="T156"/>
      <c r="U156"/>
      <c r="V156"/>
    </row>
    <row r="157" spans="1:22" x14ac:dyDescent="0.2">
      <c r="A157" s="267" t="s">
        <v>748</v>
      </c>
      <c r="B157" s="267" t="s">
        <v>42</v>
      </c>
      <c r="C157" s="268">
        <v>752</v>
      </c>
      <c r="D157" s="268">
        <v>929</v>
      </c>
      <c r="E157" s="268">
        <v>1681</v>
      </c>
      <c r="F157" s="268">
        <v>17243723.1306291</v>
      </c>
      <c r="G157" s="268">
        <v>26895856.099142902</v>
      </c>
      <c r="H157" s="268">
        <v>44139579.229771905</v>
      </c>
      <c r="I157" s="267" t="s">
        <v>633</v>
      </c>
      <c r="J157" s="267" t="s">
        <v>121</v>
      </c>
      <c r="K157" s="267">
        <v>237834</v>
      </c>
      <c r="L157" s="267" t="s">
        <v>41</v>
      </c>
      <c r="M157"/>
      <c r="N157"/>
      <c r="O157"/>
      <c r="P157"/>
      <c r="Q157" s="151"/>
      <c r="R157"/>
      <c r="S157"/>
      <c r="T157"/>
      <c r="U157"/>
      <c r="V157"/>
    </row>
    <row r="158" spans="1:22" x14ac:dyDescent="0.2">
      <c r="A158" s="267" t="s">
        <v>44</v>
      </c>
      <c r="B158" s="267" t="s">
        <v>316</v>
      </c>
      <c r="C158" s="268">
        <v>29</v>
      </c>
      <c r="D158" s="268">
        <v>63</v>
      </c>
      <c r="E158" s="268">
        <v>92</v>
      </c>
      <c r="F158" s="268">
        <v>609437.40683454194</v>
      </c>
      <c r="G158" s="268">
        <v>1361150.7920258699</v>
      </c>
      <c r="H158" s="268">
        <v>1970588.1988604199</v>
      </c>
      <c r="I158" s="267" t="s">
        <v>633</v>
      </c>
      <c r="J158" s="267" t="s">
        <v>121</v>
      </c>
      <c r="K158" s="267">
        <v>238832</v>
      </c>
      <c r="L158" s="267" t="s">
        <v>303</v>
      </c>
      <c r="M158"/>
      <c r="N158"/>
      <c r="O158"/>
      <c r="P158"/>
      <c r="Q158" s="151"/>
      <c r="R158"/>
      <c r="S158"/>
      <c r="T158"/>
      <c r="U158"/>
      <c r="V158"/>
    </row>
    <row r="159" spans="1:22" x14ac:dyDescent="0.2">
      <c r="A159" s="267" t="s">
        <v>301</v>
      </c>
      <c r="B159" s="267" t="s">
        <v>16</v>
      </c>
      <c r="C159" s="268">
        <v>10939</v>
      </c>
      <c r="D159" s="268">
        <v>12401</v>
      </c>
      <c r="E159" s="268">
        <v>23340</v>
      </c>
      <c r="F159" s="268">
        <v>70821555.25691691</v>
      </c>
      <c r="G159" s="268">
        <v>98763079.778190196</v>
      </c>
      <c r="H159" s="268">
        <v>169584635.03510699</v>
      </c>
      <c r="I159" s="267" t="s">
        <v>633</v>
      </c>
      <c r="J159" s="267" t="s">
        <v>123</v>
      </c>
      <c r="K159" s="267">
        <v>240663</v>
      </c>
      <c r="L159" s="267" t="s">
        <v>17</v>
      </c>
      <c r="M159"/>
      <c r="N159"/>
      <c r="O159"/>
      <c r="P159"/>
      <c r="Q159" s="151"/>
      <c r="R159"/>
      <c r="S159"/>
      <c r="T159"/>
      <c r="U159"/>
      <c r="V159"/>
    </row>
    <row r="160" spans="1:22" x14ac:dyDescent="0.2">
      <c r="A160" s="267" t="s">
        <v>44</v>
      </c>
      <c r="B160" s="267" t="s">
        <v>1118</v>
      </c>
      <c r="C160" s="268">
        <v>1902</v>
      </c>
      <c r="D160" s="268">
        <v>2098</v>
      </c>
      <c r="E160" s="268">
        <v>4000</v>
      </c>
      <c r="F160" s="268">
        <v>35630514.416330196</v>
      </c>
      <c r="G160" s="268">
        <v>47492506.770964198</v>
      </c>
      <c r="H160" s="268">
        <v>83123021.187294394</v>
      </c>
      <c r="I160" s="267" t="s">
        <v>633</v>
      </c>
      <c r="J160" s="267" t="s">
        <v>121</v>
      </c>
      <c r="K160" s="267">
        <v>241497</v>
      </c>
      <c r="L160" s="267" t="s">
        <v>764</v>
      </c>
      <c r="M160"/>
      <c r="N160"/>
      <c r="O160"/>
      <c r="P160"/>
      <c r="Q160" s="151"/>
      <c r="R160"/>
      <c r="S160"/>
      <c r="T160"/>
      <c r="U160"/>
      <c r="V160"/>
    </row>
    <row r="161" spans="1:22" x14ac:dyDescent="0.2">
      <c r="A161" s="267" t="s">
        <v>546</v>
      </c>
      <c r="B161" s="267" t="s">
        <v>610</v>
      </c>
      <c r="C161" s="268">
        <v>3473</v>
      </c>
      <c r="D161" s="268">
        <v>3020</v>
      </c>
      <c r="E161" s="268">
        <v>6493</v>
      </c>
      <c r="F161" s="268">
        <v>92812978.601105288</v>
      </c>
      <c r="G161" s="268">
        <v>103330093.55854</v>
      </c>
      <c r="H161" s="268">
        <v>196143072.15964499</v>
      </c>
      <c r="I161" s="267" t="s">
        <v>753</v>
      </c>
      <c r="J161" s="267" t="s">
        <v>122</v>
      </c>
      <c r="K161" s="267">
        <v>242081</v>
      </c>
      <c r="L161" s="267" t="s">
        <v>699</v>
      </c>
      <c r="M161"/>
      <c r="N161"/>
      <c r="O161"/>
      <c r="P161"/>
      <c r="Q161" s="151"/>
      <c r="R161"/>
      <c r="S161"/>
      <c r="T161"/>
      <c r="U161"/>
      <c r="V161"/>
    </row>
    <row r="162" spans="1:22" x14ac:dyDescent="0.2">
      <c r="A162" s="267" t="s">
        <v>748</v>
      </c>
      <c r="B162" s="267" t="s">
        <v>925</v>
      </c>
      <c r="C162" s="268">
        <v>436</v>
      </c>
      <c r="D162" s="268">
        <v>599</v>
      </c>
      <c r="E162" s="268">
        <v>1035</v>
      </c>
      <c r="F162" s="268">
        <v>8369539.4118635599</v>
      </c>
      <c r="G162" s="268">
        <v>13371202.4342159</v>
      </c>
      <c r="H162" s="268">
        <v>21740741.846079502</v>
      </c>
      <c r="I162" s="267" t="s">
        <v>633</v>
      </c>
      <c r="J162" s="267" t="s">
        <v>121</v>
      </c>
      <c r="K162" s="267">
        <v>242495</v>
      </c>
      <c r="L162" s="267" t="s">
        <v>920</v>
      </c>
      <c r="M162"/>
      <c r="N162"/>
      <c r="O162"/>
      <c r="P162"/>
      <c r="Q162" s="151"/>
      <c r="R162"/>
      <c r="S162"/>
      <c r="T162"/>
      <c r="U162"/>
      <c r="V162"/>
    </row>
    <row r="163" spans="1:22" x14ac:dyDescent="0.2">
      <c r="A163" s="267" t="s">
        <v>473</v>
      </c>
      <c r="B163" s="267" t="s">
        <v>1098</v>
      </c>
      <c r="C163" s="268">
        <v>1081</v>
      </c>
      <c r="D163" s="268">
        <v>970</v>
      </c>
      <c r="E163" s="268">
        <v>2051</v>
      </c>
      <c r="F163" s="268">
        <v>27762462.4629017</v>
      </c>
      <c r="G163" s="268">
        <v>30403889.159147102</v>
      </c>
      <c r="H163" s="268">
        <v>58166351.622048803</v>
      </c>
      <c r="I163" s="267" t="s">
        <v>633</v>
      </c>
      <c r="J163" s="267" t="s">
        <v>125</v>
      </c>
      <c r="K163" s="267">
        <v>243022</v>
      </c>
      <c r="L163" s="267" t="s">
        <v>1094</v>
      </c>
      <c r="M163"/>
      <c r="N163"/>
      <c r="O163"/>
      <c r="P163"/>
      <c r="Q163" s="151"/>
      <c r="R163"/>
      <c r="S163"/>
      <c r="T163"/>
      <c r="U163"/>
      <c r="V163"/>
    </row>
    <row r="164" spans="1:22" x14ac:dyDescent="0.2">
      <c r="A164" s="267" t="s">
        <v>367</v>
      </c>
      <c r="B164" s="267" t="s">
        <v>37</v>
      </c>
      <c r="C164" s="268">
        <v>224</v>
      </c>
      <c r="D164" s="268">
        <v>362</v>
      </c>
      <c r="E164" s="268">
        <v>586</v>
      </c>
      <c r="F164" s="268">
        <v>3961750.48437616</v>
      </c>
      <c r="G164" s="268">
        <v>8035346.4947989807</v>
      </c>
      <c r="H164" s="268">
        <v>11997096.9791751</v>
      </c>
      <c r="I164" s="267" t="s">
        <v>633</v>
      </c>
      <c r="J164" s="267" t="s">
        <v>121</v>
      </c>
      <c r="K164" s="267">
        <v>246868</v>
      </c>
      <c r="L164" s="267" t="s">
        <v>434</v>
      </c>
      <c r="M164"/>
      <c r="N164"/>
      <c r="O164"/>
      <c r="P164"/>
      <c r="Q164" s="151"/>
      <c r="R164"/>
      <c r="S164"/>
      <c r="T164"/>
      <c r="U164"/>
      <c r="V164"/>
    </row>
    <row r="165" spans="1:22" x14ac:dyDescent="0.2">
      <c r="A165" s="267" t="s">
        <v>102</v>
      </c>
      <c r="B165" s="267" t="s">
        <v>960</v>
      </c>
      <c r="C165" s="268">
        <v>20020</v>
      </c>
      <c r="D165" s="268">
        <v>23914</v>
      </c>
      <c r="E165" s="268">
        <v>43934</v>
      </c>
      <c r="F165" s="268">
        <v>363455035.554299</v>
      </c>
      <c r="G165" s="268">
        <v>535061768.898682</v>
      </c>
      <c r="H165" s="268">
        <v>898516804.452981</v>
      </c>
      <c r="I165" s="267" t="s">
        <v>753</v>
      </c>
      <c r="J165" s="267" t="s">
        <v>121</v>
      </c>
      <c r="K165" s="267">
        <v>248161</v>
      </c>
      <c r="L165" s="267" t="s">
        <v>796</v>
      </c>
      <c r="M165"/>
      <c r="N165"/>
      <c r="O165"/>
      <c r="P165"/>
      <c r="Q165" s="151"/>
      <c r="R165"/>
      <c r="S165"/>
      <c r="T165"/>
      <c r="U165"/>
      <c r="V165"/>
    </row>
    <row r="166" spans="1:22" x14ac:dyDescent="0.2">
      <c r="A166" s="267" t="s">
        <v>368</v>
      </c>
      <c r="B166" s="267" t="s">
        <v>398</v>
      </c>
      <c r="C166" s="268">
        <v>27347</v>
      </c>
      <c r="D166" s="268">
        <v>41743</v>
      </c>
      <c r="E166" s="268">
        <v>69090</v>
      </c>
      <c r="F166" s="268">
        <v>887162069.42595398</v>
      </c>
      <c r="G166" s="268">
        <v>1825537109.4981899</v>
      </c>
      <c r="H166" s="268">
        <v>2712699178.92414</v>
      </c>
      <c r="I166" s="267" t="s">
        <v>753</v>
      </c>
      <c r="J166" s="267" t="s">
        <v>121</v>
      </c>
      <c r="K166" s="267">
        <v>249995</v>
      </c>
      <c r="L166" s="267" t="s">
        <v>859</v>
      </c>
      <c r="M166"/>
      <c r="N166"/>
      <c r="O166"/>
      <c r="P166"/>
      <c r="Q166" s="151"/>
      <c r="R166"/>
      <c r="S166"/>
      <c r="T166"/>
      <c r="U166"/>
      <c r="V166"/>
    </row>
    <row r="167" spans="1:22" x14ac:dyDescent="0.2">
      <c r="A167" s="267" t="s">
        <v>301</v>
      </c>
      <c r="B167" s="267" t="s">
        <v>419</v>
      </c>
      <c r="C167" s="268">
        <v>2750</v>
      </c>
      <c r="D167" s="268">
        <v>4599</v>
      </c>
      <c r="E167" s="268">
        <v>7349</v>
      </c>
      <c r="F167" s="268">
        <v>178205683.75017902</v>
      </c>
      <c r="G167" s="268">
        <v>332187629.66735899</v>
      </c>
      <c r="H167" s="268">
        <v>510393313.41753799</v>
      </c>
      <c r="I167" s="267" t="s">
        <v>753</v>
      </c>
      <c r="J167" s="267" t="s">
        <v>123</v>
      </c>
      <c r="K167" s="267">
        <v>250340</v>
      </c>
      <c r="L167" s="267" t="s">
        <v>1128</v>
      </c>
      <c r="M167"/>
      <c r="N167"/>
      <c r="O167"/>
      <c r="P167"/>
      <c r="Q167" s="151"/>
      <c r="R167"/>
      <c r="S167"/>
      <c r="T167"/>
      <c r="U167"/>
      <c r="V167"/>
    </row>
    <row r="168" spans="1:22" x14ac:dyDescent="0.2">
      <c r="A168" s="267" t="s">
        <v>626</v>
      </c>
      <c r="B168" s="267" t="s">
        <v>622</v>
      </c>
      <c r="C168" s="268">
        <v>1564</v>
      </c>
      <c r="D168" s="268">
        <v>1614</v>
      </c>
      <c r="E168" s="268">
        <v>3178</v>
      </c>
      <c r="F168" s="268">
        <v>34697705.8831999</v>
      </c>
      <c r="G168" s="268">
        <v>44740001.6195601</v>
      </c>
      <c r="H168" s="268">
        <v>79437707.502759993</v>
      </c>
      <c r="I168" s="267" t="s">
        <v>633</v>
      </c>
      <c r="J168" s="267" t="s">
        <v>122</v>
      </c>
      <c r="K168" s="267">
        <v>252296</v>
      </c>
      <c r="L168" s="267" t="s">
        <v>795</v>
      </c>
      <c r="M168"/>
      <c r="N168"/>
      <c r="O168"/>
      <c r="P168"/>
      <c r="Q168" s="151"/>
      <c r="R168"/>
      <c r="S168"/>
      <c r="T168"/>
      <c r="U168"/>
      <c r="V168"/>
    </row>
    <row r="169" spans="1:22" x14ac:dyDescent="0.2">
      <c r="A169" s="267" t="s">
        <v>279</v>
      </c>
      <c r="B169" s="267" t="s">
        <v>1013</v>
      </c>
      <c r="C169" s="268">
        <v>164</v>
      </c>
      <c r="D169" s="268">
        <v>205</v>
      </c>
      <c r="E169" s="268">
        <v>369</v>
      </c>
      <c r="F169" s="268">
        <v>2780119.9071450098</v>
      </c>
      <c r="G169" s="268">
        <v>4713421.1613983</v>
      </c>
      <c r="H169" s="268">
        <v>7493541.0685433103</v>
      </c>
      <c r="I169" s="267" t="s">
        <v>633</v>
      </c>
      <c r="J169" s="267" t="s">
        <v>121</v>
      </c>
      <c r="K169" s="267">
        <v>252353</v>
      </c>
      <c r="L169" s="267" t="s">
        <v>756</v>
      </c>
      <c r="M169"/>
      <c r="N169"/>
      <c r="O169"/>
      <c r="P169"/>
      <c r="Q169" s="151"/>
      <c r="R169"/>
      <c r="S169"/>
      <c r="T169"/>
      <c r="U169"/>
      <c r="V169"/>
    </row>
    <row r="170" spans="1:22" x14ac:dyDescent="0.2">
      <c r="A170" s="267" t="s">
        <v>145</v>
      </c>
      <c r="B170" s="267" t="s">
        <v>806</v>
      </c>
      <c r="C170" s="268">
        <v>5725</v>
      </c>
      <c r="D170" s="268">
        <v>7210</v>
      </c>
      <c r="E170" s="268">
        <v>12935</v>
      </c>
      <c r="F170" s="268">
        <v>143423893.79479599</v>
      </c>
      <c r="G170" s="268">
        <v>213137156.18927401</v>
      </c>
      <c r="H170" s="268">
        <v>356561049.98407102</v>
      </c>
      <c r="I170" s="267" t="s">
        <v>753</v>
      </c>
      <c r="J170" s="267" t="s">
        <v>121</v>
      </c>
      <c r="K170" s="267">
        <v>252411</v>
      </c>
      <c r="L170" s="267" t="s">
        <v>433</v>
      </c>
      <c r="M170"/>
      <c r="N170"/>
      <c r="O170"/>
      <c r="P170"/>
      <c r="Q170" s="151"/>
      <c r="R170"/>
      <c r="S170"/>
      <c r="T170"/>
      <c r="U170"/>
      <c r="V170"/>
    </row>
    <row r="171" spans="1:22" x14ac:dyDescent="0.2">
      <c r="A171" s="267" t="s">
        <v>671</v>
      </c>
      <c r="B171" s="267" t="s">
        <v>706</v>
      </c>
      <c r="C171" s="268">
        <v>12432</v>
      </c>
      <c r="D171" s="268">
        <v>11855</v>
      </c>
      <c r="E171" s="268">
        <v>24287</v>
      </c>
      <c r="F171" s="268">
        <v>257437283.158903</v>
      </c>
      <c r="G171" s="268">
        <v>302676649.80103499</v>
      </c>
      <c r="H171" s="268">
        <v>560113932.95993793</v>
      </c>
      <c r="I171" s="267" t="s">
        <v>753</v>
      </c>
      <c r="J171" s="267" t="s">
        <v>121</v>
      </c>
      <c r="K171" s="267">
        <v>254185</v>
      </c>
      <c r="L171" s="267" t="s">
        <v>703</v>
      </c>
      <c r="M171"/>
      <c r="N171"/>
      <c r="O171"/>
      <c r="P171"/>
      <c r="Q171" s="151"/>
      <c r="R171"/>
      <c r="S171"/>
      <c r="T171"/>
      <c r="U171"/>
      <c r="V171"/>
    </row>
    <row r="172" spans="1:22" x14ac:dyDescent="0.2">
      <c r="A172" s="267" t="s">
        <v>270</v>
      </c>
      <c r="B172" s="267" t="s">
        <v>445</v>
      </c>
      <c r="C172" s="268">
        <v>1570</v>
      </c>
      <c r="D172" s="268">
        <v>1955</v>
      </c>
      <c r="E172" s="268">
        <v>3525</v>
      </c>
      <c r="F172" s="268">
        <v>30840994.9909091</v>
      </c>
      <c r="G172" s="268">
        <v>52421068.973877899</v>
      </c>
      <c r="H172" s="268">
        <v>83262063.964787006</v>
      </c>
      <c r="I172" s="267" t="s">
        <v>753</v>
      </c>
      <c r="J172" s="267" t="s">
        <v>121</v>
      </c>
      <c r="K172" s="267">
        <v>255836</v>
      </c>
      <c r="L172" s="267" t="s">
        <v>446</v>
      </c>
      <c r="M172"/>
      <c r="N172"/>
      <c r="O172"/>
      <c r="P172"/>
      <c r="Q172" s="151"/>
      <c r="R172"/>
      <c r="S172"/>
      <c r="T172"/>
      <c r="U172"/>
      <c r="V172"/>
    </row>
    <row r="173" spans="1:22" x14ac:dyDescent="0.2">
      <c r="A173" s="267" t="s">
        <v>131</v>
      </c>
      <c r="B173" s="267" t="s">
        <v>244</v>
      </c>
      <c r="C173" s="268">
        <v>19</v>
      </c>
      <c r="D173" s="268">
        <v>41</v>
      </c>
      <c r="E173" s="268">
        <v>60</v>
      </c>
      <c r="F173" s="268">
        <v>339845.51427232701</v>
      </c>
      <c r="G173" s="268">
        <v>1340820.69307058</v>
      </c>
      <c r="H173" s="268">
        <v>1680666.2073429101</v>
      </c>
      <c r="I173" s="267" t="s">
        <v>633</v>
      </c>
      <c r="J173" s="267" t="s">
        <v>121</v>
      </c>
      <c r="K173" s="267">
        <v>255893</v>
      </c>
      <c r="L173" s="267" t="s">
        <v>767</v>
      </c>
      <c r="M173"/>
      <c r="N173"/>
      <c r="O173"/>
      <c r="P173"/>
      <c r="Q173" s="151"/>
      <c r="R173"/>
      <c r="S173"/>
      <c r="T173"/>
      <c r="U173"/>
      <c r="V173"/>
    </row>
    <row r="174" spans="1:22" x14ac:dyDescent="0.2">
      <c r="A174" s="267" t="s">
        <v>626</v>
      </c>
      <c r="B174" s="267" t="s">
        <v>382</v>
      </c>
      <c r="C174" s="268">
        <v>418</v>
      </c>
      <c r="D174" s="268">
        <v>424</v>
      </c>
      <c r="E174" s="268">
        <v>842</v>
      </c>
      <c r="F174" s="268">
        <v>7160332.2594925398</v>
      </c>
      <c r="G174" s="268">
        <v>9389279.5102655701</v>
      </c>
      <c r="H174" s="268">
        <v>16549611.7697581</v>
      </c>
      <c r="I174" s="267" t="s">
        <v>633</v>
      </c>
      <c r="J174" s="267" t="s">
        <v>122</v>
      </c>
      <c r="K174" s="267">
        <v>259499</v>
      </c>
      <c r="L174" s="267" t="s">
        <v>88</v>
      </c>
      <c r="M174"/>
      <c r="N174"/>
      <c r="O174"/>
      <c r="P174"/>
      <c r="Q174" s="151"/>
      <c r="R174"/>
      <c r="S174"/>
      <c r="T174"/>
      <c r="U174"/>
      <c r="V174"/>
    </row>
    <row r="175" spans="1:22" x14ac:dyDescent="0.2">
      <c r="A175" s="267" t="s">
        <v>293</v>
      </c>
      <c r="B175" s="267" t="s">
        <v>300</v>
      </c>
      <c r="C175" s="268">
        <v>10853</v>
      </c>
      <c r="D175" s="268">
        <v>4534</v>
      </c>
      <c r="E175" s="268">
        <v>15387</v>
      </c>
      <c r="F175" s="268">
        <v>303421092.87332404</v>
      </c>
      <c r="G175" s="268">
        <v>142807331.42935899</v>
      </c>
      <c r="H175" s="268">
        <v>446228424.302683</v>
      </c>
      <c r="I175" s="267" t="s">
        <v>753</v>
      </c>
      <c r="J175" s="267" t="s">
        <v>123</v>
      </c>
      <c r="K175" s="267">
        <v>260323</v>
      </c>
      <c r="L175" s="267" t="s">
        <v>776</v>
      </c>
      <c r="M175"/>
      <c r="N175"/>
      <c r="O175"/>
      <c r="P175"/>
      <c r="Q175" s="151"/>
      <c r="R175"/>
      <c r="S175"/>
      <c r="T175"/>
      <c r="U175"/>
      <c r="V175"/>
    </row>
    <row r="176" spans="1:22" x14ac:dyDescent="0.2">
      <c r="A176" s="267" t="s">
        <v>371</v>
      </c>
      <c r="B176" s="267" t="s">
        <v>21</v>
      </c>
      <c r="C176" s="268">
        <v>7530</v>
      </c>
      <c r="D176" s="268">
        <v>9507</v>
      </c>
      <c r="E176" s="268">
        <v>17037</v>
      </c>
      <c r="F176" s="268">
        <v>138520688.25596002</v>
      </c>
      <c r="G176" s="268">
        <v>212092039.24443802</v>
      </c>
      <c r="H176" s="268">
        <v>350612727.50039703</v>
      </c>
      <c r="I176" s="267" t="s">
        <v>633</v>
      </c>
      <c r="J176" s="267" t="s">
        <v>121</v>
      </c>
      <c r="K176" s="267">
        <v>260919</v>
      </c>
      <c r="L176" s="267" t="s">
        <v>423</v>
      </c>
      <c r="M176"/>
      <c r="N176"/>
      <c r="O176"/>
      <c r="P176"/>
      <c r="Q176" s="151"/>
      <c r="R176"/>
      <c r="S176"/>
      <c r="T176"/>
      <c r="U176"/>
      <c r="V176"/>
    </row>
    <row r="177" spans="1:22" x14ac:dyDescent="0.2">
      <c r="A177" s="267" t="s">
        <v>239</v>
      </c>
      <c r="B177" s="267" t="s">
        <v>1076</v>
      </c>
      <c r="C177" s="268">
        <v>5</v>
      </c>
      <c r="D177" s="268">
        <v>9</v>
      </c>
      <c r="E177" s="268">
        <v>14</v>
      </c>
      <c r="F177" s="268">
        <v>66170.425084350005</v>
      </c>
      <c r="G177" s="268">
        <v>231166.38314865102</v>
      </c>
      <c r="H177" s="268">
        <v>297336.80823300098</v>
      </c>
      <c r="I177" s="267" t="s">
        <v>753</v>
      </c>
      <c r="J177" s="267" t="s">
        <v>121</v>
      </c>
      <c r="K177" s="267">
        <v>261859</v>
      </c>
      <c r="L177" s="267" t="s">
        <v>13</v>
      </c>
      <c r="M177"/>
      <c r="N177"/>
      <c r="O177"/>
      <c r="P177"/>
      <c r="Q177" s="151"/>
      <c r="R177"/>
      <c r="S177"/>
      <c r="T177"/>
      <c r="U177"/>
      <c r="V177"/>
    </row>
    <row r="178" spans="1:22" x14ac:dyDescent="0.2">
      <c r="A178" s="267" t="s">
        <v>279</v>
      </c>
      <c r="B178" s="267" t="s">
        <v>284</v>
      </c>
      <c r="C178" s="268">
        <v>1828</v>
      </c>
      <c r="D178" s="268">
        <v>2682</v>
      </c>
      <c r="E178" s="268">
        <v>4510</v>
      </c>
      <c r="F178" s="268">
        <v>28207433.056334998</v>
      </c>
      <c r="G178" s="268">
        <v>52406163.250768095</v>
      </c>
      <c r="H178" s="268">
        <v>80613596.307103112</v>
      </c>
      <c r="I178" s="267" t="s">
        <v>633</v>
      </c>
      <c r="J178" s="267" t="s">
        <v>121</v>
      </c>
      <c r="K178" s="267">
        <v>262741</v>
      </c>
      <c r="L178" s="267" t="s">
        <v>354</v>
      </c>
      <c r="M178"/>
      <c r="N178"/>
      <c r="O178"/>
      <c r="P178"/>
      <c r="Q178" s="151"/>
      <c r="R178"/>
      <c r="S178"/>
      <c r="T178"/>
      <c r="U178"/>
      <c r="V178"/>
    </row>
    <row r="179" spans="1:22" x14ac:dyDescent="0.2">
      <c r="A179" s="267" t="s">
        <v>546</v>
      </c>
      <c r="B179" s="267" t="s">
        <v>977</v>
      </c>
      <c r="C179" s="268">
        <v>207</v>
      </c>
      <c r="D179" s="268">
        <v>309</v>
      </c>
      <c r="E179" s="268">
        <v>516</v>
      </c>
      <c r="F179" s="268">
        <v>8346315.6768728998</v>
      </c>
      <c r="G179" s="268">
        <v>13633837.765528599</v>
      </c>
      <c r="H179" s="268">
        <v>21980153.442401502</v>
      </c>
      <c r="I179" s="267" t="s">
        <v>753</v>
      </c>
      <c r="J179" s="267" t="s">
        <v>122</v>
      </c>
      <c r="K179" s="267">
        <v>265512</v>
      </c>
      <c r="L179" s="267" t="s">
        <v>809</v>
      </c>
      <c r="M179"/>
      <c r="N179"/>
      <c r="O179"/>
      <c r="P179"/>
      <c r="Q179" s="151"/>
      <c r="R179"/>
      <c r="S179"/>
      <c r="T179"/>
      <c r="U179"/>
      <c r="V179"/>
    </row>
    <row r="180" spans="1:22" x14ac:dyDescent="0.2">
      <c r="A180" s="267" t="s">
        <v>724</v>
      </c>
      <c r="B180" s="267" t="s">
        <v>825</v>
      </c>
      <c r="C180" s="268">
        <v>12139</v>
      </c>
      <c r="D180" s="268">
        <v>14940</v>
      </c>
      <c r="E180" s="268">
        <v>27079</v>
      </c>
      <c r="F180" s="268">
        <v>305945011.89963198</v>
      </c>
      <c r="G180" s="268">
        <v>481152150.90540403</v>
      </c>
      <c r="H180" s="268">
        <v>787097162.80503595</v>
      </c>
      <c r="I180" s="267" t="s">
        <v>753</v>
      </c>
      <c r="J180" s="267" t="s">
        <v>121</v>
      </c>
      <c r="K180" s="267">
        <v>269357</v>
      </c>
      <c r="L180" s="267" t="s">
        <v>809</v>
      </c>
      <c r="M180"/>
      <c r="N180"/>
      <c r="O180"/>
      <c r="P180"/>
      <c r="Q180" s="151"/>
      <c r="R180"/>
      <c r="S180"/>
      <c r="T180"/>
      <c r="U180"/>
      <c r="V180"/>
    </row>
    <row r="181" spans="1:22" x14ac:dyDescent="0.2">
      <c r="A181" s="267" t="s">
        <v>301</v>
      </c>
      <c r="B181" s="267" t="s">
        <v>67</v>
      </c>
      <c r="C181" s="268">
        <v>15</v>
      </c>
      <c r="D181" s="268">
        <v>13</v>
      </c>
      <c r="E181" s="268">
        <v>28</v>
      </c>
      <c r="F181" s="268">
        <v>287295.23351702502</v>
      </c>
      <c r="G181" s="268">
        <v>238663.75702233499</v>
      </c>
      <c r="H181" s="268">
        <v>525958.99053935998</v>
      </c>
      <c r="I181" s="267" t="s">
        <v>633</v>
      </c>
      <c r="J181" s="267" t="s">
        <v>123</v>
      </c>
      <c r="K181" s="267">
        <v>271064</v>
      </c>
      <c r="L181" s="267" t="s">
        <v>362</v>
      </c>
      <c r="M181"/>
      <c r="N181"/>
      <c r="O181"/>
      <c r="P181"/>
      <c r="Q181" s="151"/>
      <c r="R181"/>
      <c r="S181"/>
      <c r="T181"/>
      <c r="U181"/>
      <c r="V181"/>
    </row>
    <row r="182" spans="1:22" x14ac:dyDescent="0.2">
      <c r="A182" s="267" t="s">
        <v>145</v>
      </c>
      <c r="B182" s="267" t="s">
        <v>1011</v>
      </c>
      <c r="C182" s="268">
        <v>810</v>
      </c>
      <c r="D182" s="268">
        <v>732</v>
      </c>
      <c r="E182" s="268">
        <v>1542</v>
      </c>
      <c r="F182" s="268">
        <v>68061304.751766205</v>
      </c>
      <c r="G182" s="268">
        <v>67619778.857261911</v>
      </c>
      <c r="H182" s="268">
        <v>135681083.60902801</v>
      </c>
      <c r="I182" s="267" t="s">
        <v>633</v>
      </c>
      <c r="J182" s="267" t="s">
        <v>121</v>
      </c>
      <c r="K182" s="267">
        <v>272831</v>
      </c>
      <c r="L182" s="267" t="s">
        <v>454</v>
      </c>
      <c r="M182"/>
      <c r="N182"/>
      <c r="O182"/>
      <c r="P182"/>
      <c r="Q182" s="151"/>
      <c r="R182"/>
      <c r="S182"/>
      <c r="T182"/>
      <c r="U182"/>
      <c r="V182"/>
    </row>
    <row r="183" spans="1:22" x14ac:dyDescent="0.2">
      <c r="A183" s="267" t="s">
        <v>671</v>
      </c>
      <c r="B183" s="267" t="s">
        <v>612</v>
      </c>
      <c r="C183" s="268">
        <v>546</v>
      </c>
      <c r="D183" s="268">
        <v>798</v>
      </c>
      <c r="E183" s="268">
        <v>1344</v>
      </c>
      <c r="F183" s="268">
        <v>13476937.328078201</v>
      </c>
      <c r="G183" s="268">
        <v>22078610.662016198</v>
      </c>
      <c r="H183" s="268">
        <v>35555547.990094505</v>
      </c>
      <c r="I183" s="267" t="s">
        <v>753</v>
      </c>
      <c r="J183" s="267" t="s">
        <v>121</v>
      </c>
      <c r="K183" s="267">
        <v>272898</v>
      </c>
      <c r="L183" s="267" t="s">
        <v>619</v>
      </c>
      <c r="M183"/>
      <c r="N183"/>
      <c r="O183"/>
      <c r="P183"/>
      <c r="Q183" s="151"/>
      <c r="R183"/>
      <c r="S183"/>
      <c r="T183"/>
      <c r="U183"/>
      <c r="V183"/>
    </row>
    <row r="184" spans="1:22" x14ac:dyDescent="0.2">
      <c r="A184" s="267" t="s">
        <v>44</v>
      </c>
      <c r="B184" s="267" t="s">
        <v>69</v>
      </c>
      <c r="C184" s="268">
        <v>666</v>
      </c>
      <c r="D184" s="268">
        <v>502</v>
      </c>
      <c r="E184" s="268">
        <v>1168</v>
      </c>
      <c r="F184" s="268">
        <v>12173541.744523801</v>
      </c>
      <c r="G184" s="268">
        <v>11252463.619674601</v>
      </c>
      <c r="H184" s="268">
        <v>23426005.364198402</v>
      </c>
      <c r="I184" s="267" t="s">
        <v>753</v>
      </c>
      <c r="J184" s="267" t="s">
        <v>121</v>
      </c>
      <c r="K184" s="267">
        <v>273078</v>
      </c>
      <c r="L184" s="267" t="s">
        <v>672</v>
      </c>
      <c r="M184"/>
      <c r="N184"/>
      <c r="O184"/>
      <c r="P184"/>
      <c r="Q184" s="151"/>
      <c r="R184"/>
      <c r="S184"/>
      <c r="T184"/>
      <c r="U184"/>
      <c r="V184"/>
    </row>
    <row r="185" spans="1:22" x14ac:dyDescent="0.2">
      <c r="A185" s="267" t="s">
        <v>239</v>
      </c>
      <c r="B185" s="267" t="s">
        <v>255</v>
      </c>
      <c r="C185" s="268">
        <v>381</v>
      </c>
      <c r="D185" s="268">
        <v>529</v>
      </c>
      <c r="E185" s="268">
        <v>910</v>
      </c>
      <c r="F185" s="268">
        <v>7850449.2973319404</v>
      </c>
      <c r="G185" s="268">
        <v>13050303.083391799</v>
      </c>
      <c r="H185" s="268">
        <v>20900752.3807237</v>
      </c>
      <c r="I185" s="267" t="s">
        <v>633</v>
      </c>
      <c r="J185" s="267" t="s">
        <v>121</v>
      </c>
      <c r="K185" s="267">
        <v>273664</v>
      </c>
      <c r="L185" s="267" t="s">
        <v>41</v>
      </c>
      <c r="M185"/>
      <c r="N185"/>
      <c r="O185"/>
      <c r="P185"/>
      <c r="Q185" s="151"/>
      <c r="R185"/>
      <c r="S185"/>
      <c r="T185"/>
      <c r="U185"/>
      <c r="V185"/>
    </row>
    <row r="186" spans="1:22" x14ac:dyDescent="0.2">
      <c r="A186" s="267" t="s">
        <v>226</v>
      </c>
      <c r="B186" s="267" t="s">
        <v>232</v>
      </c>
      <c r="C186" s="268">
        <v>1804</v>
      </c>
      <c r="D186" s="268">
        <v>2117</v>
      </c>
      <c r="E186" s="268">
        <v>3921</v>
      </c>
      <c r="F186" s="268">
        <v>16936792.8999166</v>
      </c>
      <c r="G186" s="268">
        <v>25396197.754593901</v>
      </c>
      <c r="H186" s="268">
        <v>42332990.654510505</v>
      </c>
      <c r="I186" s="267" t="s">
        <v>633</v>
      </c>
      <c r="J186" s="267" t="s">
        <v>121</v>
      </c>
      <c r="K186" s="267">
        <v>275495</v>
      </c>
      <c r="L186" s="267" t="s">
        <v>782</v>
      </c>
      <c r="M186"/>
      <c r="N186"/>
      <c r="O186"/>
      <c r="P186"/>
      <c r="Q186" s="151"/>
      <c r="R186"/>
      <c r="S186"/>
      <c r="T186"/>
      <c r="U186"/>
      <c r="V186"/>
    </row>
    <row r="187" spans="1:22" x14ac:dyDescent="0.2">
      <c r="A187" s="267" t="s">
        <v>301</v>
      </c>
      <c r="B187" s="267" t="s">
        <v>18</v>
      </c>
      <c r="C187" s="268">
        <v>32303</v>
      </c>
      <c r="D187" s="268">
        <v>33610</v>
      </c>
      <c r="E187" s="268">
        <v>65913</v>
      </c>
      <c r="F187" s="268">
        <v>283396370.51827604</v>
      </c>
      <c r="G187" s="268">
        <v>353104534.910074</v>
      </c>
      <c r="H187" s="268">
        <v>636500905.42834997</v>
      </c>
      <c r="I187" s="267" t="s">
        <v>633</v>
      </c>
      <c r="J187" s="267" t="s">
        <v>123</v>
      </c>
      <c r="K187" s="267">
        <v>276493</v>
      </c>
      <c r="L187" s="267" t="s">
        <v>17</v>
      </c>
      <c r="M187"/>
      <c r="N187"/>
      <c r="O187"/>
      <c r="P187"/>
      <c r="Q187" s="151"/>
      <c r="R187"/>
      <c r="S187"/>
      <c r="T187"/>
      <c r="U187"/>
      <c r="V187"/>
    </row>
    <row r="188" spans="1:22" x14ac:dyDescent="0.2">
      <c r="A188" s="267" t="s">
        <v>473</v>
      </c>
      <c r="B188" s="267" t="s">
        <v>1097</v>
      </c>
      <c r="C188" s="268">
        <v>1430</v>
      </c>
      <c r="D188" s="268">
        <v>1327</v>
      </c>
      <c r="E188" s="268">
        <v>2757</v>
      </c>
      <c r="F188" s="268">
        <v>69811339.386390805</v>
      </c>
      <c r="G188" s="268">
        <v>74204431.252956405</v>
      </c>
      <c r="H188" s="268">
        <v>144015770.63934699</v>
      </c>
      <c r="I188" s="267" t="s">
        <v>633</v>
      </c>
      <c r="J188" s="267" t="s">
        <v>125</v>
      </c>
      <c r="K188" s="267">
        <v>278853</v>
      </c>
      <c r="L188" s="267" t="s">
        <v>1094</v>
      </c>
      <c r="M188"/>
      <c r="N188"/>
      <c r="O188"/>
      <c r="P188"/>
      <c r="Q188" s="151"/>
      <c r="R188"/>
      <c r="S188"/>
      <c r="T188"/>
      <c r="U188"/>
      <c r="V188"/>
    </row>
    <row r="189" spans="1:22" x14ac:dyDescent="0.2">
      <c r="A189" s="267" t="s">
        <v>44</v>
      </c>
      <c r="B189" s="267" t="s">
        <v>45</v>
      </c>
      <c r="C189" s="268">
        <v>750</v>
      </c>
      <c r="D189" s="268">
        <v>854</v>
      </c>
      <c r="E189" s="268">
        <v>1604</v>
      </c>
      <c r="F189" s="268">
        <v>15112838.278039999</v>
      </c>
      <c r="G189" s="268">
        <v>19825406.287058797</v>
      </c>
      <c r="H189" s="268">
        <v>34938244.565098703</v>
      </c>
      <c r="I189" s="267" t="s">
        <v>633</v>
      </c>
      <c r="J189" s="267" t="s">
        <v>121</v>
      </c>
      <c r="K189" s="267">
        <v>280867</v>
      </c>
      <c r="L189" s="267" t="s">
        <v>707</v>
      </c>
      <c r="M189"/>
      <c r="N189"/>
      <c r="O189"/>
      <c r="P189"/>
      <c r="Q189" s="151"/>
      <c r="R189"/>
      <c r="S189"/>
      <c r="T189"/>
      <c r="U189"/>
      <c r="V189"/>
    </row>
    <row r="190" spans="1:22" x14ac:dyDescent="0.2">
      <c r="A190" s="267" t="s">
        <v>615</v>
      </c>
      <c r="B190" s="267" t="s">
        <v>185</v>
      </c>
      <c r="C190" s="268">
        <v>38</v>
      </c>
      <c r="D190" s="268">
        <v>33</v>
      </c>
      <c r="E190" s="268">
        <v>71</v>
      </c>
      <c r="F190" s="268">
        <v>797104.67809297505</v>
      </c>
      <c r="G190" s="268">
        <v>642619.77919820603</v>
      </c>
      <c r="H190" s="268">
        <v>1439724.45729118</v>
      </c>
      <c r="I190" s="267" t="s">
        <v>633</v>
      </c>
      <c r="J190" s="267" t="s">
        <v>122</v>
      </c>
      <c r="K190" s="267">
        <v>280925</v>
      </c>
      <c r="L190" s="267" t="s">
        <v>423</v>
      </c>
      <c r="M190"/>
      <c r="N190"/>
      <c r="O190"/>
      <c r="P190"/>
      <c r="Q190" s="151"/>
      <c r="R190"/>
      <c r="S190"/>
      <c r="T190"/>
      <c r="U190"/>
      <c r="V190"/>
    </row>
    <row r="191" spans="1:22" x14ac:dyDescent="0.2">
      <c r="A191" s="267" t="s">
        <v>145</v>
      </c>
      <c r="B191" s="267" t="s">
        <v>1010</v>
      </c>
      <c r="C191" s="268">
        <v>23490</v>
      </c>
      <c r="D191" s="268">
        <v>22708</v>
      </c>
      <c r="E191" s="268">
        <v>46198</v>
      </c>
      <c r="F191" s="268">
        <v>365114224.86701798</v>
      </c>
      <c r="G191" s="268">
        <v>424354946.63158399</v>
      </c>
      <c r="H191" s="268">
        <v>789469171.49860191</v>
      </c>
      <c r="I191" s="267" t="s">
        <v>633</v>
      </c>
      <c r="J191" s="267" t="s">
        <v>121</v>
      </c>
      <c r="K191" s="267">
        <v>282517</v>
      </c>
      <c r="L191" s="267" t="s">
        <v>505</v>
      </c>
      <c r="M191"/>
      <c r="N191"/>
      <c r="O191"/>
      <c r="P191"/>
      <c r="Q191" s="151"/>
      <c r="R191"/>
      <c r="S191"/>
      <c r="T191"/>
      <c r="U191"/>
      <c r="V191"/>
    </row>
    <row r="192" spans="1:22" x14ac:dyDescent="0.2">
      <c r="A192" s="267" t="s">
        <v>145</v>
      </c>
      <c r="B192" s="267" t="s">
        <v>523</v>
      </c>
      <c r="C192" s="268">
        <v>59</v>
      </c>
      <c r="D192" s="268">
        <v>92</v>
      </c>
      <c r="E192" s="268">
        <v>151</v>
      </c>
      <c r="F192" s="268">
        <v>1343172.3455692399</v>
      </c>
      <c r="G192" s="268">
        <v>2171359.0387037797</v>
      </c>
      <c r="H192" s="268">
        <v>3514531.3842730196</v>
      </c>
      <c r="I192" s="267" t="s">
        <v>633</v>
      </c>
      <c r="J192" s="267" t="s">
        <v>121</v>
      </c>
      <c r="K192" s="267">
        <v>282632</v>
      </c>
      <c r="L192" s="267" t="s">
        <v>522</v>
      </c>
      <c r="M192"/>
      <c r="N192"/>
      <c r="O192"/>
      <c r="P192"/>
      <c r="Q192" s="151"/>
      <c r="R192"/>
      <c r="S192"/>
      <c r="T192"/>
      <c r="U192"/>
      <c r="V192"/>
    </row>
    <row r="193" spans="1:22" x14ac:dyDescent="0.2">
      <c r="A193" s="267" t="s">
        <v>226</v>
      </c>
      <c r="B193" s="267" t="s">
        <v>604</v>
      </c>
      <c r="C193" s="268">
        <v>55</v>
      </c>
      <c r="D193" s="268">
        <v>93</v>
      </c>
      <c r="E193" s="268">
        <v>148</v>
      </c>
      <c r="F193" s="268">
        <v>580984.30210584705</v>
      </c>
      <c r="G193" s="268">
        <v>1406406.9462359501</v>
      </c>
      <c r="H193" s="268">
        <v>1987391.2483417999</v>
      </c>
      <c r="I193" s="267" t="s">
        <v>633</v>
      </c>
      <c r="J193" s="267" t="s">
        <v>121</v>
      </c>
      <c r="K193" s="267">
        <v>282699</v>
      </c>
      <c r="L193" s="267" t="s">
        <v>434</v>
      </c>
      <c r="M193"/>
      <c r="N193"/>
      <c r="O193"/>
      <c r="P193"/>
      <c r="Q193" s="151"/>
      <c r="R193"/>
      <c r="S193"/>
      <c r="T193"/>
      <c r="U193"/>
      <c r="V193"/>
    </row>
    <row r="194" spans="1:22" x14ac:dyDescent="0.2">
      <c r="A194" s="267" t="s">
        <v>279</v>
      </c>
      <c r="B194" s="267" t="s">
        <v>996</v>
      </c>
      <c r="C194" s="268">
        <v>134836</v>
      </c>
      <c r="D194" s="268">
        <v>139898</v>
      </c>
      <c r="E194" s="268">
        <v>274734</v>
      </c>
      <c r="F194" s="268">
        <v>2332103457.7247996</v>
      </c>
      <c r="G194" s="268">
        <v>3110661609.4243999</v>
      </c>
      <c r="H194" s="268">
        <v>5442765067.1491995</v>
      </c>
      <c r="I194" s="267" t="s">
        <v>753</v>
      </c>
      <c r="J194" s="267" t="s">
        <v>121</v>
      </c>
      <c r="K194" s="267">
        <v>283408</v>
      </c>
      <c r="L194" s="267" t="s">
        <v>174</v>
      </c>
      <c r="M194"/>
      <c r="N194"/>
      <c r="O194"/>
      <c r="P194"/>
      <c r="Q194" s="151"/>
      <c r="R194"/>
      <c r="S194"/>
      <c r="T194"/>
      <c r="U194"/>
      <c r="V194"/>
    </row>
    <row r="195" spans="1:22" x14ac:dyDescent="0.2">
      <c r="A195" s="267" t="s">
        <v>161</v>
      </c>
      <c r="B195" s="267" t="s">
        <v>388</v>
      </c>
      <c r="C195" s="268">
        <v>5702</v>
      </c>
      <c r="D195" s="268">
        <v>7731</v>
      </c>
      <c r="E195" s="268">
        <v>13433</v>
      </c>
      <c r="F195" s="268">
        <v>119148054.802167</v>
      </c>
      <c r="G195" s="268">
        <v>200639821.75487101</v>
      </c>
      <c r="H195" s="268">
        <v>319787876.55703801</v>
      </c>
      <c r="I195" s="267" t="s">
        <v>753</v>
      </c>
      <c r="J195" s="267" t="s">
        <v>121</v>
      </c>
      <c r="K195" s="267">
        <v>285825</v>
      </c>
      <c r="L195" s="267" t="s">
        <v>859</v>
      </c>
      <c r="M195"/>
      <c r="N195"/>
      <c r="O195"/>
      <c r="P195"/>
      <c r="Q195" s="151"/>
      <c r="R195"/>
      <c r="S195"/>
      <c r="T195"/>
      <c r="U195"/>
      <c r="V195"/>
    </row>
    <row r="196" spans="1:22" x14ac:dyDescent="0.2">
      <c r="A196" s="267" t="s">
        <v>301</v>
      </c>
      <c r="B196" s="267" t="s">
        <v>536</v>
      </c>
      <c r="C196" s="268">
        <v>32184</v>
      </c>
      <c r="D196" s="268">
        <v>32030</v>
      </c>
      <c r="E196" s="268">
        <v>64214</v>
      </c>
      <c r="F196" s="268">
        <v>2388292309.7771697</v>
      </c>
      <c r="G196" s="268">
        <v>2703148030.1993799</v>
      </c>
      <c r="H196" s="268">
        <v>5091440339.9765406</v>
      </c>
      <c r="I196" s="267" t="s">
        <v>753</v>
      </c>
      <c r="J196" s="267" t="s">
        <v>123</v>
      </c>
      <c r="K196" s="267">
        <v>286179</v>
      </c>
      <c r="L196" s="267" t="s">
        <v>1128</v>
      </c>
      <c r="M196"/>
      <c r="N196"/>
      <c r="O196"/>
      <c r="P196"/>
      <c r="Q196" s="151"/>
      <c r="R196"/>
      <c r="S196"/>
      <c r="T196"/>
      <c r="U196"/>
      <c r="V196"/>
    </row>
    <row r="197" spans="1:22" x14ac:dyDescent="0.2">
      <c r="A197" s="267" t="s">
        <v>748</v>
      </c>
      <c r="B197" s="267" t="s">
        <v>504</v>
      </c>
      <c r="C197" s="268">
        <v>16059</v>
      </c>
      <c r="D197" s="268">
        <v>15623</v>
      </c>
      <c r="E197" s="268">
        <v>31682</v>
      </c>
      <c r="F197" s="268">
        <v>340524420.22439897</v>
      </c>
      <c r="G197" s="268">
        <v>404168206.20261604</v>
      </c>
      <c r="H197" s="268">
        <v>744692626.42701495</v>
      </c>
      <c r="I197" s="267" t="s">
        <v>633</v>
      </c>
      <c r="J197" s="267" t="s">
        <v>121</v>
      </c>
      <c r="K197" s="267">
        <v>286294</v>
      </c>
      <c r="L197" s="267" t="s">
        <v>505</v>
      </c>
      <c r="M197"/>
      <c r="N197"/>
      <c r="O197"/>
      <c r="P197"/>
      <c r="Q197" s="151"/>
      <c r="R197"/>
      <c r="S197"/>
      <c r="T197"/>
      <c r="U197"/>
      <c r="V197"/>
    </row>
    <row r="198" spans="1:22" x14ac:dyDescent="0.2">
      <c r="A198" s="267" t="s">
        <v>208</v>
      </c>
      <c r="B198" s="267" t="s">
        <v>223</v>
      </c>
      <c r="C198" s="268">
        <v>981</v>
      </c>
      <c r="D198" s="268">
        <v>1239</v>
      </c>
      <c r="E198" s="268">
        <v>2220</v>
      </c>
      <c r="F198" s="268">
        <v>14589890.698726701</v>
      </c>
      <c r="G198" s="268">
        <v>23809914.714995202</v>
      </c>
      <c r="H198" s="268">
        <v>38399805.413722001</v>
      </c>
      <c r="I198" s="267" t="s">
        <v>753</v>
      </c>
      <c r="J198" s="267" t="s">
        <v>121</v>
      </c>
      <c r="K198" s="267">
        <v>286948</v>
      </c>
      <c r="L198" s="267" t="s">
        <v>32</v>
      </c>
      <c r="M198"/>
      <c r="N198"/>
      <c r="O198"/>
      <c r="P198"/>
      <c r="Q198" s="151"/>
      <c r="R198"/>
      <c r="S198"/>
      <c r="T198"/>
      <c r="U198"/>
      <c r="V198"/>
    </row>
    <row r="199" spans="1:22" x14ac:dyDescent="0.2">
      <c r="A199" s="267" t="s">
        <v>473</v>
      </c>
      <c r="B199" s="267" t="s">
        <v>1109</v>
      </c>
      <c r="C199" s="268">
        <v>29638</v>
      </c>
      <c r="D199" s="268">
        <v>23854</v>
      </c>
      <c r="E199" s="268">
        <v>53492</v>
      </c>
      <c r="F199" s="268">
        <v>1486797415.0445302</v>
      </c>
      <c r="G199" s="268">
        <v>1438177483.9892199</v>
      </c>
      <c r="H199" s="268">
        <v>2924974899.0337501</v>
      </c>
      <c r="I199" s="267" t="s">
        <v>753</v>
      </c>
      <c r="J199" s="267" t="s">
        <v>125</v>
      </c>
      <c r="K199" s="267">
        <v>287656</v>
      </c>
      <c r="L199" s="267" t="s">
        <v>703</v>
      </c>
      <c r="M199"/>
      <c r="N199"/>
      <c r="O199"/>
      <c r="P199"/>
      <c r="Q199" s="151"/>
      <c r="R199"/>
      <c r="S199"/>
      <c r="T199"/>
      <c r="U199"/>
      <c r="V199"/>
    </row>
    <row r="200" spans="1:22" x14ac:dyDescent="0.2">
      <c r="A200" s="267" t="s">
        <v>615</v>
      </c>
      <c r="B200" s="267" t="s">
        <v>617</v>
      </c>
      <c r="C200" s="268">
        <v>102</v>
      </c>
      <c r="D200" s="268">
        <v>148</v>
      </c>
      <c r="E200" s="268">
        <v>250</v>
      </c>
      <c r="F200" s="268">
        <v>1225573.1946029901</v>
      </c>
      <c r="G200" s="268">
        <v>2697437.0290410896</v>
      </c>
      <c r="H200" s="268">
        <v>3923010.2236440699</v>
      </c>
      <c r="I200" s="267" t="s">
        <v>633</v>
      </c>
      <c r="J200" s="267" t="s">
        <v>122</v>
      </c>
      <c r="K200" s="267">
        <v>288001</v>
      </c>
      <c r="L200" s="267" t="s">
        <v>126</v>
      </c>
      <c r="M200"/>
      <c r="N200"/>
      <c r="O200"/>
      <c r="P200"/>
      <c r="Q200" s="151"/>
      <c r="R200"/>
      <c r="S200"/>
      <c r="T200"/>
      <c r="U200"/>
      <c r="V200"/>
    </row>
    <row r="201" spans="1:22" x14ac:dyDescent="0.2">
      <c r="A201" s="267" t="s">
        <v>208</v>
      </c>
      <c r="B201" s="267" t="s">
        <v>256</v>
      </c>
      <c r="C201" s="268">
        <v>767</v>
      </c>
      <c r="D201" s="268">
        <v>1023</v>
      </c>
      <c r="E201" s="268">
        <v>1790</v>
      </c>
      <c r="F201" s="268">
        <v>11700404.9086519</v>
      </c>
      <c r="G201" s="268">
        <v>19073715.671977498</v>
      </c>
      <c r="H201" s="268">
        <v>30774120.580629397</v>
      </c>
      <c r="I201" s="267" t="s">
        <v>633</v>
      </c>
      <c r="J201" s="267" t="s">
        <v>121</v>
      </c>
      <c r="K201" s="267">
        <v>288183</v>
      </c>
      <c r="L201" s="267" t="s">
        <v>756</v>
      </c>
      <c r="M201"/>
      <c r="N201"/>
      <c r="O201"/>
      <c r="P201"/>
      <c r="Q201" s="151"/>
      <c r="R201"/>
      <c r="S201"/>
      <c r="T201"/>
      <c r="U201"/>
      <c r="V201"/>
    </row>
    <row r="202" spans="1:22" x14ac:dyDescent="0.2">
      <c r="A202" s="267" t="s">
        <v>279</v>
      </c>
      <c r="B202" s="267" t="s">
        <v>393</v>
      </c>
      <c r="C202" s="268">
        <v>10</v>
      </c>
      <c r="D202" s="268">
        <v>7</v>
      </c>
      <c r="E202" s="268">
        <v>17</v>
      </c>
      <c r="F202" s="268">
        <v>176559.94083016002</v>
      </c>
      <c r="G202" s="268">
        <v>94517.245288323</v>
      </c>
      <c r="H202" s="268">
        <v>271077.18611848302</v>
      </c>
      <c r="I202" s="267" t="s">
        <v>633</v>
      </c>
      <c r="J202" s="267" t="s">
        <v>121</v>
      </c>
      <c r="K202" s="267">
        <v>289835</v>
      </c>
      <c r="L202" s="267" t="s">
        <v>303</v>
      </c>
      <c r="M202"/>
      <c r="N202"/>
      <c r="O202"/>
      <c r="P202"/>
      <c r="Q202" s="151"/>
      <c r="R202"/>
      <c r="S202"/>
      <c r="T202"/>
      <c r="U202"/>
      <c r="V202"/>
    </row>
    <row r="203" spans="1:22" x14ac:dyDescent="0.2">
      <c r="A203" s="267" t="s">
        <v>727</v>
      </c>
      <c r="B203" s="267" t="s">
        <v>729</v>
      </c>
      <c r="C203" s="268">
        <v>12808</v>
      </c>
      <c r="D203" s="268">
        <v>17173</v>
      </c>
      <c r="E203" s="268">
        <v>29981</v>
      </c>
      <c r="F203" s="268">
        <v>350508191.81733698</v>
      </c>
      <c r="G203" s="268">
        <v>582392985.62885296</v>
      </c>
      <c r="H203" s="268">
        <v>932901177.44619</v>
      </c>
      <c r="I203" s="267" t="s">
        <v>753</v>
      </c>
      <c r="J203" s="267" t="s">
        <v>121</v>
      </c>
      <c r="K203" s="267">
        <v>290072</v>
      </c>
      <c r="L203" s="267" t="s">
        <v>623</v>
      </c>
      <c r="M203"/>
      <c r="N203"/>
      <c r="O203"/>
      <c r="P203"/>
      <c r="Q203" s="151"/>
      <c r="R203"/>
      <c r="S203"/>
      <c r="T203"/>
      <c r="U203"/>
      <c r="V203"/>
    </row>
    <row r="204" spans="1:22" x14ac:dyDescent="0.2">
      <c r="A204" s="267" t="s">
        <v>145</v>
      </c>
      <c r="B204" s="267" t="s">
        <v>247</v>
      </c>
      <c r="C204" s="268">
        <v>355</v>
      </c>
      <c r="D204" s="268">
        <v>408</v>
      </c>
      <c r="E204" s="268">
        <v>763</v>
      </c>
      <c r="F204" s="268">
        <v>5505622.9706539307</v>
      </c>
      <c r="G204" s="268">
        <v>7457616.4910379797</v>
      </c>
      <c r="H204" s="268">
        <v>12963239.461691901</v>
      </c>
      <c r="I204" s="267" t="s">
        <v>633</v>
      </c>
      <c r="J204" s="267" t="s">
        <v>121</v>
      </c>
      <c r="K204" s="267">
        <v>290668</v>
      </c>
      <c r="L204" s="267" t="s">
        <v>754</v>
      </c>
      <c r="M204"/>
      <c r="N204"/>
      <c r="O204"/>
      <c r="P204"/>
      <c r="Q204" s="151"/>
      <c r="R204"/>
      <c r="S204"/>
      <c r="T204"/>
      <c r="U204"/>
      <c r="V204"/>
    </row>
    <row r="205" spans="1:22" x14ac:dyDescent="0.2">
      <c r="A205" s="267" t="s">
        <v>671</v>
      </c>
      <c r="B205" s="267" t="s">
        <v>683</v>
      </c>
      <c r="C205" s="268">
        <v>111776</v>
      </c>
      <c r="D205" s="268">
        <v>118600</v>
      </c>
      <c r="E205" s="268">
        <v>230376</v>
      </c>
      <c r="F205" s="268">
        <v>4302020213.2392702</v>
      </c>
      <c r="G205" s="268">
        <v>5610249262.1916704</v>
      </c>
      <c r="H205" s="268">
        <v>9912269475.4309502</v>
      </c>
      <c r="I205" s="267" t="s">
        <v>753</v>
      </c>
      <c r="J205" s="267" t="s">
        <v>121</v>
      </c>
      <c r="K205" s="267">
        <v>291906</v>
      </c>
      <c r="L205" s="267" t="s">
        <v>682</v>
      </c>
      <c r="M205"/>
      <c r="N205"/>
      <c r="O205"/>
      <c r="P205"/>
      <c r="Q205" s="151"/>
      <c r="R205"/>
      <c r="S205"/>
      <c r="T205"/>
      <c r="U205"/>
      <c r="V205"/>
    </row>
    <row r="206" spans="1:22" x14ac:dyDescent="0.2">
      <c r="A206" s="267" t="s">
        <v>131</v>
      </c>
      <c r="B206" s="267" t="s">
        <v>19</v>
      </c>
      <c r="C206" s="268">
        <v>1218</v>
      </c>
      <c r="D206" s="268">
        <v>1863</v>
      </c>
      <c r="E206" s="268">
        <v>3081</v>
      </c>
      <c r="F206" s="268">
        <v>12565417.609579399</v>
      </c>
      <c r="G206" s="268">
        <v>33049881.228875399</v>
      </c>
      <c r="H206" s="268">
        <v>45615298.838454798</v>
      </c>
      <c r="I206" s="267" t="s">
        <v>753</v>
      </c>
      <c r="J206" s="267" t="s">
        <v>121</v>
      </c>
      <c r="K206" s="267">
        <v>293498</v>
      </c>
      <c r="L206" s="267" t="s">
        <v>1128</v>
      </c>
      <c r="M206"/>
      <c r="N206"/>
      <c r="O206"/>
      <c r="P206"/>
      <c r="Q206" s="151"/>
      <c r="R206"/>
      <c r="S206"/>
      <c r="T206"/>
      <c r="U206"/>
      <c r="V206"/>
    </row>
    <row r="207" spans="1:22" x14ac:dyDescent="0.2">
      <c r="A207" s="267" t="s">
        <v>145</v>
      </c>
      <c r="B207" s="267" t="s">
        <v>146</v>
      </c>
      <c r="C207" s="268">
        <v>484</v>
      </c>
      <c r="D207" s="268">
        <v>505</v>
      </c>
      <c r="E207" s="268">
        <v>989</v>
      </c>
      <c r="F207" s="268">
        <v>6859821.4456432303</v>
      </c>
      <c r="G207" s="268">
        <v>9416195.1661735494</v>
      </c>
      <c r="H207" s="268">
        <v>16276016.611816801</v>
      </c>
      <c r="I207" s="267" t="s">
        <v>633</v>
      </c>
      <c r="J207" s="267" t="s">
        <v>121</v>
      </c>
      <c r="K207" s="267">
        <v>294322</v>
      </c>
      <c r="L207" s="267" t="s">
        <v>758</v>
      </c>
      <c r="M207"/>
      <c r="N207"/>
      <c r="O207"/>
      <c r="P207"/>
      <c r="Q207" s="151"/>
      <c r="R207"/>
      <c r="S207"/>
      <c r="T207"/>
      <c r="U207"/>
      <c r="V207"/>
    </row>
    <row r="208" spans="1:22" x14ac:dyDescent="0.2">
      <c r="A208" s="267" t="s">
        <v>491</v>
      </c>
      <c r="B208" s="267" t="s">
        <v>494</v>
      </c>
      <c r="C208" s="268">
        <v>923</v>
      </c>
      <c r="D208" s="268">
        <v>1450</v>
      </c>
      <c r="E208" s="268">
        <v>2373</v>
      </c>
      <c r="F208" s="268">
        <v>34980644.378968</v>
      </c>
      <c r="G208" s="268">
        <v>77932736.200646698</v>
      </c>
      <c r="H208" s="268">
        <v>112913380.579615</v>
      </c>
      <c r="I208" s="267" t="s">
        <v>753</v>
      </c>
      <c r="J208" s="267" t="s">
        <v>122</v>
      </c>
      <c r="K208" s="267">
        <v>294918</v>
      </c>
      <c r="L208" s="267" t="s">
        <v>684</v>
      </c>
      <c r="M208"/>
      <c r="N208"/>
      <c r="O208"/>
      <c r="P208"/>
      <c r="Q208" s="151"/>
      <c r="R208"/>
      <c r="S208"/>
      <c r="T208"/>
      <c r="U208"/>
      <c r="V208"/>
    </row>
    <row r="209" spans="1:22" x14ac:dyDescent="0.2">
      <c r="A209" s="267" t="s">
        <v>161</v>
      </c>
      <c r="B209" s="267" t="s">
        <v>1113</v>
      </c>
      <c r="C209" s="268">
        <v>7</v>
      </c>
      <c r="D209" s="268">
        <v>14</v>
      </c>
      <c r="E209" s="268">
        <v>21</v>
      </c>
      <c r="F209" s="268">
        <v>96825.141954799998</v>
      </c>
      <c r="G209" s="268">
        <v>359383.90821339999</v>
      </c>
      <c r="H209" s="268">
        <v>456209.05016819999</v>
      </c>
      <c r="I209" s="267" t="s">
        <v>753</v>
      </c>
      <c r="J209" s="267" t="s">
        <v>121</v>
      </c>
      <c r="K209" s="267">
        <v>295857</v>
      </c>
      <c r="L209" s="267" t="s">
        <v>684</v>
      </c>
      <c r="M209"/>
      <c r="N209"/>
      <c r="O209"/>
      <c r="P209"/>
      <c r="Q209" s="151"/>
      <c r="R209"/>
      <c r="S209"/>
      <c r="T209"/>
      <c r="U209"/>
      <c r="V209"/>
    </row>
    <row r="210" spans="1:22" x14ac:dyDescent="0.2">
      <c r="A210" s="267" t="s">
        <v>161</v>
      </c>
      <c r="B210" s="267" t="s">
        <v>772</v>
      </c>
      <c r="C210" s="268">
        <v>10</v>
      </c>
      <c r="D210" s="268">
        <v>24</v>
      </c>
      <c r="E210" s="268">
        <v>34</v>
      </c>
      <c r="F210" s="268">
        <v>136696.656781172</v>
      </c>
      <c r="G210" s="268">
        <v>628915.07836881105</v>
      </c>
      <c r="H210" s="268">
        <v>765611.73514998308</v>
      </c>
      <c r="I210" s="267" t="s">
        <v>633</v>
      </c>
      <c r="J210" s="267" t="s">
        <v>121</v>
      </c>
      <c r="K210" s="267">
        <v>295972</v>
      </c>
      <c r="L210" s="267" t="s">
        <v>767</v>
      </c>
      <c r="M210"/>
      <c r="N210"/>
      <c r="O210"/>
      <c r="P210"/>
      <c r="Q210" s="151"/>
      <c r="R210"/>
      <c r="S210"/>
      <c r="T210"/>
      <c r="U210"/>
      <c r="V210"/>
    </row>
    <row r="211" spans="1:22" x14ac:dyDescent="0.2">
      <c r="A211" s="267" t="s">
        <v>730</v>
      </c>
      <c r="B211" s="267" t="s">
        <v>745</v>
      </c>
      <c r="C211" s="268">
        <v>18120</v>
      </c>
      <c r="D211" s="268">
        <v>8004</v>
      </c>
      <c r="E211" s="268">
        <v>26124</v>
      </c>
      <c r="F211" s="268">
        <v>467099703.94774598</v>
      </c>
      <c r="G211" s="268">
        <v>242943128.925652</v>
      </c>
      <c r="H211" s="268">
        <v>710042832.87339795</v>
      </c>
      <c r="I211" s="267" t="s">
        <v>753</v>
      </c>
      <c r="J211" s="267" t="s">
        <v>121</v>
      </c>
      <c r="K211" s="267">
        <v>296152</v>
      </c>
      <c r="L211" s="267" t="s">
        <v>776</v>
      </c>
      <c r="M211"/>
      <c r="N211"/>
      <c r="O211"/>
      <c r="P211"/>
      <c r="Q211" s="151"/>
      <c r="R211"/>
      <c r="S211"/>
      <c r="T211"/>
      <c r="U211"/>
      <c r="V211"/>
    </row>
    <row r="212" spans="1:22" x14ac:dyDescent="0.2">
      <c r="A212" s="267" t="s">
        <v>261</v>
      </c>
      <c r="B212" s="267" t="s">
        <v>198</v>
      </c>
      <c r="C212" s="268">
        <v>292</v>
      </c>
      <c r="D212" s="268">
        <v>416</v>
      </c>
      <c r="E212" s="268">
        <v>708</v>
      </c>
      <c r="F212" s="268">
        <v>4649564.0676770005</v>
      </c>
      <c r="G212" s="268">
        <v>8091109.5703872796</v>
      </c>
      <c r="H212" s="268">
        <v>12740673.638064301</v>
      </c>
      <c r="I212" s="267" t="s">
        <v>633</v>
      </c>
      <c r="J212" s="267" t="s">
        <v>121</v>
      </c>
      <c r="K212" s="267">
        <v>296749</v>
      </c>
      <c r="L212" s="267" t="s">
        <v>423</v>
      </c>
      <c r="M212"/>
      <c r="N212"/>
      <c r="O212"/>
      <c r="P212"/>
      <c r="Q212" s="151"/>
      <c r="R212"/>
      <c r="S212"/>
      <c r="T212"/>
      <c r="U212"/>
      <c r="V212"/>
    </row>
    <row r="213" spans="1:22" x14ac:dyDescent="0.2">
      <c r="A213" s="267" t="s">
        <v>102</v>
      </c>
      <c r="B213" s="267" t="s">
        <v>1068</v>
      </c>
      <c r="C213" s="268">
        <v>1</v>
      </c>
      <c r="D213" s="268">
        <v>5</v>
      </c>
      <c r="E213" s="268">
        <v>6</v>
      </c>
      <c r="F213" s="268">
        <v>11186.234043831999</v>
      </c>
      <c r="G213" s="268">
        <v>133984.24125916499</v>
      </c>
      <c r="H213" s="268">
        <v>145170.47530299702</v>
      </c>
      <c r="I213" s="267" t="s">
        <v>753</v>
      </c>
      <c r="J213" s="267" t="s">
        <v>121</v>
      </c>
      <c r="K213" s="267">
        <v>297689</v>
      </c>
      <c r="L213" s="267" t="s">
        <v>13</v>
      </c>
      <c r="M213"/>
      <c r="N213"/>
      <c r="O213"/>
      <c r="P213"/>
      <c r="Q213" s="151"/>
      <c r="R213"/>
      <c r="S213"/>
      <c r="T213"/>
      <c r="U213"/>
      <c r="V213"/>
    </row>
    <row r="214" spans="1:22" x14ac:dyDescent="0.2">
      <c r="A214" s="267" t="s">
        <v>626</v>
      </c>
      <c r="B214" s="267" t="s">
        <v>629</v>
      </c>
      <c r="C214" s="268">
        <v>816</v>
      </c>
      <c r="D214" s="268">
        <v>1216</v>
      </c>
      <c r="E214" s="268">
        <v>2032</v>
      </c>
      <c r="F214" s="268">
        <v>18231324.216339901</v>
      </c>
      <c r="G214" s="268">
        <v>33341723.466761198</v>
      </c>
      <c r="H214" s="268">
        <v>51573047.683101006</v>
      </c>
      <c r="I214" s="267" t="s">
        <v>633</v>
      </c>
      <c r="J214" s="267" t="s">
        <v>122</v>
      </c>
      <c r="K214" s="267">
        <v>298570</v>
      </c>
      <c r="L214" s="267" t="s">
        <v>354</v>
      </c>
      <c r="M214"/>
      <c r="N214"/>
      <c r="O214"/>
      <c r="P214"/>
      <c r="Q214" s="151"/>
      <c r="R214"/>
      <c r="S214"/>
      <c r="T214"/>
      <c r="U214"/>
      <c r="V214"/>
    </row>
    <row r="215" spans="1:22" x14ac:dyDescent="0.2">
      <c r="A215" s="267" t="s">
        <v>626</v>
      </c>
      <c r="B215" s="267" t="s">
        <v>1019</v>
      </c>
      <c r="C215" s="268">
        <v>9</v>
      </c>
      <c r="D215" s="268">
        <v>20</v>
      </c>
      <c r="E215" s="268">
        <v>29</v>
      </c>
      <c r="F215" s="268">
        <v>250404.02340745</v>
      </c>
      <c r="G215" s="268">
        <v>665688.52778120001</v>
      </c>
      <c r="H215" s="268">
        <v>916092.55118864996</v>
      </c>
      <c r="I215" s="267" t="s">
        <v>633</v>
      </c>
      <c r="J215" s="267" t="s">
        <v>122</v>
      </c>
      <c r="K215" s="267">
        <v>299511</v>
      </c>
      <c r="L215" s="267" t="s">
        <v>828</v>
      </c>
      <c r="M215"/>
      <c r="N215"/>
      <c r="O215"/>
      <c r="P215"/>
      <c r="Q215" s="151"/>
      <c r="R215"/>
      <c r="S215"/>
      <c r="T215"/>
      <c r="U215"/>
      <c r="V215"/>
    </row>
    <row r="216" spans="1:22" x14ac:dyDescent="0.2">
      <c r="A216" s="267" t="s">
        <v>145</v>
      </c>
      <c r="B216" s="267" t="s">
        <v>453</v>
      </c>
      <c r="C216" s="268">
        <v>20</v>
      </c>
      <c r="D216" s="268">
        <v>33</v>
      </c>
      <c r="E216" s="268">
        <v>53</v>
      </c>
      <c r="F216" s="268">
        <v>297526.11979719996</v>
      </c>
      <c r="G216" s="268">
        <v>829510.62892804295</v>
      </c>
      <c r="H216" s="268">
        <v>1127036.7487252399</v>
      </c>
      <c r="I216" s="267" t="s">
        <v>633</v>
      </c>
      <c r="J216" s="267" t="s">
        <v>121</v>
      </c>
      <c r="K216" s="267">
        <v>299636</v>
      </c>
      <c r="L216" s="267" t="s">
        <v>362</v>
      </c>
      <c r="M216"/>
      <c r="N216"/>
      <c r="O216"/>
      <c r="P216"/>
      <c r="Q216" s="151"/>
      <c r="R216"/>
      <c r="S216"/>
      <c r="T216"/>
      <c r="U216"/>
      <c r="V216"/>
    </row>
    <row r="217" spans="1:22" x14ac:dyDescent="0.2">
      <c r="A217" s="267" t="s">
        <v>226</v>
      </c>
      <c r="B217" s="267" t="s">
        <v>559</v>
      </c>
      <c r="C217" s="268">
        <v>34</v>
      </c>
      <c r="D217" s="268">
        <v>68</v>
      </c>
      <c r="E217" s="268">
        <v>102</v>
      </c>
      <c r="F217" s="268">
        <v>686394.84973819391</v>
      </c>
      <c r="G217" s="268">
        <v>1506562.98633874</v>
      </c>
      <c r="H217" s="268">
        <v>2192957.8360769399</v>
      </c>
      <c r="I217" s="267" t="s">
        <v>633</v>
      </c>
      <c r="J217" s="267" t="s">
        <v>121</v>
      </c>
      <c r="K217" s="267">
        <v>299693</v>
      </c>
      <c r="L217" s="267" t="s">
        <v>760</v>
      </c>
      <c r="M217"/>
      <c r="N217"/>
      <c r="O217"/>
      <c r="P217"/>
      <c r="Q217" s="151"/>
      <c r="R217"/>
      <c r="S217"/>
      <c r="T217"/>
      <c r="U217"/>
      <c r="V217"/>
    </row>
    <row r="218" spans="1:22" x14ac:dyDescent="0.2">
      <c r="A218" s="267" t="s">
        <v>102</v>
      </c>
      <c r="B218" s="267" t="s">
        <v>106</v>
      </c>
      <c r="C218" s="268">
        <v>2937</v>
      </c>
      <c r="D218" s="268">
        <v>3771</v>
      </c>
      <c r="E218" s="268">
        <v>6708</v>
      </c>
      <c r="F218" s="268">
        <v>54486329.9970669</v>
      </c>
      <c r="G218" s="268">
        <v>82889853.685384691</v>
      </c>
      <c r="H218" s="268">
        <v>137376183.68245202</v>
      </c>
      <c r="I218" s="267" t="s">
        <v>633</v>
      </c>
      <c r="J218" s="267" t="s">
        <v>121</v>
      </c>
      <c r="K218" s="267">
        <v>300996</v>
      </c>
      <c r="L218" s="267" t="s">
        <v>58</v>
      </c>
      <c r="M218"/>
      <c r="N218"/>
      <c r="O218"/>
      <c r="P218"/>
      <c r="Q218" s="151"/>
      <c r="R218"/>
      <c r="S218"/>
      <c r="T218"/>
      <c r="U218"/>
      <c r="V218"/>
    </row>
    <row r="219" spans="1:22" x14ac:dyDescent="0.2">
      <c r="A219" s="267" t="s">
        <v>730</v>
      </c>
      <c r="B219" s="267" t="s">
        <v>744</v>
      </c>
      <c r="C219" s="268">
        <v>5284</v>
      </c>
      <c r="D219" s="268">
        <v>4988</v>
      </c>
      <c r="E219" s="268">
        <v>10272</v>
      </c>
      <c r="F219" s="268">
        <v>172790150.91792899</v>
      </c>
      <c r="G219" s="268">
        <v>192987349.72562301</v>
      </c>
      <c r="H219" s="268">
        <v>365777500.64355201</v>
      </c>
      <c r="I219" s="267" t="s">
        <v>753</v>
      </c>
      <c r="J219" s="267" t="s">
        <v>121</v>
      </c>
      <c r="K219" s="267">
        <v>301580</v>
      </c>
      <c r="L219" s="267" t="s">
        <v>790</v>
      </c>
      <c r="M219"/>
      <c r="N219"/>
      <c r="O219"/>
      <c r="P219"/>
      <c r="Q219" s="151"/>
      <c r="R219"/>
      <c r="S219"/>
      <c r="T219"/>
      <c r="U219"/>
      <c r="V219"/>
    </row>
    <row r="220" spans="1:22" x14ac:dyDescent="0.2">
      <c r="A220" s="267" t="s">
        <v>301</v>
      </c>
      <c r="B220" s="267" t="s">
        <v>560</v>
      </c>
      <c r="C220" s="268">
        <v>1645</v>
      </c>
      <c r="D220" s="268">
        <v>1518</v>
      </c>
      <c r="E220" s="268">
        <v>3163</v>
      </c>
      <c r="F220" s="268">
        <v>27548342.996362198</v>
      </c>
      <c r="G220" s="268">
        <v>31208044.069154497</v>
      </c>
      <c r="H220" s="268">
        <v>58756387.065516606</v>
      </c>
      <c r="I220" s="267" t="s">
        <v>633</v>
      </c>
      <c r="J220" s="267" t="s">
        <v>123</v>
      </c>
      <c r="K220" s="267">
        <v>302760</v>
      </c>
      <c r="L220" s="267" t="s">
        <v>760</v>
      </c>
      <c r="M220"/>
      <c r="N220"/>
      <c r="O220"/>
      <c r="P220"/>
      <c r="Q220" s="151"/>
      <c r="R220"/>
      <c r="S220"/>
      <c r="T220"/>
      <c r="U220"/>
      <c r="V220"/>
    </row>
    <row r="221" spans="1:22" x14ac:dyDescent="0.2">
      <c r="A221" s="267" t="s">
        <v>145</v>
      </c>
      <c r="B221" s="267" t="s">
        <v>532</v>
      </c>
      <c r="C221" s="268">
        <v>361</v>
      </c>
      <c r="D221" s="268">
        <v>507</v>
      </c>
      <c r="E221" s="268">
        <v>868</v>
      </c>
      <c r="F221" s="268">
        <v>7178789.3812138597</v>
      </c>
      <c r="G221" s="268">
        <v>13817720.887823999</v>
      </c>
      <c r="H221" s="268">
        <v>20996510.269037899</v>
      </c>
      <c r="I221" s="267" t="s">
        <v>633</v>
      </c>
      <c r="J221" s="267" t="s">
        <v>121</v>
      </c>
      <c r="K221" s="267">
        <v>303230</v>
      </c>
      <c r="L221" s="267" t="s">
        <v>812</v>
      </c>
      <c r="M221"/>
      <c r="N221"/>
      <c r="O221"/>
      <c r="P221"/>
      <c r="Q221" s="151"/>
      <c r="R221"/>
      <c r="S221"/>
      <c r="T221"/>
      <c r="U221"/>
      <c r="V221"/>
    </row>
    <row r="222" spans="1:22" x14ac:dyDescent="0.2">
      <c r="A222" s="267" t="s">
        <v>145</v>
      </c>
      <c r="B222" s="267" t="s">
        <v>598</v>
      </c>
      <c r="C222" s="268">
        <v>15351</v>
      </c>
      <c r="D222" s="268">
        <v>15112</v>
      </c>
      <c r="E222" s="268">
        <v>30463</v>
      </c>
      <c r="F222" s="268">
        <v>254234473.74741101</v>
      </c>
      <c r="G222" s="268">
        <v>285859875.36488003</v>
      </c>
      <c r="H222" s="268">
        <v>540094349.11229098</v>
      </c>
      <c r="I222" s="267" t="s">
        <v>633</v>
      </c>
      <c r="J222" s="267" t="s">
        <v>121</v>
      </c>
      <c r="K222" s="267">
        <v>303412</v>
      </c>
      <c r="L222" s="267" t="s">
        <v>812</v>
      </c>
      <c r="M222"/>
      <c r="N222"/>
      <c r="O222"/>
      <c r="P222"/>
      <c r="Q222" s="151"/>
      <c r="R222"/>
      <c r="S222"/>
      <c r="T222"/>
      <c r="U222"/>
      <c r="V222"/>
    </row>
    <row r="223" spans="1:22" x14ac:dyDescent="0.2">
      <c r="A223" s="267" t="s">
        <v>102</v>
      </c>
      <c r="B223" s="267" t="s">
        <v>35</v>
      </c>
      <c r="C223" s="268">
        <v>287</v>
      </c>
      <c r="D223" s="268">
        <v>476</v>
      </c>
      <c r="E223" s="268">
        <v>763</v>
      </c>
      <c r="F223" s="268">
        <v>4568502.2397913802</v>
      </c>
      <c r="G223" s="268">
        <v>9915175.5778454393</v>
      </c>
      <c r="H223" s="268">
        <v>14483677.817636801</v>
      </c>
      <c r="I223" s="267" t="s">
        <v>633</v>
      </c>
      <c r="J223" s="267" t="s">
        <v>121</v>
      </c>
      <c r="K223" s="267">
        <v>304659</v>
      </c>
      <c r="L223" s="267" t="s">
        <v>434</v>
      </c>
      <c r="M223"/>
      <c r="N223"/>
      <c r="O223"/>
      <c r="P223"/>
      <c r="Q223" s="151"/>
      <c r="R223"/>
      <c r="S223"/>
      <c r="T223"/>
      <c r="U223"/>
      <c r="V223"/>
    </row>
    <row r="224" spans="1:22" x14ac:dyDescent="0.2">
      <c r="A224" s="267" t="s">
        <v>279</v>
      </c>
      <c r="B224" s="267" t="s">
        <v>329</v>
      </c>
      <c r="C224" s="268">
        <v>2356</v>
      </c>
      <c r="D224" s="268">
        <v>3691</v>
      </c>
      <c r="E224" s="268">
        <v>6047</v>
      </c>
      <c r="F224" s="268">
        <v>62380079.418910503</v>
      </c>
      <c r="G224" s="268">
        <v>126662171.05976599</v>
      </c>
      <c r="H224" s="268">
        <v>189042250.478677</v>
      </c>
      <c r="I224" s="267" t="s">
        <v>633</v>
      </c>
      <c r="J224" s="267" t="s">
        <v>121</v>
      </c>
      <c r="K224" s="267">
        <v>305003</v>
      </c>
      <c r="L224" s="267" t="s">
        <v>812</v>
      </c>
      <c r="M224"/>
      <c r="N224"/>
      <c r="O224"/>
      <c r="P224"/>
      <c r="Q224" s="151"/>
      <c r="R224"/>
      <c r="S224"/>
      <c r="T224"/>
      <c r="U224"/>
      <c r="V224"/>
    </row>
    <row r="225" spans="1:22" x14ac:dyDescent="0.2">
      <c r="A225" s="267" t="s">
        <v>491</v>
      </c>
      <c r="B225" s="267" t="s">
        <v>808</v>
      </c>
      <c r="C225" s="268">
        <v>18202</v>
      </c>
      <c r="D225" s="268">
        <v>19303</v>
      </c>
      <c r="E225" s="268">
        <v>37505</v>
      </c>
      <c r="F225" s="268">
        <v>793486015.35559702</v>
      </c>
      <c r="G225" s="268">
        <v>1108904226.66747</v>
      </c>
      <c r="H225" s="268">
        <v>1902390242.0230598</v>
      </c>
      <c r="I225" s="267" t="s">
        <v>753</v>
      </c>
      <c r="J225" s="267" t="s">
        <v>122</v>
      </c>
      <c r="K225" s="267">
        <v>305185</v>
      </c>
      <c r="L225" s="267" t="s">
        <v>809</v>
      </c>
      <c r="M225"/>
      <c r="N225"/>
      <c r="O225"/>
      <c r="P225"/>
      <c r="Q225" s="151"/>
      <c r="R225"/>
      <c r="S225"/>
      <c r="T225"/>
      <c r="U225"/>
      <c r="V225"/>
    </row>
    <row r="226" spans="1:22" x14ac:dyDescent="0.2">
      <c r="A226" s="267" t="s">
        <v>161</v>
      </c>
      <c r="B226" s="267" t="s">
        <v>169</v>
      </c>
      <c r="C226" s="268">
        <v>8559</v>
      </c>
      <c r="D226" s="268">
        <v>9915</v>
      </c>
      <c r="E226" s="268">
        <v>18474</v>
      </c>
      <c r="F226" s="268">
        <v>151883611.84833801</v>
      </c>
      <c r="G226" s="268">
        <v>229644210.58469501</v>
      </c>
      <c r="H226" s="268">
        <v>381527822.43303299</v>
      </c>
      <c r="I226" s="267" t="s">
        <v>633</v>
      </c>
      <c r="J226" s="267" t="s">
        <v>121</v>
      </c>
      <c r="K226" s="267">
        <v>305243</v>
      </c>
      <c r="L226" s="267" t="s">
        <v>782</v>
      </c>
      <c r="M226"/>
      <c r="N226"/>
      <c r="O226"/>
      <c r="P226"/>
      <c r="Q226" s="151"/>
      <c r="R226"/>
      <c r="S226"/>
      <c r="T226"/>
      <c r="U226"/>
      <c r="V226"/>
    </row>
    <row r="227" spans="1:22" x14ac:dyDescent="0.2">
      <c r="A227" s="267" t="s">
        <v>145</v>
      </c>
      <c r="B227" s="267" t="s">
        <v>400</v>
      </c>
      <c r="C227" s="268">
        <v>3</v>
      </c>
      <c r="D227" s="268">
        <v>1</v>
      </c>
      <c r="E227" s="268">
        <v>4</v>
      </c>
      <c r="F227" s="268">
        <v>39802.927060926297</v>
      </c>
      <c r="G227" s="268">
        <v>36773.050236755204</v>
      </c>
      <c r="H227" s="268">
        <v>76575.9772976815</v>
      </c>
      <c r="I227" s="267" t="s">
        <v>633</v>
      </c>
      <c r="J227" s="267" t="s">
        <v>121</v>
      </c>
      <c r="K227" s="267">
        <v>306894</v>
      </c>
      <c r="L227" s="267" t="s">
        <v>362</v>
      </c>
      <c r="M227"/>
      <c r="N227"/>
      <c r="O227"/>
      <c r="P227"/>
      <c r="Q227" s="151"/>
      <c r="R227"/>
      <c r="S227"/>
      <c r="T227"/>
      <c r="U227"/>
      <c r="V227"/>
    </row>
    <row r="228" spans="1:22" x14ac:dyDescent="0.2">
      <c r="A228" s="267" t="s">
        <v>491</v>
      </c>
      <c r="B228" s="267" t="s">
        <v>375</v>
      </c>
      <c r="C228" s="268">
        <v>1666</v>
      </c>
      <c r="D228" s="268">
        <v>1455</v>
      </c>
      <c r="E228" s="268">
        <v>3121</v>
      </c>
      <c r="F228" s="268">
        <v>36289696.306155004</v>
      </c>
      <c r="G228" s="268">
        <v>42916296.542272799</v>
      </c>
      <c r="H228" s="268">
        <v>79205992.848427802</v>
      </c>
      <c r="I228" s="267" t="s">
        <v>753</v>
      </c>
      <c r="J228" s="267" t="s">
        <v>122</v>
      </c>
      <c r="K228" s="267">
        <v>308908</v>
      </c>
      <c r="L228" s="267" t="s">
        <v>672</v>
      </c>
      <c r="M228"/>
      <c r="N228"/>
      <c r="O228"/>
      <c r="P228"/>
      <c r="Q228" s="151"/>
      <c r="R228"/>
      <c r="S228"/>
      <c r="T228"/>
      <c r="U228"/>
      <c r="V228"/>
    </row>
    <row r="229" spans="1:22" x14ac:dyDescent="0.2">
      <c r="A229" s="267" t="s">
        <v>44</v>
      </c>
      <c r="B229" s="267" t="s">
        <v>61</v>
      </c>
      <c r="C229" s="268">
        <v>114</v>
      </c>
      <c r="D229" s="268">
        <v>165</v>
      </c>
      <c r="E229" s="268">
        <v>279</v>
      </c>
      <c r="F229" s="268">
        <v>2453725.5859815399</v>
      </c>
      <c r="G229" s="268">
        <v>4228400.8783766599</v>
      </c>
      <c r="H229" s="268">
        <v>6682126.4643582003</v>
      </c>
      <c r="I229" s="267" t="s">
        <v>633</v>
      </c>
      <c r="J229" s="267" t="s">
        <v>121</v>
      </c>
      <c r="K229" s="267">
        <v>309492</v>
      </c>
      <c r="L229" s="267" t="s">
        <v>60</v>
      </c>
      <c r="M229"/>
      <c r="N229"/>
      <c r="O229"/>
      <c r="P229"/>
      <c r="Q229" s="151"/>
      <c r="R229"/>
      <c r="S229"/>
      <c r="T229"/>
      <c r="U229"/>
      <c r="V229"/>
    </row>
    <row r="230" spans="1:22" x14ac:dyDescent="0.2">
      <c r="A230" s="267" t="s">
        <v>270</v>
      </c>
      <c r="B230" s="267" t="s">
        <v>1047</v>
      </c>
      <c r="C230" s="268">
        <v>51171</v>
      </c>
      <c r="D230" s="268">
        <v>46818</v>
      </c>
      <c r="E230" s="268">
        <v>97989</v>
      </c>
      <c r="F230" s="268">
        <v>921227747.85278499</v>
      </c>
      <c r="G230" s="268">
        <v>1014795180.086</v>
      </c>
      <c r="H230" s="268">
        <v>1936022927.9387801</v>
      </c>
      <c r="I230" s="267" t="s">
        <v>633</v>
      </c>
      <c r="J230" s="267" t="s">
        <v>121</v>
      </c>
      <c r="K230" s="267">
        <v>313155</v>
      </c>
      <c r="L230" s="267" t="s">
        <v>764</v>
      </c>
      <c r="M230"/>
      <c r="N230"/>
      <c r="O230"/>
      <c r="P230"/>
      <c r="Q230" s="151"/>
      <c r="R230"/>
      <c r="S230"/>
      <c r="T230"/>
      <c r="U230"/>
      <c r="V230"/>
    </row>
    <row r="231" spans="1:22" x14ac:dyDescent="0.2">
      <c r="A231" s="267" t="s">
        <v>279</v>
      </c>
      <c r="B231" s="267" t="s">
        <v>282</v>
      </c>
      <c r="C231" s="268">
        <v>16259</v>
      </c>
      <c r="D231" s="268">
        <v>19149</v>
      </c>
      <c r="E231" s="268">
        <v>35408</v>
      </c>
      <c r="F231" s="268">
        <v>488818880.73772299</v>
      </c>
      <c r="G231" s="268">
        <v>696819468.9505949</v>
      </c>
      <c r="H231" s="268">
        <v>1185638349.6883202</v>
      </c>
      <c r="I231" s="267" t="s">
        <v>753</v>
      </c>
      <c r="J231" s="267" t="s">
        <v>121</v>
      </c>
      <c r="K231" s="267">
        <v>313742</v>
      </c>
      <c r="L231" s="267" t="s">
        <v>699</v>
      </c>
      <c r="M231"/>
      <c r="N231"/>
      <c r="O231"/>
      <c r="P231"/>
      <c r="Q231" s="151"/>
      <c r="R231"/>
      <c r="S231"/>
      <c r="T231"/>
      <c r="U231"/>
      <c r="V231"/>
    </row>
    <row r="232" spans="1:22" x14ac:dyDescent="0.2">
      <c r="A232" s="267" t="s">
        <v>348</v>
      </c>
      <c r="B232" s="267" t="s">
        <v>1095</v>
      </c>
      <c r="C232" s="268">
        <v>1604</v>
      </c>
      <c r="D232" s="268">
        <v>1059</v>
      </c>
      <c r="E232" s="268">
        <v>2663</v>
      </c>
      <c r="F232" s="268">
        <v>95506414.2246456</v>
      </c>
      <c r="G232" s="268">
        <v>70654215.892301291</v>
      </c>
      <c r="H232" s="268">
        <v>166160630.11694703</v>
      </c>
      <c r="I232" s="267" t="s">
        <v>633</v>
      </c>
      <c r="J232" s="267" t="s">
        <v>125</v>
      </c>
      <c r="K232" s="267">
        <v>314682</v>
      </c>
      <c r="L232" s="267" t="s">
        <v>1094</v>
      </c>
      <c r="M232"/>
      <c r="N232"/>
      <c r="O232"/>
      <c r="P232"/>
      <c r="Q232" s="151"/>
      <c r="R232"/>
      <c r="S232"/>
      <c r="T232"/>
      <c r="U232"/>
      <c r="V232"/>
    </row>
    <row r="233" spans="1:22" x14ac:dyDescent="0.2">
      <c r="A233" s="267" t="s">
        <v>102</v>
      </c>
      <c r="B233" s="267" t="s">
        <v>1032</v>
      </c>
      <c r="C233" s="268">
        <v>10</v>
      </c>
      <c r="D233" s="268">
        <v>33</v>
      </c>
      <c r="E233" s="268">
        <v>43</v>
      </c>
      <c r="F233" s="268">
        <v>199260.91859036</v>
      </c>
      <c r="G233" s="268">
        <v>764727.41461380001</v>
      </c>
      <c r="H233" s="268">
        <v>963988.33320415998</v>
      </c>
      <c r="I233" s="267" t="s">
        <v>753</v>
      </c>
      <c r="J233" s="267" t="s">
        <v>121</v>
      </c>
      <c r="K233" s="267">
        <v>316513</v>
      </c>
      <c r="L233" s="267" t="s">
        <v>684</v>
      </c>
      <c r="M233"/>
      <c r="N233"/>
      <c r="O233"/>
      <c r="P233"/>
      <c r="Q233" s="151"/>
      <c r="R233"/>
      <c r="S233"/>
      <c r="T233"/>
      <c r="U233"/>
      <c r="V233"/>
    </row>
    <row r="234" spans="1:22" x14ac:dyDescent="0.2">
      <c r="A234" s="267" t="s">
        <v>92</v>
      </c>
      <c r="B234" s="267" t="s">
        <v>94</v>
      </c>
      <c r="C234" s="268">
        <v>2634</v>
      </c>
      <c r="D234" s="268">
        <v>3049</v>
      </c>
      <c r="E234" s="268">
        <v>5683</v>
      </c>
      <c r="F234" s="268">
        <v>52206226.948762797</v>
      </c>
      <c r="G234" s="268">
        <v>72498614.091365397</v>
      </c>
      <c r="H234" s="268">
        <v>124704841.04012799</v>
      </c>
      <c r="I234" s="267" t="s">
        <v>633</v>
      </c>
      <c r="J234" s="267" t="s">
        <v>121</v>
      </c>
      <c r="K234" s="267">
        <v>316695</v>
      </c>
      <c r="L234" s="267" t="s">
        <v>707</v>
      </c>
      <c r="M234"/>
      <c r="N234"/>
      <c r="O234"/>
      <c r="P234"/>
      <c r="Q234" s="151"/>
      <c r="R234"/>
      <c r="S234"/>
      <c r="T234"/>
      <c r="U234"/>
      <c r="V234"/>
    </row>
    <row r="235" spans="1:22" x14ac:dyDescent="0.2">
      <c r="A235" s="267" t="s">
        <v>626</v>
      </c>
      <c r="B235" s="267" t="s">
        <v>12</v>
      </c>
      <c r="C235" s="268">
        <v>486</v>
      </c>
      <c r="D235" s="268">
        <v>606</v>
      </c>
      <c r="E235" s="268">
        <v>1092</v>
      </c>
      <c r="F235" s="268">
        <v>9393658.0143887084</v>
      </c>
      <c r="G235" s="268">
        <v>14154623.351354299</v>
      </c>
      <c r="H235" s="268">
        <v>23548281.365743</v>
      </c>
      <c r="I235" s="267" t="s">
        <v>633</v>
      </c>
      <c r="J235" s="267" t="s">
        <v>122</v>
      </c>
      <c r="K235" s="267">
        <v>316752</v>
      </c>
      <c r="L235" s="267" t="s">
        <v>423</v>
      </c>
      <c r="M235"/>
      <c r="N235"/>
      <c r="O235"/>
      <c r="P235"/>
      <c r="Q235" s="151"/>
      <c r="R235"/>
      <c r="S235"/>
      <c r="T235"/>
      <c r="U235"/>
      <c r="V235"/>
    </row>
    <row r="236" spans="1:22" x14ac:dyDescent="0.2">
      <c r="A236" s="267" t="s">
        <v>44</v>
      </c>
      <c r="B236" s="267" t="s">
        <v>885</v>
      </c>
      <c r="C236" s="268">
        <v>532</v>
      </c>
      <c r="D236" s="268">
        <v>505</v>
      </c>
      <c r="E236" s="268">
        <v>1037</v>
      </c>
      <c r="F236" s="268">
        <v>8171331.2425691998</v>
      </c>
      <c r="G236" s="268">
        <v>9658772.9808541108</v>
      </c>
      <c r="H236" s="268">
        <v>17830104.223423298</v>
      </c>
      <c r="I236" s="267" t="s">
        <v>633</v>
      </c>
      <c r="J236" s="267" t="s">
        <v>121</v>
      </c>
      <c r="K236" s="267">
        <v>317404</v>
      </c>
      <c r="L236" s="267" t="s">
        <v>358</v>
      </c>
      <c r="M236"/>
      <c r="N236"/>
      <c r="O236"/>
      <c r="P236"/>
      <c r="Q236" s="151"/>
      <c r="R236"/>
      <c r="S236"/>
      <c r="T236"/>
      <c r="U236"/>
      <c r="V236"/>
    </row>
    <row r="237" spans="1:22" x14ac:dyDescent="0.2">
      <c r="A237" s="267" t="s">
        <v>161</v>
      </c>
      <c r="B237" s="267" t="s">
        <v>801</v>
      </c>
      <c r="C237" s="268">
        <v>179</v>
      </c>
      <c r="D237" s="268">
        <v>275</v>
      </c>
      <c r="E237" s="268">
        <v>454</v>
      </c>
      <c r="F237" s="268">
        <v>3349271.7035711696</v>
      </c>
      <c r="G237" s="268">
        <v>6029697.4336985899</v>
      </c>
      <c r="H237" s="268">
        <v>9378969.1372697596</v>
      </c>
      <c r="I237" s="267" t="s">
        <v>633</v>
      </c>
      <c r="J237" s="267" t="s">
        <v>121</v>
      </c>
      <c r="K237" s="267">
        <v>317990</v>
      </c>
      <c r="L237" s="267" t="s">
        <v>358</v>
      </c>
      <c r="M237"/>
      <c r="N237"/>
      <c r="O237"/>
      <c r="P237"/>
      <c r="Q237" s="151"/>
      <c r="R237"/>
      <c r="S237"/>
      <c r="T237"/>
      <c r="U237"/>
      <c r="V237"/>
    </row>
    <row r="238" spans="1:22" x14ac:dyDescent="0.2">
      <c r="A238" s="267" t="s">
        <v>239</v>
      </c>
      <c r="B238" s="267" t="s">
        <v>524</v>
      </c>
      <c r="C238" s="268">
        <v>268</v>
      </c>
      <c r="D238" s="268">
        <v>389</v>
      </c>
      <c r="E238" s="268">
        <v>657</v>
      </c>
      <c r="F238" s="268">
        <v>4332953.2687590504</v>
      </c>
      <c r="G238" s="268">
        <v>8464169.0538648404</v>
      </c>
      <c r="H238" s="268">
        <v>12797122.322623901</v>
      </c>
      <c r="I238" s="267" t="s">
        <v>633</v>
      </c>
      <c r="J238" s="267" t="s">
        <v>121</v>
      </c>
      <c r="K238" s="267">
        <v>318469</v>
      </c>
      <c r="L238" s="267" t="s">
        <v>522</v>
      </c>
      <c r="M238"/>
      <c r="N238"/>
      <c r="O238"/>
      <c r="P238"/>
      <c r="Q238" s="151"/>
      <c r="R238"/>
      <c r="S238"/>
      <c r="T238"/>
      <c r="U238"/>
      <c r="V238"/>
    </row>
    <row r="239" spans="1:22" x14ac:dyDescent="0.2">
      <c r="A239" s="267" t="s">
        <v>102</v>
      </c>
      <c r="B239" s="267" t="s">
        <v>506</v>
      </c>
      <c r="C239" s="268">
        <v>9265</v>
      </c>
      <c r="D239" s="268">
        <v>11184</v>
      </c>
      <c r="E239" s="268">
        <v>20449</v>
      </c>
      <c r="F239" s="268">
        <v>143919909.217372</v>
      </c>
      <c r="G239" s="268">
        <v>220538164.03899401</v>
      </c>
      <c r="H239" s="268">
        <v>364458073.25636601</v>
      </c>
      <c r="I239" s="267" t="s">
        <v>753</v>
      </c>
      <c r="J239" s="267" t="s">
        <v>121</v>
      </c>
      <c r="K239" s="267">
        <v>319236</v>
      </c>
      <c r="L239" s="267" t="s">
        <v>174</v>
      </c>
      <c r="M239"/>
      <c r="N239"/>
      <c r="O239"/>
      <c r="P239"/>
      <c r="Q239" s="151"/>
      <c r="R239"/>
      <c r="S239"/>
      <c r="T239"/>
      <c r="U239"/>
      <c r="V239"/>
    </row>
    <row r="240" spans="1:22" x14ac:dyDescent="0.2">
      <c r="A240" s="267" t="s">
        <v>301</v>
      </c>
      <c r="B240" s="267" t="s">
        <v>302</v>
      </c>
      <c r="C240" s="268">
        <v>2831</v>
      </c>
      <c r="D240" s="268">
        <v>2292</v>
      </c>
      <c r="E240" s="268">
        <v>5123</v>
      </c>
      <c r="F240" s="268">
        <v>48908807.704718001</v>
      </c>
      <c r="G240" s="268">
        <v>46956621.842117995</v>
      </c>
      <c r="H240" s="268">
        <v>95865429.546836004</v>
      </c>
      <c r="I240" s="267" t="s">
        <v>753</v>
      </c>
      <c r="J240" s="267" t="s">
        <v>123</v>
      </c>
      <c r="K240" s="267">
        <v>319822</v>
      </c>
      <c r="L240" s="267" t="s">
        <v>796</v>
      </c>
      <c r="M240"/>
      <c r="N240"/>
      <c r="O240"/>
      <c r="P240"/>
      <c r="Q240" s="151"/>
      <c r="R240"/>
      <c r="S240"/>
      <c r="T240"/>
      <c r="U240"/>
      <c r="V240"/>
    </row>
    <row r="241" spans="1:22" x14ac:dyDescent="0.2">
      <c r="A241" s="267" t="s">
        <v>279</v>
      </c>
      <c r="B241" s="267" t="s">
        <v>936</v>
      </c>
      <c r="C241" s="268">
        <v>119</v>
      </c>
      <c r="D241" s="268">
        <v>172</v>
      </c>
      <c r="E241" s="268">
        <v>291</v>
      </c>
      <c r="F241" s="268">
        <v>2751458.1209686198</v>
      </c>
      <c r="G241" s="268">
        <v>5034540.9885738101</v>
      </c>
      <c r="H241" s="268">
        <v>7785999.1095424304</v>
      </c>
      <c r="I241" s="267" t="s">
        <v>753</v>
      </c>
      <c r="J241" s="267" t="s">
        <v>121</v>
      </c>
      <c r="K241" s="267">
        <v>320176</v>
      </c>
      <c r="L241" s="267" t="s">
        <v>838</v>
      </c>
      <c r="M241"/>
      <c r="N241"/>
      <c r="O241"/>
      <c r="P241"/>
      <c r="Q241" s="151"/>
      <c r="R241"/>
      <c r="S241"/>
      <c r="T241"/>
      <c r="U241"/>
      <c r="V241"/>
    </row>
    <row r="242" spans="1:22" x14ac:dyDescent="0.2">
      <c r="A242" s="267" t="s">
        <v>145</v>
      </c>
      <c r="B242" s="267" t="s">
        <v>427</v>
      </c>
      <c r="C242" s="268">
        <v>117</v>
      </c>
      <c r="D242" s="268">
        <v>142</v>
      </c>
      <c r="E242" s="268">
        <v>259</v>
      </c>
      <c r="F242" s="268">
        <v>2821361.7881222302</v>
      </c>
      <c r="G242" s="268">
        <v>3898470.2712439597</v>
      </c>
      <c r="H242" s="268">
        <v>6719832.0593661899</v>
      </c>
      <c r="I242" s="267" t="s">
        <v>633</v>
      </c>
      <c r="J242" s="267" t="s">
        <v>121</v>
      </c>
      <c r="K242" s="267">
        <v>320358</v>
      </c>
      <c r="L242" s="267" t="s">
        <v>58</v>
      </c>
      <c r="M242"/>
      <c r="N242"/>
      <c r="O242"/>
      <c r="P242"/>
      <c r="Q242" s="151"/>
      <c r="R242"/>
      <c r="S242"/>
      <c r="T242"/>
      <c r="U242"/>
      <c r="V242"/>
    </row>
    <row r="243" spans="1:22" x14ac:dyDescent="0.2">
      <c r="A243" s="267" t="s">
        <v>473</v>
      </c>
      <c r="B243" s="267" t="s">
        <v>1034</v>
      </c>
      <c r="C243" s="268">
        <v>17</v>
      </c>
      <c r="D243" s="268">
        <v>32</v>
      </c>
      <c r="E243" s="268">
        <v>49</v>
      </c>
      <c r="F243" s="268">
        <v>340717.58731471997</v>
      </c>
      <c r="G243" s="268">
        <v>1071313.1728266799</v>
      </c>
      <c r="H243" s="268">
        <v>1412030.7601413999</v>
      </c>
      <c r="I243" s="267" t="s">
        <v>753</v>
      </c>
      <c r="J243" s="267" t="s">
        <v>125</v>
      </c>
      <c r="K243" s="267">
        <v>320762</v>
      </c>
      <c r="L243" s="267" t="s">
        <v>174</v>
      </c>
      <c r="M243"/>
      <c r="N243"/>
      <c r="O243"/>
      <c r="P243"/>
      <c r="Q243" s="151"/>
      <c r="R243"/>
      <c r="S243"/>
      <c r="T243"/>
      <c r="U243"/>
      <c r="V243"/>
    </row>
    <row r="244" spans="1:22" x14ac:dyDescent="0.2">
      <c r="A244" s="267" t="s">
        <v>301</v>
      </c>
      <c r="B244" s="267" t="s">
        <v>535</v>
      </c>
      <c r="C244" s="268">
        <v>7785</v>
      </c>
      <c r="D244" s="268">
        <v>6360</v>
      </c>
      <c r="E244" s="268">
        <v>14145</v>
      </c>
      <c r="F244" s="268">
        <v>630202473.03336298</v>
      </c>
      <c r="G244" s="268">
        <v>573443446.21341503</v>
      </c>
      <c r="H244" s="268">
        <v>1203645919.2467799</v>
      </c>
      <c r="I244" s="267" t="s">
        <v>753</v>
      </c>
      <c r="J244" s="267" t="s">
        <v>123</v>
      </c>
      <c r="K244" s="267">
        <v>322008</v>
      </c>
      <c r="L244" s="267" t="s">
        <v>1128</v>
      </c>
      <c r="M244"/>
      <c r="N244"/>
      <c r="O244"/>
      <c r="P244"/>
      <c r="Q244" s="151"/>
      <c r="R244"/>
      <c r="S244"/>
      <c r="T244"/>
      <c r="U244"/>
      <c r="V244"/>
    </row>
    <row r="245" spans="1:22" x14ac:dyDescent="0.2">
      <c r="A245" s="267" t="s">
        <v>473</v>
      </c>
      <c r="B245" s="267" t="s">
        <v>488</v>
      </c>
      <c r="C245" s="268">
        <v>0</v>
      </c>
      <c r="D245" s="268">
        <v>1</v>
      </c>
      <c r="E245" s="268">
        <v>1</v>
      </c>
      <c r="F245" s="268">
        <v>0</v>
      </c>
      <c r="G245" s="268">
        <v>15080.378004776001</v>
      </c>
      <c r="H245" s="268">
        <v>15080.378004776001</v>
      </c>
      <c r="I245" s="267" t="s">
        <v>753</v>
      </c>
      <c r="J245" s="267" t="s">
        <v>125</v>
      </c>
      <c r="K245" s="267">
        <v>323485</v>
      </c>
      <c r="L245" s="267" t="s">
        <v>703</v>
      </c>
      <c r="M245"/>
      <c r="N245"/>
      <c r="O245"/>
      <c r="P245"/>
      <c r="Q245" s="151"/>
      <c r="R245"/>
      <c r="S245"/>
      <c r="T245"/>
      <c r="U245"/>
      <c r="V245"/>
    </row>
    <row r="246" spans="1:22" x14ac:dyDescent="0.2">
      <c r="A246" s="267" t="s">
        <v>626</v>
      </c>
      <c r="B246" s="267" t="s">
        <v>832</v>
      </c>
      <c r="C246" s="268">
        <v>31</v>
      </c>
      <c r="D246" s="268">
        <v>72</v>
      </c>
      <c r="E246" s="268">
        <v>103</v>
      </c>
      <c r="F246" s="268">
        <v>862306.31740816415</v>
      </c>
      <c r="G246" s="268">
        <v>2138074.9216747899</v>
      </c>
      <c r="H246" s="268">
        <v>3000381.2390829502</v>
      </c>
      <c r="I246" s="267" t="s">
        <v>633</v>
      </c>
      <c r="J246" s="267" t="s">
        <v>122</v>
      </c>
      <c r="K246" s="267">
        <v>323832</v>
      </c>
      <c r="L246" s="267" t="s">
        <v>126</v>
      </c>
      <c r="M246"/>
      <c r="N246"/>
      <c r="O246"/>
      <c r="P246"/>
      <c r="Q246" s="151"/>
      <c r="R246"/>
      <c r="S246"/>
      <c r="T246"/>
      <c r="U246"/>
      <c r="V246"/>
    </row>
    <row r="247" spans="1:22" x14ac:dyDescent="0.2">
      <c r="A247" s="267" t="s">
        <v>301</v>
      </c>
      <c r="B247" s="267" t="s">
        <v>605</v>
      </c>
      <c r="C247" s="268">
        <v>13</v>
      </c>
      <c r="D247" s="268">
        <v>10</v>
      </c>
      <c r="E247" s="268">
        <v>23</v>
      </c>
      <c r="F247" s="268">
        <v>164320.902549166</v>
      </c>
      <c r="G247" s="268">
        <v>152053.43546356499</v>
      </c>
      <c r="H247" s="268">
        <v>316374.33801273099</v>
      </c>
      <c r="I247" s="267" t="s">
        <v>633</v>
      </c>
      <c r="J247" s="267" t="s">
        <v>123</v>
      </c>
      <c r="K247" s="267">
        <v>323899</v>
      </c>
      <c r="L247" s="267" t="s">
        <v>58</v>
      </c>
      <c r="M247"/>
      <c r="N247"/>
      <c r="O247"/>
      <c r="P247"/>
      <c r="Q247" s="151"/>
      <c r="R247"/>
      <c r="S247"/>
      <c r="T247"/>
      <c r="U247"/>
      <c r="V247"/>
    </row>
    <row r="248" spans="1:22" x14ac:dyDescent="0.2">
      <c r="A248" s="267" t="s">
        <v>239</v>
      </c>
      <c r="B248" s="267" t="s">
        <v>242</v>
      </c>
      <c r="C248" s="268">
        <v>296</v>
      </c>
      <c r="D248" s="268">
        <v>317</v>
      </c>
      <c r="E248" s="268">
        <v>613</v>
      </c>
      <c r="F248" s="268">
        <v>5135661.0877841599</v>
      </c>
      <c r="G248" s="268">
        <v>6404089.98031691</v>
      </c>
      <c r="H248" s="268">
        <v>11539751.068101099</v>
      </c>
      <c r="I248" s="267" t="s">
        <v>633</v>
      </c>
      <c r="J248" s="267" t="s">
        <v>121</v>
      </c>
      <c r="K248" s="267">
        <v>324665</v>
      </c>
      <c r="L248" s="267" t="s">
        <v>449</v>
      </c>
      <c r="M248"/>
      <c r="N248"/>
      <c r="O248"/>
      <c r="P248"/>
      <c r="Q248" s="151"/>
      <c r="R248"/>
      <c r="S248"/>
      <c r="T248"/>
      <c r="U248"/>
      <c r="V248"/>
    </row>
    <row r="249" spans="1:22" x14ac:dyDescent="0.2">
      <c r="A249" s="267" t="s">
        <v>546</v>
      </c>
      <c r="B249" s="267" t="s">
        <v>28</v>
      </c>
      <c r="C249" s="268">
        <v>4965</v>
      </c>
      <c r="D249" s="268">
        <v>4723</v>
      </c>
      <c r="E249" s="268">
        <v>9688</v>
      </c>
      <c r="F249" s="268">
        <v>124513875.994968</v>
      </c>
      <c r="G249" s="268">
        <v>144009803.60620201</v>
      </c>
      <c r="H249" s="268">
        <v>268523679.60117102</v>
      </c>
      <c r="I249" s="267" t="s">
        <v>753</v>
      </c>
      <c r="J249" s="267" t="s">
        <v>122</v>
      </c>
      <c r="K249" s="267">
        <v>325902</v>
      </c>
      <c r="L249" s="267" t="s">
        <v>838</v>
      </c>
      <c r="M249"/>
      <c r="N249"/>
      <c r="O249"/>
      <c r="P249"/>
      <c r="Q249" s="151"/>
      <c r="R249"/>
      <c r="S249"/>
      <c r="T249"/>
      <c r="U249"/>
      <c r="V249"/>
    </row>
    <row r="250" spans="1:22" x14ac:dyDescent="0.2">
      <c r="A250" s="267" t="s">
        <v>44</v>
      </c>
      <c r="B250" s="267" t="s">
        <v>53</v>
      </c>
      <c r="C250" s="268">
        <v>8476</v>
      </c>
      <c r="D250" s="268">
        <v>10654</v>
      </c>
      <c r="E250" s="268">
        <v>19130</v>
      </c>
      <c r="F250" s="268">
        <v>124837880.606941</v>
      </c>
      <c r="G250" s="268">
        <v>199435921.01555502</v>
      </c>
      <c r="H250" s="268">
        <v>324273801.62249601</v>
      </c>
      <c r="I250" s="267" t="s">
        <v>633</v>
      </c>
      <c r="J250" s="267" t="s">
        <v>121</v>
      </c>
      <c r="K250" s="267">
        <v>327734</v>
      </c>
      <c r="L250" s="267" t="s">
        <v>52</v>
      </c>
      <c r="M250"/>
      <c r="N250"/>
      <c r="O250"/>
      <c r="P250"/>
      <c r="Q250" s="151"/>
      <c r="R250"/>
      <c r="S250"/>
      <c r="T250"/>
      <c r="U250"/>
      <c r="V250"/>
    </row>
    <row r="251" spans="1:22" x14ac:dyDescent="0.2">
      <c r="A251" s="267" t="s">
        <v>546</v>
      </c>
      <c r="B251" s="267" t="s">
        <v>547</v>
      </c>
      <c r="C251" s="268">
        <v>1002</v>
      </c>
      <c r="D251" s="268">
        <v>986</v>
      </c>
      <c r="E251" s="268">
        <v>1988</v>
      </c>
      <c r="F251" s="268">
        <v>25351506.546462499</v>
      </c>
      <c r="G251" s="268">
        <v>31650663.199604299</v>
      </c>
      <c r="H251" s="268">
        <v>57002169.746066801</v>
      </c>
      <c r="I251" s="267" t="s">
        <v>753</v>
      </c>
      <c r="J251" s="267" t="s">
        <v>122</v>
      </c>
      <c r="K251" s="267">
        <v>330746</v>
      </c>
      <c r="L251" s="267" t="s">
        <v>684</v>
      </c>
      <c r="M251"/>
      <c r="N251"/>
      <c r="O251"/>
      <c r="P251"/>
      <c r="Q251" s="151"/>
      <c r="R251"/>
      <c r="S251"/>
      <c r="T251"/>
      <c r="U251"/>
      <c r="V251"/>
    </row>
    <row r="252" spans="1:22" x14ac:dyDescent="0.2">
      <c r="A252" s="267" t="s">
        <v>626</v>
      </c>
      <c r="B252" s="267" t="s">
        <v>1105</v>
      </c>
      <c r="C252" s="268">
        <v>6</v>
      </c>
      <c r="D252" s="268">
        <v>22</v>
      </c>
      <c r="E252" s="268">
        <v>28</v>
      </c>
      <c r="F252" s="268">
        <v>130559.73648030398</v>
      </c>
      <c r="G252" s="268">
        <v>858251.64763993106</v>
      </c>
      <c r="H252" s="268">
        <v>988811.38412023406</v>
      </c>
      <c r="I252" s="267" t="s">
        <v>753</v>
      </c>
      <c r="J252" s="267" t="s">
        <v>122</v>
      </c>
      <c r="K252" s="267">
        <v>331686</v>
      </c>
      <c r="L252" s="267" t="s">
        <v>796</v>
      </c>
      <c r="M252"/>
      <c r="N252"/>
      <c r="O252"/>
      <c r="P252"/>
      <c r="Q252" s="151"/>
      <c r="R252"/>
      <c r="S252"/>
      <c r="T252"/>
      <c r="U252"/>
      <c r="V252"/>
    </row>
    <row r="253" spans="1:22" x14ac:dyDescent="0.2">
      <c r="A253" s="267" t="s">
        <v>491</v>
      </c>
      <c r="B253" s="267" t="s">
        <v>500</v>
      </c>
      <c r="C253" s="268">
        <v>3554</v>
      </c>
      <c r="D253" s="268">
        <v>2472</v>
      </c>
      <c r="E253" s="268">
        <v>6026</v>
      </c>
      <c r="F253" s="268">
        <v>70626429.821884006</v>
      </c>
      <c r="G253" s="268">
        <v>63345955.250874802</v>
      </c>
      <c r="H253" s="268">
        <v>133972385.072759</v>
      </c>
      <c r="I253" s="267" t="s">
        <v>753</v>
      </c>
      <c r="J253" s="267" t="s">
        <v>122</v>
      </c>
      <c r="K253" s="267">
        <v>331983</v>
      </c>
      <c r="L253" s="267" t="s">
        <v>680</v>
      </c>
      <c r="M253"/>
      <c r="N253"/>
      <c r="O253"/>
      <c r="P253"/>
      <c r="Q253" s="151"/>
      <c r="R253"/>
      <c r="S253"/>
      <c r="T253"/>
      <c r="U253"/>
      <c r="V253"/>
    </row>
    <row r="254" spans="1:22" x14ac:dyDescent="0.2">
      <c r="A254" s="267" t="s">
        <v>301</v>
      </c>
      <c r="B254" s="267" t="s">
        <v>1092</v>
      </c>
      <c r="C254" s="268">
        <v>6325</v>
      </c>
      <c r="D254" s="268">
        <v>6783</v>
      </c>
      <c r="E254" s="268">
        <v>13108</v>
      </c>
      <c r="F254" s="268">
        <v>533009287.21535301</v>
      </c>
      <c r="G254" s="268">
        <v>687720866.20130396</v>
      </c>
      <c r="H254" s="268">
        <v>1220730153.4166601</v>
      </c>
      <c r="I254" s="267" t="s">
        <v>753</v>
      </c>
      <c r="J254" s="267" t="s">
        <v>123</v>
      </c>
      <c r="K254" s="267">
        <v>333518</v>
      </c>
      <c r="L254" s="267" t="s">
        <v>13</v>
      </c>
      <c r="M254"/>
      <c r="N254"/>
      <c r="O254"/>
      <c r="P254"/>
      <c r="Q254" s="151"/>
      <c r="R254"/>
      <c r="S254"/>
      <c r="T254"/>
      <c r="U254"/>
      <c r="V254"/>
    </row>
    <row r="255" spans="1:22" x14ac:dyDescent="0.2">
      <c r="A255" s="267" t="s">
        <v>131</v>
      </c>
      <c r="B255" s="267" t="s">
        <v>217</v>
      </c>
      <c r="C255" s="268">
        <v>606</v>
      </c>
      <c r="D255" s="268">
        <v>959</v>
      </c>
      <c r="E255" s="268">
        <v>1565</v>
      </c>
      <c r="F255" s="268">
        <v>11328821.4693499</v>
      </c>
      <c r="G255" s="268">
        <v>23807902.9223276</v>
      </c>
      <c r="H255" s="268">
        <v>35136724.391677499</v>
      </c>
      <c r="I255" s="267" t="s">
        <v>633</v>
      </c>
      <c r="J255" s="267" t="s">
        <v>121</v>
      </c>
      <c r="K255" s="267">
        <v>333633</v>
      </c>
      <c r="L255" s="267" t="s">
        <v>782</v>
      </c>
      <c r="M255"/>
      <c r="N255"/>
      <c r="O255"/>
      <c r="P255"/>
      <c r="Q255" s="151"/>
      <c r="R255"/>
      <c r="S255"/>
      <c r="T255"/>
      <c r="U255"/>
      <c r="V255"/>
    </row>
    <row r="256" spans="1:22" x14ac:dyDescent="0.2">
      <c r="A256" s="267" t="s">
        <v>239</v>
      </c>
      <c r="B256" s="267" t="s">
        <v>241</v>
      </c>
      <c r="C256" s="268">
        <v>7037</v>
      </c>
      <c r="D256" s="268">
        <v>10635</v>
      </c>
      <c r="E256" s="268">
        <v>17672</v>
      </c>
      <c r="F256" s="268">
        <v>197459192.431757</v>
      </c>
      <c r="G256" s="268">
        <v>384591836.06962001</v>
      </c>
      <c r="H256" s="268">
        <v>582051028.50137699</v>
      </c>
      <c r="I256" s="267" t="s">
        <v>753</v>
      </c>
      <c r="J256" s="267" t="s">
        <v>121</v>
      </c>
      <c r="K256" s="267">
        <v>333690</v>
      </c>
      <c r="L256" s="267" t="s">
        <v>212</v>
      </c>
      <c r="M256"/>
      <c r="N256"/>
      <c r="O256"/>
      <c r="P256"/>
      <c r="Q256" s="151"/>
      <c r="R256"/>
      <c r="S256"/>
      <c r="T256"/>
      <c r="U256"/>
      <c r="V256"/>
    </row>
    <row r="257" spans="1:22" x14ac:dyDescent="0.2">
      <c r="A257" s="267" t="s">
        <v>367</v>
      </c>
      <c r="B257" s="267" t="s">
        <v>132</v>
      </c>
      <c r="C257" s="268">
        <v>21622</v>
      </c>
      <c r="D257" s="268">
        <v>32165</v>
      </c>
      <c r="E257" s="268">
        <v>53787</v>
      </c>
      <c r="F257" s="268">
        <v>501988892.642488</v>
      </c>
      <c r="G257" s="268">
        <v>954449646.3266269</v>
      </c>
      <c r="H257" s="268">
        <v>1456438538.96911</v>
      </c>
      <c r="I257" s="267" t="s">
        <v>633</v>
      </c>
      <c r="J257" s="267" t="s">
        <v>121</v>
      </c>
      <c r="K257" s="267">
        <v>334409</v>
      </c>
      <c r="L257" s="267" t="s">
        <v>354</v>
      </c>
      <c r="M257"/>
      <c r="N257"/>
      <c r="O257"/>
      <c r="P257"/>
      <c r="Q257" s="151"/>
      <c r="R257"/>
      <c r="S257"/>
      <c r="T257"/>
      <c r="U257"/>
      <c r="V257"/>
    </row>
    <row r="258" spans="1:22" x14ac:dyDescent="0.2">
      <c r="A258" s="267" t="s">
        <v>626</v>
      </c>
      <c r="B258" s="267" t="s">
        <v>229</v>
      </c>
      <c r="C258" s="268">
        <v>3472</v>
      </c>
      <c r="D258" s="268">
        <v>4255</v>
      </c>
      <c r="E258" s="268">
        <v>7727</v>
      </c>
      <c r="F258" s="268">
        <v>67686343.749205202</v>
      </c>
      <c r="G258" s="268">
        <v>102573938.85819399</v>
      </c>
      <c r="H258" s="268">
        <v>170260282.6074</v>
      </c>
      <c r="I258" s="267" t="s">
        <v>633</v>
      </c>
      <c r="J258" s="267" t="s">
        <v>122</v>
      </c>
      <c r="K258" s="267">
        <v>335463</v>
      </c>
      <c r="L258" s="267" t="s">
        <v>362</v>
      </c>
      <c r="M258"/>
      <c r="N258"/>
      <c r="O258"/>
      <c r="P258"/>
      <c r="Q258" s="151"/>
      <c r="R258"/>
      <c r="S258"/>
      <c r="T258"/>
      <c r="U258"/>
      <c r="V258"/>
    </row>
    <row r="259" spans="1:22" x14ac:dyDescent="0.2">
      <c r="A259" s="267" t="s">
        <v>626</v>
      </c>
      <c r="B259" s="267" t="s">
        <v>831</v>
      </c>
      <c r="C259" s="268">
        <v>347</v>
      </c>
      <c r="D259" s="268">
        <v>488</v>
      </c>
      <c r="E259" s="268">
        <v>835</v>
      </c>
      <c r="F259" s="268">
        <v>6319581.0045364201</v>
      </c>
      <c r="G259" s="268">
        <v>11778424.6012858</v>
      </c>
      <c r="H259" s="268">
        <v>18098005.605822202</v>
      </c>
      <c r="I259" s="267" t="s">
        <v>633</v>
      </c>
      <c r="J259" s="267" t="s">
        <v>122</v>
      </c>
      <c r="K259" s="267">
        <v>336115</v>
      </c>
      <c r="L259" s="267" t="s">
        <v>752</v>
      </c>
      <c r="M259"/>
      <c r="N259"/>
      <c r="O259"/>
      <c r="P259"/>
      <c r="Q259" s="151"/>
      <c r="R259"/>
      <c r="S259"/>
      <c r="T259"/>
      <c r="U259"/>
      <c r="V259"/>
    </row>
    <row r="260" spans="1:22" x14ac:dyDescent="0.2">
      <c r="A260" s="267" t="s">
        <v>44</v>
      </c>
      <c r="B260" s="267" t="s">
        <v>59</v>
      </c>
      <c r="C260" s="268">
        <v>5933</v>
      </c>
      <c r="D260" s="268">
        <v>7238</v>
      </c>
      <c r="E260" s="268">
        <v>13171</v>
      </c>
      <c r="F260" s="268">
        <v>131507551.61482699</v>
      </c>
      <c r="G260" s="268">
        <v>194682003.35945702</v>
      </c>
      <c r="H260" s="268">
        <v>326189554.97428298</v>
      </c>
      <c r="I260" s="267" t="s">
        <v>633</v>
      </c>
      <c r="J260" s="267" t="s">
        <v>121</v>
      </c>
      <c r="K260" s="267">
        <v>336826</v>
      </c>
      <c r="L260" s="267" t="s">
        <v>58</v>
      </c>
      <c r="M260"/>
      <c r="N260"/>
      <c r="O260"/>
      <c r="P260"/>
      <c r="Q260" s="151"/>
      <c r="R260"/>
      <c r="S260"/>
      <c r="T260"/>
      <c r="U260"/>
      <c r="V260"/>
    </row>
    <row r="261" spans="1:22" x14ac:dyDescent="0.2">
      <c r="A261" s="267" t="s">
        <v>279</v>
      </c>
      <c r="B261" s="267" t="s">
        <v>561</v>
      </c>
      <c r="C261" s="268">
        <v>18246</v>
      </c>
      <c r="D261" s="268">
        <v>23772</v>
      </c>
      <c r="E261" s="268">
        <v>42018</v>
      </c>
      <c r="F261" s="268">
        <v>282685914.982485</v>
      </c>
      <c r="G261" s="268">
        <v>494550740.19605404</v>
      </c>
      <c r="H261" s="268">
        <v>777236655.17853892</v>
      </c>
      <c r="I261" s="267" t="s">
        <v>633</v>
      </c>
      <c r="J261" s="267" t="s">
        <v>121</v>
      </c>
      <c r="K261" s="267">
        <v>338590</v>
      </c>
      <c r="L261" s="267" t="s">
        <v>760</v>
      </c>
      <c r="M261"/>
      <c r="N261"/>
      <c r="O261"/>
      <c r="P261"/>
      <c r="Q261" s="151"/>
      <c r="R261"/>
      <c r="S261"/>
      <c r="T261"/>
      <c r="U261"/>
      <c r="V261"/>
    </row>
    <row r="262" spans="1:22" x14ac:dyDescent="0.2">
      <c r="A262" s="267" t="s">
        <v>145</v>
      </c>
      <c r="B262" s="267" t="s">
        <v>948</v>
      </c>
      <c r="C262" s="268">
        <v>1249</v>
      </c>
      <c r="D262" s="268">
        <v>2221</v>
      </c>
      <c r="E262" s="268">
        <v>3470</v>
      </c>
      <c r="F262" s="268">
        <v>152740838.144849</v>
      </c>
      <c r="G262" s="268">
        <v>297998203.46165502</v>
      </c>
      <c r="H262" s="268">
        <v>450739041.60650402</v>
      </c>
      <c r="I262" s="267" t="s">
        <v>753</v>
      </c>
      <c r="J262" s="267" t="s">
        <v>121</v>
      </c>
      <c r="K262" s="267">
        <v>339002</v>
      </c>
      <c r="L262" s="267" t="s">
        <v>790</v>
      </c>
      <c r="M262"/>
      <c r="N262"/>
      <c r="O262"/>
      <c r="P262"/>
      <c r="Q262" s="151"/>
      <c r="R262"/>
      <c r="S262"/>
      <c r="T262"/>
      <c r="U262"/>
      <c r="V262"/>
    </row>
    <row r="263" spans="1:22" x14ac:dyDescent="0.2">
      <c r="A263" s="267" t="s">
        <v>671</v>
      </c>
      <c r="B263" s="267" t="s">
        <v>373</v>
      </c>
      <c r="C263" s="268">
        <v>1683</v>
      </c>
      <c r="D263" s="268">
        <v>2346</v>
      </c>
      <c r="E263" s="268">
        <v>4029</v>
      </c>
      <c r="F263" s="268">
        <v>45727846.950711802</v>
      </c>
      <c r="G263" s="268">
        <v>73833627.646387696</v>
      </c>
      <c r="H263" s="268">
        <v>119561474.5971</v>
      </c>
      <c r="I263" s="267" t="s">
        <v>753</v>
      </c>
      <c r="J263" s="267" t="s">
        <v>121</v>
      </c>
      <c r="K263" s="267">
        <v>339184</v>
      </c>
      <c r="L263" s="267" t="s">
        <v>619</v>
      </c>
      <c r="M263"/>
      <c r="N263"/>
      <c r="O263"/>
      <c r="P263"/>
      <c r="Q263" s="151"/>
      <c r="R263"/>
      <c r="S263"/>
      <c r="T263"/>
      <c r="U263"/>
      <c r="V263"/>
    </row>
    <row r="264" spans="1:22" x14ac:dyDescent="0.2">
      <c r="A264" s="267" t="s">
        <v>145</v>
      </c>
      <c r="B264" s="267" t="s">
        <v>330</v>
      </c>
      <c r="C264" s="268">
        <v>3790</v>
      </c>
      <c r="D264" s="268">
        <v>4076</v>
      </c>
      <c r="E264" s="268">
        <v>7866</v>
      </c>
      <c r="F264" s="268">
        <v>50700709.481166802</v>
      </c>
      <c r="G264" s="268">
        <v>61186979.558545604</v>
      </c>
      <c r="H264" s="268">
        <v>111887689.039712</v>
      </c>
      <c r="I264" s="267" t="s">
        <v>633</v>
      </c>
      <c r="J264" s="267" t="s">
        <v>121</v>
      </c>
      <c r="K264" s="267">
        <v>340836</v>
      </c>
      <c r="L264" s="267" t="s">
        <v>812</v>
      </c>
      <c r="M264"/>
      <c r="N264"/>
      <c r="O264"/>
      <c r="P264"/>
      <c r="Q264" s="151"/>
      <c r="R264"/>
      <c r="S264"/>
      <c r="T264"/>
      <c r="U264"/>
      <c r="V264"/>
    </row>
    <row r="265" spans="1:22" x14ac:dyDescent="0.2">
      <c r="A265" s="267" t="s">
        <v>671</v>
      </c>
      <c r="B265" s="267" t="s">
        <v>673</v>
      </c>
      <c r="C265" s="268">
        <v>3986</v>
      </c>
      <c r="D265" s="268">
        <v>3247</v>
      </c>
      <c r="E265" s="268">
        <v>7233</v>
      </c>
      <c r="F265" s="268">
        <v>96812892.085241899</v>
      </c>
      <c r="G265" s="268">
        <v>94149325.311963394</v>
      </c>
      <c r="H265" s="268">
        <v>190962217.397205</v>
      </c>
      <c r="I265" s="267" t="s">
        <v>753</v>
      </c>
      <c r="J265" s="267" t="s">
        <v>121</v>
      </c>
      <c r="K265" s="267">
        <v>344739</v>
      </c>
      <c r="L265" s="267" t="s">
        <v>672</v>
      </c>
      <c r="M265"/>
      <c r="N265"/>
      <c r="O265"/>
      <c r="P265"/>
      <c r="Q265" s="151"/>
      <c r="R265"/>
      <c r="S265"/>
      <c r="T265"/>
      <c r="U265"/>
      <c r="V265"/>
    </row>
    <row r="266" spans="1:22" x14ac:dyDescent="0.2">
      <c r="A266" s="267" t="s">
        <v>367</v>
      </c>
      <c r="B266" s="267" t="s">
        <v>507</v>
      </c>
      <c r="C266" s="268">
        <v>11270</v>
      </c>
      <c r="D266" s="268">
        <v>14884</v>
      </c>
      <c r="E266" s="268">
        <v>26154</v>
      </c>
      <c r="F266" s="268">
        <v>196640937.37060499</v>
      </c>
      <c r="G266" s="268">
        <v>357730651.84546</v>
      </c>
      <c r="H266" s="268">
        <v>554371589.21606493</v>
      </c>
      <c r="I266" s="267" t="s">
        <v>753</v>
      </c>
      <c r="J266" s="267" t="s">
        <v>121</v>
      </c>
      <c r="K266" s="267">
        <v>348862</v>
      </c>
      <c r="L266" s="267" t="s">
        <v>174</v>
      </c>
      <c r="M266"/>
      <c r="N266"/>
      <c r="O266"/>
      <c r="P266"/>
      <c r="Q266" s="151"/>
      <c r="R266"/>
      <c r="S266"/>
      <c r="T266"/>
      <c r="U266"/>
      <c r="V266"/>
    </row>
    <row r="267" spans="1:22" x14ac:dyDescent="0.2">
      <c r="A267" s="267" t="s">
        <v>748</v>
      </c>
      <c r="B267" s="267" t="s">
        <v>1119</v>
      </c>
      <c r="C267" s="268">
        <v>6019</v>
      </c>
      <c r="D267" s="268">
        <v>5992</v>
      </c>
      <c r="E267" s="268">
        <v>12011</v>
      </c>
      <c r="F267" s="268">
        <v>109134374.932697</v>
      </c>
      <c r="G267" s="268">
        <v>129042208.00394599</v>
      </c>
      <c r="H267" s="268">
        <v>238176582.936643</v>
      </c>
      <c r="I267" s="267" t="s">
        <v>633</v>
      </c>
      <c r="J267" s="267" t="s">
        <v>121</v>
      </c>
      <c r="K267" s="267">
        <v>348987</v>
      </c>
      <c r="L267" s="267" t="s">
        <v>764</v>
      </c>
      <c r="M267"/>
      <c r="N267"/>
      <c r="O267"/>
      <c r="P267"/>
      <c r="Q267" s="151"/>
      <c r="R267"/>
      <c r="S267"/>
      <c r="T267"/>
      <c r="U267"/>
      <c r="V267"/>
    </row>
    <row r="268" spans="1:22" x14ac:dyDescent="0.2">
      <c r="A268" s="267" t="s">
        <v>348</v>
      </c>
      <c r="B268" s="267" t="s">
        <v>1096</v>
      </c>
      <c r="C268" s="268">
        <v>1639</v>
      </c>
      <c r="D268" s="268">
        <v>1329</v>
      </c>
      <c r="E268" s="268">
        <v>2968</v>
      </c>
      <c r="F268" s="268">
        <v>93892320.211073995</v>
      </c>
      <c r="G268" s="268">
        <v>83243844.770550191</v>
      </c>
      <c r="H268" s="268">
        <v>177136164.98162401</v>
      </c>
      <c r="I268" s="267" t="s">
        <v>633</v>
      </c>
      <c r="J268" s="267" t="s">
        <v>125</v>
      </c>
      <c r="K268" s="267">
        <v>350512</v>
      </c>
      <c r="L268" s="267" t="s">
        <v>1094</v>
      </c>
      <c r="M268"/>
      <c r="N268"/>
      <c r="O268"/>
      <c r="P268"/>
      <c r="Q268" s="151"/>
      <c r="R268"/>
      <c r="S268"/>
      <c r="T268"/>
      <c r="U268"/>
      <c r="V268"/>
    </row>
    <row r="269" spans="1:22" x14ac:dyDescent="0.2">
      <c r="A269" s="267" t="s">
        <v>145</v>
      </c>
      <c r="B269" s="267" t="s">
        <v>1057</v>
      </c>
      <c r="C269" s="268">
        <v>766</v>
      </c>
      <c r="D269" s="268">
        <v>826</v>
      </c>
      <c r="E269" s="268">
        <v>1592</v>
      </c>
      <c r="F269" s="268">
        <v>13636563.1557413</v>
      </c>
      <c r="G269" s="268">
        <v>17293337.596491102</v>
      </c>
      <c r="H269" s="268">
        <v>30929900.752232399</v>
      </c>
      <c r="I269" s="267" t="s">
        <v>633</v>
      </c>
      <c r="J269" s="267" t="s">
        <v>121</v>
      </c>
      <c r="K269" s="267">
        <v>352468</v>
      </c>
      <c r="L269" s="267" t="s">
        <v>842</v>
      </c>
      <c r="M269"/>
      <c r="N269"/>
      <c r="O269"/>
      <c r="P269"/>
      <c r="Q269" s="151"/>
      <c r="R269"/>
      <c r="S269"/>
      <c r="T269"/>
      <c r="U269"/>
      <c r="V269"/>
    </row>
    <row r="270" spans="1:22" x14ac:dyDescent="0.2">
      <c r="A270" s="267" t="s">
        <v>626</v>
      </c>
      <c r="B270" s="267" t="s">
        <v>186</v>
      </c>
      <c r="C270" s="268">
        <v>19</v>
      </c>
      <c r="D270" s="268">
        <v>37</v>
      </c>
      <c r="E270" s="268">
        <v>56</v>
      </c>
      <c r="F270" s="268">
        <v>214440.649577417</v>
      </c>
      <c r="G270" s="268">
        <v>995276.98176684801</v>
      </c>
      <c r="H270" s="268">
        <v>1209717.6313442599</v>
      </c>
      <c r="I270" s="267" t="s">
        <v>633</v>
      </c>
      <c r="J270" s="267" t="s">
        <v>122</v>
      </c>
      <c r="K270" s="267">
        <v>352583</v>
      </c>
      <c r="L270" s="267" t="s">
        <v>423</v>
      </c>
      <c r="M270"/>
      <c r="N270"/>
      <c r="O270"/>
      <c r="P270"/>
      <c r="Q270" s="151"/>
      <c r="R270"/>
      <c r="S270"/>
      <c r="T270"/>
      <c r="U270"/>
      <c r="V270"/>
    </row>
    <row r="271" spans="1:22" x14ac:dyDescent="0.2">
      <c r="A271" s="267" t="s">
        <v>279</v>
      </c>
      <c r="B271" s="267" t="s">
        <v>25</v>
      </c>
      <c r="C271" s="268">
        <v>618</v>
      </c>
      <c r="D271" s="268">
        <v>866</v>
      </c>
      <c r="E271" s="268">
        <v>1484</v>
      </c>
      <c r="F271" s="268">
        <v>10866461.600547099</v>
      </c>
      <c r="G271" s="268">
        <v>19320334.701176502</v>
      </c>
      <c r="H271" s="268">
        <v>30186796.301723599</v>
      </c>
      <c r="I271" s="267" t="s">
        <v>633</v>
      </c>
      <c r="J271" s="267" t="s">
        <v>121</v>
      </c>
      <c r="K271" s="267">
        <v>353235</v>
      </c>
      <c r="L271" s="267" t="s">
        <v>358</v>
      </c>
      <c r="M271"/>
      <c r="N271"/>
      <c r="O271"/>
      <c r="P271"/>
      <c r="Q271" s="151"/>
      <c r="R271"/>
      <c r="S271"/>
      <c r="T271"/>
      <c r="U271"/>
      <c r="V271"/>
    </row>
    <row r="272" spans="1:22" x14ac:dyDescent="0.2">
      <c r="A272" s="267" t="s">
        <v>208</v>
      </c>
      <c r="B272" s="267" t="s">
        <v>888</v>
      </c>
      <c r="C272" s="268">
        <v>333</v>
      </c>
      <c r="D272" s="268">
        <v>567</v>
      </c>
      <c r="E272" s="268">
        <v>900</v>
      </c>
      <c r="F272" s="268">
        <v>5183286.3272416005</v>
      </c>
      <c r="G272" s="268">
        <v>10856012.2138381</v>
      </c>
      <c r="H272" s="268">
        <v>16039298.541079601</v>
      </c>
      <c r="I272" s="267" t="s">
        <v>633</v>
      </c>
      <c r="J272" s="267" t="s">
        <v>121</v>
      </c>
      <c r="K272" s="267">
        <v>353821</v>
      </c>
      <c r="L272" s="267" t="s">
        <v>358</v>
      </c>
      <c r="M272"/>
      <c r="N272"/>
      <c r="O272"/>
      <c r="P272"/>
      <c r="Q272" s="151"/>
      <c r="R272"/>
      <c r="S272"/>
      <c r="T272"/>
      <c r="U272"/>
      <c r="V272"/>
    </row>
    <row r="273" spans="1:22" x14ac:dyDescent="0.2">
      <c r="A273" s="267" t="s">
        <v>131</v>
      </c>
      <c r="B273" s="267" t="s">
        <v>863</v>
      </c>
      <c r="C273" s="268">
        <v>2197</v>
      </c>
      <c r="D273" s="268">
        <v>3612</v>
      </c>
      <c r="E273" s="268">
        <v>5809</v>
      </c>
      <c r="F273" s="268">
        <v>47026790.603107899</v>
      </c>
      <c r="G273" s="268">
        <v>98299107.679524496</v>
      </c>
      <c r="H273" s="268">
        <v>145325898.28263199</v>
      </c>
      <c r="I273" s="267" t="s">
        <v>633</v>
      </c>
      <c r="J273" s="267" t="s">
        <v>121</v>
      </c>
      <c r="K273" s="267">
        <v>354233</v>
      </c>
      <c r="L273" s="267" t="s">
        <v>677</v>
      </c>
      <c r="M273"/>
      <c r="N273"/>
      <c r="O273"/>
      <c r="P273"/>
      <c r="Q273" s="151"/>
      <c r="R273"/>
      <c r="S273"/>
      <c r="T273"/>
      <c r="U273"/>
      <c r="V273"/>
    </row>
    <row r="274" spans="1:22" x14ac:dyDescent="0.2">
      <c r="A274" s="267" t="s">
        <v>748</v>
      </c>
      <c r="B274" s="267" t="s">
        <v>525</v>
      </c>
      <c r="C274" s="268">
        <v>364</v>
      </c>
      <c r="D274" s="268">
        <v>444</v>
      </c>
      <c r="E274" s="268">
        <v>808</v>
      </c>
      <c r="F274" s="268">
        <v>6304274.61411695</v>
      </c>
      <c r="G274" s="268">
        <v>8837106.0476150699</v>
      </c>
      <c r="H274" s="268">
        <v>15141380.661731999</v>
      </c>
      <c r="I274" s="267" t="s">
        <v>633</v>
      </c>
      <c r="J274" s="267" t="s">
        <v>121</v>
      </c>
      <c r="K274" s="267">
        <v>354290</v>
      </c>
      <c r="L274" s="267" t="s">
        <v>522</v>
      </c>
      <c r="M274"/>
      <c r="N274"/>
      <c r="O274"/>
      <c r="P274"/>
      <c r="Q274" s="151"/>
      <c r="R274"/>
      <c r="S274"/>
      <c r="T274"/>
      <c r="U274"/>
      <c r="V274"/>
    </row>
    <row r="275" spans="1:22" x14ac:dyDescent="0.2">
      <c r="A275" s="267" t="s">
        <v>301</v>
      </c>
      <c r="B275" s="267" t="s">
        <v>943</v>
      </c>
      <c r="C275" s="268">
        <v>29710</v>
      </c>
      <c r="D275" s="268">
        <v>34807</v>
      </c>
      <c r="E275" s="268">
        <v>64517</v>
      </c>
      <c r="F275" s="268">
        <v>1294775039.19999</v>
      </c>
      <c r="G275" s="268">
        <v>1850501131.54088</v>
      </c>
      <c r="H275" s="268">
        <v>3145276170.74086</v>
      </c>
      <c r="I275" s="267" t="s">
        <v>633</v>
      </c>
      <c r="J275" s="267" t="s">
        <v>123</v>
      </c>
      <c r="K275" s="267">
        <v>356006</v>
      </c>
      <c r="L275" s="267" t="s">
        <v>944</v>
      </c>
      <c r="M275"/>
      <c r="N275"/>
      <c r="O275"/>
      <c r="P275"/>
      <c r="Q275" s="151"/>
      <c r="R275"/>
      <c r="S275"/>
      <c r="T275"/>
      <c r="U275"/>
      <c r="V275"/>
    </row>
    <row r="276" spans="1:22" x14ac:dyDescent="0.2">
      <c r="A276" s="267" t="s">
        <v>92</v>
      </c>
      <c r="B276" s="267" t="s">
        <v>876</v>
      </c>
      <c r="C276" s="268">
        <v>699</v>
      </c>
      <c r="D276" s="268">
        <v>823</v>
      </c>
      <c r="E276" s="268">
        <v>1522</v>
      </c>
      <c r="F276" s="268">
        <v>13048611.84891</v>
      </c>
      <c r="G276" s="268">
        <v>19323700.066687599</v>
      </c>
      <c r="H276" s="268">
        <v>32372311.915597599</v>
      </c>
      <c r="I276" s="267" t="s">
        <v>633</v>
      </c>
      <c r="J276" s="267" t="s">
        <v>121</v>
      </c>
      <c r="K276" s="267">
        <v>356063</v>
      </c>
      <c r="L276" s="267" t="s">
        <v>41</v>
      </c>
      <c r="M276"/>
      <c r="N276"/>
      <c r="O276"/>
      <c r="P276"/>
      <c r="Q276" s="151"/>
      <c r="R276"/>
      <c r="S276"/>
      <c r="T276"/>
      <c r="U276"/>
      <c r="V276"/>
    </row>
    <row r="277" spans="1:22" x14ac:dyDescent="0.2">
      <c r="A277" s="267" t="s">
        <v>145</v>
      </c>
      <c r="B277" s="267" t="s">
        <v>1028</v>
      </c>
      <c r="C277" s="268">
        <v>660</v>
      </c>
      <c r="D277" s="268">
        <v>321</v>
      </c>
      <c r="E277" s="268">
        <v>981</v>
      </c>
      <c r="F277" s="268">
        <v>52115261.334267505</v>
      </c>
      <c r="G277" s="268">
        <v>29717223.047595799</v>
      </c>
      <c r="H277" s="268">
        <v>81832484.381863311</v>
      </c>
      <c r="I277" s="267" t="s">
        <v>753</v>
      </c>
      <c r="J277" s="267" t="s">
        <v>121</v>
      </c>
      <c r="K277" s="267">
        <v>356592</v>
      </c>
      <c r="L277" s="267" t="s">
        <v>905</v>
      </c>
      <c r="M277"/>
      <c r="N277"/>
      <c r="O277"/>
      <c r="P277"/>
      <c r="Q277" s="151"/>
      <c r="R277"/>
      <c r="S277"/>
      <c r="T277"/>
      <c r="U277"/>
      <c r="V277"/>
    </row>
    <row r="278" spans="1:22" x14ac:dyDescent="0.2">
      <c r="A278" s="267" t="s">
        <v>730</v>
      </c>
      <c r="B278" s="267" t="s">
        <v>384</v>
      </c>
      <c r="C278" s="268">
        <v>10572</v>
      </c>
      <c r="D278" s="268">
        <v>11575</v>
      </c>
      <c r="E278" s="268">
        <v>22147</v>
      </c>
      <c r="F278" s="268">
        <v>274305836.92719501</v>
      </c>
      <c r="G278" s="268">
        <v>370125801.10526901</v>
      </c>
      <c r="H278" s="268">
        <v>644431638.03246403</v>
      </c>
      <c r="I278" s="267" t="s">
        <v>753</v>
      </c>
      <c r="J278" s="267" t="s">
        <v>121</v>
      </c>
      <c r="K278" s="267">
        <v>357483</v>
      </c>
      <c r="L278" s="267" t="s">
        <v>859</v>
      </c>
      <c r="M278"/>
      <c r="N278"/>
      <c r="O278"/>
      <c r="P278"/>
      <c r="Q278" s="151"/>
      <c r="R278"/>
      <c r="S278"/>
      <c r="T278"/>
      <c r="U278"/>
      <c r="V278"/>
    </row>
    <row r="279" spans="1:22" x14ac:dyDescent="0.2">
      <c r="A279" s="267" t="s">
        <v>131</v>
      </c>
      <c r="B279" s="267" t="s">
        <v>1134</v>
      </c>
      <c r="C279" s="268">
        <v>480</v>
      </c>
      <c r="D279" s="268">
        <v>517</v>
      </c>
      <c r="E279" s="268">
        <v>997</v>
      </c>
      <c r="F279" s="268">
        <v>18527628.5881343</v>
      </c>
      <c r="G279" s="268">
        <v>22183495.362900101</v>
      </c>
      <c r="H279" s="268">
        <v>40711123.951034404</v>
      </c>
      <c r="I279" s="267" t="s">
        <v>753</v>
      </c>
      <c r="J279" s="267" t="s">
        <v>121</v>
      </c>
      <c r="K279" s="267">
        <v>357830</v>
      </c>
      <c r="L279" s="267" t="s">
        <v>13</v>
      </c>
      <c r="M279"/>
      <c r="N279"/>
      <c r="O279"/>
      <c r="P279"/>
      <c r="Q279" s="151"/>
      <c r="R279"/>
      <c r="S279"/>
      <c r="T279"/>
      <c r="U279"/>
      <c r="V279"/>
    </row>
    <row r="280" spans="1:22" x14ac:dyDescent="0.2">
      <c r="A280" s="267" t="s">
        <v>348</v>
      </c>
      <c r="B280" s="267" t="s">
        <v>1108</v>
      </c>
      <c r="C280" s="268">
        <v>32114</v>
      </c>
      <c r="D280" s="268">
        <v>24710</v>
      </c>
      <c r="E280" s="268">
        <v>56824</v>
      </c>
      <c r="F280" s="268">
        <v>1956693157.10623</v>
      </c>
      <c r="G280" s="268">
        <v>1778766944.4460301</v>
      </c>
      <c r="H280" s="268">
        <v>3735460101.5522599</v>
      </c>
      <c r="I280" s="267" t="s">
        <v>753</v>
      </c>
      <c r="J280" s="267" t="s">
        <v>125</v>
      </c>
      <c r="K280" s="267">
        <v>359315</v>
      </c>
      <c r="L280" s="267" t="s">
        <v>703</v>
      </c>
      <c r="M280"/>
      <c r="N280"/>
      <c r="O280"/>
      <c r="P280"/>
      <c r="Q280" s="151"/>
      <c r="R280"/>
      <c r="S280"/>
      <c r="T280"/>
      <c r="U280"/>
      <c r="V280"/>
    </row>
    <row r="281" spans="1:22" x14ac:dyDescent="0.2">
      <c r="A281" s="267" t="s">
        <v>261</v>
      </c>
      <c r="B281" s="267" t="s">
        <v>262</v>
      </c>
      <c r="C281" s="268">
        <v>51</v>
      </c>
      <c r="D281" s="268">
        <v>84</v>
      </c>
      <c r="E281" s="268">
        <v>135</v>
      </c>
      <c r="F281" s="268">
        <v>858033.78312886402</v>
      </c>
      <c r="G281" s="268">
        <v>1808114.2315380301</v>
      </c>
      <c r="H281" s="268">
        <v>2666148.0146668898</v>
      </c>
      <c r="I281" s="267" t="s">
        <v>633</v>
      </c>
      <c r="J281" s="267" t="s">
        <v>121</v>
      </c>
      <c r="K281" s="267">
        <v>360495</v>
      </c>
      <c r="L281" s="267" t="s">
        <v>449</v>
      </c>
      <c r="M281"/>
      <c r="N281"/>
      <c r="O281"/>
      <c r="P281"/>
      <c r="Q281" s="151"/>
      <c r="R281"/>
      <c r="S281"/>
      <c r="T281"/>
      <c r="U281"/>
      <c r="V281"/>
    </row>
    <row r="282" spans="1:22" x14ac:dyDescent="0.2">
      <c r="A282" s="267" t="s">
        <v>491</v>
      </c>
      <c r="B282" s="267" t="s">
        <v>26</v>
      </c>
      <c r="C282" s="268">
        <v>2017</v>
      </c>
      <c r="D282" s="268">
        <v>1722</v>
      </c>
      <c r="E282" s="268">
        <v>3739</v>
      </c>
      <c r="F282" s="268">
        <v>43646618.607729502</v>
      </c>
      <c r="G282" s="268">
        <v>52484636.459514</v>
      </c>
      <c r="H282" s="268">
        <v>96131255.067243502</v>
      </c>
      <c r="I282" s="267" t="s">
        <v>753</v>
      </c>
      <c r="J282" s="267" t="s">
        <v>122</v>
      </c>
      <c r="K282" s="267">
        <v>361733</v>
      </c>
      <c r="L282" s="267" t="s">
        <v>838</v>
      </c>
      <c r="M282"/>
      <c r="N282"/>
      <c r="O282"/>
      <c r="P282"/>
      <c r="Q282" s="151"/>
      <c r="R282"/>
      <c r="S282"/>
      <c r="T282"/>
      <c r="U282"/>
      <c r="V282"/>
    </row>
    <row r="283" spans="1:22" x14ac:dyDescent="0.2">
      <c r="A283" s="267" t="s">
        <v>131</v>
      </c>
      <c r="B283" s="267" t="s">
        <v>935</v>
      </c>
      <c r="C283" s="268">
        <v>10444</v>
      </c>
      <c r="D283" s="268">
        <v>14096</v>
      </c>
      <c r="E283" s="268">
        <v>24540</v>
      </c>
      <c r="F283" s="268">
        <v>168132468.52121601</v>
      </c>
      <c r="G283" s="268">
        <v>288091428.687271</v>
      </c>
      <c r="H283" s="268">
        <v>456223897.20848602</v>
      </c>
      <c r="I283" s="267" t="s">
        <v>633</v>
      </c>
      <c r="J283" s="267" t="s">
        <v>121</v>
      </c>
      <c r="K283" s="267">
        <v>362327</v>
      </c>
      <c r="L283" s="267" t="s">
        <v>920</v>
      </c>
      <c r="M283"/>
      <c r="N283"/>
      <c r="O283"/>
      <c r="P283"/>
      <c r="Q283" s="151"/>
      <c r="R283"/>
      <c r="S283"/>
      <c r="T283"/>
      <c r="U283"/>
      <c r="V283"/>
    </row>
    <row r="284" spans="1:22" x14ac:dyDescent="0.2">
      <c r="A284" s="267" t="s">
        <v>371</v>
      </c>
      <c r="B284" s="267" t="s">
        <v>271</v>
      </c>
      <c r="C284" s="268">
        <v>22582</v>
      </c>
      <c r="D284" s="268">
        <v>29789</v>
      </c>
      <c r="E284" s="268">
        <v>52371</v>
      </c>
      <c r="F284" s="268">
        <v>383713814.17610002</v>
      </c>
      <c r="G284" s="268">
        <v>642113091.48493791</v>
      </c>
      <c r="H284" s="268">
        <v>1025826905.6610399</v>
      </c>
      <c r="I284" s="267" t="s">
        <v>633</v>
      </c>
      <c r="J284" s="267" t="s">
        <v>121</v>
      </c>
      <c r="K284" s="267">
        <v>364158</v>
      </c>
      <c r="L284" s="267" t="s">
        <v>88</v>
      </c>
      <c r="M284"/>
      <c r="N284"/>
      <c r="O284"/>
      <c r="P284"/>
      <c r="Q284" s="151"/>
      <c r="R284"/>
      <c r="S284"/>
      <c r="T284"/>
      <c r="U284"/>
      <c r="V284"/>
    </row>
    <row r="285" spans="1:22" x14ac:dyDescent="0.2">
      <c r="A285" s="267" t="s">
        <v>226</v>
      </c>
      <c r="B285" s="267" t="s">
        <v>231</v>
      </c>
      <c r="C285" s="268">
        <v>82</v>
      </c>
      <c r="D285" s="268">
        <v>137</v>
      </c>
      <c r="E285" s="268">
        <v>219</v>
      </c>
      <c r="F285" s="268">
        <v>1018982.0929978</v>
      </c>
      <c r="G285" s="268">
        <v>2065987.72532376</v>
      </c>
      <c r="H285" s="268">
        <v>3084969.8183215596</v>
      </c>
      <c r="I285" s="267" t="s">
        <v>633</v>
      </c>
      <c r="J285" s="267" t="s">
        <v>121</v>
      </c>
      <c r="K285" s="267">
        <v>365981</v>
      </c>
      <c r="L285" s="267" t="s">
        <v>758</v>
      </c>
      <c r="M285"/>
      <c r="N285"/>
      <c r="O285"/>
      <c r="P285"/>
      <c r="Q285" s="151"/>
      <c r="R285"/>
      <c r="S285"/>
      <c r="T285"/>
      <c r="U285"/>
      <c r="V285"/>
    </row>
    <row r="286" spans="1:22" x14ac:dyDescent="0.2">
      <c r="A286" s="267" t="s">
        <v>161</v>
      </c>
      <c r="B286" s="267" t="s">
        <v>1129</v>
      </c>
      <c r="C286" s="268">
        <v>1</v>
      </c>
      <c r="D286" s="268">
        <v>1</v>
      </c>
      <c r="E286" s="268">
        <v>2</v>
      </c>
      <c r="F286" s="268">
        <v>55807.943647887005</v>
      </c>
      <c r="G286" s="268">
        <v>78016.283424762601</v>
      </c>
      <c r="H286" s="268">
        <v>133824.22707265001</v>
      </c>
      <c r="I286" s="267" t="s">
        <v>753</v>
      </c>
      <c r="J286" s="267" t="s">
        <v>121</v>
      </c>
      <c r="K286" s="267">
        <v>367516</v>
      </c>
      <c r="L286" s="267" t="s">
        <v>674</v>
      </c>
      <c r="M286"/>
      <c r="N286"/>
      <c r="O286"/>
      <c r="P286"/>
      <c r="Q286" s="151"/>
      <c r="R286"/>
      <c r="S286"/>
      <c r="T286"/>
      <c r="U286"/>
      <c r="V286"/>
    </row>
    <row r="287" spans="1:22" x14ac:dyDescent="0.2">
      <c r="A287" s="267" t="s">
        <v>226</v>
      </c>
      <c r="B287" s="267" t="s">
        <v>163</v>
      </c>
      <c r="C287" s="268">
        <v>12</v>
      </c>
      <c r="D287" s="268">
        <v>16</v>
      </c>
      <c r="E287" s="268">
        <v>28</v>
      </c>
      <c r="F287" s="268">
        <v>146079.52431539699</v>
      </c>
      <c r="G287" s="268">
        <v>381606.98515886895</v>
      </c>
      <c r="H287" s="268">
        <v>527686.50947426702</v>
      </c>
      <c r="I287" s="267" t="s">
        <v>633</v>
      </c>
      <c r="J287" s="267" t="s">
        <v>121</v>
      </c>
      <c r="K287" s="267">
        <v>367631</v>
      </c>
      <c r="L287" s="267" t="s">
        <v>767</v>
      </c>
      <c r="M287"/>
      <c r="N287"/>
      <c r="O287"/>
      <c r="P287"/>
      <c r="Q287" s="151"/>
      <c r="R287"/>
      <c r="S287"/>
      <c r="T287"/>
      <c r="U287"/>
      <c r="V287"/>
    </row>
    <row r="288" spans="1:22" x14ac:dyDescent="0.2">
      <c r="A288" s="267" t="s">
        <v>44</v>
      </c>
      <c r="B288" s="267" t="s">
        <v>64</v>
      </c>
      <c r="C288" s="268">
        <v>64</v>
      </c>
      <c r="D288" s="268">
        <v>100</v>
      </c>
      <c r="E288" s="268">
        <v>164</v>
      </c>
      <c r="F288" s="268">
        <v>1184218.17526619</v>
      </c>
      <c r="G288" s="268">
        <v>2221398.0054075001</v>
      </c>
      <c r="H288" s="268">
        <v>3405616.18067369</v>
      </c>
      <c r="I288" s="267" t="s">
        <v>633</v>
      </c>
      <c r="J288" s="267" t="s">
        <v>121</v>
      </c>
      <c r="K288" s="267">
        <v>367698</v>
      </c>
      <c r="L288" s="267" t="s">
        <v>752</v>
      </c>
      <c r="M288"/>
      <c r="N288"/>
      <c r="O288"/>
      <c r="P288"/>
      <c r="Q288" s="151"/>
      <c r="R288"/>
      <c r="S288"/>
      <c r="T288"/>
      <c r="U288"/>
      <c r="V288"/>
    </row>
    <row r="289" spans="1:22" x14ac:dyDescent="0.2">
      <c r="A289" s="267" t="s">
        <v>730</v>
      </c>
      <c r="B289" s="267" t="s">
        <v>843</v>
      </c>
      <c r="C289" s="268">
        <v>5906</v>
      </c>
      <c r="D289" s="268">
        <v>5724</v>
      </c>
      <c r="E289" s="268">
        <v>11630</v>
      </c>
      <c r="F289" s="268">
        <v>136935500.33319101</v>
      </c>
      <c r="G289" s="268">
        <v>165015893.75817099</v>
      </c>
      <c r="H289" s="268">
        <v>301951394.091362</v>
      </c>
      <c r="I289" s="267" t="s">
        <v>753</v>
      </c>
      <c r="J289" s="267" t="s">
        <v>121</v>
      </c>
      <c r="K289" s="267">
        <v>367813</v>
      </c>
      <c r="L289" s="267" t="s">
        <v>680</v>
      </c>
      <c r="M289"/>
      <c r="N289"/>
      <c r="O289"/>
      <c r="P289"/>
      <c r="Q289" s="151"/>
      <c r="R289"/>
      <c r="S289"/>
      <c r="T289"/>
      <c r="U289"/>
      <c r="V289"/>
    </row>
    <row r="290" spans="1:22" x14ac:dyDescent="0.2">
      <c r="A290" s="267" t="s">
        <v>208</v>
      </c>
      <c r="B290" s="267" t="s">
        <v>207</v>
      </c>
      <c r="C290" s="268">
        <v>678</v>
      </c>
      <c r="D290" s="268">
        <v>966</v>
      </c>
      <c r="E290" s="268">
        <v>1644</v>
      </c>
      <c r="F290" s="268">
        <v>13691916.0621254</v>
      </c>
      <c r="G290" s="268">
        <v>23471534.382321499</v>
      </c>
      <c r="H290" s="268">
        <v>37163450.444446802</v>
      </c>
      <c r="I290" s="267" t="s">
        <v>633</v>
      </c>
      <c r="J290" s="267" t="s">
        <v>121</v>
      </c>
      <c r="K290" s="267">
        <v>368407</v>
      </c>
      <c r="L290" s="267" t="s">
        <v>423</v>
      </c>
      <c r="M290"/>
      <c r="N290"/>
      <c r="O290"/>
      <c r="P290"/>
      <c r="Q290" s="151"/>
      <c r="R290"/>
      <c r="S290"/>
      <c r="T290"/>
      <c r="U290"/>
      <c r="V290"/>
    </row>
    <row r="291" spans="1:22" x14ac:dyDescent="0.2">
      <c r="A291" s="267" t="s">
        <v>369</v>
      </c>
      <c r="B291" s="267" t="s">
        <v>218</v>
      </c>
      <c r="C291" s="268">
        <v>317</v>
      </c>
      <c r="D291" s="268">
        <v>401</v>
      </c>
      <c r="E291" s="268">
        <v>718</v>
      </c>
      <c r="F291" s="268">
        <v>5404449.5897044605</v>
      </c>
      <c r="G291" s="268">
        <v>8737806.9781247787</v>
      </c>
      <c r="H291" s="268">
        <v>14142256.567829201</v>
      </c>
      <c r="I291" s="267" t="s">
        <v>633</v>
      </c>
      <c r="J291" s="267" t="s">
        <v>121</v>
      </c>
      <c r="K291" s="267">
        <v>369462</v>
      </c>
      <c r="L291" s="267" t="s">
        <v>782</v>
      </c>
      <c r="M291"/>
      <c r="N291"/>
      <c r="O291"/>
      <c r="P291"/>
      <c r="Q291" s="151"/>
      <c r="R291"/>
      <c r="S291"/>
      <c r="T291"/>
      <c r="U291"/>
      <c r="V291"/>
    </row>
    <row r="292" spans="1:22" x14ac:dyDescent="0.2">
      <c r="A292" s="267" t="s">
        <v>626</v>
      </c>
      <c r="B292" s="267" t="s">
        <v>628</v>
      </c>
      <c r="C292" s="268">
        <v>693</v>
      </c>
      <c r="D292" s="268">
        <v>695</v>
      </c>
      <c r="E292" s="268">
        <v>1388</v>
      </c>
      <c r="F292" s="268">
        <v>13879038.7425176</v>
      </c>
      <c r="G292" s="268">
        <v>16467354.827009901</v>
      </c>
      <c r="H292" s="268">
        <v>30346393.569527499</v>
      </c>
      <c r="I292" s="267" t="s">
        <v>633</v>
      </c>
      <c r="J292" s="267" t="s">
        <v>122</v>
      </c>
      <c r="K292" s="267">
        <v>370239</v>
      </c>
      <c r="L292" s="267" t="s">
        <v>354</v>
      </c>
      <c r="M292"/>
      <c r="N292"/>
      <c r="O292"/>
      <c r="P292"/>
      <c r="Q292" s="151"/>
      <c r="R292"/>
      <c r="S292"/>
      <c r="T292"/>
      <c r="U292"/>
      <c r="V292"/>
    </row>
    <row r="293" spans="1:22" x14ac:dyDescent="0.2">
      <c r="A293" s="267" t="s">
        <v>44</v>
      </c>
      <c r="B293" s="267" t="s">
        <v>230</v>
      </c>
      <c r="C293" s="268">
        <v>10</v>
      </c>
      <c r="D293" s="268">
        <v>13</v>
      </c>
      <c r="E293" s="268">
        <v>23</v>
      </c>
      <c r="F293" s="268">
        <v>231674.57054694201</v>
      </c>
      <c r="G293" s="268">
        <v>505093.78779823903</v>
      </c>
      <c r="H293" s="268">
        <v>736768.35834518098</v>
      </c>
      <c r="I293" s="267" t="s">
        <v>633</v>
      </c>
      <c r="J293" s="267" t="s">
        <v>121</v>
      </c>
      <c r="K293" s="267">
        <v>371294</v>
      </c>
      <c r="L293" s="267" t="s">
        <v>362</v>
      </c>
      <c r="M293"/>
      <c r="N293"/>
      <c r="O293"/>
      <c r="P293"/>
      <c r="Q293" s="151"/>
      <c r="R293"/>
      <c r="S293"/>
      <c r="T293"/>
      <c r="U293"/>
      <c r="V293"/>
    </row>
    <row r="294" spans="1:22" x14ac:dyDescent="0.2">
      <c r="A294" s="267" t="s">
        <v>239</v>
      </c>
      <c r="B294" s="267" t="s">
        <v>864</v>
      </c>
      <c r="C294" s="268">
        <v>910</v>
      </c>
      <c r="D294" s="268">
        <v>1102</v>
      </c>
      <c r="E294" s="268">
        <v>2012</v>
      </c>
      <c r="F294" s="268">
        <v>21271799.443125699</v>
      </c>
      <c r="G294" s="268">
        <v>31836039.096919402</v>
      </c>
      <c r="H294" s="268">
        <v>53107838.540045097</v>
      </c>
      <c r="I294" s="267" t="s">
        <v>633</v>
      </c>
      <c r="J294" s="267" t="s">
        <v>121</v>
      </c>
      <c r="K294" s="267">
        <v>373183</v>
      </c>
      <c r="L294" s="267" t="s">
        <v>754</v>
      </c>
      <c r="M294"/>
      <c r="N294"/>
      <c r="O294"/>
      <c r="P294"/>
      <c r="Q294" s="151"/>
      <c r="R294"/>
      <c r="S294"/>
      <c r="T294"/>
      <c r="U294"/>
      <c r="V294"/>
    </row>
    <row r="295" spans="1:22" x14ac:dyDescent="0.2">
      <c r="A295" s="267" t="s">
        <v>270</v>
      </c>
      <c r="B295" s="267" t="s">
        <v>562</v>
      </c>
      <c r="C295" s="268">
        <v>534</v>
      </c>
      <c r="D295" s="268">
        <v>697</v>
      </c>
      <c r="E295" s="268">
        <v>1231</v>
      </c>
      <c r="F295" s="268">
        <v>11160605.9583789</v>
      </c>
      <c r="G295" s="268">
        <v>17660734.8058258</v>
      </c>
      <c r="H295" s="268">
        <v>28821340.7642047</v>
      </c>
      <c r="I295" s="267" t="s">
        <v>633</v>
      </c>
      <c r="J295" s="267" t="s">
        <v>121</v>
      </c>
      <c r="K295" s="267">
        <v>374421</v>
      </c>
      <c r="L295" s="267" t="s">
        <v>760</v>
      </c>
      <c r="M295"/>
      <c r="N295"/>
      <c r="O295"/>
      <c r="P295"/>
      <c r="Q295" s="151"/>
      <c r="R295"/>
      <c r="S295"/>
      <c r="T295"/>
      <c r="U295"/>
      <c r="V295"/>
    </row>
    <row r="296" spans="1:22" x14ac:dyDescent="0.2">
      <c r="A296" s="267" t="s">
        <v>145</v>
      </c>
      <c r="B296" s="267" t="s">
        <v>947</v>
      </c>
      <c r="C296" s="268">
        <v>1668</v>
      </c>
      <c r="D296" s="268">
        <v>3590</v>
      </c>
      <c r="E296" s="268">
        <v>5258</v>
      </c>
      <c r="F296" s="268">
        <v>194328377.243687</v>
      </c>
      <c r="G296" s="268">
        <v>475975350.35067499</v>
      </c>
      <c r="H296" s="268">
        <v>670303727.5943619</v>
      </c>
      <c r="I296" s="267" t="s">
        <v>753</v>
      </c>
      <c r="J296" s="267" t="s">
        <v>121</v>
      </c>
      <c r="K296" s="267">
        <v>374835</v>
      </c>
      <c r="L296" s="267" t="s">
        <v>790</v>
      </c>
      <c r="M296"/>
      <c r="N296"/>
      <c r="O296"/>
      <c r="P296"/>
      <c r="Q296" s="151"/>
      <c r="R296"/>
      <c r="S296"/>
      <c r="T296"/>
      <c r="U296"/>
      <c r="V296"/>
    </row>
    <row r="297" spans="1:22" x14ac:dyDescent="0.2">
      <c r="A297" s="267" t="s">
        <v>208</v>
      </c>
      <c r="B297" s="267" t="s">
        <v>36</v>
      </c>
      <c r="C297" s="268">
        <v>1884</v>
      </c>
      <c r="D297" s="268">
        <v>3135</v>
      </c>
      <c r="E297" s="268">
        <v>5019</v>
      </c>
      <c r="F297" s="268">
        <v>42595214.1932142</v>
      </c>
      <c r="G297" s="268">
        <v>89228454.77413249</v>
      </c>
      <c r="H297" s="268">
        <v>131823668.967347</v>
      </c>
      <c r="I297" s="267" t="s">
        <v>633</v>
      </c>
      <c r="J297" s="267" t="s">
        <v>121</v>
      </c>
      <c r="K297" s="267">
        <v>376319</v>
      </c>
      <c r="L297" s="267" t="s">
        <v>434</v>
      </c>
      <c r="M297"/>
      <c r="N297"/>
      <c r="O297"/>
      <c r="P297"/>
      <c r="Q297" s="151"/>
      <c r="R297"/>
      <c r="S297"/>
      <c r="T297"/>
      <c r="U297"/>
      <c r="V297"/>
    </row>
    <row r="298" spans="1:22" x14ac:dyDescent="0.2">
      <c r="A298" s="267" t="s">
        <v>226</v>
      </c>
      <c r="B298" s="267" t="s">
        <v>359</v>
      </c>
      <c r="C298" s="268">
        <v>251</v>
      </c>
      <c r="D298" s="268">
        <v>347</v>
      </c>
      <c r="E298" s="268">
        <v>598</v>
      </c>
      <c r="F298" s="268">
        <v>2676954.5381412799</v>
      </c>
      <c r="G298" s="268">
        <v>5690611.8634738503</v>
      </c>
      <c r="H298" s="268">
        <v>8367566.40161514</v>
      </c>
      <c r="I298" s="267" t="s">
        <v>753</v>
      </c>
      <c r="J298" s="267" t="s">
        <v>121</v>
      </c>
      <c r="K298" s="267">
        <v>377432</v>
      </c>
      <c r="L298" s="267" t="s">
        <v>790</v>
      </c>
      <c r="M298"/>
      <c r="N298"/>
      <c r="O298"/>
      <c r="P298"/>
      <c r="Q298" s="151"/>
      <c r="R298"/>
      <c r="S298"/>
      <c r="T298"/>
      <c r="U298"/>
      <c r="V298"/>
    </row>
    <row r="299" spans="1:22" x14ac:dyDescent="0.2">
      <c r="A299" s="267" t="s">
        <v>102</v>
      </c>
      <c r="B299" s="267" t="s">
        <v>372</v>
      </c>
      <c r="C299" s="268">
        <v>9886</v>
      </c>
      <c r="D299" s="268">
        <v>10404</v>
      </c>
      <c r="E299" s="268">
        <v>20290</v>
      </c>
      <c r="F299" s="268">
        <v>132635533.94752599</v>
      </c>
      <c r="G299" s="268">
        <v>171196660.641177</v>
      </c>
      <c r="H299" s="268">
        <v>303832194.58870298</v>
      </c>
      <c r="I299" s="267" t="s">
        <v>633</v>
      </c>
      <c r="J299" s="267" t="s">
        <v>121</v>
      </c>
      <c r="K299" s="267">
        <v>384107</v>
      </c>
      <c r="L299" s="267" t="s">
        <v>777</v>
      </c>
      <c r="M299"/>
      <c r="N299"/>
      <c r="O299"/>
      <c r="P299"/>
      <c r="Q299" s="151"/>
      <c r="R299"/>
      <c r="S299"/>
      <c r="T299"/>
      <c r="U299"/>
      <c r="V299"/>
    </row>
    <row r="300" spans="1:22" x14ac:dyDescent="0.2">
      <c r="A300" s="267" t="s">
        <v>145</v>
      </c>
      <c r="B300" s="267" t="s">
        <v>508</v>
      </c>
      <c r="C300" s="268">
        <v>10009</v>
      </c>
      <c r="D300" s="268">
        <v>9404</v>
      </c>
      <c r="E300" s="268">
        <v>19413</v>
      </c>
      <c r="F300" s="268">
        <v>153339286.59147701</v>
      </c>
      <c r="G300" s="268">
        <v>175168272.991117</v>
      </c>
      <c r="H300" s="268">
        <v>328507559.58259404</v>
      </c>
      <c r="I300" s="267" t="s">
        <v>753</v>
      </c>
      <c r="J300" s="267" t="s">
        <v>121</v>
      </c>
      <c r="K300" s="267">
        <v>384693</v>
      </c>
      <c r="L300" s="267" t="s">
        <v>174</v>
      </c>
      <c r="M300"/>
      <c r="N300"/>
      <c r="O300"/>
      <c r="P300"/>
      <c r="Q300" s="151"/>
      <c r="R300"/>
      <c r="S300"/>
      <c r="T300"/>
      <c r="U300"/>
      <c r="V300"/>
    </row>
    <row r="301" spans="1:22" x14ac:dyDescent="0.2">
      <c r="A301" s="267" t="s">
        <v>546</v>
      </c>
      <c r="B301" s="267" t="s">
        <v>593</v>
      </c>
      <c r="C301" s="268">
        <v>396</v>
      </c>
      <c r="D301" s="268">
        <v>520</v>
      </c>
      <c r="E301" s="268">
        <v>916</v>
      </c>
      <c r="F301" s="268">
        <v>13659814.034820199</v>
      </c>
      <c r="G301" s="268">
        <v>21438366.2491333</v>
      </c>
      <c r="H301" s="268">
        <v>35098180.283953398</v>
      </c>
      <c r="I301" s="267" t="s">
        <v>753</v>
      </c>
      <c r="J301" s="267" t="s">
        <v>122</v>
      </c>
      <c r="K301" s="267">
        <v>384750</v>
      </c>
      <c r="L301" s="267" t="s">
        <v>674</v>
      </c>
      <c r="M301"/>
      <c r="N301"/>
      <c r="O301"/>
      <c r="P301"/>
      <c r="Q301" s="151"/>
      <c r="R301"/>
      <c r="S301"/>
      <c r="T301"/>
      <c r="U301"/>
      <c r="V301"/>
    </row>
    <row r="302" spans="1:22" x14ac:dyDescent="0.2">
      <c r="A302" s="267" t="s">
        <v>145</v>
      </c>
      <c r="B302" s="267" t="s">
        <v>1046</v>
      </c>
      <c r="C302" s="268">
        <v>36858</v>
      </c>
      <c r="D302" s="268">
        <v>34328</v>
      </c>
      <c r="E302" s="268">
        <v>71186</v>
      </c>
      <c r="F302" s="268">
        <v>818860940.532686</v>
      </c>
      <c r="G302" s="268">
        <v>887493367.371086</v>
      </c>
      <c r="H302" s="268">
        <v>1706354307.9037702</v>
      </c>
      <c r="I302" s="267" t="s">
        <v>633</v>
      </c>
      <c r="J302" s="267" t="s">
        <v>121</v>
      </c>
      <c r="K302" s="267">
        <v>384818</v>
      </c>
      <c r="L302" s="267" t="s">
        <v>764</v>
      </c>
      <c r="M302"/>
      <c r="N302"/>
      <c r="O302"/>
      <c r="P302"/>
      <c r="Q302" s="151"/>
      <c r="R302"/>
      <c r="S302"/>
      <c r="T302"/>
      <c r="U302"/>
      <c r="V302"/>
    </row>
    <row r="303" spans="1:22" x14ac:dyDescent="0.2">
      <c r="A303" s="267" t="s">
        <v>131</v>
      </c>
      <c r="B303" s="267" t="s">
        <v>143</v>
      </c>
      <c r="C303" s="268">
        <v>1321</v>
      </c>
      <c r="D303" s="268">
        <v>1773</v>
      </c>
      <c r="E303" s="268">
        <v>3094</v>
      </c>
      <c r="F303" s="268">
        <v>24363397.025798202</v>
      </c>
      <c r="G303" s="268">
        <v>43244703.142816499</v>
      </c>
      <c r="H303" s="268">
        <v>67608100.1686147</v>
      </c>
      <c r="I303" s="267" t="s">
        <v>753</v>
      </c>
      <c r="J303" s="267" t="s">
        <v>121</v>
      </c>
      <c r="K303" s="267">
        <v>385401</v>
      </c>
      <c r="L303" s="267" t="s">
        <v>699</v>
      </c>
      <c r="M303"/>
      <c r="N303"/>
      <c r="O303"/>
      <c r="P303"/>
      <c r="Q303" s="151"/>
      <c r="R303"/>
      <c r="S303"/>
      <c r="T303"/>
      <c r="U303"/>
      <c r="V303"/>
    </row>
    <row r="304" spans="1:22" x14ac:dyDescent="0.2">
      <c r="A304" s="267" t="s">
        <v>671</v>
      </c>
      <c r="B304" s="267" t="s">
        <v>331</v>
      </c>
      <c r="C304" s="268">
        <v>1596</v>
      </c>
      <c r="D304" s="268">
        <v>1916</v>
      </c>
      <c r="E304" s="268">
        <v>3512</v>
      </c>
      <c r="F304" s="268">
        <v>39351712.0528953</v>
      </c>
      <c r="G304" s="268">
        <v>56452389.2479752</v>
      </c>
      <c r="H304" s="268">
        <v>95804101.300870389</v>
      </c>
      <c r="I304" s="267" t="s">
        <v>753</v>
      </c>
      <c r="J304" s="267" t="s">
        <v>121</v>
      </c>
      <c r="K304" s="267">
        <v>386581</v>
      </c>
      <c r="L304" s="267" t="s">
        <v>859</v>
      </c>
      <c r="M304"/>
      <c r="N304"/>
      <c r="O304"/>
      <c r="P304"/>
      <c r="Q304" s="151"/>
      <c r="R304"/>
      <c r="S304"/>
      <c r="T304"/>
      <c r="U304"/>
      <c r="V304"/>
    </row>
    <row r="305" spans="1:22" x14ac:dyDescent="0.2">
      <c r="A305" s="267" t="s">
        <v>748</v>
      </c>
      <c r="B305" s="267" t="s">
        <v>1065</v>
      </c>
      <c r="C305" s="268">
        <v>1076</v>
      </c>
      <c r="D305" s="268">
        <v>1158</v>
      </c>
      <c r="E305" s="268">
        <v>2234</v>
      </c>
      <c r="F305" s="268">
        <v>25366866.681426</v>
      </c>
      <c r="G305" s="268">
        <v>31946371.045556799</v>
      </c>
      <c r="H305" s="268">
        <v>57313237.726982802</v>
      </c>
      <c r="I305" s="267" t="s">
        <v>633</v>
      </c>
      <c r="J305" s="267" t="s">
        <v>121</v>
      </c>
      <c r="K305" s="267">
        <v>388298</v>
      </c>
      <c r="L305" s="267" t="s">
        <v>842</v>
      </c>
      <c r="M305"/>
      <c r="N305"/>
      <c r="O305"/>
      <c r="P305"/>
      <c r="Q305" s="151"/>
      <c r="R305"/>
      <c r="S305"/>
      <c r="T305"/>
      <c r="U305"/>
      <c r="V305"/>
    </row>
    <row r="306" spans="1:22" x14ac:dyDescent="0.2">
      <c r="A306" s="267" t="s">
        <v>131</v>
      </c>
      <c r="B306" s="267" t="s">
        <v>750</v>
      </c>
      <c r="C306" s="268">
        <v>160</v>
      </c>
      <c r="D306" s="268">
        <v>273</v>
      </c>
      <c r="E306" s="268">
        <v>433</v>
      </c>
      <c r="F306" s="268">
        <v>2610101.4292452899</v>
      </c>
      <c r="G306" s="268">
        <v>6090564.5457115807</v>
      </c>
      <c r="H306" s="268">
        <v>8700665.9749568701</v>
      </c>
      <c r="I306" s="267" t="s">
        <v>633</v>
      </c>
      <c r="J306" s="267" t="s">
        <v>121</v>
      </c>
      <c r="K306" s="267">
        <v>389650</v>
      </c>
      <c r="L306" s="267" t="s">
        <v>358</v>
      </c>
      <c r="M306"/>
      <c r="N306"/>
      <c r="O306"/>
      <c r="P306"/>
      <c r="Q306" s="151"/>
      <c r="R306"/>
      <c r="S306"/>
      <c r="T306"/>
      <c r="U306"/>
      <c r="V306"/>
    </row>
    <row r="307" spans="1:22" x14ac:dyDescent="0.2">
      <c r="A307" s="267" t="s">
        <v>368</v>
      </c>
      <c r="B307" s="267" t="s">
        <v>871</v>
      </c>
      <c r="C307" s="268">
        <v>2571</v>
      </c>
      <c r="D307" s="268">
        <v>3814</v>
      </c>
      <c r="E307" s="268">
        <v>6385</v>
      </c>
      <c r="F307" s="268">
        <v>50120960.059411898</v>
      </c>
      <c r="G307" s="268">
        <v>100958939.593734</v>
      </c>
      <c r="H307" s="268">
        <v>151079899.653146</v>
      </c>
      <c r="I307" s="267" t="s">
        <v>633</v>
      </c>
      <c r="J307" s="267" t="s">
        <v>121</v>
      </c>
      <c r="K307" s="267">
        <v>390062</v>
      </c>
      <c r="L307" s="267" t="s">
        <v>677</v>
      </c>
      <c r="M307"/>
      <c r="N307"/>
      <c r="O307"/>
      <c r="P307"/>
      <c r="Q307" s="151"/>
      <c r="R307"/>
      <c r="S307"/>
      <c r="T307"/>
      <c r="U307"/>
      <c r="V307"/>
    </row>
    <row r="308" spans="1:22" x14ac:dyDescent="0.2">
      <c r="A308" s="267" t="s">
        <v>748</v>
      </c>
      <c r="B308" s="267" t="s">
        <v>39</v>
      </c>
      <c r="C308" s="268">
        <v>420</v>
      </c>
      <c r="D308" s="268">
        <v>553</v>
      </c>
      <c r="E308" s="268">
        <v>973</v>
      </c>
      <c r="F308" s="268">
        <v>8171228.0264902404</v>
      </c>
      <c r="G308" s="268">
        <v>14570321.494722599</v>
      </c>
      <c r="H308" s="268">
        <v>22741549.521212798</v>
      </c>
      <c r="I308" s="267" t="s">
        <v>633</v>
      </c>
      <c r="J308" s="267" t="s">
        <v>121</v>
      </c>
      <c r="K308" s="267">
        <v>390187</v>
      </c>
      <c r="L308" s="267" t="s">
        <v>449</v>
      </c>
      <c r="M308"/>
      <c r="N308"/>
      <c r="O308"/>
      <c r="P308"/>
      <c r="Q308" s="151"/>
      <c r="R308"/>
      <c r="S308"/>
      <c r="T308"/>
      <c r="U308"/>
      <c r="V308"/>
    </row>
    <row r="309" spans="1:22" x14ac:dyDescent="0.2">
      <c r="A309" s="267" t="s">
        <v>615</v>
      </c>
      <c r="B309" s="267" t="s">
        <v>616</v>
      </c>
      <c r="C309" s="268">
        <v>646</v>
      </c>
      <c r="D309" s="268">
        <v>815</v>
      </c>
      <c r="E309" s="268">
        <v>1461</v>
      </c>
      <c r="F309" s="268">
        <v>15463361.1333104</v>
      </c>
      <c r="G309" s="268">
        <v>25360935.106718797</v>
      </c>
      <c r="H309" s="268">
        <v>40824296.240029201</v>
      </c>
      <c r="I309" s="267" t="s">
        <v>633</v>
      </c>
      <c r="J309" s="267" t="s">
        <v>122</v>
      </c>
      <c r="K309" s="267">
        <v>390898</v>
      </c>
      <c r="L309" s="267" t="s">
        <v>766</v>
      </c>
      <c r="M309"/>
      <c r="N309"/>
      <c r="O309"/>
      <c r="P309"/>
      <c r="Q309" s="151"/>
      <c r="R309"/>
      <c r="S309"/>
      <c r="T309"/>
      <c r="U309"/>
      <c r="V309"/>
    </row>
    <row r="310" spans="1:22" x14ac:dyDescent="0.2">
      <c r="A310" s="267" t="s">
        <v>344</v>
      </c>
      <c r="B310" s="267" t="s">
        <v>345</v>
      </c>
      <c r="C310" s="268">
        <v>44641</v>
      </c>
      <c r="D310" s="268">
        <v>40917</v>
      </c>
      <c r="E310" s="268">
        <v>85558</v>
      </c>
      <c r="F310" s="268">
        <v>1295985952.8197601</v>
      </c>
      <c r="G310" s="268">
        <v>1494218653.34464</v>
      </c>
      <c r="H310" s="268">
        <v>2790204606.1643996</v>
      </c>
      <c r="I310" s="267" t="s">
        <v>753</v>
      </c>
      <c r="J310" s="267" t="s">
        <v>125</v>
      </c>
      <c r="K310" s="267">
        <v>391482</v>
      </c>
      <c r="L310" s="267" t="s">
        <v>796</v>
      </c>
      <c r="M310"/>
      <c r="N310"/>
      <c r="O310"/>
      <c r="P310"/>
      <c r="Q310" s="151"/>
      <c r="R310"/>
      <c r="S310"/>
      <c r="T310"/>
      <c r="U310"/>
      <c r="V310"/>
    </row>
    <row r="311" spans="1:22" x14ac:dyDescent="0.2">
      <c r="A311" s="267" t="s">
        <v>161</v>
      </c>
      <c r="B311" s="267" t="s">
        <v>946</v>
      </c>
      <c r="C311" s="268">
        <v>29724</v>
      </c>
      <c r="D311" s="268">
        <v>34826</v>
      </c>
      <c r="E311" s="268">
        <v>64550</v>
      </c>
      <c r="F311" s="268">
        <v>1212114173.86677</v>
      </c>
      <c r="G311" s="268">
        <v>1764694839.65435</v>
      </c>
      <c r="H311" s="268">
        <v>2976809013.5211201</v>
      </c>
      <c r="I311" s="267" t="s">
        <v>633</v>
      </c>
      <c r="J311" s="267" t="s">
        <v>121</v>
      </c>
      <c r="K311" s="267">
        <v>391839</v>
      </c>
      <c r="L311" s="267" t="s">
        <v>944</v>
      </c>
      <c r="M311"/>
      <c r="N311"/>
      <c r="O311"/>
      <c r="P311"/>
      <c r="Q311" s="151"/>
      <c r="R311"/>
      <c r="S311"/>
      <c r="T311"/>
      <c r="U311"/>
      <c r="V311"/>
    </row>
    <row r="312" spans="1:22" x14ac:dyDescent="0.2">
      <c r="A312" s="267" t="s">
        <v>367</v>
      </c>
      <c r="B312" s="267" t="s">
        <v>866</v>
      </c>
      <c r="C312" s="268">
        <v>361</v>
      </c>
      <c r="D312" s="268">
        <v>721</v>
      </c>
      <c r="E312" s="268">
        <v>1082</v>
      </c>
      <c r="F312" s="268">
        <v>7289241.1643341202</v>
      </c>
      <c r="G312" s="268">
        <v>16978592.982405201</v>
      </c>
      <c r="H312" s="268">
        <v>24267834.146739397</v>
      </c>
      <c r="I312" s="267" t="s">
        <v>633</v>
      </c>
      <c r="J312" s="267" t="s">
        <v>121</v>
      </c>
      <c r="K312" s="267">
        <v>391896</v>
      </c>
      <c r="L312" s="267" t="s">
        <v>760</v>
      </c>
      <c r="M312"/>
      <c r="N312"/>
      <c r="O312"/>
      <c r="P312"/>
      <c r="Q312" s="151"/>
      <c r="R312"/>
      <c r="S312"/>
      <c r="T312"/>
      <c r="U312"/>
      <c r="V312"/>
    </row>
    <row r="313" spans="1:22" x14ac:dyDescent="0.2">
      <c r="A313" s="267" t="s">
        <v>145</v>
      </c>
      <c r="B313" s="267" t="s">
        <v>1027</v>
      </c>
      <c r="C313" s="268">
        <v>4101</v>
      </c>
      <c r="D313" s="268">
        <v>5571</v>
      </c>
      <c r="E313" s="268">
        <v>9672</v>
      </c>
      <c r="F313" s="268">
        <v>286229669.30177301</v>
      </c>
      <c r="G313" s="268">
        <v>492092808.550246</v>
      </c>
      <c r="H313" s="268">
        <v>778322477.85201895</v>
      </c>
      <c r="I313" s="267" t="s">
        <v>753</v>
      </c>
      <c r="J313" s="267" t="s">
        <v>121</v>
      </c>
      <c r="K313" s="267">
        <v>392423</v>
      </c>
      <c r="L313" s="267" t="s">
        <v>905</v>
      </c>
      <c r="M313"/>
      <c r="N313"/>
      <c r="O313"/>
      <c r="P313"/>
      <c r="Q313" s="151"/>
      <c r="R313"/>
      <c r="S313"/>
      <c r="T313"/>
      <c r="U313"/>
      <c r="V313"/>
    </row>
    <row r="314" spans="1:22" x14ac:dyDescent="0.2">
      <c r="A314" s="267" t="s">
        <v>671</v>
      </c>
      <c r="B314" s="267" t="s">
        <v>381</v>
      </c>
      <c r="C314" s="268">
        <v>11313</v>
      </c>
      <c r="D314" s="268">
        <v>13427</v>
      </c>
      <c r="E314" s="268">
        <v>24740</v>
      </c>
      <c r="F314" s="268">
        <v>269313987.79542601</v>
      </c>
      <c r="G314" s="268">
        <v>394843148.11446202</v>
      </c>
      <c r="H314" s="268">
        <v>664157135.90988803</v>
      </c>
      <c r="I314" s="267" t="s">
        <v>753</v>
      </c>
      <c r="J314" s="267" t="s">
        <v>121</v>
      </c>
      <c r="K314" s="267">
        <v>393314</v>
      </c>
      <c r="L314" s="267" t="s">
        <v>859</v>
      </c>
      <c r="M314"/>
      <c r="N314"/>
      <c r="O314"/>
      <c r="P314"/>
      <c r="Q314" s="151"/>
      <c r="R314"/>
      <c r="S314"/>
      <c r="T314"/>
      <c r="U314"/>
      <c r="V314"/>
    </row>
    <row r="315" spans="1:22" x14ac:dyDescent="0.2">
      <c r="A315" s="267" t="s">
        <v>368</v>
      </c>
      <c r="B315" s="267" t="s">
        <v>214</v>
      </c>
      <c r="C315" s="268">
        <v>3101</v>
      </c>
      <c r="D315" s="268">
        <v>4916</v>
      </c>
      <c r="E315" s="268">
        <v>8017</v>
      </c>
      <c r="F315" s="268">
        <v>62735655.680397302</v>
      </c>
      <c r="G315" s="268">
        <v>120751561.333491</v>
      </c>
      <c r="H315" s="268">
        <v>183487217.013888</v>
      </c>
      <c r="I315" s="267" t="s">
        <v>633</v>
      </c>
      <c r="J315" s="267" t="s">
        <v>121</v>
      </c>
      <c r="K315" s="267">
        <v>396325</v>
      </c>
      <c r="L315" s="267" t="s">
        <v>449</v>
      </c>
      <c r="M315"/>
      <c r="N315"/>
      <c r="O315"/>
      <c r="P315"/>
      <c r="Q315" s="151"/>
      <c r="R315"/>
      <c r="S315"/>
      <c r="T315"/>
      <c r="U315"/>
      <c r="V315"/>
    </row>
    <row r="316" spans="1:22" x14ac:dyDescent="0.2">
      <c r="A316" s="267" t="s">
        <v>145</v>
      </c>
      <c r="B316" s="267" t="s">
        <v>158</v>
      </c>
      <c r="C316" s="268">
        <v>7311</v>
      </c>
      <c r="D316" s="268">
        <v>3903</v>
      </c>
      <c r="E316" s="268">
        <v>11214</v>
      </c>
      <c r="F316" s="268">
        <v>129876273.471549</v>
      </c>
      <c r="G316" s="268">
        <v>83239292.811565012</v>
      </c>
      <c r="H316" s="268">
        <v>213115566.28311399</v>
      </c>
      <c r="I316" s="267" t="s">
        <v>753</v>
      </c>
      <c r="J316" s="267" t="s">
        <v>121</v>
      </c>
      <c r="K316" s="267">
        <v>399394</v>
      </c>
      <c r="L316" s="267" t="s">
        <v>776</v>
      </c>
      <c r="M316"/>
      <c r="N316"/>
      <c r="O316"/>
      <c r="P316"/>
      <c r="Q316" s="151"/>
      <c r="R316"/>
      <c r="S316"/>
      <c r="T316"/>
      <c r="U316"/>
      <c r="V316"/>
    </row>
    <row r="317" spans="1:22" x14ac:dyDescent="0.2">
      <c r="A317" s="267" t="s">
        <v>261</v>
      </c>
      <c r="B317" s="267" t="s">
        <v>172</v>
      </c>
      <c r="C317" s="268">
        <v>5501</v>
      </c>
      <c r="D317" s="268">
        <v>6562</v>
      </c>
      <c r="E317" s="268">
        <v>12063</v>
      </c>
      <c r="F317" s="268">
        <v>77481138.353000805</v>
      </c>
      <c r="G317" s="268">
        <v>116412420.65534499</v>
      </c>
      <c r="H317" s="268">
        <v>193893559.00834602</v>
      </c>
      <c r="I317" s="267" t="s">
        <v>753</v>
      </c>
      <c r="J317" s="267" t="s">
        <v>121</v>
      </c>
      <c r="K317" s="267">
        <v>399865</v>
      </c>
      <c r="L317" s="267" t="s">
        <v>677</v>
      </c>
      <c r="M317"/>
      <c r="N317"/>
      <c r="O317"/>
      <c r="P317"/>
      <c r="Q317" s="151"/>
      <c r="R317"/>
      <c r="S317"/>
      <c r="T317"/>
      <c r="U317"/>
      <c r="V317"/>
    </row>
    <row r="318" spans="1:22" x14ac:dyDescent="0.2">
      <c r="A318" s="267" t="s">
        <v>261</v>
      </c>
      <c r="B318" s="267" t="s">
        <v>997</v>
      </c>
      <c r="C318" s="268">
        <v>529</v>
      </c>
      <c r="D318" s="268">
        <v>760</v>
      </c>
      <c r="E318" s="268">
        <v>1289</v>
      </c>
      <c r="F318" s="268">
        <v>7513051.50869912</v>
      </c>
      <c r="G318" s="268">
        <v>13560470.823900899</v>
      </c>
      <c r="H318" s="268">
        <v>21073522.332599998</v>
      </c>
      <c r="I318" s="267" t="s">
        <v>633</v>
      </c>
      <c r="J318" s="267" t="s">
        <v>121</v>
      </c>
      <c r="K318" s="267">
        <v>401695</v>
      </c>
      <c r="L318" s="267" t="s">
        <v>126</v>
      </c>
      <c r="M318"/>
      <c r="N318"/>
      <c r="O318"/>
      <c r="P318"/>
      <c r="Q318" s="151"/>
      <c r="R318"/>
      <c r="S318"/>
      <c r="T318"/>
      <c r="U318"/>
      <c r="V318"/>
    </row>
    <row r="319" spans="1:22" x14ac:dyDescent="0.2">
      <c r="A319" s="267" t="s">
        <v>131</v>
      </c>
      <c r="B319" s="267" t="s">
        <v>138</v>
      </c>
      <c r="C319" s="268">
        <v>944</v>
      </c>
      <c r="D319" s="268">
        <v>1373</v>
      </c>
      <c r="E319" s="268">
        <v>2317</v>
      </c>
      <c r="F319" s="268">
        <v>22946711.819238201</v>
      </c>
      <c r="G319" s="268">
        <v>41951072.5866393</v>
      </c>
      <c r="H319" s="268">
        <v>64897784.405877501</v>
      </c>
      <c r="I319" s="267" t="s">
        <v>633</v>
      </c>
      <c r="J319" s="267" t="s">
        <v>121</v>
      </c>
      <c r="K319" s="267">
        <v>401810</v>
      </c>
      <c r="L319" s="267" t="s">
        <v>758</v>
      </c>
      <c r="M319"/>
      <c r="N319"/>
      <c r="O319"/>
      <c r="P319"/>
      <c r="Q319" s="151"/>
      <c r="R319"/>
      <c r="S319"/>
      <c r="T319"/>
      <c r="U319"/>
      <c r="V319"/>
    </row>
    <row r="320" spans="1:22" x14ac:dyDescent="0.2">
      <c r="A320" s="267" t="s">
        <v>293</v>
      </c>
      <c r="B320" s="267" t="s">
        <v>841</v>
      </c>
      <c r="C320" s="268">
        <v>3926</v>
      </c>
      <c r="D320" s="268">
        <v>2633</v>
      </c>
      <c r="E320" s="268">
        <v>6559</v>
      </c>
      <c r="F320" s="268">
        <v>81575352.742622301</v>
      </c>
      <c r="G320" s="268">
        <v>66935654.177510194</v>
      </c>
      <c r="H320" s="268">
        <v>148511006.92013302</v>
      </c>
      <c r="I320" s="267" t="s">
        <v>753</v>
      </c>
      <c r="J320" s="267" t="s">
        <v>123</v>
      </c>
      <c r="K320" s="267">
        <v>403642</v>
      </c>
      <c r="L320" s="267" t="s">
        <v>680</v>
      </c>
      <c r="M320"/>
      <c r="N320"/>
      <c r="O320"/>
      <c r="P320"/>
      <c r="Q320" s="151"/>
      <c r="R320"/>
      <c r="S320"/>
      <c r="T320"/>
      <c r="U320"/>
      <c r="V320"/>
    </row>
    <row r="321" spans="1:22" x14ac:dyDescent="0.2">
      <c r="A321" s="267" t="s">
        <v>161</v>
      </c>
      <c r="B321" s="267" t="s">
        <v>22</v>
      </c>
      <c r="C321" s="268">
        <v>161</v>
      </c>
      <c r="D321" s="268">
        <v>209</v>
      </c>
      <c r="E321" s="268">
        <v>370</v>
      </c>
      <c r="F321" s="268">
        <v>2846536.2980886898</v>
      </c>
      <c r="G321" s="268">
        <v>4271196.3887900598</v>
      </c>
      <c r="H321" s="268">
        <v>7117732.6868787399</v>
      </c>
      <c r="I321" s="267" t="s">
        <v>633</v>
      </c>
      <c r="J321" s="267" t="s">
        <v>121</v>
      </c>
      <c r="K321" s="267">
        <v>404236</v>
      </c>
      <c r="L321" s="267" t="s">
        <v>423</v>
      </c>
      <c r="M321"/>
      <c r="N321"/>
      <c r="O321"/>
      <c r="P321"/>
      <c r="Q321" s="151"/>
      <c r="R321"/>
      <c r="S321"/>
      <c r="T321"/>
      <c r="U321"/>
      <c r="V321"/>
    </row>
    <row r="322" spans="1:22" x14ac:dyDescent="0.2">
      <c r="A322" s="267" t="s">
        <v>145</v>
      </c>
      <c r="B322" s="267" t="s">
        <v>219</v>
      </c>
      <c r="C322" s="268">
        <v>13</v>
      </c>
      <c r="D322" s="268">
        <v>18</v>
      </c>
      <c r="E322" s="268">
        <v>31</v>
      </c>
      <c r="F322" s="268">
        <v>347979.71376328403</v>
      </c>
      <c r="G322" s="268">
        <v>475434.56724211399</v>
      </c>
      <c r="H322" s="268">
        <v>823414.28100539895</v>
      </c>
      <c r="I322" s="267" t="s">
        <v>633</v>
      </c>
      <c r="J322" s="267" t="s">
        <v>121</v>
      </c>
      <c r="K322" s="267">
        <v>405290</v>
      </c>
      <c r="L322" s="267" t="s">
        <v>782</v>
      </c>
      <c r="M322"/>
      <c r="N322"/>
      <c r="O322"/>
      <c r="P322"/>
      <c r="Q322" s="151"/>
      <c r="R322"/>
      <c r="S322"/>
      <c r="T322"/>
      <c r="U322"/>
      <c r="V322"/>
    </row>
    <row r="323" spans="1:22" x14ac:dyDescent="0.2">
      <c r="A323" s="267" t="s">
        <v>145</v>
      </c>
      <c r="B323" s="267" t="s">
        <v>1099</v>
      </c>
      <c r="C323" s="268">
        <v>282</v>
      </c>
      <c r="D323" s="268">
        <v>284</v>
      </c>
      <c r="E323" s="268">
        <v>566</v>
      </c>
      <c r="F323" s="268">
        <v>6487159.5308615202</v>
      </c>
      <c r="G323" s="268">
        <v>6933203.2429182203</v>
      </c>
      <c r="H323" s="268">
        <v>13420362.7737797</v>
      </c>
      <c r="I323" s="267" t="s">
        <v>753</v>
      </c>
      <c r="J323" s="267" t="s">
        <v>121</v>
      </c>
      <c r="K323" s="267">
        <v>407064</v>
      </c>
      <c r="L323" s="267" t="s">
        <v>796</v>
      </c>
      <c r="M323"/>
      <c r="N323"/>
      <c r="O323"/>
      <c r="P323"/>
      <c r="Q323" s="151"/>
      <c r="R323"/>
      <c r="S323"/>
      <c r="T323"/>
      <c r="U323"/>
      <c r="V323"/>
    </row>
    <row r="324" spans="1:22" x14ac:dyDescent="0.2">
      <c r="A324" s="267" t="s">
        <v>102</v>
      </c>
      <c r="B324" s="267" t="s">
        <v>712</v>
      </c>
      <c r="C324" s="268">
        <v>13124</v>
      </c>
      <c r="D324" s="268">
        <v>12320</v>
      </c>
      <c r="E324" s="268">
        <v>25444</v>
      </c>
      <c r="F324" s="268">
        <v>163681832.468546</v>
      </c>
      <c r="G324" s="268">
        <v>197168101.77443901</v>
      </c>
      <c r="H324" s="268">
        <v>360849934.24298501</v>
      </c>
      <c r="I324" s="267" t="s">
        <v>633</v>
      </c>
      <c r="J324" s="267" t="s">
        <v>121</v>
      </c>
      <c r="K324" s="267">
        <v>407775</v>
      </c>
      <c r="L324" s="267" t="s">
        <v>752</v>
      </c>
      <c r="M324"/>
      <c r="N324"/>
      <c r="O324"/>
      <c r="P324"/>
      <c r="Q324" s="151"/>
      <c r="R324"/>
      <c r="S324"/>
      <c r="T324"/>
      <c r="U324"/>
      <c r="V324"/>
    </row>
    <row r="325" spans="1:22" x14ac:dyDescent="0.2">
      <c r="A325" s="267" t="s">
        <v>301</v>
      </c>
      <c r="B325" s="267" t="s">
        <v>342</v>
      </c>
      <c r="C325" s="268">
        <v>2196</v>
      </c>
      <c r="D325" s="268">
        <v>2010</v>
      </c>
      <c r="E325" s="268">
        <v>4206</v>
      </c>
      <c r="F325" s="268">
        <v>40705304.639986806</v>
      </c>
      <c r="G325" s="268">
        <v>44149228.491358794</v>
      </c>
      <c r="H325" s="268">
        <v>84854533.1313456</v>
      </c>
      <c r="I325" s="267" t="s">
        <v>633</v>
      </c>
      <c r="J325" s="267" t="s">
        <v>123</v>
      </c>
      <c r="K325" s="267">
        <v>408484</v>
      </c>
      <c r="L325" s="267" t="s">
        <v>58</v>
      </c>
      <c r="M325"/>
      <c r="N325"/>
      <c r="O325"/>
      <c r="P325"/>
      <c r="Q325" s="151"/>
      <c r="R325"/>
      <c r="S325"/>
      <c r="T325"/>
      <c r="U325"/>
      <c r="V325"/>
    </row>
    <row r="326" spans="1:22" x14ac:dyDescent="0.2">
      <c r="A326" s="267" t="s">
        <v>626</v>
      </c>
      <c r="B326" s="267" t="s">
        <v>733</v>
      </c>
      <c r="C326" s="268">
        <v>967</v>
      </c>
      <c r="D326" s="268">
        <v>1212</v>
      </c>
      <c r="E326" s="268">
        <v>2179</v>
      </c>
      <c r="F326" s="268">
        <v>30335223.911886603</v>
      </c>
      <c r="G326" s="268">
        <v>48952272.555232003</v>
      </c>
      <c r="H326" s="268">
        <v>79287496.467118502</v>
      </c>
      <c r="I326" s="267" t="s">
        <v>633</v>
      </c>
      <c r="J326" s="267" t="s">
        <v>122</v>
      </c>
      <c r="K326" s="267">
        <v>408898</v>
      </c>
      <c r="L326" s="267" t="s">
        <v>690</v>
      </c>
      <c r="M326"/>
      <c r="N326"/>
      <c r="O326"/>
      <c r="P326"/>
      <c r="Q326" s="151"/>
      <c r="R326"/>
      <c r="S326"/>
      <c r="T326"/>
      <c r="U326"/>
      <c r="V326"/>
    </row>
    <row r="327" spans="1:22" x14ac:dyDescent="0.2">
      <c r="A327" s="267" t="s">
        <v>279</v>
      </c>
      <c r="B327" s="267" t="s">
        <v>563</v>
      </c>
      <c r="C327" s="268">
        <v>164</v>
      </c>
      <c r="D327" s="268">
        <v>283</v>
      </c>
      <c r="E327" s="268">
        <v>447</v>
      </c>
      <c r="F327" s="268">
        <v>2910660.24548114</v>
      </c>
      <c r="G327" s="268">
        <v>7056880.5719720097</v>
      </c>
      <c r="H327" s="268">
        <v>9967540.817453159</v>
      </c>
      <c r="I327" s="267" t="s">
        <v>633</v>
      </c>
      <c r="J327" s="267" t="s">
        <v>121</v>
      </c>
      <c r="K327" s="267">
        <v>410258</v>
      </c>
      <c r="L327" s="267" t="s">
        <v>760</v>
      </c>
      <c r="M327"/>
      <c r="N327"/>
      <c r="O327"/>
      <c r="P327"/>
      <c r="Q327" s="151"/>
      <c r="R327"/>
      <c r="S327"/>
      <c r="T327"/>
      <c r="U327"/>
      <c r="V327"/>
    </row>
    <row r="328" spans="1:22" x14ac:dyDescent="0.2">
      <c r="A328" s="267" t="s">
        <v>546</v>
      </c>
      <c r="B328" s="267" t="s">
        <v>550</v>
      </c>
      <c r="C328" s="268">
        <v>2417</v>
      </c>
      <c r="D328" s="268">
        <v>1540</v>
      </c>
      <c r="E328" s="268">
        <v>3957</v>
      </c>
      <c r="F328" s="268">
        <v>80426381.770521596</v>
      </c>
      <c r="G328" s="268">
        <v>60160207.857157297</v>
      </c>
      <c r="H328" s="268">
        <v>140586589.62767902</v>
      </c>
      <c r="I328" s="267" t="s">
        <v>753</v>
      </c>
      <c r="J328" s="267" t="s">
        <v>122</v>
      </c>
      <c r="K328" s="267">
        <v>413260</v>
      </c>
      <c r="L328" s="267" t="s">
        <v>790</v>
      </c>
      <c r="M328"/>
      <c r="N328"/>
      <c r="O328"/>
      <c r="P328"/>
      <c r="Q328" s="151"/>
      <c r="R328"/>
      <c r="S328"/>
      <c r="T328"/>
      <c r="U328"/>
      <c r="V328"/>
    </row>
    <row r="329" spans="1:22" x14ac:dyDescent="0.2">
      <c r="A329" s="267" t="s">
        <v>724</v>
      </c>
      <c r="B329" s="267" t="s">
        <v>928</v>
      </c>
      <c r="C329" s="268">
        <v>1908</v>
      </c>
      <c r="D329" s="268">
        <v>2790</v>
      </c>
      <c r="E329" s="268">
        <v>4698</v>
      </c>
      <c r="F329" s="268">
        <v>43551255.923180103</v>
      </c>
      <c r="G329" s="268">
        <v>77842215.810557589</v>
      </c>
      <c r="H329" s="268">
        <v>121393471.73373801</v>
      </c>
      <c r="I329" s="267" t="s">
        <v>753</v>
      </c>
      <c r="J329" s="267" t="s">
        <v>121</v>
      </c>
      <c r="K329" s="267">
        <v>416867</v>
      </c>
      <c r="L329" s="267" t="s">
        <v>763</v>
      </c>
      <c r="M329"/>
      <c r="N329"/>
      <c r="O329"/>
      <c r="P329"/>
      <c r="Q329" s="151"/>
      <c r="R329"/>
      <c r="S329"/>
      <c r="T329"/>
      <c r="U329"/>
      <c r="V329"/>
    </row>
    <row r="330" spans="1:22" x14ac:dyDescent="0.2">
      <c r="A330" s="267" t="s">
        <v>270</v>
      </c>
      <c r="B330" s="267" t="s">
        <v>276</v>
      </c>
      <c r="C330" s="268">
        <v>3232</v>
      </c>
      <c r="D330" s="268">
        <v>3578</v>
      </c>
      <c r="E330" s="268">
        <v>6810</v>
      </c>
      <c r="F330" s="268">
        <v>67961190.018287808</v>
      </c>
      <c r="G330" s="268">
        <v>94914580.201071903</v>
      </c>
      <c r="H330" s="268">
        <v>162875770.21936002</v>
      </c>
      <c r="I330" s="267" t="s">
        <v>633</v>
      </c>
      <c r="J330" s="267" t="s">
        <v>121</v>
      </c>
      <c r="K330" s="267">
        <v>416982</v>
      </c>
      <c r="L330" s="267" t="s">
        <v>100</v>
      </c>
      <c r="M330"/>
      <c r="N330"/>
      <c r="O330"/>
      <c r="P330"/>
      <c r="Q330" s="151"/>
      <c r="R330"/>
      <c r="S330"/>
      <c r="T330"/>
      <c r="U330"/>
      <c r="V330"/>
    </row>
    <row r="331" spans="1:22" x14ac:dyDescent="0.2">
      <c r="A331" s="267" t="s">
        <v>491</v>
      </c>
      <c r="B331" s="267" t="s">
        <v>412</v>
      </c>
      <c r="C331" s="268">
        <v>2745</v>
      </c>
      <c r="D331" s="268">
        <v>2736</v>
      </c>
      <c r="E331" s="268">
        <v>5481</v>
      </c>
      <c r="F331" s="268">
        <v>101992709.500553</v>
      </c>
      <c r="G331" s="268">
        <v>134524102.819314</v>
      </c>
      <c r="H331" s="268">
        <v>236516812.319866</v>
      </c>
      <c r="I331" s="267" t="s">
        <v>753</v>
      </c>
      <c r="J331" s="267" t="s">
        <v>122</v>
      </c>
      <c r="K331" s="267">
        <v>418699</v>
      </c>
      <c r="L331" s="267" t="s">
        <v>32</v>
      </c>
      <c r="M331"/>
      <c r="N331"/>
      <c r="O331"/>
      <c r="P331"/>
      <c r="Q331" s="151"/>
      <c r="R331"/>
      <c r="S331"/>
      <c r="T331"/>
      <c r="U331"/>
      <c r="V331"/>
    </row>
    <row r="332" spans="1:22" x14ac:dyDescent="0.2">
      <c r="A332" s="267" t="s">
        <v>724</v>
      </c>
      <c r="B332" s="267" t="s">
        <v>1074</v>
      </c>
      <c r="C332" s="268">
        <v>554</v>
      </c>
      <c r="D332" s="268">
        <v>648</v>
      </c>
      <c r="E332" s="268">
        <v>1202</v>
      </c>
      <c r="F332" s="268">
        <v>12287028.378146501</v>
      </c>
      <c r="G332" s="268">
        <v>18050638.620278798</v>
      </c>
      <c r="H332" s="268">
        <v>30337666.998425301</v>
      </c>
      <c r="I332" s="267" t="s">
        <v>633</v>
      </c>
      <c r="J332" s="267" t="s">
        <v>121</v>
      </c>
      <c r="K332" s="267">
        <v>420463</v>
      </c>
      <c r="L332" s="267" t="s">
        <v>766</v>
      </c>
      <c r="M332"/>
      <c r="N332"/>
      <c r="O332"/>
      <c r="P332"/>
      <c r="Q332" s="151"/>
      <c r="R332"/>
      <c r="S332"/>
      <c r="T332"/>
      <c r="U332"/>
      <c r="V332"/>
    </row>
    <row r="333" spans="1:22" x14ac:dyDescent="0.2">
      <c r="A333" s="267" t="s">
        <v>491</v>
      </c>
      <c r="B333" s="267" t="s">
        <v>543</v>
      </c>
      <c r="C333" s="268">
        <v>9257</v>
      </c>
      <c r="D333" s="268">
        <v>8889</v>
      </c>
      <c r="E333" s="268">
        <v>18146</v>
      </c>
      <c r="F333" s="268">
        <v>242851635.429878</v>
      </c>
      <c r="G333" s="268">
        <v>305643269.02156603</v>
      </c>
      <c r="H333" s="268">
        <v>548494904.45144403</v>
      </c>
      <c r="I333" s="267" t="s">
        <v>753</v>
      </c>
      <c r="J333" s="267" t="s">
        <v>122</v>
      </c>
      <c r="K333" s="267">
        <v>420646</v>
      </c>
      <c r="L333" s="267" t="s">
        <v>699</v>
      </c>
      <c r="M333"/>
      <c r="N333"/>
      <c r="O333"/>
      <c r="P333"/>
      <c r="Q333" s="151"/>
      <c r="R333"/>
      <c r="S333"/>
      <c r="T333"/>
      <c r="U333"/>
      <c r="V333"/>
    </row>
    <row r="334" spans="1:22" x14ac:dyDescent="0.2">
      <c r="A334" s="267" t="s">
        <v>292</v>
      </c>
      <c r="B334" s="267" t="s">
        <v>319</v>
      </c>
      <c r="C334" s="268">
        <v>5</v>
      </c>
      <c r="D334" s="268">
        <v>10</v>
      </c>
      <c r="E334" s="268">
        <v>15</v>
      </c>
      <c r="F334" s="268">
        <v>93737.994177664805</v>
      </c>
      <c r="G334" s="268">
        <v>146572.90410133201</v>
      </c>
      <c r="H334" s="268">
        <v>240310.89827899699</v>
      </c>
      <c r="I334" s="267" t="s">
        <v>753</v>
      </c>
      <c r="J334" s="267" t="s">
        <v>123</v>
      </c>
      <c r="K334" s="267">
        <v>422238</v>
      </c>
      <c r="L334" s="267" t="s">
        <v>905</v>
      </c>
      <c r="M334"/>
      <c r="N334"/>
      <c r="O334"/>
      <c r="P334"/>
      <c r="Q334" s="151"/>
      <c r="R334"/>
      <c r="S334"/>
      <c r="T334"/>
      <c r="U334"/>
      <c r="V334"/>
    </row>
    <row r="335" spans="1:22" x14ac:dyDescent="0.2">
      <c r="A335" s="267" t="s">
        <v>367</v>
      </c>
      <c r="B335" s="267" t="s">
        <v>846</v>
      </c>
      <c r="C335" s="268">
        <v>1072</v>
      </c>
      <c r="D335" s="268">
        <v>1814</v>
      </c>
      <c r="E335" s="268">
        <v>2886</v>
      </c>
      <c r="F335" s="268">
        <v>20501171.571704503</v>
      </c>
      <c r="G335" s="268">
        <v>46957206.212540299</v>
      </c>
      <c r="H335" s="268">
        <v>67458377.784244806</v>
      </c>
      <c r="I335" s="267" t="s">
        <v>633</v>
      </c>
      <c r="J335" s="267" t="s">
        <v>121</v>
      </c>
      <c r="K335" s="267">
        <v>425892</v>
      </c>
      <c r="L335" s="267" t="s">
        <v>677</v>
      </c>
      <c r="M335"/>
      <c r="N335"/>
      <c r="O335"/>
      <c r="P335"/>
      <c r="Q335" s="151"/>
      <c r="R335"/>
      <c r="S335"/>
      <c r="T335"/>
      <c r="U335"/>
      <c r="V335"/>
    </row>
    <row r="336" spans="1:22" x14ac:dyDescent="0.2">
      <c r="A336" s="267" t="s">
        <v>615</v>
      </c>
      <c r="B336" s="267" t="s">
        <v>1056</v>
      </c>
      <c r="C336" s="268">
        <v>813</v>
      </c>
      <c r="D336" s="268">
        <v>797</v>
      </c>
      <c r="E336" s="268">
        <v>1610</v>
      </c>
      <c r="F336" s="268">
        <v>15149870.378816999</v>
      </c>
      <c r="G336" s="268">
        <v>16130526.271204101</v>
      </c>
      <c r="H336" s="268">
        <v>31280396.650020998</v>
      </c>
      <c r="I336" s="267" t="s">
        <v>633</v>
      </c>
      <c r="J336" s="267" t="s">
        <v>122</v>
      </c>
      <c r="K336" s="267">
        <v>426726</v>
      </c>
      <c r="L336" s="267" t="s">
        <v>766</v>
      </c>
      <c r="M336"/>
      <c r="N336"/>
      <c r="O336"/>
      <c r="P336"/>
      <c r="Q336" s="151"/>
      <c r="R336"/>
      <c r="S336"/>
      <c r="T336"/>
      <c r="U336"/>
      <c r="V336"/>
    </row>
    <row r="337" spans="1:22" x14ac:dyDescent="0.2">
      <c r="A337" s="267" t="s">
        <v>348</v>
      </c>
      <c r="B337" s="267" t="s">
        <v>471</v>
      </c>
      <c r="C337" s="268">
        <v>50583</v>
      </c>
      <c r="D337" s="268">
        <v>44769</v>
      </c>
      <c r="E337" s="268">
        <v>95352</v>
      </c>
      <c r="F337" s="268">
        <v>2477784880.3598599</v>
      </c>
      <c r="G337" s="268">
        <v>2707953723.8287497</v>
      </c>
      <c r="H337" s="268">
        <v>5185738604.1886101</v>
      </c>
      <c r="I337" s="267" t="s">
        <v>753</v>
      </c>
      <c r="J337" s="267" t="s">
        <v>125</v>
      </c>
      <c r="K337" s="267">
        <v>427310</v>
      </c>
      <c r="L337" s="267" t="s">
        <v>796</v>
      </c>
      <c r="M337"/>
      <c r="N337"/>
      <c r="O337"/>
      <c r="P337"/>
      <c r="Q337" s="151"/>
      <c r="R337"/>
      <c r="S337"/>
      <c r="T337"/>
      <c r="U337"/>
      <c r="V337"/>
    </row>
    <row r="338" spans="1:22" x14ac:dyDescent="0.2">
      <c r="A338" s="267" t="s">
        <v>145</v>
      </c>
      <c r="B338" s="267" t="s">
        <v>1029</v>
      </c>
      <c r="C338" s="268">
        <v>27815</v>
      </c>
      <c r="D338" s="268">
        <v>29330</v>
      </c>
      <c r="E338" s="268">
        <v>57145</v>
      </c>
      <c r="F338" s="268">
        <v>2244390543.5820599</v>
      </c>
      <c r="G338" s="268">
        <v>2985232488.0916901</v>
      </c>
      <c r="H338" s="268">
        <v>5229623031.6737499</v>
      </c>
      <c r="I338" s="267" t="s">
        <v>753</v>
      </c>
      <c r="J338" s="267" t="s">
        <v>121</v>
      </c>
      <c r="K338" s="267">
        <v>428250</v>
      </c>
      <c r="L338" s="267" t="s">
        <v>905</v>
      </c>
      <c r="M338"/>
      <c r="N338"/>
      <c r="O338"/>
      <c r="P338"/>
      <c r="Q338" s="151"/>
      <c r="R338"/>
      <c r="S338"/>
      <c r="T338"/>
      <c r="U338"/>
      <c r="V338"/>
    </row>
    <row r="339" spans="1:22" x14ac:dyDescent="0.2">
      <c r="A339" s="267" t="s">
        <v>344</v>
      </c>
      <c r="B339" s="267" t="s">
        <v>1107</v>
      </c>
      <c r="C339" s="268">
        <v>32321</v>
      </c>
      <c r="D339" s="268">
        <v>23016</v>
      </c>
      <c r="E339" s="268">
        <v>55337</v>
      </c>
      <c r="F339" s="268">
        <v>2091441101.3043799</v>
      </c>
      <c r="G339" s="268">
        <v>1705939670.51052</v>
      </c>
      <c r="H339" s="268">
        <v>3797380771.8148999</v>
      </c>
      <c r="I339" s="267" t="s">
        <v>753</v>
      </c>
      <c r="J339" s="267" t="s">
        <v>125</v>
      </c>
      <c r="K339" s="267">
        <v>430975</v>
      </c>
      <c r="L339" s="267" t="s">
        <v>703</v>
      </c>
      <c r="M339"/>
      <c r="N339"/>
      <c r="O339"/>
      <c r="P339"/>
      <c r="Q339" s="151"/>
      <c r="R339"/>
      <c r="S339"/>
      <c r="T339"/>
      <c r="U339"/>
      <c r="V339"/>
    </row>
    <row r="340" spans="1:22" x14ac:dyDescent="0.2">
      <c r="A340" s="267" t="s">
        <v>145</v>
      </c>
      <c r="B340" s="267" t="s">
        <v>735</v>
      </c>
      <c r="C340" s="268">
        <v>51</v>
      </c>
      <c r="D340" s="268">
        <v>67</v>
      </c>
      <c r="E340" s="268">
        <v>118</v>
      </c>
      <c r="F340" s="268">
        <v>1219551.4596132699</v>
      </c>
      <c r="G340" s="268">
        <v>1745595.33787646</v>
      </c>
      <c r="H340" s="268">
        <v>2965146.7974897302</v>
      </c>
      <c r="I340" s="267" t="s">
        <v>633</v>
      </c>
      <c r="J340" s="267" t="s">
        <v>121</v>
      </c>
      <c r="K340" s="267">
        <v>432096</v>
      </c>
      <c r="L340" s="267" t="s">
        <v>690</v>
      </c>
      <c r="M340"/>
      <c r="N340"/>
      <c r="O340"/>
      <c r="P340"/>
      <c r="Q340" s="151"/>
      <c r="R340"/>
      <c r="S340"/>
      <c r="T340"/>
      <c r="U340"/>
      <c r="V340"/>
    </row>
    <row r="341" spans="1:22" x14ac:dyDescent="0.2">
      <c r="A341" s="267" t="s">
        <v>279</v>
      </c>
      <c r="B341" s="267" t="s">
        <v>188</v>
      </c>
      <c r="C341" s="268">
        <v>122</v>
      </c>
      <c r="D341" s="268">
        <v>158</v>
      </c>
      <c r="E341" s="268">
        <v>280</v>
      </c>
      <c r="F341" s="268">
        <v>2968830.14756225</v>
      </c>
      <c r="G341" s="268">
        <v>4166377.3990143901</v>
      </c>
      <c r="H341" s="268">
        <v>7135207.5465766396</v>
      </c>
      <c r="I341" s="267" t="s">
        <v>633</v>
      </c>
      <c r="J341" s="267" t="s">
        <v>121</v>
      </c>
      <c r="K341" s="267">
        <v>432153</v>
      </c>
      <c r="L341" s="267" t="s">
        <v>449</v>
      </c>
      <c r="M341"/>
      <c r="N341"/>
      <c r="O341"/>
      <c r="P341"/>
      <c r="Q341" s="151"/>
      <c r="R341"/>
      <c r="S341"/>
      <c r="T341"/>
      <c r="U341"/>
      <c r="V341"/>
    </row>
    <row r="342" spans="1:22" x14ac:dyDescent="0.2">
      <c r="A342" s="267" t="s">
        <v>368</v>
      </c>
      <c r="B342" s="267" t="s">
        <v>108</v>
      </c>
      <c r="C342" s="268">
        <v>7417</v>
      </c>
      <c r="D342" s="268">
        <v>9671</v>
      </c>
      <c r="E342" s="268">
        <v>17088</v>
      </c>
      <c r="F342" s="268">
        <v>117237909.336808</v>
      </c>
      <c r="G342" s="268">
        <v>209887541.168888</v>
      </c>
      <c r="H342" s="268">
        <v>327125450.505696</v>
      </c>
      <c r="I342" s="267" t="s">
        <v>633</v>
      </c>
      <c r="J342" s="267" t="s">
        <v>121</v>
      </c>
      <c r="K342" s="267">
        <v>433862</v>
      </c>
      <c r="L342" s="267" t="s">
        <v>505</v>
      </c>
      <c r="M342"/>
      <c r="N342"/>
      <c r="O342"/>
      <c r="P342"/>
      <c r="Q342" s="151"/>
      <c r="R342"/>
      <c r="S342"/>
      <c r="T342"/>
      <c r="U342"/>
      <c r="V342"/>
    </row>
    <row r="343" spans="1:22" x14ac:dyDescent="0.2">
      <c r="A343" s="267" t="s">
        <v>261</v>
      </c>
      <c r="B343" s="267" t="s">
        <v>266</v>
      </c>
      <c r="C343" s="268">
        <v>14178</v>
      </c>
      <c r="D343" s="268">
        <v>14099</v>
      </c>
      <c r="E343" s="268">
        <v>28277</v>
      </c>
      <c r="F343" s="268">
        <v>246147658.141287</v>
      </c>
      <c r="G343" s="268">
        <v>305352861.60416603</v>
      </c>
      <c r="H343" s="268">
        <v>551500519.745453</v>
      </c>
      <c r="I343" s="267" t="s">
        <v>753</v>
      </c>
      <c r="J343" s="267" t="s">
        <v>121</v>
      </c>
      <c r="K343" s="267">
        <v>435222</v>
      </c>
      <c r="L343" s="267" t="s">
        <v>776</v>
      </c>
      <c r="M343"/>
      <c r="N343"/>
      <c r="O343"/>
      <c r="P343"/>
      <c r="Q343" s="151"/>
      <c r="R343"/>
      <c r="S343"/>
      <c r="T343"/>
      <c r="U343"/>
      <c r="V343"/>
    </row>
    <row r="344" spans="1:22" x14ac:dyDescent="0.2">
      <c r="A344" s="267" t="s">
        <v>748</v>
      </c>
      <c r="B344" s="267" t="s">
        <v>779</v>
      </c>
      <c r="C344" s="268">
        <v>442</v>
      </c>
      <c r="D344" s="268">
        <v>489</v>
      </c>
      <c r="E344" s="268">
        <v>931</v>
      </c>
      <c r="F344" s="268">
        <v>7620499.2884942498</v>
      </c>
      <c r="G344" s="268">
        <v>10200048.340911699</v>
      </c>
      <c r="H344" s="268">
        <v>17820547.629405998</v>
      </c>
      <c r="I344" s="267" t="s">
        <v>633</v>
      </c>
      <c r="J344" s="267" t="s">
        <v>121</v>
      </c>
      <c r="K344" s="267">
        <v>435693</v>
      </c>
      <c r="L344" s="267" t="s">
        <v>52</v>
      </c>
      <c r="M344"/>
      <c r="N344"/>
      <c r="O344"/>
      <c r="P344"/>
      <c r="Q344" s="151"/>
      <c r="R344"/>
      <c r="S344"/>
      <c r="T344"/>
      <c r="U344"/>
      <c r="V344"/>
    </row>
    <row r="345" spans="1:22" x14ac:dyDescent="0.2">
      <c r="A345" s="267" t="s">
        <v>145</v>
      </c>
      <c r="B345" s="267" t="s">
        <v>281</v>
      </c>
      <c r="C345" s="268">
        <v>1673</v>
      </c>
      <c r="D345" s="268">
        <v>1434</v>
      </c>
      <c r="E345" s="268">
        <v>3107</v>
      </c>
      <c r="F345" s="268">
        <v>24126254.597061601</v>
      </c>
      <c r="G345" s="268">
        <v>26126017.817186601</v>
      </c>
      <c r="H345" s="268">
        <v>50252272.414248198</v>
      </c>
      <c r="I345" s="267" t="s">
        <v>633</v>
      </c>
      <c r="J345" s="267" t="s">
        <v>121</v>
      </c>
      <c r="K345" s="267">
        <v>435818</v>
      </c>
      <c r="L345" s="267" t="s">
        <v>88</v>
      </c>
      <c r="M345"/>
      <c r="N345"/>
      <c r="O345"/>
      <c r="P345"/>
      <c r="Q345" s="151"/>
      <c r="R345"/>
      <c r="S345"/>
      <c r="T345"/>
      <c r="U345"/>
      <c r="V345"/>
    </row>
    <row r="346" spans="1:22" x14ac:dyDescent="0.2">
      <c r="A346" s="267" t="s">
        <v>279</v>
      </c>
      <c r="B346" s="267" t="s">
        <v>770</v>
      </c>
      <c r="C346" s="268">
        <v>60</v>
      </c>
      <c r="D346" s="268">
        <v>80</v>
      </c>
      <c r="E346" s="268">
        <v>140</v>
      </c>
      <c r="F346" s="268">
        <v>726957.19005069113</v>
      </c>
      <c r="G346" s="268">
        <v>1548452.1442915201</v>
      </c>
      <c r="H346" s="268">
        <v>2275409.3343422096</v>
      </c>
      <c r="I346" s="267" t="s">
        <v>633</v>
      </c>
      <c r="J346" s="267" t="s">
        <v>121</v>
      </c>
      <c r="K346" s="267">
        <v>439299</v>
      </c>
      <c r="L346" s="267" t="s">
        <v>767</v>
      </c>
      <c r="M346"/>
      <c r="N346"/>
      <c r="O346"/>
      <c r="P346"/>
      <c r="Q346" s="151"/>
      <c r="R346"/>
      <c r="S346"/>
      <c r="T346"/>
      <c r="U346"/>
      <c r="V346"/>
    </row>
    <row r="347" spans="1:22" x14ac:dyDescent="0.2">
      <c r="A347" s="267" t="s">
        <v>261</v>
      </c>
      <c r="B347" s="267" t="s">
        <v>264</v>
      </c>
      <c r="C347" s="268">
        <v>7780</v>
      </c>
      <c r="D347" s="268">
        <v>8791</v>
      </c>
      <c r="E347" s="268">
        <v>16571</v>
      </c>
      <c r="F347" s="268">
        <v>135511799.07908699</v>
      </c>
      <c r="G347" s="268">
        <v>187165682.801346</v>
      </c>
      <c r="H347" s="268">
        <v>322677481.88043302</v>
      </c>
      <c r="I347" s="267" t="s">
        <v>753</v>
      </c>
      <c r="J347" s="267" t="s">
        <v>121</v>
      </c>
      <c r="K347" s="267">
        <v>439471</v>
      </c>
      <c r="L347" s="267" t="s">
        <v>680</v>
      </c>
      <c r="M347"/>
      <c r="N347"/>
      <c r="O347"/>
      <c r="P347"/>
      <c r="Q347" s="151"/>
      <c r="R347"/>
      <c r="S347"/>
      <c r="T347"/>
      <c r="U347"/>
      <c r="V347"/>
    </row>
    <row r="348" spans="1:22" x14ac:dyDescent="0.2">
      <c r="A348" s="267" t="s">
        <v>92</v>
      </c>
      <c r="B348" s="267" t="s">
        <v>202</v>
      </c>
      <c r="C348" s="268">
        <v>377</v>
      </c>
      <c r="D348" s="268">
        <v>495</v>
      </c>
      <c r="E348" s="268">
        <v>872</v>
      </c>
      <c r="F348" s="268">
        <v>7505462.7977458797</v>
      </c>
      <c r="G348" s="268">
        <v>11225380.8139336</v>
      </c>
      <c r="H348" s="268">
        <v>18730843.611679498</v>
      </c>
      <c r="I348" s="267" t="s">
        <v>633</v>
      </c>
      <c r="J348" s="267" t="s">
        <v>121</v>
      </c>
      <c r="K348" s="267">
        <v>440065</v>
      </c>
      <c r="L348" s="267" t="s">
        <v>423</v>
      </c>
      <c r="M348"/>
      <c r="N348"/>
      <c r="O348"/>
      <c r="P348"/>
      <c r="Q348" s="151"/>
      <c r="R348"/>
      <c r="S348"/>
      <c r="T348"/>
      <c r="U348"/>
      <c r="V348"/>
    </row>
    <row r="349" spans="1:22" x14ac:dyDescent="0.2">
      <c r="A349" s="267" t="s">
        <v>208</v>
      </c>
      <c r="B349" s="267" t="s">
        <v>215</v>
      </c>
      <c r="C349" s="268">
        <v>11483</v>
      </c>
      <c r="D349" s="268">
        <v>13853</v>
      </c>
      <c r="E349" s="268">
        <v>25336</v>
      </c>
      <c r="F349" s="268">
        <v>206552297.29008999</v>
      </c>
      <c r="G349" s="268">
        <v>306068354.61764401</v>
      </c>
      <c r="H349" s="268">
        <v>512620651.90773499</v>
      </c>
      <c r="I349" s="267" t="s">
        <v>753</v>
      </c>
      <c r="J349" s="267" t="s">
        <v>121</v>
      </c>
      <c r="K349" s="267">
        <v>442483</v>
      </c>
      <c r="L349" s="267" t="s">
        <v>212</v>
      </c>
      <c r="M349"/>
      <c r="N349"/>
      <c r="O349"/>
      <c r="P349"/>
      <c r="Q349" s="151"/>
      <c r="R349"/>
      <c r="S349"/>
      <c r="T349"/>
      <c r="U349"/>
      <c r="V349"/>
    </row>
    <row r="350" spans="1:22" x14ac:dyDescent="0.2">
      <c r="A350" s="267" t="s">
        <v>491</v>
      </c>
      <c r="B350" s="267" t="s">
        <v>180</v>
      </c>
      <c r="C350" s="268">
        <v>501</v>
      </c>
      <c r="D350" s="268">
        <v>549</v>
      </c>
      <c r="E350" s="268">
        <v>1050</v>
      </c>
      <c r="F350" s="268">
        <v>19425086.879492499</v>
      </c>
      <c r="G350" s="268">
        <v>27866918.999788903</v>
      </c>
      <c r="H350" s="268">
        <v>47292005.879281498</v>
      </c>
      <c r="I350" s="267" t="s">
        <v>753</v>
      </c>
      <c r="J350" s="267" t="s">
        <v>122</v>
      </c>
      <c r="K350" s="267">
        <v>442897</v>
      </c>
      <c r="L350" s="267" t="s">
        <v>796</v>
      </c>
      <c r="M350"/>
      <c r="N350"/>
      <c r="O350"/>
      <c r="P350"/>
      <c r="Q350" s="151"/>
      <c r="R350"/>
      <c r="S350"/>
      <c r="T350"/>
      <c r="U350"/>
      <c r="V350"/>
    </row>
    <row r="351" spans="1:22" x14ac:dyDescent="0.2">
      <c r="A351" s="267" t="s">
        <v>615</v>
      </c>
      <c r="B351" s="267" t="s">
        <v>826</v>
      </c>
      <c r="C351" s="268">
        <v>1061</v>
      </c>
      <c r="D351" s="268">
        <v>994</v>
      </c>
      <c r="E351" s="268">
        <v>2055</v>
      </c>
      <c r="F351" s="268">
        <v>21879281.9109198</v>
      </c>
      <c r="G351" s="268">
        <v>24372760.9823808</v>
      </c>
      <c r="H351" s="268">
        <v>46252042.8933006</v>
      </c>
      <c r="I351" s="267" t="s">
        <v>633</v>
      </c>
      <c r="J351" s="267" t="s">
        <v>122</v>
      </c>
      <c r="K351" s="267">
        <v>443721</v>
      </c>
      <c r="L351" s="267" t="s">
        <v>100</v>
      </c>
      <c r="M351"/>
      <c r="N351"/>
      <c r="O351"/>
      <c r="P351"/>
      <c r="Q351" s="151"/>
      <c r="R351"/>
      <c r="S351"/>
      <c r="T351"/>
      <c r="U351"/>
      <c r="V351"/>
    </row>
    <row r="352" spans="1:22" x14ac:dyDescent="0.2">
      <c r="A352" s="267" t="s">
        <v>301</v>
      </c>
      <c r="B352" s="267" t="s">
        <v>343</v>
      </c>
      <c r="C352" s="268">
        <v>735</v>
      </c>
      <c r="D352" s="268">
        <v>561</v>
      </c>
      <c r="E352" s="268">
        <v>1296</v>
      </c>
      <c r="F352" s="268">
        <v>12678729.615000799</v>
      </c>
      <c r="G352" s="268">
        <v>11878472.4053478</v>
      </c>
      <c r="H352" s="268">
        <v>24557202.020348597</v>
      </c>
      <c r="I352" s="267" t="s">
        <v>633</v>
      </c>
      <c r="J352" s="267" t="s">
        <v>123</v>
      </c>
      <c r="K352" s="267">
        <v>444315</v>
      </c>
      <c r="L352" s="267" t="s">
        <v>58</v>
      </c>
      <c r="M352"/>
      <c r="N352"/>
      <c r="O352"/>
      <c r="P352"/>
      <c r="Q352" s="151"/>
      <c r="R352"/>
      <c r="S352"/>
      <c r="T352"/>
      <c r="U352"/>
      <c r="V352"/>
    </row>
    <row r="353" spans="1:22" x14ac:dyDescent="0.2">
      <c r="A353" s="267" t="s">
        <v>261</v>
      </c>
      <c r="B353" s="267" t="s">
        <v>762</v>
      </c>
      <c r="C353" s="268">
        <v>130</v>
      </c>
      <c r="D353" s="268">
        <v>213</v>
      </c>
      <c r="E353" s="268">
        <v>343</v>
      </c>
      <c r="F353" s="268">
        <v>2474021.9869143702</v>
      </c>
      <c r="G353" s="268">
        <v>3859094.1642230302</v>
      </c>
      <c r="H353" s="268">
        <v>6333116.1511374004</v>
      </c>
      <c r="I353" s="267" t="s">
        <v>633</v>
      </c>
      <c r="J353" s="267" t="s">
        <v>121</v>
      </c>
      <c r="K353" s="267">
        <v>446088</v>
      </c>
      <c r="L353" s="267" t="s">
        <v>760</v>
      </c>
      <c r="M353"/>
      <c r="N353"/>
      <c r="O353"/>
      <c r="P353"/>
      <c r="Q353" s="151"/>
      <c r="R353"/>
      <c r="S353"/>
      <c r="T353"/>
      <c r="U353"/>
      <c r="V353"/>
    </row>
    <row r="354" spans="1:22" x14ac:dyDescent="0.2">
      <c r="A354" s="267" t="s">
        <v>301</v>
      </c>
      <c r="B354" s="267" t="s">
        <v>1020</v>
      </c>
      <c r="C354" s="268">
        <v>54</v>
      </c>
      <c r="D354" s="268">
        <v>43</v>
      </c>
      <c r="E354" s="268">
        <v>97</v>
      </c>
      <c r="F354" s="268">
        <v>3287186.8446613597</v>
      </c>
      <c r="G354" s="268">
        <v>3113987.8744509402</v>
      </c>
      <c r="H354" s="268">
        <v>6401174.7191123003</v>
      </c>
      <c r="I354" s="267" t="s">
        <v>753</v>
      </c>
      <c r="J354" s="267" t="s">
        <v>123</v>
      </c>
      <c r="K354" s="267">
        <v>447086</v>
      </c>
      <c r="L354" s="267" t="s">
        <v>969</v>
      </c>
      <c r="M354"/>
      <c r="N354"/>
      <c r="O354"/>
      <c r="P354"/>
      <c r="Q354" s="151"/>
      <c r="R354"/>
      <c r="S354"/>
      <c r="T354"/>
      <c r="U354"/>
      <c r="V354"/>
    </row>
    <row r="355" spans="1:22" x14ac:dyDescent="0.2">
      <c r="A355" s="267" t="s">
        <v>208</v>
      </c>
      <c r="B355" s="267" t="s">
        <v>225</v>
      </c>
      <c r="C355" s="268">
        <v>4012</v>
      </c>
      <c r="D355" s="268">
        <v>4894</v>
      </c>
      <c r="E355" s="268">
        <v>8906</v>
      </c>
      <c r="F355" s="268">
        <v>72651713.524402693</v>
      </c>
      <c r="G355" s="268">
        <v>113505617.311397</v>
      </c>
      <c r="H355" s="268">
        <v>186157330.83579901</v>
      </c>
      <c r="I355" s="267" t="s">
        <v>753</v>
      </c>
      <c r="J355" s="267" t="s">
        <v>121</v>
      </c>
      <c r="K355" s="267">
        <v>449090</v>
      </c>
      <c r="L355" s="267" t="s">
        <v>790</v>
      </c>
      <c r="M355"/>
      <c r="N355"/>
      <c r="O355"/>
      <c r="P355"/>
      <c r="Q355" s="151"/>
      <c r="R355"/>
      <c r="S355"/>
      <c r="T355"/>
      <c r="U355"/>
      <c r="V355"/>
    </row>
    <row r="356" spans="1:22" x14ac:dyDescent="0.2">
      <c r="A356" s="267" t="s">
        <v>671</v>
      </c>
      <c r="B356" s="267" t="s">
        <v>708</v>
      </c>
      <c r="C356" s="268">
        <v>6973</v>
      </c>
      <c r="D356" s="268">
        <v>8173</v>
      </c>
      <c r="E356" s="268">
        <v>15146</v>
      </c>
      <c r="F356" s="268">
        <v>174548609.828226</v>
      </c>
      <c r="G356" s="268">
        <v>254400611.17990801</v>
      </c>
      <c r="H356" s="268">
        <v>428949221.00813401</v>
      </c>
      <c r="I356" s="267" t="s">
        <v>633</v>
      </c>
      <c r="J356" s="267" t="s">
        <v>121</v>
      </c>
      <c r="K356" s="267">
        <v>450981</v>
      </c>
      <c r="L356" s="267" t="s">
        <v>707</v>
      </c>
      <c r="M356"/>
      <c r="N356"/>
      <c r="O356"/>
      <c r="P356"/>
      <c r="Q356" s="151"/>
      <c r="R356"/>
      <c r="S356"/>
      <c r="T356"/>
      <c r="U356"/>
      <c r="V356"/>
    </row>
    <row r="357" spans="1:22" x14ac:dyDescent="0.2">
      <c r="A357" s="267" t="s">
        <v>92</v>
      </c>
      <c r="B357" s="267" t="s">
        <v>93</v>
      </c>
      <c r="C357" s="268">
        <v>265</v>
      </c>
      <c r="D357" s="268">
        <v>271</v>
      </c>
      <c r="E357" s="268">
        <v>536</v>
      </c>
      <c r="F357" s="268">
        <v>4890900.3916416503</v>
      </c>
      <c r="G357" s="268">
        <v>6113630.0802528802</v>
      </c>
      <c r="H357" s="268">
        <v>11004530.471894501</v>
      </c>
      <c r="I357" s="267" t="s">
        <v>633</v>
      </c>
      <c r="J357" s="267" t="s">
        <v>121</v>
      </c>
      <c r="K357" s="267">
        <v>452755</v>
      </c>
      <c r="L357" s="267" t="s">
        <v>449</v>
      </c>
      <c r="M357"/>
      <c r="N357"/>
      <c r="O357"/>
      <c r="P357"/>
      <c r="Q357" s="151"/>
      <c r="R357"/>
      <c r="S357"/>
      <c r="T357"/>
      <c r="U357"/>
      <c r="V357"/>
    </row>
    <row r="358" spans="1:22" x14ac:dyDescent="0.2">
      <c r="A358" s="267" t="s">
        <v>279</v>
      </c>
      <c r="B358" s="267" t="s">
        <v>450</v>
      </c>
      <c r="C358" s="268">
        <v>23</v>
      </c>
      <c r="D358" s="268">
        <v>56</v>
      </c>
      <c r="E358" s="268">
        <v>79</v>
      </c>
      <c r="F358" s="268">
        <v>712911.22511240002</v>
      </c>
      <c r="G358" s="268">
        <v>1483795.8588816801</v>
      </c>
      <c r="H358" s="268">
        <v>2196707.0839940798</v>
      </c>
      <c r="I358" s="267" t="s">
        <v>753</v>
      </c>
      <c r="J358" s="267" t="s">
        <v>121</v>
      </c>
      <c r="K358" s="267">
        <v>456236</v>
      </c>
      <c r="L358" s="267" t="s">
        <v>1128</v>
      </c>
      <c r="M358"/>
      <c r="N358"/>
      <c r="O358"/>
      <c r="P358"/>
      <c r="Q358" s="151"/>
      <c r="R358"/>
      <c r="S358"/>
      <c r="T358"/>
      <c r="U358"/>
      <c r="V358"/>
    </row>
    <row r="359" spans="1:22" x14ac:dyDescent="0.2">
      <c r="A359" s="267" t="s">
        <v>102</v>
      </c>
      <c r="B359" s="267" t="s">
        <v>116</v>
      </c>
      <c r="C359" s="268">
        <v>3678</v>
      </c>
      <c r="D359" s="268">
        <v>4556</v>
      </c>
      <c r="E359" s="268">
        <v>8234</v>
      </c>
      <c r="F359" s="268">
        <v>58319373.606036894</v>
      </c>
      <c r="G359" s="268">
        <v>86412921.017516896</v>
      </c>
      <c r="H359" s="268">
        <v>144732294.62355402</v>
      </c>
      <c r="I359" s="267" t="s">
        <v>753</v>
      </c>
      <c r="J359" s="267" t="s">
        <v>121</v>
      </c>
      <c r="K359" s="267">
        <v>456475</v>
      </c>
      <c r="L359" s="267" t="s">
        <v>699</v>
      </c>
      <c r="M359"/>
      <c r="N359"/>
      <c r="O359"/>
      <c r="P359"/>
      <c r="Q359" s="151"/>
      <c r="R359"/>
      <c r="S359"/>
      <c r="T359"/>
      <c r="U359"/>
      <c r="V359"/>
    </row>
    <row r="360" spans="1:22" x14ac:dyDescent="0.2">
      <c r="A360" s="267" t="s">
        <v>161</v>
      </c>
      <c r="B360" s="267" t="s">
        <v>962</v>
      </c>
      <c r="C360" s="268">
        <v>160</v>
      </c>
      <c r="D360" s="268">
        <v>275</v>
      </c>
      <c r="E360" s="268">
        <v>435</v>
      </c>
      <c r="F360" s="268">
        <v>2643084.0380790699</v>
      </c>
      <c r="G360" s="268">
        <v>5415129.6105568605</v>
      </c>
      <c r="H360" s="268">
        <v>8058213.6486359406</v>
      </c>
      <c r="I360" s="267" t="s">
        <v>753</v>
      </c>
      <c r="J360" s="267" t="s">
        <v>121</v>
      </c>
      <c r="K360" s="267">
        <v>459891</v>
      </c>
      <c r="L360" s="267" t="s">
        <v>796</v>
      </c>
      <c r="M360"/>
      <c r="N360"/>
      <c r="O360"/>
      <c r="P360"/>
      <c r="Q360" s="151"/>
      <c r="R360"/>
      <c r="S360"/>
      <c r="T360"/>
      <c r="U360"/>
      <c r="V360"/>
    </row>
    <row r="361" spans="1:22" x14ac:dyDescent="0.2">
      <c r="A361" s="267" t="s">
        <v>348</v>
      </c>
      <c r="B361" s="267" t="s">
        <v>482</v>
      </c>
      <c r="C361" s="268">
        <v>60970</v>
      </c>
      <c r="D361" s="268">
        <v>48839</v>
      </c>
      <c r="E361" s="268">
        <v>109809</v>
      </c>
      <c r="F361" s="268">
        <v>2564847792.8190303</v>
      </c>
      <c r="G361" s="268">
        <v>2525281001.4079599</v>
      </c>
      <c r="H361" s="268">
        <v>5090128794.2269897</v>
      </c>
      <c r="I361" s="267" t="s">
        <v>753</v>
      </c>
      <c r="J361" s="267" t="s">
        <v>125</v>
      </c>
      <c r="K361" s="267">
        <v>463141</v>
      </c>
      <c r="L361" s="267" t="s">
        <v>796</v>
      </c>
      <c r="M361"/>
      <c r="N361"/>
      <c r="O361"/>
      <c r="P361"/>
      <c r="Q361" s="151"/>
      <c r="R361"/>
      <c r="S361"/>
      <c r="T361"/>
      <c r="U361"/>
      <c r="V361"/>
    </row>
    <row r="362" spans="1:22" x14ac:dyDescent="0.2">
      <c r="A362" s="267" t="s">
        <v>301</v>
      </c>
      <c r="B362" s="267" t="s">
        <v>1031</v>
      </c>
      <c r="C362" s="268">
        <v>5926</v>
      </c>
      <c r="D362" s="268">
        <v>5817</v>
      </c>
      <c r="E362" s="268">
        <v>11743</v>
      </c>
      <c r="F362" s="268">
        <v>424023870.80197299</v>
      </c>
      <c r="G362" s="268">
        <v>519571406.140311</v>
      </c>
      <c r="H362" s="268">
        <v>943595276.94228399</v>
      </c>
      <c r="I362" s="267" t="s">
        <v>753</v>
      </c>
      <c r="J362" s="267" t="s">
        <v>123</v>
      </c>
      <c r="K362" s="267">
        <v>464081</v>
      </c>
      <c r="L362" s="267" t="s">
        <v>905</v>
      </c>
      <c r="M362"/>
      <c r="N362"/>
      <c r="O362"/>
      <c r="P362"/>
      <c r="Q362" s="151"/>
      <c r="R362"/>
      <c r="S362"/>
      <c r="T362"/>
      <c r="U362"/>
      <c r="V362"/>
    </row>
    <row r="363" spans="1:22" x14ac:dyDescent="0.2">
      <c r="A363" s="267" t="s">
        <v>727</v>
      </c>
      <c r="B363" s="267" t="s">
        <v>1016</v>
      </c>
      <c r="C363" s="268">
        <v>20826</v>
      </c>
      <c r="D363" s="268">
        <v>20542</v>
      </c>
      <c r="E363" s="268">
        <v>41368</v>
      </c>
      <c r="F363" s="268">
        <v>547482785.06926405</v>
      </c>
      <c r="G363" s="268">
        <v>668983702.93971395</v>
      </c>
      <c r="H363" s="268">
        <v>1216466488.0089798</v>
      </c>
      <c r="I363" s="267" t="s">
        <v>753</v>
      </c>
      <c r="J363" s="267" t="s">
        <v>121</v>
      </c>
      <c r="K363" s="267">
        <v>465914</v>
      </c>
      <c r="L363" s="267" t="s">
        <v>677</v>
      </c>
      <c r="M363"/>
      <c r="N363"/>
      <c r="O363"/>
      <c r="P363"/>
      <c r="Q363" s="151"/>
      <c r="R363"/>
      <c r="S363"/>
      <c r="T363"/>
      <c r="U363"/>
      <c r="V363"/>
    </row>
    <row r="364" spans="1:22" x14ac:dyDescent="0.2">
      <c r="A364" s="267" t="s">
        <v>344</v>
      </c>
      <c r="B364" s="267" t="s">
        <v>1106</v>
      </c>
      <c r="C364" s="268">
        <v>13733</v>
      </c>
      <c r="D364" s="268">
        <v>9661</v>
      </c>
      <c r="E364" s="268">
        <v>23394</v>
      </c>
      <c r="F364" s="268">
        <v>637552331.09238398</v>
      </c>
      <c r="G364" s="268">
        <v>503029755.18875599</v>
      </c>
      <c r="H364" s="268">
        <v>1140582086.2811399</v>
      </c>
      <c r="I364" s="267" t="s">
        <v>753</v>
      </c>
      <c r="J364" s="267" t="s">
        <v>125</v>
      </c>
      <c r="K364" s="267">
        <v>466805</v>
      </c>
      <c r="L364" s="267" t="s">
        <v>703</v>
      </c>
      <c r="M364"/>
      <c r="N364"/>
      <c r="O364"/>
      <c r="P364"/>
      <c r="Q364" s="151"/>
      <c r="R364"/>
      <c r="S364"/>
      <c r="T364"/>
      <c r="U364"/>
      <c r="V364"/>
    </row>
    <row r="365" spans="1:22" x14ac:dyDescent="0.2">
      <c r="A365" s="267" t="s">
        <v>145</v>
      </c>
      <c r="B365" s="267" t="s">
        <v>321</v>
      </c>
      <c r="C365" s="268">
        <v>950</v>
      </c>
      <c r="D365" s="268">
        <v>1241</v>
      </c>
      <c r="E365" s="268">
        <v>2191</v>
      </c>
      <c r="F365" s="268">
        <v>14593418.504659701</v>
      </c>
      <c r="G365" s="268">
        <v>22206219.197195299</v>
      </c>
      <c r="H365" s="268">
        <v>36799637.701855004</v>
      </c>
      <c r="I365" s="267" t="s">
        <v>633</v>
      </c>
      <c r="J365" s="267" t="s">
        <v>121</v>
      </c>
      <c r="K365" s="267">
        <v>467985</v>
      </c>
      <c r="L365" s="267" t="s">
        <v>449</v>
      </c>
      <c r="M365"/>
      <c r="N365"/>
      <c r="O365"/>
      <c r="P365"/>
      <c r="Q365" s="151"/>
      <c r="R365"/>
      <c r="S365"/>
      <c r="T365"/>
      <c r="U365"/>
      <c r="V365"/>
    </row>
    <row r="366" spans="1:22" x14ac:dyDescent="0.2">
      <c r="A366" s="267" t="s">
        <v>131</v>
      </c>
      <c r="B366" s="267" t="s">
        <v>109</v>
      </c>
      <c r="C366" s="268">
        <v>6291</v>
      </c>
      <c r="D366" s="268">
        <v>8662</v>
      </c>
      <c r="E366" s="268">
        <v>14953</v>
      </c>
      <c r="F366" s="268">
        <v>95555600.275854304</v>
      </c>
      <c r="G366" s="268">
        <v>177256983.43235299</v>
      </c>
      <c r="H366" s="268">
        <v>272812583.70820701</v>
      </c>
      <c r="I366" s="267" t="s">
        <v>633</v>
      </c>
      <c r="J366" s="267" t="s">
        <v>121</v>
      </c>
      <c r="K366" s="267">
        <v>469692</v>
      </c>
      <c r="L366" s="267" t="s">
        <v>505</v>
      </c>
      <c r="M366"/>
      <c r="N366"/>
      <c r="O366"/>
      <c r="P366"/>
      <c r="Q366" s="151"/>
      <c r="R366"/>
      <c r="S366"/>
      <c r="T366"/>
      <c r="U366"/>
      <c r="V366"/>
    </row>
    <row r="367" spans="1:22" x14ac:dyDescent="0.2">
      <c r="A367" s="267" t="s">
        <v>611</v>
      </c>
      <c r="B367" s="267" t="s">
        <v>614</v>
      </c>
      <c r="C367" s="268">
        <v>6647</v>
      </c>
      <c r="D367" s="268">
        <v>6434</v>
      </c>
      <c r="E367" s="268">
        <v>13081</v>
      </c>
      <c r="F367" s="268">
        <v>179126716.53365999</v>
      </c>
      <c r="G367" s="268">
        <v>218844437.328657</v>
      </c>
      <c r="H367" s="268">
        <v>397971153.86231703</v>
      </c>
      <c r="I367" s="267" t="s">
        <v>753</v>
      </c>
      <c r="J367" s="267" t="s">
        <v>122</v>
      </c>
      <c r="K367" s="267">
        <v>469817</v>
      </c>
      <c r="L367" s="267" t="s">
        <v>680</v>
      </c>
      <c r="M367"/>
      <c r="N367"/>
      <c r="O367"/>
      <c r="P367"/>
      <c r="Q367" s="151"/>
      <c r="R367"/>
      <c r="S367"/>
      <c r="T367"/>
      <c r="U367"/>
      <c r="V367"/>
    </row>
    <row r="368" spans="1:22" x14ac:dyDescent="0.2">
      <c r="A368" s="267" t="s">
        <v>131</v>
      </c>
      <c r="B368" s="267" t="s">
        <v>139</v>
      </c>
      <c r="C368" s="268">
        <v>14144</v>
      </c>
      <c r="D368" s="268">
        <v>16876</v>
      </c>
      <c r="E368" s="268">
        <v>31020</v>
      </c>
      <c r="F368" s="268">
        <v>296716310.233275</v>
      </c>
      <c r="G368" s="268">
        <v>457879562.55956298</v>
      </c>
      <c r="H368" s="268">
        <v>754595872.79283798</v>
      </c>
      <c r="I368" s="267" t="s">
        <v>753</v>
      </c>
      <c r="J368" s="267" t="s">
        <v>121</v>
      </c>
      <c r="K368" s="267">
        <v>471052</v>
      </c>
      <c r="L368" s="267" t="s">
        <v>776</v>
      </c>
      <c r="M368"/>
      <c r="N368"/>
      <c r="O368"/>
      <c r="P368"/>
      <c r="Q368" s="151"/>
      <c r="R368"/>
      <c r="S368"/>
      <c r="T368"/>
      <c r="U368"/>
      <c r="V368"/>
    </row>
    <row r="369" spans="1:22" x14ac:dyDescent="0.2">
      <c r="A369" s="267" t="s">
        <v>368</v>
      </c>
      <c r="B369" s="267" t="s">
        <v>399</v>
      </c>
      <c r="C369" s="268">
        <v>1127</v>
      </c>
      <c r="D369" s="268">
        <v>1490</v>
      </c>
      <c r="E369" s="268">
        <v>2617</v>
      </c>
      <c r="F369" s="268">
        <v>17466253.848673899</v>
      </c>
      <c r="G369" s="268">
        <v>32782005.3860121</v>
      </c>
      <c r="H369" s="268">
        <v>50248259.234685995</v>
      </c>
      <c r="I369" s="267" t="s">
        <v>633</v>
      </c>
      <c r="J369" s="267" t="s">
        <v>121</v>
      </c>
      <c r="K369" s="267">
        <v>473231</v>
      </c>
      <c r="L369" s="267" t="s">
        <v>792</v>
      </c>
      <c r="M369"/>
      <c r="N369"/>
      <c r="O369"/>
      <c r="P369"/>
      <c r="Q369" s="151"/>
      <c r="R369"/>
      <c r="S369"/>
      <c r="T369"/>
      <c r="U369"/>
      <c r="V369"/>
    </row>
    <row r="370" spans="1:22" x14ac:dyDescent="0.2">
      <c r="A370" s="267" t="s">
        <v>44</v>
      </c>
      <c r="B370" s="267" t="s">
        <v>62</v>
      </c>
      <c r="C370" s="268">
        <v>114</v>
      </c>
      <c r="D370" s="268">
        <v>191</v>
      </c>
      <c r="E370" s="268">
        <v>305</v>
      </c>
      <c r="F370" s="268">
        <v>1730823.63292135</v>
      </c>
      <c r="G370" s="268">
        <v>3439941.1646919199</v>
      </c>
      <c r="H370" s="268">
        <v>5170764.7976132706</v>
      </c>
      <c r="I370" s="267" t="s">
        <v>633</v>
      </c>
      <c r="J370" s="267" t="s">
        <v>121</v>
      </c>
      <c r="K370" s="267">
        <v>473470</v>
      </c>
      <c r="L370" s="267" t="s">
        <v>758</v>
      </c>
      <c r="M370"/>
      <c r="N370"/>
      <c r="O370"/>
      <c r="P370"/>
      <c r="Q370" s="151"/>
      <c r="R370"/>
      <c r="S370"/>
      <c r="T370"/>
      <c r="U370"/>
      <c r="V370"/>
    </row>
    <row r="371" spans="1:22" x14ac:dyDescent="0.2">
      <c r="A371" s="267" t="s">
        <v>145</v>
      </c>
      <c r="B371" s="267" t="s">
        <v>160</v>
      </c>
      <c r="C371" s="268">
        <v>21352</v>
      </c>
      <c r="D371" s="268">
        <v>17294</v>
      </c>
      <c r="E371" s="268">
        <v>38646</v>
      </c>
      <c r="F371" s="268">
        <v>398305296.97329903</v>
      </c>
      <c r="G371" s="268">
        <v>374698224.179618</v>
      </c>
      <c r="H371" s="268">
        <v>773003521.15291703</v>
      </c>
      <c r="I371" s="267" t="s">
        <v>753</v>
      </c>
      <c r="J371" s="267" t="s">
        <v>121</v>
      </c>
      <c r="K371" s="267">
        <v>475301</v>
      </c>
      <c r="L371" s="267" t="s">
        <v>680</v>
      </c>
      <c r="M371"/>
      <c r="N371"/>
      <c r="O371"/>
      <c r="P371"/>
      <c r="Q371" s="151"/>
      <c r="R371"/>
      <c r="S371"/>
      <c r="T371"/>
      <c r="U371"/>
      <c r="V371"/>
    </row>
    <row r="372" spans="1:22" x14ac:dyDescent="0.2">
      <c r="A372" s="267" t="s">
        <v>44</v>
      </c>
      <c r="B372" s="267" t="s">
        <v>192</v>
      </c>
      <c r="C372" s="268">
        <v>310</v>
      </c>
      <c r="D372" s="268">
        <v>382</v>
      </c>
      <c r="E372" s="268">
        <v>692</v>
      </c>
      <c r="F372" s="268">
        <v>3904431.6884076297</v>
      </c>
      <c r="G372" s="268">
        <v>6229341.39224183</v>
      </c>
      <c r="H372" s="268">
        <v>10133773.080649499</v>
      </c>
      <c r="I372" s="267" t="s">
        <v>633</v>
      </c>
      <c r="J372" s="267" t="s">
        <v>121</v>
      </c>
      <c r="K372" s="267">
        <v>475897</v>
      </c>
      <c r="L372" s="267" t="s">
        <v>423</v>
      </c>
      <c r="M372"/>
      <c r="N372"/>
      <c r="O372"/>
      <c r="P372"/>
      <c r="Q372" s="151"/>
      <c r="R372"/>
      <c r="S372"/>
      <c r="T372"/>
      <c r="U372"/>
      <c r="V372"/>
    </row>
    <row r="373" spans="1:22" x14ac:dyDescent="0.2">
      <c r="A373" s="267" t="s">
        <v>671</v>
      </c>
      <c r="B373" s="267" t="s">
        <v>1121</v>
      </c>
      <c r="C373" s="268">
        <v>92</v>
      </c>
      <c r="D373" s="268">
        <v>218</v>
      </c>
      <c r="E373" s="268">
        <v>310</v>
      </c>
      <c r="F373" s="268">
        <v>2093128.58868948</v>
      </c>
      <c r="G373" s="268">
        <v>5982676.6751985904</v>
      </c>
      <c r="H373" s="268">
        <v>8075805.2638880704</v>
      </c>
      <c r="I373" s="267" t="s">
        <v>753</v>
      </c>
      <c r="J373" s="267" t="s">
        <v>121</v>
      </c>
      <c r="K373" s="267">
        <v>476895</v>
      </c>
      <c r="L373" s="267" t="s">
        <v>13</v>
      </c>
      <c r="M373"/>
      <c r="N373"/>
      <c r="O373"/>
      <c r="P373"/>
      <c r="Q373" s="151"/>
      <c r="R373"/>
      <c r="S373"/>
      <c r="T373"/>
      <c r="U373"/>
      <c r="V373"/>
    </row>
    <row r="374" spans="1:22" x14ac:dyDescent="0.2">
      <c r="A374" s="267" t="s">
        <v>131</v>
      </c>
      <c r="B374" s="267" t="s">
        <v>133</v>
      </c>
      <c r="C374" s="268">
        <v>1068</v>
      </c>
      <c r="D374" s="268">
        <v>1432</v>
      </c>
      <c r="E374" s="268">
        <v>2500</v>
      </c>
      <c r="F374" s="268">
        <v>19797131.9382485</v>
      </c>
      <c r="G374" s="268">
        <v>34618181.008122504</v>
      </c>
      <c r="H374" s="268">
        <v>54415312.946370997</v>
      </c>
      <c r="I374" s="267" t="s">
        <v>633</v>
      </c>
      <c r="J374" s="267" t="s">
        <v>121</v>
      </c>
      <c r="K374" s="267">
        <v>477729</v>
      </c>
      <c r="L374" s="267" t="s">
        <v>354</v>
      </c>
      <c r="M374"/>
      <c r="N374"/>
      <c r="O374"/>
      <c r="P374"/>
      <c r="Q374" s="151"/>
      <c r="R374"/>
      <c r="S374"/>
      <c r="T374"/>
      <c r="U374"/>
      <c r="V374"/>
    </row>
    <row r="375" spans="1:22" x14ac:dyDescent="0.2">
      <c r="A375" s="267" t="s">
        <v>491</v>
      </c>
      <c r="B375" s="267" t="s">
        <v>544</v>
      </c>
      <c r="C375" s="268">
        <v>4760</v>
      </c>
      <c r="D375" s="268">
        <v>4430</v>
      </c>
      <c r="E375" s="268">
        <v>9190</v>
      </c>
      <c r="F375" s="268">
        <v>159253769.48815</v>
      </c>
      <c r="G375" s="268">
        <v>186927216.88199303</v>
      </c>
      <c r="H375" s="268">
        <v>346180986.370143</v>
      </c>
      <c r="I375" s="267" t="s">
        <v>753</v>
      </c>
      <c r="J375" s="267" t="s">
        <v>122</v>
      </c>
      <c r="K375" s="267">
        <v>478313</v>
      </c>
      <c r="L375" s="267" t="s">
        <v>701</v>
      </c>
      <c r="M375"/>
      <c r="N375"/>
      <c r="O375"/>
      <c r="P375"/>
      <c r="Q375" s="151"/>
      <c r="R375"/>
      <c r="S375"/>
      <c r="T375"/>
      <c r="U375"/>
      <c r="V375"/>
    </row>
    <row r="376" spans="1:22" x14ac:dyDescent="0.2">
      <c r="A376" s="267" t="s">
        <v>626</v>
      </c>
      <c r="B376" s="267" t="s">
        <v>953</v>
      </c>
      <c r="C376" s="268">
        <v>427</v>
      </c>
      <c r="D376" s="268">
        <v>497</v>
      </c>
      <c r="E376" s="268">
        <v>924</v>
      </c>
      <c r="F376" s="268">
        <v>8448863.2920366507</v>
      </c>
      <c r="G376" s="268">
        <v>12929274.427403901</v>
      </c>
      <c r="H376" s="268">
        <v>21378137.719440598</v>
      </c>
      <c r="I376" s="267" t="s">
        <v>633</v>
      </c>
      <c r="J376" s="267" t="s">
        <v>122</v>
      </c>
      <c r="K376" s="267">
        <v>479436</v>
      </c>
      <c r="L376" s="267" t="s">
        <v>752</v>
      </c>
      <c r="M376"/>
      <c r="N376"/>
      <c r="O376"/>
      <c r="P376"/>
      <c r="Q376" s="151"/>
      <c r="R376"/>
      <c r="S376"/>
      <c r="T376"/>
      <c r="U376"/>
      <c r="V376"/>
    </row>
    <row r="377" spans="1:22" x14ac:dyDescent="0.2">
      <c r="A377" s="267" t="s">
        <v>145</v>
      </c>
      <c r="B377" s="267" t="s">
        <v>151</v>
      </c>
      <c r="C377" s="268">
        <v>6326</v>
      </c>
      <c r="D377" s="268">
        <v>5843</v>
      </c>
      <c r="E377" s="268">
        <v>12169</v>
      </c>
      <c r="F377" s="268">
        <v>130284866.733887</v>
      </c>
      <c r="G377" s="268">
        <v>144458115.85638702</v>
      </c>
      <c r="H377" s="268">
        <v>274742982.59027404</v>
      </c>
      <c r="I377" s="267" t="s">
        <v>633</v>
      </c>
      <c r="J377" s="267" t="s">
        <v>121</v>
      </c>
      <c r="K377" s="267">
        <v>479550</v>
      </c>
      <c r="L377" s="267" t="s">
        <v>100</v>
      </c>
      <c r="M377"/>
      <c r="N377"/>
      <c r="O377"/>
      <c r="P377"/>
      <c r="Q377" s="151"/>
      <c r="R377"/>
      <c r="S377"/>
      <c r="T377"/>
      <c r="U377"/>
      <c r="V377"/>
    </row>
    <row r="378" spans="1:22" x14ac:dyDescent="0.2">
      <c r="A378" s="267" t="s">
        <v>301</v>
      </c>
      <c r="B378" s="267" t="s">
        <v>341</v>
      </c>
      <c r="C378" s="268">
        <v>696</v>
      </c>
      <c r="D378" s="268">
        <v>599</v>
      </c>
      <c r="E378" s="268">
        <v>1295</v>
      </c>
      <c r="F378" s="268">
        <v>11082125.286611399</v>
      </c>
      <c r="G378" s="268">
        <v>11353472.541632801</v>
      </c>
      <c r="H378" s="268">
        <v>22435597.828244198</v>
      </c>
      <c r="I378" s="267" t="s">
        <v>633</v>
      </c>
      <c r="J378" s="267" t="s">
        <v>123</v>
      </c>
      <c r="K378" s="267">
        <v>480145</v>
      </c>
      <c r="L378" s="267" t="s">
        <v>58</v>
      </c>
      <c r="M378"/>
      <c r="N378"/>
      <c r="O378"/>
      <c r="P378"/>
      <c r="Q378" s="151"/>
      <c r="R378"/>
      <c r="S378"/>
      <c r="T378"/>
      <c r="U378"/>
      <c r="V378"/>
    </row>
    <row r="379" spans="1:22" x14ac:dyDescent="0.2">
      <c r="A379" s="267" t="s">
        <v>279</v>
      </c>
      <c r="B379" s="267" t="s">
        <v>564</v>
      </c>
      <c r="C379" s="268">
        <v>4082</v>
      </c>
      <c r="D379" s="268">
        <v>6531</v>
      </c>
      <c r="E379" s="268">
        <v>10613</v>
      </c>
      <c r="F379" s="268">
        <v>70037939.304611489</v>
      </c>
      <c r="G379" s="268">
        <v>138680608.898449</v>
      </c>
      <c r="H379" s="268">
        <v>208718548.20306101</v>
      </c>
      <c r="I379" s="267" t="s">
        <v>633</v>
      </c>
      <c r="J379" s="267" t="s">
        <v>121</v>
      </c>
      <c r="K379" s="267">
        <v>481911</v>
      </c>
      <c r="L379" s="267" t="s">
        <v>760</v>
      </c>
      <c r="M379"/>
      <c r="N379"/>
      <c r="O379"/>
      <c r="P379"/>
      <c r="Q379" s="151"/>
      <c r="R379"/>
      <c r="S379"/>
      <c r="T379"/>
      <c r="U379"/>
      <c r="V379"/>
    </row>
    <row r="380" spans="1:22" x14ac:dyDescent="0.2">
      <c r="A380" s="267" t="s">
        <v>145</v>
      </c>
      <c r="B380" s="267" t="s">
        <v>1022</v>
      </c>
      <c r="C380" s="268">
        <v>23</v>
      </c>
      <c r="D380" s="268">
        <v>46</v>
      </c>
      <c r="E380" s="268">
        <v>69</v>
      </c>
      <c r="F380" s="268">
        <v>1302803.0774401</v>
      </c>
      <c r="G380" s="268">
        <v>2717371.8549274299</v>
      </c>
      <c r="H380" s="268">
        <v>4020174.9323675297</v>
      </c>
      <c r="I380" s="267" t="s">
        <v>753</v>
      </c>
      <c r="J380" s="267" t="s">
        <v>121</v>
      </c>
      <c r="K380" s="267">
        <v>482919</v>
      </c>
      <c r="L380" s="267" t="s">
        <v>969</v>
      </c>
      <c r="M380"/>
      <c r="N380"/>
      <c r="O380"/>
      <c r="P380"/>
      <c r="Q380" s="151"/>
      <c r="R380"/>
      <c r="S380"/>
      <c r="T380"/>
      <c r="U380"/>
      <c r="V380"/>
    </row>
    <row r="381" spans="1:22" x14ac:dyDescent="0.2">
      <c r="A381" s="267" t="s">
        <v>546</v>
      </c>
      <c r="B381" s="267" t="s">
        <v>553</v>
      </c>
      <c r="C381" s="268">
        <v>810</v>
      </c>
      <c r="D381" s="268">
        <v>998</v>
      </c>
      <c r="E381" s="268">
        <v>1808</v>
      </c>
      <c r="F381" s="268">
        <v>21651679.186919101</v>
      </c>
      <c r="G381" s="268">
        <v>33336785.777535003</v>
      </c>
      <c r="H381" s="268">
        <v>54988464.9644541</v>
      </c>
      <c r="I381" s="267" t="s">
        <v>753</v>
      </c>
      <c r="J381" s="267" t="s">
        <v>122</v>
      </c>
      <c r="K381" s="267">
        <v>483099</v>
      </c>
      <c r="L381" s="267" t="s">
        <v>704</v>
      </c>
      <c r="M381"/>
      <c r="N381"/>
      <c r="O381"/>
      <c r="P381"/>
      <c r="Q381" s="151"/>
      <c r="R381"/>
      <c r="S381"/>
      <c r="T381"/>
      <c r="U381"/>
      <c r="V381"/>
    </row>
    <row r="382" spans="1:22" x14ac:dyDescent="0.2">
      <c r="A382" s="267" t="s">
        <v>626</v>
      </c>
      <c r="B382" s="267" t="s">
        <v>34</v>
      </c>
      <c r="C382" s="268">
        <v>564</v>
      </c>
      <c r="D382" s="268">
        <v>621</v>
      </c>
      <c r="E382" s="268">
        <v>1185</v>
      </c>
      <c r="F382" s="268">
        <v>9591439.1726642288</v>
      </c>
      <c r="G382" s="268">
        <v>14268169.9199971</v>
      </c>
      <c r="H382" s="268">
        <v>23859609.092661299</v>
      </c>
      <c r="I382" s="267" t="s">
        <v>633</v>
      </c>
      <c r="J382" s="267" t="s">
        <v>122</v>
      </c>
      <c r="K382" s="267">
        <v>483800</v>
      </c>
      <c r="L382" s="267" t="s">
        <v>434</v>
      </c>
      <c r="M382"/>
      <c r="N382"/>
      <c r="O382"/>
      <c r="P382"/>
      <c r="Q382" s="151"/>
      <c r="R382"/>
      <c r="S382"/>
      <c r="T382"/>
      <c r="U382"/>
      <c r="V382"/>
    </row>
    <row r="383" spans="1:22" x14ac:dyDescent="0.2">
      <c r="A383" s="267" t="s">
        <v>748</v>
      </c>
      <c r="B383" s="267" t="s">
        <v>40</v>
      </c>
      <c r="C383" s="268">
        <v>2594</v>
      </c>
      <c r="D383" s="268">
        <v>2422</v>
      </c>
      <c r="E383" s="268">
        <v>5016</v>
      </c>
      <c r="F383" s="268">
        <v>52885856.883161098</v>
      </c>
      <c r="G383" s="268">
        <v>60862262.713042401</v>
      </c>
      <c r="H383" s="268">
        <v>113748119.596204</v>
      </c>
      <c r="I383" s="267" t="s">
        <v>753</v>
      </c>
      <c r="J383" s="267" t="s">
        <v>121</v>
      </c>
      <c r="K383" s="267">
        <v>484923</v>
      </c>
      <c r="L383" s="267" t="s">
        <v>790</v>
      </c>
      <c r="M383"/>
      <c r="N383"/>
      <c r="O383"/>
      <c r="P383"/>
      <c r="Q383" s="151"/>
      <c r="R383"/>
      <c r="S383"/>
      <c r="T383"/>
      <c r="U383"/>
      <c r="V383"/>
    </row>
    <row r="384" spans="1:22" x14ac:dyDescent="0.2">
      <c r="A384" s="267" t="s">
        <v>748</v>
      </c>
      <c r="B384" s="267" t="s">
        <v>33</v>
      </c>
      <c r="C384" s="268">
        <v>1529</v>
      </c>
      <c r="D384" s="268">
        <v>1794</v>
      </c>
      <c r="E384" s="268">
        <v>3323</v>
      </c>
      <c r="F384" s="268">
        <v>35970908.547139294</v>
      </c>
      <c r="G384" s="268">
        <v>54032341.756431103</v>
      </c>
      <c r="H384" s="268">
        <v>90003250.3035703</v>
      </c>
      <c r="I384" s="267" t="s">
        <v>753</v>
      </c>
      <c r="J384" s="267" t="s">
        <v>121</v>
      </c>
      <c r="K384" s="267">
        <v>484980</v>
      </c>
      <c r="L384" s="267" t="s">
        <v>32</v>
      </c>
      <c r="M384"/>
      <c r="N384"/>
      <c r="O384"/>
      <c r="P384"/>
      <c r="Q384" s="151"/>
      <c r="R384"/>
      <c r="S384"/>
      <c r="T384"/>
      <c r="U384"/>
      <c r="V384"/>
    </row>
    <row r="385" spans="1:22" x14ac:dyDescent="0.2">
      <c r="A385" s="267" t="s">
        <v>208</v>
      </c>
      <c r="B385" s="267" t="s">
        <v>998</v>
      </c>
      <c r="C385" s="268">
        <v>3</v>
      </c>
      <c r="D385" s="268">
        <v>11</v>
      </c>
      <c r="E385" s="268">
        <v>14</v>
      </c>
      <c r="F385" s="268">
        <v>64473.808515823002</v>
      </c>
      <c r="G385" s="268">
        <v>189007.89237887601</v>
      </c>
      <c r="H385" s="268">
        <v>253481.700894699</v>
      </c>
      <c r="I385" s="267" t="s">
        <v>633</v>
      </c>
      <c r="J385" s="267" t="s">
        <v>121</v>
      </c>
      <c r="K385" s="267">
        <v>490235</v>
      </c>
      <c r="L385" s="267" t="s">
        <v>467</v>
      </c>
      <c r="M385"/>
      <c r="N385"/>
      <c r="O385"/>
      <c r="P385"/>
      <c r="Q385" s="151"/>
      <c r="R385"/>
      <c r="S385"/>
      <c r="T385"/>
      <c r="U385"/>
      <c r="V385"/>
    </row>
    <row r="386" spans="1:22" x14ac:dyDescent="0.2">
      <c r="A386" s="267" t="s">
        <v>671</v>
      </c>
      <c r="B386" s="267" t="s">
        <v>68</v>
      </c>
      <c r="C386" s="268">
        <v>2472</v>
      </c>
      <c r="D386" s="268">
        <v>2996</v>
      </c>
      <c r="E386" s="268">
        <v>5468</v>
      </c>
      <c r="F386" s="268">
        <v>52032597.496991895</v>
      </c>
      <c r="G386" s="268">
        <v>80578462.884204492</v>
      </c>
      <c r="H386" s="268">
        <v>132611060.38119601</v>
      </c>
      <c r="I386" s="267" t="s">
        <v>753</v>
      </c>
      <c r="J386" s="267" t="s">
        <v>121</v>
      </c>
      <c r="K386" s="267">
        <v>490292</v>
      </c>
      <c r="L386" s="267" t="s">
        <v>701</v>
      </c>
      <c r="M386"/>
      <c r="N386"/>
      <c r="O386"/>
      <c r="P386"/>
      <c r="Q386" s="151"/>
      <c r="R386"/>
      <c r="S386"/>
      <c r="T386"/>
      <c r="U386"/>
      <c r="V386"/>
    </row>
    <row r="387" spans="1:22" x14ac:dyDescent="0.2">
      <c r="A387" s="267" t="s">
        <v>44</v>
      </c>
      <c r="B387" s="267" t="s">
        <v>55</v>
      </c>
      <c r="C387" s="268">
        <v>18336</v>
      </c>
      <c r="D387" s="268">
        <v>19035</v>
      </c>
      <c r="E387" s="268">
        <v>37371</v>
      </c>
      <c r="F387" s="268">
        <v>304649739.28066999</v>
      </c>
      <c r="G387" s="268">
        <v>368440104.22751099</v>
      </c>
      <c r="H387" s="268">
        <v>673089843.50818098</v>
      </c>
      <c r="I387" s="267" t="s">
        <v>753</v>
      </c>
      <c r="J387" s="267" t="s">
        <v>121</v>
      </c>
      <c r="K387" s="267">
        <v>492306</v>
      </c>
      <c r="L387" s="267" t="s">
        <v>699</v>
      </c>
      <c r="M387"/>
      <c r="N387"/>
      <c r="O387"/>
      <c r="P387"/>
      <c r="Q387" s="151"/>
      <c r="R387"/>
      <c r="S387"/>
      <c r="T387"/>
      <c r="U387"/>
      <c r="V387"/>
    </row>
    <row r="388" spans="1:22" x14ac:dyDescent="0.2">
      <c r="A388" s="267" t="s">
        <v>611</v>
      </c>
      <c r="B388" s="267" t="s">
        <v>422</v>
      </c>
      <c r="C388" s="268">
        <v>2216</v>
      </c>
      <c r="D388" s="268">
        <v>2377</v>
      </c>
      <c r="E388" s="268">
        <v>4593</v>
      </c>
      <c r="F388" s="268">
        <v>72517342.282513902</v>
      </c>
      <c r="G388" s="268">
        <v>93650573.354708493</v>
      </c>
      <c r="H388" s="268">
        <v>166167915.63722199</v>
      </c>
      <c r="I388" s="267" t="s">
        <v>633</v>
      </c>
      <c r="J388" s="267" t="s">
        <v>122</v>
      </c>
      <c r="K388" s="267">
        <v>496497</v>
      </c>
      <c r="L388" s="267" t="s">
        <v>792</v>
      </c>
      <c r="M388"/>
      <c r="N388"/>
      <c r="O388"/>
      <c r="P388"/>
      <c r="Q388" s="151"/>
      <c r="R388"/>
      <c r="S388"/>
      <c r="T388"/>
      <c r="U388"/>
      <c r="V388"/>
    </row>
    <row r="389" spans="1:22" x14ac:dyDescent="0.2">
      <c r="A389" s="267" t="s">
        <v>473</v>
      </c>
      <c r="B389" s="267" t="s">
        <v>477</v>
      </c>
      <c r="C389" s="268">
        <v>44143</v>
      </c>
      <c r="D389" s="268">
        <v>32208</v>
      </c>
      <c r="E389" s="268">
        <v>76351</v>
      </c>
      <c r="F389" s="268">
        <v>1583807155.09254</v>
      </c>
      <c r="G389" s="268">
        <v>1384720282.0220702</v>
      </c>
      <c r="H389" s="268">
        <v>2968527437.1146002</v>
      </c>
      <c r="I389" s="267" t="s">
        <v>753</v>
      </c>
      <c r="J389" s="267" t="s">
        <v>125</v>
      </c>
      <c r="K389" s="267">
        <v>498972</v>
      </c>
      <c r="L389" s="267" t="s">
        <v>796</v>
      </c>
      <c r="M389"/>
      <c r="N389"/>
      <c r="O389"/>
      <c r="P389"/>
      <c r="Q389" s="151"/>
      <c r="R389"/>
      <c r="S389"/>
      <c r="T389"/>
      <c r="U389"/>
      <c r="V389"/>
    </row>
    <row r="390" spans="1:22" x14ac:dyDescent="0.2">
      <c r="A390" s="267" t="s">
        <v>301</v>
      </c>
      <c r="B390" s="267" t="s">
        <v>1030</v>
      </c>
      <c r="C390" s="268">
        <v>1573</v>
      </c>
      <c r="D390" s="268">
        <v>1381</v>
      </c>
      <c r="E390" s="268">
        <v>2954</v>
      </c>
      <c r="F390" s="268">
        <v>109767341.541803</v>
      </c>
      <c r="G390" s="268">
        <v>115237715.05342899</v>
      </c>
      <c r="H390" s="268">
        <v>225005056.595231</v>
      </c>
      <c r="I390" s="267" t="s">
        <v>753</v>
      </c>
      <c r="J390" s="267" t="s">
        <v>123</v>
      </c>
      <c r="K390" s="267">
        <v>499913</v>
      </c>
      <c r="L390" s="267" t="s">
        <v>905</v>
      </c>
      <c r="M390"/>
      <c r="N390"/>
      <c r="O390"/>
      <c r="P390"/>
      <c r="Q390" s="151"/>
      <c r="R390"/>
      <c r="S390"/>
      <c r="T390"/>
      <c r="U390"/>
      <c r="V390"/>
    </row>
    <row r="391" spans="1:22" x14ac:dyDescent="0.2">
      <c r="A391" s="267" t="s">
        <v>161</v>
      </c>
      <c r="B391" s="267" t="s">
        <v>176</v>
      </c>
      <c r="C391" s="268">
        <v>54825</v>
      </c>
      <c r="D391" s="268">
        <v>67196</v>
      </c>
      <c r="E391" s="268">
        <v>122021</v>
      </c>
      <c r="F391" s="268">
        <v>1181701062.64292</v>
      </c>
      <c r="G391" s="268">
        <v>1859100628.15291</v>
      </c>
      <c r="H391" s="268">
        <v>3040801690.7958202</v>
      </c>
      <c r="I391" s="267" t="s">
        <v>633</v>
      </c>
      <c r="J391" s="267" t="s">
        <v>121</v>
      </c>
      <c r="K391" s="267">
        <v>501981</v>
      </c>
      <c r="L391" s="267" t="s">
        <v>795</v>
      </c>
      <c r="M391"/>
      <c r="N391"/>
      <c r="O391"/>
      <c r="P391"/>
      <c r="Q391" s="151"/>
      <c r="R391"/>
      <c r="S391"/>
      <c r="T391"/>
      <c r="U391"/>
      <c r="V391"/>
    </row>
    <row r="392" spans="1:22" x14ac:dyDescent="0.2">
      <c r="A392" s="267" t="s">
        <v>344</v>
      </c>
      <c r="B392" s="267" t="s">
        <v>1111</v>
      </c>
      <c r="C392" s="268">
        <v>9664</v>
      </c>
      <c r="D392" s="268">
        <v>6952</v>
      </c>
      <c r="E392" s="268">
        <v>16616</v>
      </c>
      <c r="F392" s="268">
        <v>165135951.258625</v>
      </c>
      <c r="G392" s="268">
        <v>138370891.41917399</v>
      </c>
      <c r="H392" s="268">
        <v>303506842.67779899</v>
      </c>
      <c r="I392" s="267" t="s">
        <v>753</v>
      </c>
      <c r="J392" s="267" t="s">
        <v>125</v>
      </c>
      <c r="K392" s="267">
        <v>502633</v>
      </c>
      <c r="L392" s="267" t="s">
        <v>703</v>
      </c>
      <c r="M392"/>
      <c r="N392"/>
      <c r="O392"/>
      <c r="P392"/>
      <c r="Q392" s="151"/>
      <c r="R392"/>
      <c r="S392"/>
      <c r="T392"/>
      <c r="U392"/>
      <c r="V392"/>
    </row>
    <row r="393" spans="1:22" x14ac:dyDescent="0.2">
      <c r="A393" s="267" t="s">
        <v>145</v>
      </c>
      <c r="B393" s="267" t="s">
        <v>926</v>
      </c>
      <c r="C393" s="268">
        <v>1028</v>
      </c>
      <c r="D393" s="268">
        <v>1364</v>
      </c>
      <c r="E393" s="268">
        <v>2392</v>
      </c>
      <c r="F393" s="268">
        <v>15217133.882866001</v>
      </c>
      <c r="G393" s="268">
        <v>26116463.2884712</v>
      </c>
      <c r="H393" s="268">
        <v>41333597.171337299</v>
      </c>
      <c r="I393" s="267" t="s">
        <v>633</v>
      </c>
      <c r="J393" s="267" t="s">
        <v>121</v>
      </c>
      <c r="K393" s="267">
        <v>503573</v>
      </c>
      <c r="L393" s="267" t="s">
        <v>920</v>
      </c>
      <c r="M393"/>
      <c r="N393"/>
      <c r="O393"/>
      <c r="P393"/>
      <c r="Q393" s="151"/>
      <c r="R393"/>
      <c r="S393"/>
      <c r="T393"/>
      <c r="U393"/>
      <c r="V393"/>
    </row>
    <row r="394" spans="1:22" x14ac:dyDescent="0.2">
      <c r="A394" s="267" t="s">
        <v>131</v>
      </c>
      <c r="B394" s="267" t="s">
        <v>394</v>
      </c>
      <c r="C394" s="268">
        <v>9047</v>
      </c>
      <c r="D394" s="268">
        <v>14277</v>
      </c>
      <c r="E394" s="268">
        <v>23324</v>
      </c>
      <c r="F394" s="268">
        <v>185551081.40996999</v>
      </c>
      <c r="G394" s="268">
        <v>380772584.43126398</v>
      </c>
      <c r="H394" s="268">
        <v>566323665.84123492</v>
      </c>
      <c r="I394" s="267" t="s">
        <v>753</v>
      </c>
      <c r="J394" s="267" t="s">
        <v>121</v>
      </c>
      <c r="K394" s="267">
        <v>505586</v>
      </c>
      <c r="L394" s="267" t="s">
        <v>859</v>
      </c>
      <c r="M394"/>
      <c r="N394"/>
      <c r="O394"/>
      <c r="P394"/>
      <c r="Q394" s="151"/>
      <c r="R394"/>
      <c r="S394"/>
      <c r="T394"/>
      <c r="U394"/>
      <c r="V394"/>
    </row>
    <row r="395" spans="1:22" x14ac:dyDescent="0.2">
      <c r="A395" s="267" t="s">
        <v>226</v>
      </c>
      <c r="B395" s="267" t="s">
        <v>233</v>
      </c>
      <c r="C395" s="268">
        <v>2862</v>
      </c>
      <c r="D395" s="268">
        <v>3061</v>
      </c>
      <c r="E395" s="268">
        <v>5923</v>
      </c>
      <c r="F395" s="268">
        <v>28732215.310506102</v>
      </c>
      <c r="G395" s="268">
        <v>40052514.684861504</v>
      </c>
      <c r="H395" s="268">
        <v>68784729.995367602</v>
      </c>
      <c r="I395" s="267" t="s">
        <v>753</v>
      </c>
      <c r="J395" s="267" t="s">
        <v>121</v>
      </c>
      <c r="K395" s="267">
        <v>506881</v>
      </c>
      <c r="L395" s="267" t="s">
        <v>776</v>
      </c>
      <c r="M395"/>
      <c r="N395"/>
      <c r="O395"/>
      <c r="P395"/>
      <c r="Q395" s="151"/>
      <c r="R395"/>
      <c r="S395"/>
      <c r="T395"/>
      <c r="U395"/>
      <c r="V395"/>
    </row>
    <row r="396" spans="1:22" x14ac:dyDescent="0.2">
      <c r="A396" s="267" t="s">
        <v>626</v>
      </c>
      <c r="B396" s="267" t="s">
        <v>827</v>
      </c>
      <c r="C396" s="268">
        <v>34</v>
      </c>
      <c r="D396" s="268">
        <v>51</v>
      </c>
      <c r="E396" s="268">
        <v>85</v>
      </c>
      <c r="F396" s="268">
        <v>1047379.3677832501</v>
      </c>
      <c r="G396" s="268">
        <v>1214881.1225937</v>
      </c>
      <c r="H396" s="268">
        <v>2262260.4903769498</v>
      </c>
      <c r="I396" s="267" t="s">
        <v>633</v>
      </c>
      <c r="J396" s="267" t="s">
        <v>122</v>
      </c>
      <c r="K396" s="267">
        <v>507236</v>
      </c>
      <c r="L396" s="267" t="s">
        <v>828</v>
      </c>
      <c r="M396"/>
      <c r="N396"/>
      <c r="O396"/>
      <c r="P396"/>
      <c r="Q396" s="151"/>
      <c r="R396"/>
      <c r="S396"/>
      <c r="T396"/>
      <c r="U396"/>
      <c r="V396"/>
    </row>
    <row r="397" spans="1:22" x14ac:dyDescent="0.2">
      <c r="A397" s="267" t="s">
        <v>96</v>
      </c>
      <c r="B397" s="267" t="s">
        <v>101</v>
      </c>
      <c r="C397" s="268">
        <v>2667</v>
      </c>
      <c r="D397" s="268">
        <v>3436</v>
      </c>
      <c r="E397" s="268">
        <v>6103</v>
      </c>
      <c r="F397" s="268">
        <v>122881879.992515</v>
      </c>
      <c r="G397" s="268">
        <v>200152329.49299899</v>
      </c>
      <c r="H397" s="268">
        <v>323034209.48551399</v>
      </c>
      <c r="I397" s="267" t="s">
        <v>633</v>
      </c>
      <c r="J397" s="267" t="s">
        <v>121</v>
      </c>
      <c r="K397" s="267">
        <v>507475</v>
      </c>
      <c r="L397" s="267" t="s">
        <v>88</v>
      </c>
      <c r="M397"/>
      <c r="N397"/>
      <c r="O397"/>
      <c r="P397"/>
      <c r="Q397" s="151"/>
      <c r="R397"/>
      <c r="S397"/>
      <c r="T397"/>
      <c r="U397"/>
      <c r="V397"/>
    </row>
    <row r="398" spans="1:22" x14ac:dyDescent="0.2">
      <c r="A398" s="267" t="s">
        <v>102</v>
      </c>
      <c r="B398" s="267" t="s">
        <v>115</v>
      </c>
      <c r="C398" s="268">
        <v>16077</v>
      </c>
      <c r="D398" s="268">
        <v>20534</v>
      </c>
      <c r="E398" s="268">
        <v>36611</v>
      </c>
      <c r="F398" s="268">
        <v>256419703.97946399</v>
      </c>
      <c r="G398" s="268">
        <v>388671989.67011404</v>
      </c>
      <c r="H398" s="268">
        <v>645091693.64957798</v>
      </c>
      <c r="I398" s="267" t="s">
        <v>753</v>
      </c>
      <c r="J398" s="267" t="s">
        <v>121</v>
      </c>
      <c r="K398" s="267">
        <v>511139</v>
      </c>
      <c r="L398" s="267" t="s">
        <v>680</v>
      </c>
      <c r="M398"/>
      <c r="N398"/>
      <c r="O398"/>
      <c r="P398"/>
      <c r="Q398" s="151"/>
      <c r="R398"/>
      <c r="S398"/>
      <c r="T398"/>
      <c r="U398"/>
      <c r="V398"/>
    </row>
    <row r="399" spans="1:22" x14ac:dyDescent="0.2">
      <c r="A399" s="267" t="s">
        <v>626</v>
      </c>
      <c r="B399" s="267" t="s">
        <v>447</v>
      </c>
      <c r="C399" s="268">
        <v>110</v>
      </c>
      <c r="D399" s="268">
        <v>129</v>
      </c>
      <c r="E399" s="268">
        <v>239</v>
      </c>
      <c r="F399" s="268">
        <v>2855904.2045623902</v>
      </c>
      <c r="G399" s="268">
        <v>3695088.1248355699</v>
      </c>
      <c r="H399" s="268">
        <v>6550992.3293979596</v>
      </c>
      <c r="I399" s="267" t="s">
        <v>633</v>
      </c>
      <c r="J399" s="267" t="s">
        <v>122</v>
      </c>
      <c r="K399" s="267">
        <v>515148</v>
      </c>
      <c r="L399" s="267" t="s">
        <v>362</v>
      </c>
      <c r="M399"/>
      <c r="N399"/>
      <c r="O399"/>
      <c r="P399"/>
      <c r="Q399" s="151"/>
      <c r="R399"/>
      <c r="S399"/>
      <c r="T399"/>
      <c r="U399"/>
      <c r="V399"/>
    </row>
    <row r="400" spans="1:22" x14ac:dyDescent="0.2">
      <c r="A400" s="267" t="s">
        <v>239</v>
      </c>
      <c r="B400" s="267" t="s">
        <v>713</v>
      </c>
      <c r="C400" s="268">
        <v>36</v>
      </c>
      <c r="D400" s="268">
        <v>54</v>
      </c>
      <c r="E400" s="268">
        <v>90</v>
      </c>
      <c r="F400" s="268">
        <v>678502.45099706901</v>
      </c>
      <c r="G400" s="268">
        <v>1894342.98744451</v>
      </c>
      <c r="H400" s="268">
        <v>2572845.4384415802</v>
      </c>
      <c r="I400" s="267" t="s">
        <v>633</v>
      </c>
      <c r="J400" s="267" t="s">
        <v>121</v>
      </c>
      <c r="K400" s="267">
        <v>515262</v>
      </c>
      <c r="L400" s="267" t="s">
        <v>752</v>
      </c>
      <c r="M400"/>
      <c r="N400"/>
      <c r="O400"/>
      <c r="P400"/>
      <c r="Q400" s="151"/>
      <c r="R400"/>
      <c r="S400"/>
      <c r="T400"/>
      <c r="U400"/>
      <c r="V400"/>
    </row>
    <row r="401" spans="1:22" x14ac:dyDescent="0.2">
      <c r="A401" s="267" t="s">
        <v>96</v>
      </c>
      <c r="B401" s="267" t="s">
        <v>749</v>
      </c>
      <c r="C401" s="268">
        <v>271</v>
      </c>
      <c r="D401" s="268">
        <v>253</v>
      </c>
      <c r="E401" s="268">
        <v>524</v>
      </c>
      <c r="F401" s="268">
        <v>4173513.8069356498</v>
      </c>
      <c r="G401" s="268">
        <v>4642584.1799556799</v>
      </c>
      <c r="H401" s="268">
        <v>8816097.98689132</v>
      </c>
      <c r="I401" s="267" t="s">
        <v>633</v>
      </c>
      <c r="J401" s="267" t="s">
        <v>121</v>
      </c>
      <c r="K401" s="267">
        <v>515387</v>
      </c>
      <c r="L401" s="267" t="s">
        <v>100</v>
      </c>
      <c r="M401"/>
      <c r="N401"/>
      <c r="O401"/>
      <c r="P401"/>
      <c r="Q401" s="151"/>
      <c r="R401"/>
      <c r="S401"/>
      <c r="T401"/>
      <c r="U401"/>
      <c r="V401"/>
    </row>
    <row r="402" spans="1:22" x14ac:dyDescent="0.2">
      <c r="A402" s="267" t="s">
        <v>626</v>
      </c>
      <c r="B402" s="267" t="s">
        <v>630</v>
      </c>
      <c r="C402" s="268">
        <v>847</v>
      </c>
      <c r="D402" s="268">
        <v>773</v>
      </c>
      <c r="E402" s="268">
        <v>1620</v>
      </c>
      <c r="F402" s="268">
        <v>15829068.047899</v>
      </c>
      <c r="G402" s="268">
        <v>17028683.420291401</v>
      </c>
      <c r="H402" s="268">
        <v>32857751.468190402</v>
      </c>
      <c r="I402" s="267" t="s">
        <v>633</v>
      </c>
      <c r="J402" s="267" t="s">
        <v>122</v>
      </c>
      <c r="K402" s="267">
        <v>515973</v>
      </c>
      <c r="L402" s="267" t="s">
        <v>58</v>
      </c>
      <c r="M402"/>
      <c r="N402"/>
      <c r="O402"/>
      <c r="P402"/>
      <c r="Q402" s="151"/>
      <c r="R402"/>
      <c r="S402"/>
      <c r="T402"/>
      <c r="U402"/>
      <c r="V402"/>
    </row>
    <row r="403" spans="1:22" x14ac:dyDescent="0.2">
      <c r="A403" s="267" t="s">
        <v>368</v>
      </c>
      <c r="B403" s="267" t="s">
        <v>1082</v>
      </c>
      <c r="C403" s="268">
        <v>2</v>
      </c>
      <c r="D403" s="268">
        <v>6</v>
      </c>
      <c r="E403" s="268">
        <v>8</v>
      </c>
      <c r="F403" s="268">
        <v>32933.6087678646</v>
      </c>
      <c r="G403" s="268">
        <v>158605.73946844399</v>
      </c>
      <c r="H403" s="268">
        <v>191539.34823630899</v>
      </c>
      <c r="I403" s="267" t="s">
        <v>633</v>
      </c>
      <c r="J403" s="267" t="s">
        <v>121</v>
      </c>
      <c r="K403" s="267">
        <v>516914</v>
      </c>
      <c r="L403" s="267" t="s">
        <v>580</v>
      </c>
      <c r="M403"/>
      <c r="N403"/>
      <c r="O403"/>
      <c r="P403"/>
      <c r="Q403" s="151"/>
      <c r="R403"/>
      <c r="S403"/>
      <c r="T403"/>
      <c r="U403"/>
      <c r="V403"/>
    </row>
    <row r="404" spans="1:22" x14ac:dyDescent="0.2">
      <c r="A404" s="267" t="s">
        <v>279</v>
      </c>
      <c r="B404" s="267" t="s">
        <v>565</v>
      </c>
      <c r="C404" s="268">
        <v>1645</v>
      </c>
      <c r="D404" s="268">
        <v>2503</v>
      </c>
      <c r="E404" s="268">
        <v>4148</v>
      </c>
      <c r="F404" s="268">
        <v>23984027.361444499</v>
      </c>
      <c r="G404" s="268">
        <v>48295349.995937705</v>
      </c>
      <c r="H404" s="268">
        <v>72279377.357382208</v>
      </c>
      <c r="I404" s="267" t="s">
        <v>633</v>
      </c>
      <c r="J404" s="267" t="s">
        <v>121</v>
      </c>
      <c r="K404" s="267">
        <v>517748</v>
      </c>
      <c r="L404" s="267" t="s">
        <v>760</v>
      </c>
      <c r="M404"/>
      <c r="N404"/>
      <c r="O404"/>
      <c r="P404"/>
      <c r="Q404" s="151"/>
      <c r="R404"/>
      <c r="S404"/>
      <c r="T404"/>
      <c r="U404"/>
      <c r="V404"/>
    </row>
    <row r="405" spans="1:22" x14ac:dyDescent="0.2">
      <c r="A405" s="267" t="s">
        <v>102</v>
      </c>
      <c r="B405" s="267" t="s">
        <v>823</v>
      </c>
      <c r="C405" s="268">
        <v>1922</v>
      </c>
      <c r="D405" s="268">
        <v>2901</v>
      </c>
      <c r="E405" s="268">
        <v>4823</v>
      </c>
      <c r="F405" s="268">
        <v>45858428.950732604</v>
      </c>
      <c r="G405" s="268">
        <v>87730063.813230202</v>
      </c>
      <c r="H405" s="268">
        <v>133588492.763963</v>
      </c>
      <c r="I405" s="267" t="s">
        <v>753</v>
      </c>
      <c r="J405" s="267" t="s">
        <v>121</v>
      </c>
      <c r="K405" s="267">
        <v>520692</v>
      </c>
      <c r="L405" s="267" t="s">
        <v>809</v>
      </c>
      <c r="M405"/>
      <c r="N405"/>
      <c r="O405"/>
      <c r="P405"/>
      <c r="Q405" s="151"/>
      <c r="R405"/>
      <c r="S405"/>
      <c r="T405"/>
      <c r="U405"/>
      <c r="V405"/>
    </row>
    <row r="406" spans="1:22" x14ac:dyDescent="0.2">
      <c r="A406" s="267" t="s">
        <v>145</v>
      </c>
      <c r="B406" s="267" t="s">
        <v>385</v>
      </c>
      <c r="C406" s="268">
        <v>2122</v>
      </c>
      <c r="D406" s="268">
        <v>1425</v>
      </c>
      <c r="E406" s="268">
        <v>3547</v>
      </c>
      <c r="F406" s="268">
        <v>34798205.675141595</v>
      </c>
      <c r="G406" s="268">
        <v>28656788.488687903</v>
      </c>
      <c r="H406" s="268">
        <v>63454994.163829505</v>
      </c>
      <c r="I406" s="267" t="s">
        <v>753</v>
      </c>
      <c r="J406" s="267" t="s">
        <v>121</v>
      </c>
      <c r="K406" s="267">
        <v>520759</v>
      </c>
      <c r="L406" s="267" t="s">
        <v>790</v>
      </c>
      <c r="M406"/>
      <c r="N406"/>
      <c r="O406"/>
      <c r="P406"/>
      <c r="Q406" s="151"/>
      <c r="R406"/>
      <c r="S406"/>
      <c r="T406"/>
      <c r="U406"/>
      <c r="V406"/>
    </row>
    <row r="407" spans="1:22" x14ac:dyDescent="0.2">
      <c r="A407" s="267" t="s">
        <v>145</v>
      </c>
      <c r="B407" s="267" t="s">
        <v>149</v>
      </c>
      <c r="C407" s="268">
        <v>1293</v>
      </c>
      <c r="D407" s="268">
        <v>955</v>
      </c>
      <c r="E407" s="268">
        <v>2248</v>
      </c>
      <c r="F407" s="268">
        <v>20864283.339979399</v>
      </c>
      <c r="G407" s="268">
        <v>20076341.2762243</v>
      </c>
      <c r="H407" s="268">
        <v>40940624.616203696</v>
      </c>
      <c r="I407" s="267" t="s">
        <v>753</v>
      </c>
      <c r="J407" s="267" t="s">
        <v>121</v>
      </c>
      <c r="K407" s="267">
        <v>522581</v>
      </c>
      <c r="L407" s="267" t="s">
        <v>699</v>
      </c>
      <c r="M407"/>
      <c r="N407"/>
      <c r="O407"/>
      <c r="P407"/>
      <c r="Q407" s="151"/>
      <c r="R407"/>
      <c r="S407"/>
      <c r="T407"/>
      <c r="U407"/>
      <c r="V407"/>
    </row>
    <row r="408" spans="1:22" x14ac:dyDescent="0.2">
      <c r="A408" s="267" t="s">
        <v>145</v>
      </c>
      <c r="B408" s="267" t="s">
        <v>736</v>
      </c>
      <c r="C408" s="268">
        <v>10</v>
      </c>
      <c r="D408" s="268">
        <v>17</v>
      </c>
      <c r="E408" s="268">
        <v>27</v>
      </c>
      <c r="F408" s="268">
        <v>196100.666483801</v>
      </c>
      <c r="G408" s="268">
        <v>433293.04673898104</v>
      </c>
      <c r="H408" s="268">
        <v>629393.71322278096</v>
      </c>
      <c r="I408" s="267" t="s">
        <v>633</v>
      </c>
      <c r="J408" s="267" t="s">
        <v>121</v>
      </c>
      <c r="K408" s="267">
        <v>523050</v>
      </c>
      <c r="L408" s="267" t="s">
        <v>126</v>
      </c>
      <c r="M408"/>
      <c r="N408"/>
      <c r="O408"/>
      <c r="P408"/>
      <c r="Q408" s="151"/>
      <c r="R408"/>
      <c r="S408"/>
      <c r="T408"/>
      <c r="U408"/>
      <c r="V408"/>
    </row>
    <row r="409" spans="1:22" x14ac:dyDescent="0.2">
      <c r="A409" s="267" t="s">
        <v>724</v>
      </c>
      <c r="B409" s="267" t="s">
        <v>603</v>
      </c>
      <c r="C409" s="268">
        <v>33</v>
      </c>
      <c r="D409" s="268">
        <v>47</v>
      </c>
      <c r="E409" s="268">
        <v>80</v>
      </c>
      <c r="F409" s="268">
        <v>910978.27825503994</v>
      </c>
      <c r="G409" s="268">
        <v>1343344.2668946399</v>
      </c>
      <c r="H409" s="268">
        <v>2254322.5451496802</v>
      </c>
      <c r="I409" s="267" t="s">
        <v>753</v>
      </c>
      <c r="J409" s="267" t="s">
        <v>121</v>
      </c>
      <c r="K409" s="267">
        <v>524231</v>
      </c>
      <c r="L409" s="267" t="s">
        <v>1128</v>
      </c>
      <c r="M409"/>
      <c r="N409"/>
      <c r="O409"/>
      <c r="P409"/>
      <c r="Q409" s="151"/>
      <c r="R409"/>
      <c r="S409"/>
      <c r="T409"/>
      <c r="U409"/>
      <c r="V409"/>
    </row>
    <row r="410" spans="1:22" x14ac:dyDescent="0.2">
      <c r="A410" s="267" t="s">
        <v>671</v>
      </c>
      <c r="B410" s="267" t="s">
        <v>1051</v>
      </c>
      <c r="C410" s="268">
        <v>8759</v>
      </c>
      <c r="D410" s="268">
        <v>11847</v>
      </c>
      <c r="E410" s="268">
        <v>20606</v>
      </c>
      <c r="F410" s="268">
        <v>150319791.82726201</v>
      </c>
      <c r="G410" s="268">
        <v>239450653.263886</v>
      </c>
      <c r="H410" s="268">
        <v>389770445.09114903</v>
      </c>
      <c r="I410" s="267" t="s">
        <v>633</v>
      </c>
      <c r="J410" s="267" t="s">
        <v>121</v>
      </c>
      <c r="K410" s="267">
        <v>524470</v>
      </c>
      <c r="L410" s="267" t="s">
        <v>1025</v>
      </c>
      <c r="M410"/>
      <c r="N410"/>
      <c r="O410"/>
      <c r="P410"/>
      <c r="Q410" s="151"/>
      <c r="R410"/>
      <c r="S410"/>
      <c r="T410"/>
      <c r="U410"/>
      <c r="V410"/>
    </row>
    <row r="411" spans="1:22" x14ac:dyDescent="0.2">
      <c r="A411" s="267" t="s">
        <v>145</v>
      </c>
      <c r="B411" s="267" t="s">
        <v>147</v>
      </c>
      <c r="C411" s="268">
        <v>32</v>
      </c>
      <c r="D411" s="268">
        <v>26</v>
      </c>
      <c r="E411" s="268">
        <v>58</v>
      </c>
      <c r="F411" s="268">
        <v>381701.76818452502</v>
      </c>
      <c r="G411" s="268">
        <v>342516.28289733105</v>
      </c>
      <c r="H411" s="268">
        <v>724218.05108185613</v>
      </c>
      <c r="I411" s="267" t="s">
        <v>633</v>
      </c>
      <c r="J411" s="267" t="s">
        <v>121</v>
      </c>
      <c r="K411" s="267">
        <v>526897</v>
      </c>
      <c r="L411" s="267" t="s">
        <v>126</v>
      </c>
      <c r="M411"/>
      <c r="N411"/>
      <c r="O411"/>
      <c r="P411"/>
      <c r="Q411" s="151"/>
      <c r="R411"/>
      <c r="S411"/>
      <c r="T411"/>
      <c r="U411"/>
      <c r="V411"/>
    </row>
    <row r="412" spans="1:22" x14ac:dyDescent="0.2">
      <c r="A412" s="267" t="s">
        <v>671</v>
      </c>
      <c r="B412" s="267" t="s">
        <v>700</v>
      </c>
      <c r="C412" s="268">
        <v>16490</v>
      </c>
      <c r="D412" s="268">
        <v>17626</v>
      </c>
      <c r="E412" s="268">
        <v>34116</v>
      </c>
      <c r="F412" s="268">
        <v>440106255.18373102</v>
      </c>
      <c r="G412" s="268">
        <v>575041443.43850994</v>
      </c>
      <c r="H412" s="268">
        <v>1015147698.6222401</v>
      </c>
      <c r="I412" s="267" t="s">
        <v>753</v>
      </c>
      <c r="J412" s="267" t="s">
        <v>121</v>
      </c>
      <c r="K412" s="267">
        <v>528133</v>
      </c>
      <c r="L412" s="267" t="s">
        <v>699</v>
      </c>
      <c r="M412"/>
      <c r="N412"/>
      <c r="O412"/>
      <c r="P412"/>
      <c r="Q412" s="151"/>
      <c r="R412"/>
      <c r="S412"/>
      <c r="T412"/>
      <c r="U412"/>
      <c r="V412"/>
    </row>
    <row r="413" spans="1:22" x14ac:dyDescent="0.2">
      <c r="A413" s="267" t="s">
        <v>145</v>
      </c>
      <c r="B413" s="267" t="s">
        <v>716</v>
      </c>
      <c r="C413" s="268">
        <v>1034</v>
      </c>
      <c r="D413" s="268">
        <v>1123</v>
      </c>
      <c r="E413" s="268">
        <v>2157</v>
      </c>
      <c r="F413" s="268">
        <v>16472527.7313776</v>
      </c>
      <c r="G413" s="268">
        <v>21816751.222409997</v>
      </c>
      <c r="H413" s="268">
        <v>38289278.953787595</v>
      </c>
      <c r="I413" s="267" t="s">
        <v>633</v>
      </c>
      <c r="J413" s="267" t="s">
        <v>121</v>
      </c>
      <c r="K413" s="267">
        <v>532325</v>
      </c>
      <c r="L413" s="267" t="s">
        <v>800</v>
      </c>
      <c r="M413"/>
      <c r="N413"/>
      <c r="O413"/>
      <c r="P413"/>
      <c r="Q413" s="151"/>
      <c r="R413"/>
      <c r="S413"/>
      <c r="T413"/>
      <c r="U413"/>
      <c r="V413"/>
    </row>
    <row r="414" spans="1:22" x14ac:dyDescent="0.2">
      <c r="A414" s="267" t="s">
        <v>161</v>
      </c>
      <c r="B414" s="267" t="s">
        <v>1102</v>
      </c>
      <c r="C414" s="268">
        <v>0</v>
      </c>
      <c r="D414" s="268">
        <v>1</v>
      </c>
      <c r="E414" s="268">
        <v>1</v>
      </c>
      <c r="F414" s="268">
        <v>0</v>
      </c>
      <c r="G414" s="268">
        <v>8363.8250166351991</v>
      </c>
      <c r="H414" s="268">
        <v>8363.8250166351991</v>
      </c>
      <c r="I414" s="267" t="s">
        <v>633</v>
      </c>
      <c r="J414" s="267" t="s">
        <v>121</v>
      </c>
      <c r="K414" s="267">
        <v>533919</v>
      </c>
      <c r="L414" s="267" t="s">
        <v>15</v>
      </c>
      <c r="M414"/>
      <c r="N414"/>
      <c r="O414"/>
      <c r="P414"/>
      <c r="Q414" s="151"/>
      <c r="R414"/>
      <c r="S414"/>
      <c r="T414"/>
      <c r="U414"/>
      <c r="V414"/>
    </row>
    <row r="415" spans="1:22" x14ac:dyDescent="0.2">
      <c r="A415" s="267" t="s">
        <v>161</v>
      </c>
      <c r="B415" s="267" t="s">
        <v>794</v>
      </c>
      <c r="C415" s="268">
        <v>2161</v>
      </c>
      <c r="D415" s="268">
        <v>3866</v>
      </c>
      <c r="E415" s="268">
        <v>6027</v>
      </c>
      <c r="F415" s="268">
        <v>37396068.164093301</v>
      </c>
      <c r="G415" s="268">
        <v>94395445.129020393</v>
      </c>
      <c r="H415" s="268">
        <v>131791513.29311399</v>
      </c>
      <c r="I415" s="267" t="s">
        <v>753</v>
      </c>
      <c r="J415" s="267" t="s">
        <v>121</v>
      </c>
      <c r="K415" s="267">
        <v>534099</v>
      </c>
      <c r="L415" s="267" t="s">
        <v>32</v>
      </c>
      <c r="M415"/>
      <c r="N415"/>
      <c r="O415"/>
      <c r="P415"/>
      <c r="Q415" s="151"/>
      <c r="R415"/>
      <c r="S415"/>
      <c r="T415"/>
      <c r="U415"/>
      <c r="V415"/>
    </row>
    <row r="416" spans="1:22" x14ac:dyDescent="0.2">
      <c r="A416" s="267" t="s">
        <v>208</v>
      </c>
      <c r="B416" s="267" t="s">
        <v>816</v>
      </c>
      <c r="C416" s="268">
        <v>3948</v>
      </c>
      <c r="D416" s="268">
        <v>4926</v>
      </c>
      <c r="E416" s="268">
        <v>8874</v>
      </c>
      <c r="F416" s="268">
        <v>54948287.912399001</v>
      </c>
      <c r="G416" s="268">
        <v>82592928.955200002</v>
      </c>
      <c r="H416" s="268">
        <v>137541216.86759901</v>
      </c>
      <c r="I416" s="267" t="s">
        <v>753</v>
      </c>
      <c r="J416" s="267" t="s">
        <v>121</v>
      </c>
      <c r="K416" s="267">
        <v>534156</v>
      </c>
      <c r="L416" s="267" t="s">
        <v>1128</v>
      </c>
      <c r="M416"/>
      <c r="N416"/>
      <c r="O416"/>
      <c r="P416"/>
      <c r="Q416" s="151"/>
      <c r="R416"/>
      <c r="S416"/>
      <c r="T416"/>
      <c r="U416"/>
      <c r="V416"/>
    </row>
    <row r="417" spans="1:22" x14ac:dyDescent="0.2">
      <c r="A417" s="267" t="s">
        <v>546</v>
      </c>
      <c r="B417" s="267" t="s">
        <v>552</v>
      </c>
      <c r="C417" s="268">
        <v>10443</v>
      </c>
      <c r="D417" s="268">
        <v>8572</v>
      </c>
      <c r="E417" s="268">
        <v>19015</v>
      </c>
      <c r="F417" s="268">
        <v>284176425.17984998</v>
      </c>
      <c r="G417" s="268">
        <v>297283292.21522999</v>
      </c>
      <c r="H417" s="268">
        <v>581459717.39507997</v>
      </c>
      <c r="I417" s="267" t="s">
        <v>753</v>
      </c>
      <c r="J417" s="267" t="s">
        <v>122</v>
      </c>
      <c r="K417" s="267">
        <v>534800</v>
      </c>
      <c r="L417" s="267" t="s">
        <v>796</v>
      </c>
      <c r="M417"/>
      <c r="N417"/>
      <c r="O417"/>
      <c r="P417"/>
      <c r="Q417" s="151"/>
      <c r="R417"/>
      <c r="S417"/>
      <c r="T417"/>
      <c r="U417"/>
      <c r="V417"/>
    </row>
    <row r="418" spans="1:22" x14ac:dyDescent="0.2">
      <c r="A418" s="267" t="s">
        <v>626</v>
      </c>
      <c r="B418" s="267" t="s">
        <v>332</v>
      </c>
      <c r="C418" s="268">
        <v>2210</v>
      </c>
      <c r="D418" s="268">
        <v>3027</v>
      </c>
      <c r="E418" s="268">
        <v>5237</v>
      </c>
      <c r="F418" s="268">
        <v>77834724.352761</v>
      </c>
      <c r="G418" s="268">
        <v>130685018.387062</v>
      </c>
      <c r="H418" s="268">
        <v>208519742.73982301</v>
      </c>
      <c r="I418" s="267" t="s">
        <v>633</v>
      </c>
      <c r="J418" s="267" t="s">
        <v>122</v>
      </c>
      <c r="K418" s="267">
        <v>537639</v>
      </c>
      <c r="L418" s="267" t="s">
        <v>859</v>
      </c>
      <c r="M418"/>
      <c r="N418"/>
      <c r="O418"/>
      <c r="P418"/>
      <c r="Q418" s="151"/>
      <c r="R418"/>
      <c r="S418"/>
      <c r="T418"/>
      <c r="U418"/>
      <c r="V418"/>
    </row>
    <row r="419" spans="1:22" x14ac:dyDescent="0.2">
      <c r="A419" s="267" t="s">
        <v>473</v>
      </c>
      <c r="B419" s="267" t="s">
        <v>791</v>
      </c>
      <c r="C419" s="268">
        <v>202</v>
      </c>
      <c r="D419" s="268">
        <v>207</v>
      </c>
      <c r="E419" s="268">
        <v>409</v>
      </c>
      <c r="F419" s="268">
        <v>4247726.4044134598</v>
      </c>
      <c r="G419" s="268">
        <v>4827591.0571905198</v>
      </c>
      <c r="H419" s="268">
        <v>9075317.4616039805</v>
      </c>
      <c r="I419" s="267" t="s">
        <v>633</v>
      </c>
      <c r="J419" s="267" t="s">
        <v>125</v>
      </c>
      <c r="K419" s="267">
        <v>537696</v>
      </c>
      <c r="L419" s="267" t="s">
        <v>792</v>
      </c>
      <c r="M419"/>
      <c r="N419"/>
      <c r="O419"/>
      <c r="P419"/>
      <c r="Q419" s="151"/>
      <c r="R419"/>
      <c r="S419"/>
      <c r="T419"/>
      <c r="U419"/>
      <c r="V419"/>
    </row>
    <row r="420" spans="1:22" x14ac:dyDescent="0.2">
      <c r="A420" s="267" t="s">
        <v>86</v>
      </c>
      <c r="B420" s="267" t="s">
        <v>817</v>
      </c>
      <c r="C420" s="268">
        <v>20453</v>
      </c>
      <c r="D420" s="268">
        <v>25259</v>
      </c>
      <c r="E420" s="268">
        <v>45712</v>
      </c>
      <c r="F420" s="268">
        <v>361960796.20441699</v>
      </c>
      <c r="G420" s="268">
        <v>562866779.752877</v>
      </c>
      <c r="H420" s="268">
        <v>924827575.95729303</v>
      </c>
      <c r="I420" s="267" t="s">
        <v>753</v>
      </c>
      <c r="J420" s="267" t="s">
        <v>121</v>
      </c>
      <c r="K420" s="267">
        <v>538462</v>
      </c>
      <c r="L420" s="267" t="s">
        <v>809</v>
      </c>
      <c r="M420"/>
      <c r="N420"/>
      <c r="O420"/>
      <c r="P420"/>
      <c r="Q420" s="151"/>
      <c r="R420"/>
      <c r="S420"/>
      <c r="T420"/>
      <c r="U420"/>
      <c r="V420"/>
    </row>
    <row r="421" spans="1:22" x14ac:dyDescent="0.2">
      <c r="A421" s="267" t="s">
        <v>301</v>
      </c>
      <c r="B421" s="267" t="s">
        <v>874</v>
      </c>
      <c r="C421" s="268">
        <v>1348</v>
      </c>
      <c r="D421" s="268">
        <v>1403</v>
      </c>
      <c r="E421" s="268">
        <v>2751</v>
      </c>
      <c r="F421" s="268">
        <v>112177597.07538401</v>
      </c>
      <c r="G421" s="268">
        <v>139422868.86539701</v>
      </c>
      <c r="H421" s="268">
        <v>251600465.940781</v>
      </c>
      <c r="I421" s="267" t="s">
        <v>633</v>
      </c>
      <c r="J421" s="267" t="s">
        <v>123</v>
      </c>
      <c r="K421" s="267">
        <v>539460</v>
      </c>
      <c r="L421" s="267" t="s">
        <v>875</v>
      </c>
      <c r="M421"/>
      <c r="N421"/>
      <c r="O421"/>
      <c r="P421"/>
      <c r="Q421" s="151"/>
      <c r="R421"/>
      <c r="S421"/>
      <c r="T421"/>
      <c r="U421"/>
      <c r="V421"/>
    </row>
    <row r="422" spans="1:22" x14ac:dyDescent="0.2">
      <c r="A422" s="267" t="s">
        <v>208</v>
      </c>
      <c r="B422" s="267" t="s">
        <v>691</v>
      </c>
      <c r="C422" s="268">
        <v>798</v>
      </c>
      <c r="D422" s="268">
        <v>1062</v>
      </c>
      <c r="E422" s="268">
        <v>1860</v>
      </c>
      <c r="F422" s="268">
        <v>11860809.691751499</v>
      </c>
      <c r="G422" s="268">
        <v>19936551.789793801</v>
      </c>
      <c r="H422" s="268">
        <v>31797361.481545299</v>
      </c>
      <c r="I422" s="267" t="s">
        <v>633</v>
      </c>
      <c r="J422" s="267" t="s">
        <v>121</v>
      </c>
      <c r="K422" s="267">
        <v>539585</v>
      </c>
      <c r="L422" s="267" t="s">
        <v>690</v>
      </c>
      <c r="M422"/>
      <c r="N422"/>
      <c r="O422"/>
      <c r="P422"/>
      <c r="Q422" s="151"/>
      <c r="R422"/>
      <c r="S422"/>
      <c r="T422"/>
      <c r="U422"/>
      <c r="V422"/>
    </row>
    <row r="423" spans="1:22" x14ac:dyDescent="0.2">
      <c r="A423" s="267" t="s">
        <v>145</v>
      </c>
      <c r="B423" s="267" t="s">
        <v>416</v>
      </c>
      <c r="C423" s="268">
        <v>347</v>
      </c>
      <c r="D423" s="268">
        <v>514</v>
      </c>
      <c r="E423" s="268">
        <v>861</v>
      </c>
      <c r="F423" s="268">
        <v>8318138.4531566501</v>
      </c>
      <c r="G423" s="268">
        <v>15046680.182964901</v>
      </c>
      <c r="H423" s="268">
        <v>23364818.6361215</v>
      </c>
      <c r="I423" s="267" t="s">
        <v>753</v>
      </c>
      <c r="J423" s="267" t="s">
        <v>121</v>
      </c>
      <c r="K423" s="267">
        <v>541235</v>
      </c>
      <c r="L423" s="267" t="s">
        <v>682</v>
      </c>
      <c r="M423"/>
      <c r="N423"/>
      <c r="O423"/>
      <c r="P423"/>
      <c r="Q423" s="151"/>
      <c r="R423"/>
      <c r="S423"/>
      <c r="T423"/>
      <c r="U423"/>
      <c r="V423"/>
    </row>
    <row r="424" spans="1:22" x14ac:dyDescent="0.2">
      <c r="A424" s="267" t="s">
        <v>161</v>
      </c>
      <c r="B424" s="267" t="s">
        <v>868</v>
      </c>
      <c r="C424" s="268">
        <v>51</v>
      </c>
      <c r="D424" s="268">
        <v>132</v>
      </c>
      <c r="E424" s="268">
        <v>183</v>
      </c>
      <c r="F424" s="268">
        <v>933634.20670717105</v>
      </c>
      <c r="G424" s="268">
        <v>3343868.4651941597</v>
      </c>
      <c r="H424" s="268">
        <v>4277502.6719013304</v>
      </c>
      <c r="I424" s="267" t="s">
        <v>633</v>
      </c>
      <c r="J424" s="267" t="s">
        <v>121</v>
      </c>
      <c r="K424" s="267">
        <v>541292</v>
      </c>
      <c r="L424" s="267" t="s">
        <v>869</v>
      </c>
      <c r="M424"/>
      <c r="N424"/>
      <c r="O424"/>
      <c r="P424"/>
      <c r="Q424" s="151"/>
      <c r="R424"/>
      <c r="S424"/>
      <c r="T424"/>
      <c r="U424"/>
      <c r="V424"/>
    </row>
    <row r="425" spans="1:22" x14ac:dyDescent="0.2">
      <c r="A425" s="267" t="s">
        <v>293</v>
      </c>
      <c r="B425" s="267" t="s">
        <v>298</v>
      </c>
      <c r="C425" s="268">
        <v>16766</v>
      </c>
      <c r="D425" s="268">
        <v>13594</v>
      </c>
      <c r="E425" s="268">
        <v>30360</v>
      </c>
      <c r="F425" s="268">
        <v>381624514.49903703</v>
      </c>
      <c r="G425" s="268">
        <v>362804923.35553002</v>
      </c>
      <c r="H425" s="268">
        <v>744429437.85456693</v>
      </c>
      <c r="I425" s="267" t="s">
        <v>753</v>
      </c>
      <c r="J425" s="267" t="s">
        <v>123</v>
      </c>
      <c r="K425" s="267">
        <v>542712</v>
      </c>
      <c r="L425" s="267" t="s">
        <v>776</v>
      </c>
      <c r="M425"/>
      <c r="N425"/>
      <c r="O425"/>
      <c r="P425"/>
      <c r="Q425" s="151"/>
      <c r="R425"/>
      <c r="S425"/>
      <c r="T425"/>
      <c r="U425"/>
      <c r="V425"/>
    </row>
    <row r="426" spans="1:22" x14ac:dyDescent="0.2">
      <c r="A426" s="267" t="s">
        <v>279</v>
      </c>
      <c r="B426" s="267" t="s">
        <v>280</v>
      </c>
      <c r="C426" s="268">
        <v>504</v>
      </c>
      <c r="D426" s="268">
        <v>582</v>
      </c>
      <c r="E426" s="268">
        <v>1086</v>
      </c>
      <c r="F426" s="268">
        <v>5913659.6597700398</v>
      </c>
      <c r="G426" s="268">
        <v>8126069.30040925</v>
      </c>
      <c r="H426" s="268">
        <v>14039728.960179301</v>
      </c>
      <c r="I426" s="267" t="s">
        <v>633</v>
      </c>
      <c r="J426" s="267" t="s">
        <v>121</v>
      </c>
      <c r="K426" s="267">
        <v>543306</v>
      </c>
      <c r="L426" s="267" t="s">
        <v>88</v>
      </c>
      <c r="M426"/>
      <c r="N426"/>
      <c r="O426"/>
      <c r="P426"/>
      <c r="Q426" s="151"/>
      <c r="R426"/>
      <c r="S426"/>
      <c r="T426"/>
      <c r="U426"/>
      <c r="V426"/>
    </row>
    <row r="427" spans="1:22" x14ac:dyDescent="0.2">
      <c r="A427" s="267" t="s">
        <v>615</v>
      </c>
      <c r="B427" s="267" t="s">
        <v>757</v>
      </c>
      <c r="C427" s="268">
        <v>50</v>
      </c>
      <c r="D427" s="268">
        <v>83</v>
      </c>
      <c r="E427" s="268">
        <v>133</v>
      </c>
      <c r="F427" s="268">
        <v>1015260.77839143</v>
      </c>
      <c r="G427" s="268">
        <v>1937280.5441670399</v>
      </c>
      <c r="H427" s="268">
        <v>2952541.3225584696</v>
      </c>
      <c r="I427" s="267" t="s">
        <v>633</v>
      </c>
      <c r="J427" s="267" t="s">
        <v>122</v>
      </c>
      <c r="K427" s="267">
        <v>543892</v>
      </c>
      <c r="L427" s="267" t="s">
        <v>756</v>
      </c>
      <c r="M427"/>
      <c r="N427"/>
      <c r="O427"/>
      <c r="P427"/>
      <c r="Q427" s="151"/>
      <c r="R427"/>
      <c r="S427"/>
      <c r="T427"/>
      <c r="U427"/>
      <c r="V427"/>
    </row>
    <row r="428" spans="1:22" x14ac:dyDescent="0.2">
      <c r="A428" s="267" t="s">
        <v>546</v>
      </c>
      <c r="B428" s="267" t="s">
        <v>731</v>
      </c>
      <c r="C428" s="268">
        <v>773</v>
      </c>
      <c r="D428" s="268">
        <v>1121</v>
      </c>
      <c r="E428" s="268">
        <v>1894</v>
      </c>
      <c r="F428" s="268">
        <v>29267950.686136302</v>
      </c>
      <c r="G428" s="268">
        <v>48583309.800086394</v>
      </c>
      <c r="H428" s="268">
        <v>77851260.486222699</v>
      </c>
      <c r="I428" s="267" t="s">
        <v>753</v>
      </c>
      <c r="J428" s="267" t="s">
        <v>122</v>
      </c>
      <c r="K428" s="267">
        <v>545541</v>
      </c>
      <c r="L428" s="267" t="s">
        <v>789</v>
      </c>
      <c r="M428"/>
      <c r="N428"/>
      <c r="O428"/>
      <c r="P428"/>
      <c r="Q428" s="151"/>
      <c r="R428"/>
      <c r="S428"/>
      <c r="T428"/>
      <c r="U428"/>
      <c r="V428"/>
    </row>
    <row r="429" spans="1:22" x14ac:dyDescent="0.2">
      <c r="A429" s="267" t="s">
        <v>293</v>
      </c>
      <c r="B429" s="267" t="s">
        <v>844</v>
      </c>
      <c r="C429" s="268">
        <v>7524</v>
      </c>
      <c r="D429" s="268">
        <v>6229</v>
      </c>
      <c r="E429" s="268">
        <v>13753</v>
      </c>
      <c r="F429" s="268">
        <v>176814495.29905799</v>
      </c>
      <c r="G429" s="268">
        <v>174360019.05631602</v>
      </c>
      <c r="H429" s="268">
        <v>351174514.35537404</v>
      </c>
      <c r="I429" s="267" t="s">
        <v>753</v>
      </c>
      <c r="J429" s="267" t="s">
        <v>123</v>
      </c>
      <c r="K429" s="267">
        <v>546960</v>
      </c>
      <c r="L429" s="267" t="s">
        <v>680</v>
      </c>
      <c r="M429"/>
      <c r="N429"/>
      <c r="O429"/>
      <c r="P429"/>
      <c r="Q429" s="151"/>
      <c r="R429"/>
      <c r="S429"/>
      <c r="T429"/>
      <c r="U429"/>
      <c r="V429"/>
    </row>
    <row r="430" spans="1:22" x14ac:dyDescent="0.2">
      <c r="A430" s="267" t="s">
        <v>145</v>
      </c>
      <c r="B430" s="267" t="s">
        <v>566</v>
      </c>
      <c r="C430" s="268">
        <v>206</v>
      </c>
      <c r="D430" s="268">
        <v>266</v>
      </c>
      <c r="E430" s="268">
        <v>472</v>
      </c>
      <c r="F430" s="268">
        <v>2979011.1058912296</v>
      </c>
      <c r="G430" s="268">
        <v>4822276.6544845998</v>
      </c>
      <c r="H430" s="268">
        <v>7801287.7603758303</v>
      </c>
      <c r="I430" s="267" t="s">
        <v>633</v>
      </c>
      <c r="J430" s="267" t="s">
        <v>121</v>
      </c>
      <c r="K430" s="267">
        <v>549261</v>
      </c>
      <c r="L430" s="267" t="s">
        <v>760</v>
      </c>
      <c r="M430"/>
      <c r="N430"/>
      <c r="O430"/>
      <c r="P430"/>
      <c r="Q430" s="151"/>
      <c r="R430"/>
      <c r="S430"/>
      <c r="T430"/>
      <c r="U430"/>
      <c r="V430"/>
    </row>
    <row r="431" spans="1:22" x14ac:dyDescent="0.2">
      <c r="A431" s="267" t="s">
        <v>615</v>
      </c>
      <c r="B431" s="267" t="s">
        <v>1063</v>
      </c>
      <c r="C431" s="268">
        <v>3142</v>
      </c>
      <c r="D431" s="268">
        <v>3903</v>
      </c>
      <c r="E431" s="268">
        <v>7045</v>
      </c>
      <c r="F431" s="268">
        <v>86416210.254044801</v>
      </c>
      <c r="G431" s="268">
        <v>130996890.99603701</v>
      </c>
      <c r="H431" s="268">
        <v>217413101.25008199</v>
      </c>
      <c r="I431" s="267" t="s">
        <v>633</v>
      </c>
      <c r="J431" s="267" t="s">
        <v>122</v>
      </c>
      <c r="K431" s="267">
        <v>549972</v>
      </c>
      <c r="L431" s="267" t="s">
        <v>766</v>
      </c>
      <c r="M431"/>
      <c r="N431"/>
      <c r="O431"/>
      <c r="P431"/>
      <c r="Q431" s="151"/>
      <c r="R431"/>
      <c r="S431"/>
      <c r="T431"/>
      <c r="U431"/>
      <c r="V431"/>
    </row>
    <row r="432" spans="1:22" x14ac:dyDescent="0.2">
      <c r="A432" s="267" t="s">
        <v>626</v>
      </c>
      <c r="B432" s="267" t="s">
        <v>395</v>
      </c>
      <c r="C432" s="268">
        <v>47</v>
      </c>
      <c r="D432" s="268">
        <v>57</v>
      </c>
      <c r="E432" s="268">
        <v>104</v>
      </c>
      <c r="F432" s="268">
        <v>1190188.9024487101</v>
      </c>
      <c r="G432" s="268">
        <v>1552317.79421423</v>
      </c>
      <c r="H432" s="268">
        <v>2742506.6966629401</v>
      </c>
      <c r="I432" s="267" t="s">
        <v>633</v>
      </c>
      <c r="J432" s="267" t="s">
        <v>122</v>
      </c>
      <c r="K432" s="267">
        <v>550970</v>
      </c>
      <c r="L432" s="267" t="s">
        <v>362</v>
      </c>
      <c r="M432"/>
      <c r="N432"/>
      <c r="O432"/>
      <c r="P432"/>
      <c r="Q432" s="151"/>
      <c r="R432"/>
      <c r="S432"/>
      <c r="T432"/>
      <c r="U432"/>
      <c r="V432"/>
    </row>
    <row r="433" spans="1:22" x14ac:dyDescent="0.2">
      <c r="A433" s="267" t="s">
        <v>615</v>
      </c>
      <c r="B433" s="267" t="s">
        <v>954</v>
      </c>
      <c r="C433" s="268">
        <v>86</v>
      </c>
      <c r="D433" s="268">
        <v>130</v>
      </c>
      <c r="E433" s="268">
        <v>216</v>
      </c>
      <c r="F433" s="268">
        <v>2062692.7606038901</v>
      </c>
      <c r="G433" s="268">
        <v>3779270.1123380298</v>
      </c>
      <c r="H433" s="268">
        <v>5841962.8729419205</v>
      </c>
      <c r="I433" s="267" t="s">
        <v>633</v>
      </c>
      <c r="J433" s="267" t="s">
        <v>122</v>
      </c>
      <c r="K433" s="267">
        <v>551093</v>
      </c>
      <c r="L433" s="267" t="s">
        <v>752</v>
      </c>
      <c r="M433"/>
      <c r="N433"/>
      <c r="O433"/>
      <c r="P433"/>
      <c r="Q433" s="151"/>
      <c r="R433"/>
      <c r="S433"/>
      <c r="T433"/>
      <c r="U433"/>
      <c r="V433"/>
    </row>
    <row r="434" spans="1:22" x14ac:dyDescent="0.2">
      <c r="A434" s="267" t="s">
        <v>626</v>
      </c>
      <c r="B434" s="267" t="s">
        <v>632</v>
      </c>
      <c r="C434" s="268">
        <v>2567</v>
      </c>
      <c r="D434" s="268">
        <v>2932</v>
      </c>
      <c r="E434" s="268">
        <v>5499</v>
      </c>
      <c r="F434" s="268">
        <v>49039158.4053813</v>
      </c>
      <c r="G434" s="268">
        <v>76073731.753061995</v>
      </c>
      <c r="H434" s="268">
        <v>125112890.158443</v>
      </c>
      <c r="I434" s="267" t="s">
        <v>633</v>
      </c>
      <c r="J434" s="267" t="s">
        <v>122</v>
      </c>
      <c r="K434" s="267">
        <v>551804</v>
      </c>
      <c r="L434" s="267" t="s">
        <v>58</v>
      </c>
      <c r="M434"/>
      <c r="N434"/>
      <c r="O434"/>
      <c r="P434"/>
      <c r="Q434" s="151"/>
      <c r="R434"/>
      <c r="S434"/>
      <c r="T434"/>
      <c r="U434"/>
      <c r="V434"/>
    </row>
    <row r="435" spans="1:22" x14ac:dyDescent="0.2">
      <c r="A435" s="267" t="s">
        <v>748</v>
      </c>
      <c r="B435" s="267" t="s">
        <v>786</v>
      </c>
      <c r="C435" s="268">
        <v>3173</v>
      </c>
      <c r="D435" s="268">
        <v>3157</v>
      </c>
      <c r="E435" s="268">
        <v>6330</v>
      </c>
      <c r="F435" s="268">
        <v>60730263.035630397</v>
      </c>
      <c r="G435" s="268">
        <v>75048046.84421809</v>
      </c>
      <c r="H435" s="268">
        <v>135778309.879848</v>
      </c>
      <c r="I435" s="267" t="s">
        <v>753</v>
      </c>
      <c r="J435" s="267" t="s">
        <v>121</v>
      </c>
      <c r="K435" s="267">
        <v>552869</v>
      </c>
      <c r="L435" s="267" t="s">
        <v>703</v>
      </c>
      <c r="M435"/>
      <c r="N435"/>
      <c r="O435"/>
      <c r="P435"/>
      <c r="Q435" s="151"/>
      <c r="R435"/>
      <c r="S435"/>
      <c r="T435"/>
      <c r="U435"/>
      <c r="V435"/>
    </row>
    <row r="436" spans="1:22" x14ac:dyDescent="0.2">
      <c r="A436" s="267" t="s">
        <v>208</v>
      </c>
      <c r="B436" s="267" t="s">
        <v>216</v>
      </c>
      <c r="C436" s="268">
        <v>8436</v>
      </c>
      <c r="D436" s="268">
        <v>10395</v>
      </c>
      <c r="E436" s="268">
        <v>18831</v>
      </c>
      <c r="F436" s="268">
        <v>164853377.16831499</v>
      </c>
      <c r="G436" s="268">
        <v>251372235.89301601</v>
      </c>
      <c r="H436" s="268">
        <v>416225613.06133097</v>
      </c>
      <c r="I436" s="267" t="s">
        <v>753</v>
      </c>
      <c r="J436" s="267" t="s">
        <v>121</v>
      </c>
      <c r="K436" s="267">
        <v>552984</v>
      </c>
      <c r="L436" s="267" t="s">
        <v>212</v>
      </c>
      <c r="M436"/>
      <c r="N436"/>
      <c r="O436"/>
      <c r="P436"/>
      <c r="Q436" s="151"/>
      <c r="R436"/>
      <c r="S436"/>
      <c r="T436"/>
      <c r="U436"/>
      <c r="V436"/>
    </row>
    <row r="437" spans="1:22" x14ac:dyDescent="0.2">
      <c r="A437" s="267" t="s">
        <v>279</v>
      </c>
      <c r="B437" s="267" t="s">
        <v>567</v>
      </c>
      <c r="C437" s="268">
        <v>1622</v>
      </c>
      <c r="D437" s="268">
        <v>2476</v>
      </c>
      <c r="E437" s="268">
        <v>4098</v>
      </c>
      <c r="F437" s="268">
        <v>18076458.290589202</v>
      </c>
      <c r="G437" s="268">
        <v>36461146.1564551</v>
      </c>
      <c r="H437" s="268">
        <v>54537604.447044201</v>
      </c>
      <c r="I437" s="267" t="s">
        <v>633</v>
      </c>
      <c r="J437" s="267" t="s">
        <v>121</v>
      </c>
      <c r="K437" s="267">
        <v>553578</v>
      </c>
      <c r="L437" s="267" t="s">
        <v>760</v>
      </c>
      <c r="M437"/>
      <c r="N437"/>
      <c r="O437"/>
      <c r="P437"/>
      <c r="Q437" s="151"/>
      <c r="R437"/>
      <c r="S437"/>
      <c r="T437"/>
      <c r="U437"/>
      <c r="V437"/>
    </row>
    <row r="438" spans="1:22" x14ac:dyDescent="0.2">
      <c r="A438" s="267" t="s">
        <v>301</v>
      </c>
      <c r="B438" s="267" t="s">
        <v>740</v>
      </c>
      <c r="C438" s="268">
        <v>125</v>
      </c>
      <c r="D438" s="268">
        <v>126</v>
      </c>
      <c r="E438" s="268">
        <v>251</v>
      </c>
      <c r="F438" s="268">
        <v>9198200.1963939592</v>
      </c>
      <c r="G438" s="268">
        <v>10896932.261918399</v>
      </c>
      <c r="H438" s="268">
        <v>20095132.4583124</v>
      </c>
      <c r="I438" s="267" t="s">
        <v>753</v>
      </c>
      <c r="J438" s="267" t="s">
        <v>123</v>
      </c>
      <c r="K438" s="267">
        <v>554634</v>
      </c>
      <c r="L438" s="267" t="s">
        <v>734</v>
      </c>
      <c r="M438"/>
      <c r="N438"/>
      <c r="O438"/>
      <c r="P438"/>
      <c r="Q438" s="151"/>
      <c r="R438"/>
      <c r="S438"/>
      <c r="T438"/>
      <c r="U438"/>
      <c r="V438"/>
    </row>
    <row r="439" spans="1:22" x14ac:dyDescent="0.2">
      <c r="A439" s="267" t="s">
        <v>546</v>
      </c>
      <c r="B439" s="267" t="s">
        <v>27</v>
      </c>
      <c r="C439" s="268">
        <v>823</v>
      </c>
      <c r="D439" s="268">
        <v>887</v>
      </c>
      <c r="E439" s="268">
        <v>1710</v>
      </c>
      <c r="F439" s="268">
        <v>22960229.651132099</v>
      </c>
      <c r="G439" s="268">
        <v>29976935.016702902</v>
      </c>
      <c r="H439" s="268">
        <v>52937164.667834997</v>
      </c>
      <c r="I439" s="267" t="s">
        <v>753</v>
      </c>
      <c r="J439" s="267" t="s">
        <v>122</v>
      </c>
      <c r="K439" s="267">
        <v>554691</v>
      </c>
      <c r="L439" s="267" t="s">
        <v>838</v>
      </c>
      <c r="M439"/>
      <c r="N439"/>
      <c r="O439"/>
      <c r="P439"/>
      <c r="Q439" s="151"/>
      <c r="R439"/>
      <c r="S439"/>
      <c r="T439"/>
      <c r="U439"/>
      <c r="V439"/>
    </row>
    <row r="440" spans="1:22" x14ac:dyDescent="0.2">
      <c r="A440" s="267" t="s">
        <v>145</v>
      </c>
      <c r="B440" s="267" t="s">
        <v>595</v>
      </c>
      <c r="C440" s="268">
        <v>117</v>
      </c>
      <c r="D440" s="268">
        <v>101</v>
      </c>
      <c r="E440" s="268">
        <v>218</v>
      </c>
      <c r="F440" s="268">
        <v>1984060.7312391801</v>
      </c>
      <c r="G440" s="268">
        <v>1897024.2311492199</v>
      </c>
      <c r="H440" s="268">
        <v>3881084.9623884</v>
      </c>
      <c r="I440" s="267" t="s">
        <v>633</v>
      </c>
      <c r="J440" s="267" t="s">
        <v>121</v>
      </c>
      <c r="K440" s="267">
        <v>555466</v>
      </c>
      <c r="L440" s="267" t="s">
        <v>434</v>
      </c>
      <c r="M440"/>
      <c r="N440"/>
      <c r="O440"/>
      <c r="P440"/>
      <c r="Q440" s="151"/>
      <c r="R440"/>
      <c r="S440"/>
      <c r="T440"/>
      <c r="U440"/>
      <c r="V440"/>
    </row>
    <row r="441" spans="1:22" x14ac:dyDescent="0.2">
      <c r="A441" s="267" t="s">
        <v>92</v>
      </c>
      <c r="B441" s="267" t="s">
        <v>95</v>
      </c>
      <c r="C441" s="268">
        <v>1726</v>
      </c>
      <c r="D441" s="268">
        <v>1862</v>
      </c>
      <c r="E441" s="268">
        <v>3588</v>
      </c>
      <c r="F441" s="268">
        <v>36381557.079056703</v>
      </c>
      <c r="G441" s="268">
        <v>47035783.797431201</v>
      </c>
      <c r="H441" s="268">
        <v>83417340.876487896</v>
      </c>
      <c r="I441" s="267" t="s">
        <v>753</v>
      </c>
      <c r="J441" s="267" t="s">
        <v>121</v>
      </c>
      <c r="K441" s="267">
        <v>556589</v>
      </c>
      <c r="L441" s="267" t="s">
        <v>790</v>
      </c>
      <c r="M441"/>
      <c r="N441"/>
      <c r="O441"/>
      <c r="P441"/>
      <c r="Q441" s="151"/>
      <c r="R441"/>
      <c r="S441"/>
      <c r="T441"/>
      <c r="U441"/>
      <c r="V441"/>
    </row>
    <row r="442" spans="1:22" x14ac:dyDescent="0.2">
      <c r="A442" s="267" t="s">
        <v>301</v>
      </c>
      <c r="B442" s="267" t="s">
        <v>939</v>
      </c>
      <c r="C442" s="268">
        <v>1892</v>
      </c>
      <c r="D442" s="268">
        <v>2218</v>
      </c>
      <c r="E442" s="268">
        <v>4110</v>
      </c>
      <c r="F442" s="268">
        <v>192629240.11552101</v>
      </c>
      <c r="G442" s="268">
        <v>255081177.78542501</v>
      </c>
      <c r="H442" s="268">
        <v>447710417.90094602</v>
      </c>
      <c r="I442" s="267" t="s">
        <v>753</v>
      </c>
      <c r="J442" s="267" t="s">
        <v>123</v>
      </c>
      <c r="K442" s="267">
        <v>558239</v>
      </c>
      <c r="L442" s="267" t="s">
        <v>674</v>
      </c>
      <c r="M442"/>
      <c r="N442"/>
      <c r="O442"/>
      <c r="P442"/>
      <c r="Q442" s="151"/>
      <c r="R442"/>
      <c r="S442"/>
      <c r="T442"/>
      <c r="U442"/>
      <c r="V442"/>
    </row>
    <row r="443" spans="1:22" x14ac:dyDescent="0.2">
      <c r="A443" s="267" t="s">
        <v>279</v>
      </c>
      <c r="B443" s="267" t="s">
        <v>737</v>
      </c>
      <c r="C443" s="268">
        <v>40</v>
      </c>
      <c r="D443" s="268">
        <v>62</v>
      </c>
      <c r="E443" s="268">
        <v>102</v>
      </c>
      <c r="F443" s="268">
        <v>803439.7499696319</v>
      </c>
      <c r="G443" s="268">
        <v>1650755.2159782201</v>
      </c>
      <c r="H443" s="268">
        <v>2454194.9659478599</v>
      </c>
      <c r="I443" s="267" t="s">
        <v>633</v>
      </c>
      <c r="J443" s="267" t="s">
        <v>121</v>
      </c>
      <c r="K443" s="267">
        <v>558882</v>
      </c>
      <c r="L443" s="267" t="s">
        <v>126</v>
      </c>
      <c r="M443"/>
      <c r="N443"/>
      <c r="O443"/>
      <c r="P443"/>
      <c r="Q443" s="151"/>
      <c r="R443"/>
      <c r="S443"/>
      <c r="T443"/>
      <c r="U443"/>
      <c r="V443"/>
    </row>
    <row r="444" spans="1:22" x14ac:dyDescent="0.2">
      <c r="A444" s="267" t="s">
        <v>239</v>
      </c>
      <c r="B444" s="267" t="s">
        <v>253</v>
      </c>
      <c r="C444" s="268">
        <v>3428</v>
      </c>
      <c r="D444" s="268">
        <v>4071</v>
      </c>
      <c r="E444" s="268">
        <v>7499</v>
      </c>
      <c r="F444" s="268">
        <v>66287469.633261897</v>
      </c>
      <c r="G444" s="268">
        <v>94212568.277894512</v>
      </c>
      <c r="H444" s="268">
        <v>160500037.911156</v>
      </c>
      <c r="I444" s="267" t="s">
        <v>633</v>
      </c>
      <c r="J444" s="267" t="s">
        <v>121</v>
      </c>
      <c r="K444" s="267">
        <v>562728</v>
      </c>
      <c r="L444" s="267" t="s">
        <v>707</v>
      </c>
      <c r="M444"/>
      <c r="N444"/>
      <c r="O444"/>
      <c r="P444"/>
      <c r="Q444" s="151"/>
      <c r="R444"/>
      <c r="S444"/>
      <c r="T444"/>
      <c r="U444"/>
      <c r="V444"/>
    </row>
    <row r="445" spans="1:22" x14ac:dyDescent="0.2">
      <c r="A445" s="267" t="s">
        <v>102</v>
      </c>
      <c r="B445" s="267" t="s">
        <v>129</v>
      </c>
      <c r="C445" s="268">
        <v>3250</v>
      </c>
      <c r="D445" s="268">
        <v>3694</v>
      </c>
      <c r="E445" s="268">
        <v>6944</v>
      </c>
      <c r="F445" s="268">
        <v>56585784.017135203</v>
      </c>
      <c r="G445" s="268">
        <v>79734496.258625895</v>
      </c>
      <c r="H445" s="268">
        <v>136320280.27576101</v>
      </c>
      <c r="I445" s="267" t="s">
        <v>633</v>
      </c>
      <c r="J445" s="267" t="s">
        <v>121</v>
      </c>
      <c r="K445" s="267">
        <v>563254</v>
      </c>
      <c r="L445" s="267" t="s">
        <v>777</v>
      </c>
      <c r="M445"/>
      <c r="N445"/>
      <c r="O445"/>
      <c r="P445"/>
      <c r="Q445" s="151"/>
      <c r="R445"/>
      <c r="S445"/>
      <c r="T445"/>
      <c r="U445"/>
      <c r="V445"/>
    </row>
    <row r="446" spans="1:22" x14ac:dyDescent="0.2">
      <c r="A446" s="267" t="s">
        <v>145</v>
      </c>
      <c r="B446" s="267" t="s">
        <v>150</v>
      </c>
      <c r="C446" s="268">
        <v>10959</v>
      </c>
      <c r="D446" s="268">
        <v>10746</v>
      </c>
      <c r="E446" s="268">
        <v>21705</v>
      </c>
      <c r="F446" s="268">
        <v>203716848.92511901</v>
      </c>
      <c r="G446" s="268">
        <v>234064990.88709301</v>
      </c>
      <c r="H446" s="268">
        <v>437781839.81221199</v>
      </c>
      <c r="I446" s="267" t="s">
        <v>753</v>
      </c>
      <c r="J446" s="267" t="s">
        <v>121</v>
      </c>
      <c r="K446" s="267">
        <v>563965</v>
      </c>
      <c r="L446" s="267" t="s">
        <v>699</v>
      </c>
      <c r="M446"/>
      <c r="N446"/>
      <c r="O446"/>
      <c r="P446"/>
      <c r="Q446" s="151"/>
      <c r="R446"/>
      <c r="S446"/>
      <c r="T446"/>
      <c r="U446"/>
      <c r="V446"/>
    </row>
    <row r="447" spans="1:22" x14ac:dyDescent="0.2">
      <c r="A447" s="267" t="s">
        <v>671</v>
      </c>
      <c r="B447" s="267" t="s">
        <v>813</v>
      </c>
      <c r="C447" s="268">
        <v>2054</v>
      </c>
      <c r="D447" s="268">
        <v>2263</v>
      </c>
      <c r="E447" s="268">
        <v>4317</v>
      </c>
      <c r="F447" s="268">
        <v>49687448.480338</v>
      </c>
      <c r="G447" s="268">
        <v>65524663.318550304</v>
      </c>
      <c r="H447" s="268">
        <v>115212111.798888</v>
      </c>
      <c r="I447" s="267" t="s">
        <v>753</v>
      </c>
      <c r="J447" s="267" t="s">
        <v>121</v>
      </c>
      <c r="K447" s="267">
        <v>569988</v>
      </c>
      <c r="L447" s="267" t="s">
        <v>1128</v>
      </c>
      <c r="M447"/>
      <c r="N447"/>
      <c r="O447"/>
      <c r="P447"/>
      <c r="Q447" s="151"/>
      <c r="R447"/>
      <c r="S447"/>
      <c r="T447"/>
      <c r="U447"/>
      <c r="V447"/>
    </row>
    <row r="448" spans="1:22" x14ac:dyDescent="0.2">
      <c r="A448" s="267" t="s">
        <v>239</v>
      </c>
      <c r="B448" s="267" t="s">
        <v>1078</v>
      </c>
      <c r="C448" s="268">
        <v>2445</v>
      </c>
      <c r="D448" s="268">
        <v>3022</v>
      </c>
      <c r="E448" s="268">
        <v>5467</v>
      </c>
      <c r="F448" s="268">
        <v>41820456.350858003</v>
      </c>
      <c r="G448" s="268">
        <v>60874782.930921406</v>
      </c>
      <c r="H448" s="268">
        <v>102695239.28177901</v>
      </c>
      <c r="I448" s="267" t="s">
        <v>633</v>
      </c>
      <c r="J448" s="267" t="s">
        <v>121</v>
      </c>
      <c r="K448" s="267">
        <v>570044</v>
      </c>
      <c r="L448" s="267" t="s">
        <v>766</v>
      </c>
      <c r="M448"/>
      <c r="N448"/>
      <c r="O448"/>
      <c r="P448"/>
      <c r="Q448" s="151"/>
      <c r="R448"/>
      <c r="S448"/>
      <c r="T448"/>
      <c r="U448"/>
      <c r="V448"/>
    </row>
    <row r="449" spans="1:22" x14ac:dyDescent="0.2">
      <c r="A449" s="267" t="s">
        <v>96</v>
      </c>
      <c r="B449" s="267" t="s">
        <v>99</v>
      </c>
      <c r="C449" s="268">
        <v>1246</v>
      </c>
      <c r="D449" s="268">
        <v>757</v>
      </c>
      <c r="E449" s="268">
        <v>2003</v>
      </c>
      <c r="F449" s="268">
        <v>19513506.890551399</v>
      </c>
      <c r="G449" s="268">
        <v>14438784.507229101</v>
      </c>
      <c r="H449" s="268">
        <v>33952291.3977805</v>
      </c>
      <c r="I449" s="267" t="s">
        <v>753</v>
      </c>
      <c r="J449" s="267" t="s">
        <v>121</v>
      </c>
      <c r="K449" s="267">
        <v>570630</v>
      </c>
      <c r="L449" s="267" t="s">
        <v>684</v>
      </c>
      <c r="M449"/>
      <c r="N449"/>
      <c r="O449"/>
      <c r="P449"/>
      <c r="Q449" s="151"/>
      <c r="R449"/>
      <c r="S449"/>
      <c r="T449"/>
      <c r="U449"/>
      <c r="V449"/>
    </row>
    <row r="450" spans="1:22" x14ac:dyDescent="0.2">
      <c r="A450" s="267" t="s">
        <v>44</v>
      </c>
      <c r="B450" s="267" t="s">
        <v>1064</v>
      </c>
      <c r="C450" s="268">
        <v>1211</v>
      </c>
      <c r="D450" s="268">
        <v>1041</v>
      </c>
      <c r="E450" s="268">
        <v>2252</v>
      </c>
      <c r="F450" s="268">
        <v>16438439.8029723</v>
      </c>
      <c r="G450" s="268">
        <v>17804622.957472399</v>
      </c>
      <c r="H450" s="268">
        <v>34243062.760444604</v>
      </c>
      <c r="I450" s="267" t="s">
        <v>633</v>
      </c>
      <c r="J450" s="267" t="s">
        <v>121</v>
      </c>
      <c r="K450" s="267">
        <v>571695</v>
      </c>
      <c r="L450" s="267" t="s">
        <v>842</v>
      </c>
      <c r="M450"/>
      <c r="N450"/>
      <c r="O450"/>
      <c r="P450"/>
      <c r="Q450" s="151"/>
      <c r="R450"/>
      <c r="S450"/>
      <c r="T450"/>
      <c r="U450"/>
      <c r="V450"/>
    </row>
    <row r="451" spans="1:22" x14ac:dyDescent="0.2">
      <c r="A451" s="267" t="s">
        <v>546</v>
      </c>
      <c r="B451" s="267" t="s">
        <v>810</v>
      </c>
      <c r="C451" s="268">
        <v>40174</v>
      </c>
      <c r="D451" s="268">
        <v>40104</v>
      </c>
      <c r="E451" s="268">
        <v>80278</v>
      </c>
      <c r="F451" s="268">
        <v>1525042304.2156301</v>
      </c>
      <c r="G451" s="268">
        <v>1912013292.0989299</v>
      </c>
      <c r="H451" s="268">
        <v>3437055596.3145599</v>
      </c>
      <c r="I451" s="267" t="s">
        <v>753</v>
      </c>
      <c r="J451" s="267" t="s">
        <v>122</v>
      </c>
      <c r="K451" s="267">
        <v>574293</v>
      </c>
      <c r="L451" s="267" t="s">
        <v>809</v>
      </c>
      <c r="M451"/>
      <c r="N451"/>
      <c r="O451"/>
      <c r="P451"/>
      <c r="Q451" s="151"/>
      <c r="R451"/>
      <c r="S451"/>
      <c r="T451"/>
      <c r="U451"/>
      <c r="V451"/>
    </row>
    <row r="452" spans="1:22" x14ac:dyDescent="0.2">
      <c r="A452" s="267" t="s">
        <v>301</v>
      </c>
      <c r="B452" s="267" t="s">
        <v>884</v>
      </c>
      <c r="C452" s="268">
        <v>2188</v>
      </c>
      <c r="D452" s="268">
        <v>3305</v>
      </c>
      <c r="E452" s="268">
        <v>5493</v>
      </c>
      <c r="F452" s="268">
        <v>89702795.167774603</v>
      </c>
      <c r="G452" s="268">
        <v>154863751.97033602</v>
      </c>
      <c r="H452" s="268">
        <v>244566547.13811001</v>
      </c>
      <c r="I452" s="267" t="s">
        <v>633</v>
      </c>
      <c r="J452" s="267" t="s">
        <v>123</v>
      </c>
      <c r="K452" s="267">
        <v>575290</v>
      </c>
      <c r="L452" s="267" t="s">
        <v>878</v>
      </c>
      <c r="M452"/>
      <c r="N452"/>
      <c r="O452"/>
      <c r="P452"/>
      <c r="Q452" s="151"/>
      <c r="R452"/>
      <c r="S452"/>
      <c r="T452"/>
      <c r="U452"/>
      <c r="V452"/>
    </row>
    <row r="453" spans="1:22" x14ac:dyDescent="0.2">
      <c r="A453" s="267" t="s">
        <v>44</v>
      </c>
      <c r="B453" s="267" t="s">
        <v>46</v>
      </c>
      <c r="C453" s="268">
        <v>5228</v>
      </c>
      <c r="D453" s="268">
        <v>5160</v>
      </c>
      <c r="E453" s="268">
        <v>10388</v>
      </c>
      <c r="F453" s="268">
        <v>91939113.662080899</v>
      </c>
      <c r="G453" s="268">
        <v>113385522.572293</v>
      </c>
      <c r="H453" s="268">
        <v>205324636.23437399</v>
      </c>
      <c r="I453" s="267" t="s">
        <v>753</v>
      </c>
      <c r="J453" s="267" t="s">
        <v>121</v>
      </c>
      <c r="K453" s="267">
        <v>577304</v>
      </c>
      <c r="L453" s="267" t="s">
        <v>703</v>
      </c>
      <c r="M453"/>
      <c r="N453"/>
      <c r="O453"/>
      <c r="P453"/>
      <c r="Q453" s="151"/>
      <c r="R453"/>
      <c r="S453"/>
      <c r="T453"/>
      <c r="U453"/>
      <c r="V453"/>
    </row>
    <row r="454" spans="1:22" x14ac:dyDescent="0.2">
      <c r="A454" s="267" t="s">
        <v>727</v>
      </c>
      <c r="B454" s="267" t="s">
        <v>728</v>
      </c>
      <c r="C454" s="268">
        <v>343</v>
      </c>
      <c r="D454" s="268">
        <v>343</v>
      </c>
      <c r="E454" s="268">
        <v>686</v>
      </c>
      <c r="F454" s="268">
        <v>7331493.8062680596</v>
      </c>
      <c r="G454" s="268">
        <v>8982962.9882549699</v>
      </c>
      <c r="H454" s="268">
        <v>16314456.794523001</v>
      </c>
      <c r="I454" s="267" t="s">
        <v>753</v>
      </c>
      <c r="J454" s="267" t="s">
        <v>121</v>
      </c>
      <c r="K454" s="267">
        <v>577833</v>
      </c>
      <c r="L454" s="267" t="s">
        <v>684</v>
      </c>
      <c r="M454"/>
      <c r="N454"/>
      <c r="O454"/>
      <c r="P454"/>
      <c r="Q454" s="151"/>
      <c r="R454"/>
      <c r="S454"/>
      <c r="T454"/>
      <c r="U454"/>
      <c r="V454"/>
    </row>
    <row r="455" spans="1:22" x14ac:dyDescent="0.2">
      <c r="A455" s="267" t="s">
        <v>546</v>
      </c>
      <c r="B455" s="267" t="s">
        <v>608</v>
      </c>
      <c r="C455" s="268">
        <v>14896</v>
      </c>
      <c r="D455" s="268">
        <v>12000</v>
      </c>
      <c r="E455" s="268">
        <v>26896</v>
      </c>
      <c r="F455" s="268">
        <v>367229904.97273999</v>
      </c>
      <c r="G455" s="268">
        <v>364156303.06723398</v>
      </c>
      <c r="H455" s="268">
        <v>731386208.03997397</v>
      </c>
      <c r="I455" s="267" t="s">
        <v>753</v>
      </c>
      <c r="J455" s="267" t="s">
        <v>122</v>
      </c>
      <c r="K455" s="267">
        <v>578542</v>
      </c>
      <c r="L455" s="267" t="s">
        <v>776</v>
      </c>
      <c r="M455"/>
      <c r="N455"/>
      <c r="O455"/>
      <c r="P455"/>
      <c r="Q455" s="151"/>
      <c r="R455"/>
      <c r="S455"/>
      <c r="T455"/>
      <c r="U455"/>
      <c r="V455"/>
    </row>
    <row r="456" spans="1:22" x14ac:dyDescent="0.2">
      <c r="A456" s="267" t="s">
        <v>270</v>
      </c>
      <c r="B456" s="267" t="s">
        <v>272</v>
      </c>
      <c r="C456" s="268">
        <v>2282</v>
      </c>
      <c r="D456" s="268">
        <v>2634</v>
      </c>
      <c r="E456" s="268">
        <v>4916</v>
      </c>
      <c r="F456" s="268">
        <v>38525830.863951899</v>
      </c>
      <c r="G456" s="268">
        <v>53684937.003447101</v>
      </c>
      <c r="H456" s="268">
        <v>92210767.867399007</v>
      </c>
      <c r="I456" s="267" t="s">
        <v>633</v>
      </c>
      <c r="J456" s="267" t="s">
        <v>121</v>
      </c>
      <c r="K456" s="267">
        <v>579136</v>
      </c>
      <c r="L456" s="267" t="s">
        <v>88</v>
      </c>
      <c r="M456"/>
      <c r="N456"/>
      <c r="O456"/>
      <c r="P456"/>
      <c r="Q456" s="151"/>
      <c r="R456"/>
      <c r="S456"/>
      <c r="T456"/>
      <c r="U456"/>
      <c r="V456"/>
    </row>
    <row r="457" spans="1:22" x14ac:dyDescent="0.2">
      <c r="A457" s="267" t="s">
        <v>86</v>
      </c>
      <c r="B457" s="267" t="s">
        <v>257</v>
      </c>
      <c r="C457" s="268">
        <v>23</v>
      </c>
      <c r="D457" s="268">
        <v>19</v>
      </c>
      <c r="E457" s="268">
        <v>42</v>
      </c>
      <c r="F457" s="268">
        <v>472970.47810041707</v>
      </c>
      <c r="G457" s="268">
        <v>303255.36170614499</v>
      </c>
      <c r="H457" s="268">
        <v>776225.83980656194</v>
      </c>
      <c r="I457" s="267" t="s">
        <v>633</v>
      </c>
      <c r="J457" s="267" t="s">
        <v>121</v>
      </c>
      <c r="K457" s="267">
        <v>579722</v>
      </c>
      <c r="L457" s="267" t="s">
        <v>756</v>
      </c>
      <c r="M457"/>
      <c r="N457"/>
      <c r="O457"/>
      <c r="P457"/>
      <c r="Q457" s="151"/>
      <c r="R457"/>
      <c r="S457"/>
      <c r="T457"/>
      <c r="U457"/>
      <c r="V457"/>
    </row>
    <row r="458" spans="1:22" x14ac:dyDescent="0.2">
      <c r="A458" s="267" t="s">
        <v>145</v>
      </c>
      <c r="B458" s="267" t="s">
        <v>732</v>
      </c>
      <c r="C458" s="268">
        <v>3492</v>
      </c>
      <c r="D458" s="268">
        <v>5194</v>
      </c>
      <c r="E458" s="268">
        <v>8686</v>
      </c>
      <c r="F458" s="268">
        <v>104606632.79290299</v>
      </c>
      <c r="G458" s="268">
        <v>167806765.15285999</v>
      </c>
      <c r="H458" s="268">
        <v>272413397.94576299</v>
      </c>
      <c r="I458" s="267" t="s">
        <v>753</v>
      </c>
      <c r="J458" s="267" t="s">
        <v>121</v>
      </c>
      <c r="K458" s="267">
        <v>581371</v>
      </c>
      <c r="L458" s="267" t="s">
        <v>789</v>
      </c>
      <c r="M458"/>
      <c r="N458"/>
      <c r="O458"/>
      <c r="P458"/>
      <c r="Q458" s="151"/>
      <c r="R458"/>
      <c r="S458"/>
      <c r="T458"/>
      <c r="U458"/>
      <c r="V458"/>
    </row>
    <row r="459" spans="1:22" x14ac:dyDescent="0.2">
      <c r="A459" s="267" t="s">
        <v>226</v>
      </c>
      <c r="B459" s="267" t="s">
        <v>237</v>
      </c>
      <c r="C459" s="268">
        <v>1849</v>
      </c>
      <c r="D459" s="268">
        <v>2432</v>
      </c>
      <c r="E459" s="268">
        <v>4281</v>
      </c>
      <c r="F459" s="268">
        <v>19777022.479426898</v>
      </c>
      <c r="G459" s="268">
        <v>32679260.998166099</v>
      </c>
      <c r="H459" s="268">
        <v>52456283.477593005</v>
      </c>
      <c r="I459" s="267" t="s">
        <v>753</v>
      </c>
      <c r="J459" s="267" t="s">
        <v>121</v>
      </c>
      <c r="K459" s="267">
        <v>582791</v>
      </c>
      <c r="L459" s="267" t="s">
        <v>680</v>
      </c>
      <c r="M459"/>
      <c r="N459"/>
      <c r="O459"/>
      <c r="P459"/>
      <c r="Q459" s="151"/>
      <c r="R459"/>
      <c r="S459"/>
      <c r="T459"/>
      <c r="U459"/>
      <c r="V459"/>
    </row>
    <row r="460" spans="1:22" x14ac:dyDescent="0.2">
      <c r="A460" s="267" t="s">
        <v>671</v>
      </c>
      <c r="B460" s="267" t="s">
        <v>403</v>
      </c>
      <c r="C460" s="268">
        <v>689</v>
      </c>
      <c r="D460" s="268">
        <v>563</v>
      </c>
      <c r="E460" s="268">
        <v>1252</v>
      </c>
      <c r="F460" s="268">
        <v>9106948.6413220093</v>
      </c>
      <c r="G460" s="268">
        <v>10497235.597091101</v>
      </c>
      <c r="H460" s="268">
        <v>19604184.238413103</v>
      </c>
      <c r="I460" s="267" t="s">
        <v>753</v>
      </c>
      <c r="J460" s="267" t="s">
        <v>121</v>
      </c>
      <c r="K460" s="267">
        <v>584979</v>
      </c>
      <c r="L460" s="267" t="s">
        <v>404</v>
      </c>
      <c r="M460"/>
      <c r="N460"/>
      <c r="O460"/>
      <c r="P460"/>
      <c r="Q460" s="151"/>
      <c r="R460"/>
      <c r="S460"/>
      <c r="T460"/>
      <c r="U460"/>
      <c r="V460"/>
    </row>
    <row r="461" spans="1:22" x14ac:dyDescent="0.2">
      <c r="A461" s="267" t="s">
        <v>727</v>
      </c>
      <c r="B461" s="267" t="s">
        <v>1059</v>
      </c>
      <c r="C461" s="268">
        <v>11506</v>
      </c>
      <c r="D461" s="268">
        <v>11553</v>
      </c>
      <c r="E461" s="268">
        <v>23059</v>
      </c>
      <c r="F461" s="268">
        <v>278125091.46225899</v>
      </c>
      <c r="G461" s="268">
        <v>354278457.91583902</v>
      </c>
      <c r="H461" s="268">
        <v>632403549.37809801</v>
      </c>
      <c r="I461" s="267" t="s">
        <v>633</v>
      </c>
      <c r="J461" s="267" t="s">
        <v>121</v>
      </c>
      <c r="K461" s="267">
        <v>585216</v>
      </c>
      <c r="L461" s="267" t="s">
        <v>397</v>
      </c>
      <c r="M461"/>
      <c r="N461"/>
      <c r="O461"/>
      <c r="P461"/>
      <c r="Q461" s="151"/>
      <c r="R461"/>
      <c r="S461"/>
      <c r="T461"/>
      <c r="U461"/>
      <c r="V461"/>
    </row>
    <row r="462" spans="1:22" x14ac:dyDescent="0.2">
      <c r="A462" s="267" t="s">
        <v>208</v>
      </c>
      <c r="B462" s="267" t="s">
        <v>577</v>
      </c>
      <c r="C462" s="268">
        <v>54</v>
      </c>
      <c r="D462" s="268">
        <v>106</v>
      </c>
      <c r="E462" s="268">
        <v>160</v>
      </c>
      <c r="F462" s="268">
        <v>869670.83365087316</v>
      </c>
      <c r="G462" s="268">
        <v>2219691.3757111798</v>
      </c>
      <c r="H462" s="268">
        <v>3089362.2093620598</v>
      </c>
      <c r="I462" s="267" t="s">
        <v>633</v>
      </c>
      <c r="J462" s="267" t="s">
        <v>121</v>
      </c>
      <c r="K462" s="267">
        <v>586800</v>
      </c>
      <c r="L462" s="267" t="s">
        <v>880</v>
      </c>
      <c r="M462"/>
      <c r="N462"/>
      <c r="O462"/>
      <c r="P462"/>
      <c r="Q462" s="151"/>
      <c r="R462"/>
      <c r="S462"/>
      <c r="T462"/>
      <c r="U462"/>
      <c r="V462"/>
    </row>
    <row r="463" spans="1:22" x14ac:dyDescent="0.2">
      <c r="A463" s="267" t="s">
        <v>131</v>
      </c>
      <c r="B463" s="267" t="s">
        <v>927</v>
      </c>
      <c r="C463" s="268">
        <v>707</v>
      </c>
      <c r="D463" s="268">
        <v>1026</v>
      </c>
      <c r="E463" s="268">
        <v>1733</v>
      </c>
      <c r="F463" s="268">
        <v>14473297.909843499</v>
      </c>
      <c r="G463" s="268">
        <v>25571767.633665297</v>
      </c>
      <c r="H463" s="268">
        <v>40045065.543508895</v>
      </c>
      <c r="I463" s="267" t="s">
        <v>633</v>
      </c>
      <c r="J463" s="267" t="s">
        <v>121</v>
      </c>
      <c r="K463" s="267">
        <v>586982</v>
      </c>
      <c r="L463" s="267" t="s">
        <v>920</v>
      </c>
      <c r="M463"/>
      <c r="N463"/>
      <c r="O463"/>
      <c r="P463"/>
      <c r="Q463" s="151"/>
      <c r="R463"/>
      <c r="S463"/>
      <c r="T463"/>
      <c r="U463"/>
      <c r="V463"/>
    </row>
    <row r="464" spans="1:22" x14ac:dyDescent="0.2">
      <c r="A464" s="267" t="s">
        <v>615</v>
      </c>
      <c r="B464" s="267" t="s">
        <v>625</v>
      </c>
      <c r="C464" s="268">
        <v>1327</v>
      </c>
      <c r="D464" s="268">
        <v>1373</v>
      </c>
      <c r="E464" s="268">
        <v>2700</v>
      </c>
      <c r="F464" s="268">
        <v>23216607.014903001</v>
      </c>
      <c r="G464" s="268">
        <v>29128709.8355073</v>
      </c>
      <c r="H464" s="268">
        <v>52345316.850410298</v>
      </c>
      <c r="I464" s="267" t="s">
        <v>633</v>
      </c>
      <c r="J464" s="267" t="s">
        <v>122</v>
      </c>
      <c r="K464" s="267">
        <v>587634</v>
      </c>
      <c r="L464" s="267" t="s">
        <v>58</v>
      </c>
      <c r="M464"/>
      <c r="N464"/>
      <c r="O464"/>
      <c r="P464"/>
      <c r="Q464" s="151"/>
      <c r="R464"/>
      <c r="S464"/>
      <c r="T464"/>
      <c r="U464"/>
      <c r="V464"/>
    </row>
    <row r="465" spans="1:22" x14ac:dyDescent="0.2">
      <c r="A465" s="267" t="s">
        <v>369</v>
      </c>
      <c r="B465" s="267" t="s">
        <v>568</v>
      </c>
      <c r="C465" s="268">
        <v>4122</v>
      </c>
      <c r="D465" s="268">
        <v>5319</v>
      </c>
      <c r="E465" s="268">
        <v>9441</v>
      </c>
      <c r="F465" s="268">
        <v>61241310.788738295</v>
      </c>
      <c r="G465" s="268">
        <v>101409564.10768799</v>
      </c>
      <c r="H465" s="268">
        <v>162650874.89642701</v>
      </c>
      <c r="I465" s="267" t="s">
        <v>753</v>
      </c>
      <c r="J465" s="267" t="s">
        <v>121</v>
      </c>
      <c r="K465" s="267">
        <v>588699</v>
      </c>
      <c r="L465" s="267" t="s">
        <v>703</v>
      </c>
      <c r="M465"/>
      <c r="N465"/>
      <c r="O465"/>
      <c r="P465"/>
      <c r="Q465" s="151"/>
      <c r="R465"/>
      <c r="S465"/>
      <c r="T465"/>
      <c r="U465"/>
      <c r="V465"/>
    </row>
    <row r="466" spans="1:22" x14ac:dyDescent="0.2">
      <c r="A466" s="267" t="s">
        <v>301</v>
      </c>
      <c r="B466" s="267" t="s">
        <v>742</v>
      </c>
      <c r="C466" s="268">
        <v>149</v>
      </c>
      <c r="D466" s="268">
        <v>147</v>
      </c>
      <c r="E466" s="268">
        <v>296</v>
      </c>
      <c r="F466" s="268">
        <v>12611926.1120185</v>
      </c>
      <c r="G466" s="268">
        <v>15466037.2812238</v>
      </c>
      <c r="H466" s="268">
        <v>28077963.3932423</v>
      </c>
      <c r="I466" s="267" t="s">
        <v>753</v>
      </c>
      <c r="J466" s="267" t="s">
        <v>123</v>
      </c>
      <c r="K466" s="267">
        <v>590463</v>
      </c>
      <c r="L466" s="267" t="s">
        <v>734</v>
      </c>
      <c r="M466"/>
      <c r="N466"/>
      <c r="O466"/>
      <c r="P466"/>
      <c r="Q466" s="151"/>
      <c r="R466"/>
      <c r="S466"/>
      <c r="T466"/>
      <c r="U466"/>
      <c r="V466"/>
    </row>
    <row r="467" spans="1:22" x14ac:dyDescent="0.2">
      <c r="A467" s="267" t="s">
        <v>292</v>
      </c>
      <c r="B467" s="267" t="s">
        <v>877</v>
      </c>
      <c r="C467" s="268">
        <v>686</v>
      </c>
      <c r="D467" s="268">
        <v>615</v>
      </c>
      <c r="E467" s="268">
        <v>1301</v>
      </c>
      <c r="F467" s="268">
        <v>16009960.832729001</v>
      </c>
      <c r="G467" s="268">
        <v>19201618.228691701</v>
      </c>
      <c r="H467" s="268">
        <v>35211579.061420701</v>
      </c>
      <c r="I467" s="267" t="s">
        <v>753</v>
      </c>
      <c r="J467" s="267" t="s">
        <v>123</v>
      </c>
      <c r="K467" s="267">
        <v>592295</v>
      </c>
      <c r="L467" s="267" t="s">
        <v>704</v>
      </c>
      <c r="M467"/>
      <c r="N467"/>
      <c r="O467"/>
      <c r="P467"/>
      <c r="Q467" s="151"/>
      <c r="R467"/>
      <c r="S467"/>
      <c r="T467"/>
      <c r="U467"/>
      <c r="V467"/>
    </row>
    <row r="468" spans="1:22" x14ac:dyDescent="0.2">
      <c r="A468" s="267" t="s">
        <v>145</v>
      </c>
      <c r="B468" s="267" t="s">
        <v>979</v>
      </c>
      <c r="C468" s="268">
        <v>7</v>
      </c>
      <c r="D468" s="268">
        <v>12</v>
      </c>
      <c r="E468" s="268">
        <v>19</v>
      </c>
      <c r="F468" s="268">
        <v>119760.39859854399</v>
      </c>
      <c r="G468" s="268">
        <v>265746.40421805007</v>
      </c>
      <c r="H468" s="268">
        <v>385506.80281659402</v>
      </c>
      <c r="I468" s="267" t="s">
        <v>633</v>
      </c>
      <c r="J468" s="267" t="s">
        <v>121</v>
      </c>
      <c r="K468" s="267">
        <v>594713</v>
      </c>
      <c r="L468" s="267" t="s">
        <v>126</v>
      </c>
      <c r="M468"/>
      <c r="N468"/>
      <c r="O468"/>
      <c r="P468"/>
      <c r="Q468" s="151"/>
      <c r="R468"/>
      <c r="S468"/>
      <c r="T468"/>
      <c r="U468"/>
      <c r="V468"/>
    </row>
    <row r="469" spans="1:22" x14ac:dyDescent="0.2">
      <c r="A469" s="267" t="s">
        <v>748</v>
      </c>
      <c r="B469" s="267" t="s">
        <v>43</v>
      </c>
      <c r="C469" s="268">
        <v>6352</v>
      </c>
      <c r="D469" s="268">
        <v>6823</v>
      </c>
      <c r="E469" s="268">
        <v>13175</v>
      </c>
      <c r="F469" s="268">
        <v>122494449.786485</v>
      </c>
      <c r="G469" s="268">
        <v>156719501.31564999</v>
      </c>
      <c r="H469" s="268">
        <v>279213951.102135</v>
      </c>
      <c r="I469" s="267" t="s">
        <v>633</v>
      </c>
      <c r="J469" s="267" t="s">
        <v>121</v>
      </c>
      <c r="K469" s="267">
        <v>598557</v>
      </c>
      <c r="L469" s="267" t="s">
        <v>707</v>
      </c>
      <c r="M469"/>
      <c r="N469"/>
      <c r="O469"/>
      <c r="P469"/>
      <c r="Q469" s="151"/>
      <c r="R469"/>
      <c r="S469"/>
      <c r="T469"/>
      <c r="U469"/>
      <c r="V469"/>
    </row>
    <row r="470" spans="1:22" x14ac:dyDescent="0.2">
      <c r="A470" s="267" t="s">
        <v>293</v>
      </c>
      <c r="B470" s="267" t="s">
        <v>296</v>
      </c>
      <c r="C470" s="268">
        <v>9715</v>
      </c>
      <c r="D470" s="268">
        <v>7766</v>
      </c>
      <c r="E470" s="268">
        <v>17481</v>
      </c>
      <c r="F470" s="268">
        <v>184597676.29892102</v>
      </c>
      <c r="G470" s="268">
        <v>174360622.66391203</v>
      </c>
      <c r="H470" s="268">
        <v>358958298.96283197</v>
      </c>
      <c r="I470" s="267" t="s">
        <v>753</v>
      </c>
      <c r="J470" s="267" t="s">
        <v>123</v>
      </c>
      <c r="K470" s="267">
        <v>599795</v>
      </c>
      <c r="L470" s="267" t="s">
        <v>699</v>
      </c>
      <c r="M470"/>
      <c r="N470"/>
      <c r="O470"/>
      <c r="P470"/>
      <c r="Q470" s="151"/>
      <c r="R470"/>
      <c r="S470"/>
      <c r="T470"/>
      <c r="U470"/>
      <c r="V470"/>
    </row>
    <row r="471" spans="1:22" x14ac:dyDescent="0.2">
      <c r="A471" s="267" t="s">
        <v>131</v>
      </c>
      <c r="B471" s="267" t="s">
        <v>421</v>
      </c>
      <c r="C471" s="268">
        <v>458</v>
      </c>
      <c r="D471" s="268">
        <v>670</v>
      </c>
      <c r="E471" s="268">
        <v>1128</v>
      </c>
      <c r="F471" s="268">
        <v>7801148.9622692801</v>
      </c>
      <c r="G471" s="268">
        <v>14343154.979122801</v>
      </c>
      <c r="H471" s="268">
        <v>22144303.941392098</v>
      </c>
      <c r="I471" s="267" t="s">
        <v>753</v>
      </c>
      <c r="J471" s="267" t="s">
        <v>121</v>
      </c>
      <c r="K471" s="267">
        <v>602094</v>
      </c>
      <c r="L471" s="267" t="s">
        <v>32</v>
      </c>
      <c r="M471"/>
      <c r="N471"/>
      <c r="O471"/>
      <c r="P471"/>
      <c r="Q471" s="151"/>
      <c r="R471"/>
      <c r="S471"/>
      <c r="T471"/>
      <c r="U471"/>
      <c r="V471"/>
    </row>
    <row r="472" spans="1:22" x14ac:dyDescent="0.2">
      <c r="A472" s="267" t="s">
        <v>226</v>
      </c>
      <c r="B472" s="267" t="s">
        <v>717</v>
      </c>
      <c r="C472" s="268">
        <v>533</v>
      </c>
      <c r="D472" s="268">
        <v>509</v>
      </c>
      <c r="E472" s="268">
        <v>1042</v>
      </c>
      <c r="F472" s="268">
        <v>6705045.07005178</v>
      </c>
      <c r="G472" s="268">
        <v>8985598.3142768294</v>
      </c>
      <c r="H472" s="268">
        <v>15690643.3843286</v>
      </c>
      <c r="I472" s="267" t="s">
        <v>633</v>
      </c>
      <c r="J472" s="267" t="s">
        <v>121</v>
      </c>
      <c r="K472" s="267">
        <v>603985</v>
      </c>
      <c r="L472" s="267" t="s">
        <v>800</v>
      </c>
      <c r="M472"/>
      <c r="N472"/>
      <c r="O472"/>
      <c r="P472"/>
      <c r="Q472" s="151"/>
      <c r="R472"/>
      <c r="S472"/>
      <c r="T472"/>
      <c r="U472"/>
      <c r="V472"/>
    </row>
    <row r="473" spans="1:22" x14ac:dyDescent="0.2">
      <c r="A473" s="267" t="s">
        <v>671</v>
      </c>
      <c r="B473" s="267" t="s">
        <v>315</v>
      </c>
      <c r="C473" s="268">
        <v>3200</v>
      </c>
      <c r="D473" s="268">
        <v>3282</v>
      </c>
      <c r="E473" s="268">
        <v>6482</v>
      </c>
      <c r="F473" s="268">
        <v>45528735.799990803</v>
      </c>
      <c r="G473" s="268">
        <v>56140775.7590691</v>
      </c>
      <c r="H473" s="268">
        <v>101669511.55905999</v>
      </c>
      <c r="I473" s="267" t="s">
        <v>753</v>
      </c>
      <c r="J473" s="267" t="s">
        <v>121</v>
      </c>
      <c r="K473" s="267">
        <v>605634</v>
      </c>
      <c r="L473" s="267" t="s">
        <v>905</v>
      </c>
      <c r="M473"/>
      <c r="N473"/>
      <c r="O473"/>
      <c r="P473"/>
      <c r="Q473" s="151"/>
      <c r="R473"/>
      <c r="S473"/>
      <c r="T473"/>
      <c r="U473"/>
      <c r="V473"/>
    </row>
    <row r="474" spans="1:22" x14ac:dyDescent="0.2">
      <c r="A474" s="267" t="s">
        <v>226</v>
      </c>
      <c r="B474" s="267" t="s">
        <v>238</v>
      </c>
      <c r="C474" s="268">
        <v>460</v>
      </c>
      <c r="D474" s="268">
        <v>413</v>
      </c>
      <c r="E474" s="268">
        <v>873</v>
      </c>
      <c r="F474" s="268">
        <v>4951856.8725322802</v>
      </c>
      <c r="G474" s="268">
        <v>5653947.4326360403</v>
      </c>
      <c r="H474" s="268">
        <v>10605804.305168299</v>
      </c>
      <c r="I474" s="267" t="s">
        <v>753</v>
      </c>
      <c r="J474" s="267" t="s">
        <v>121</v>
      </c>
      <c r="K474" s="267">
        <v>606467</v>
      </c>
      <c r="L474" s="267" t="s">
        <v>684</v>
      </c>
      <c r="M474"/>
      <c r="N474"/>
      <c r="O474"/>
      <c r="P474"/>
      <c r="Q474" s="151"/>
      <c r="R474"/>
      <c r="S474"/>
      <c r="T474"/>
      <c r="U474"/>
      <c r="V474"/>
    </row>
    <row r="475" spans="1:22" x14ac:dyDescent="0.2">
      <c r="A475" s="267" t="s">
        <v>293</v>
      </c>
      <c r="B475" s="267" t="s">
        <v>818</v>
      </c>
      <c r="C475" s="268">
        <v>66390</v>
      </c>
      <c r="D475" s="268">
        <v>59408</v>
      </c>
      <c r="E475" s="268">
        <v>125798</v>
      </c>
      <c r="F475" s="268">
        <v>2302518856.4150896</v>
      </c>
      <c r="G475" s="268">
        <v>2566446179.0688901</v>
      </c>
      <c r="H475" s="268">
        <v>4868965035.4839802</v>
      </c>
      <c r="I475" s="267" t="s">
        <v>753</v>
      </c>
      <c r="J475" s="267" t="s">
        <v>123</v>
      </c>
      <c r="K475" s="267">
        <v>610121</v>
      </c>
      <c r="L475" s="267" t="s">
        <v>809</v>
      </c>
      <c r="M475"/>
      <c r="N475"/>
      <c r="O475"/>
      <c r="P475"/>
      <c r="Q475" s="151"/>
      <c r="R475"/>
      <c r="S475"/>
      <c r="T475"/>
      <c r="U475"/>
      <c r="V475"/>
    </row>
    <row r="476" spans="1:22" x14ac:dyDescent="0.2">
      <c r="A476" s="267" t="s">
        <v>748</v>
      </c>
      <c r="B476" s="267" t="s">
        <v>1035</v>
      </c>
      <c r="C476" s="268">
        <v>8</v>
      </c>
      <c r="D476" s="268">
        <v>8</v>
      </c>
      <c r="E476" s="268">
        <v>16</v>
      </c>
      <c r="F476" s="268">
        <v>190849.29135168</v>
      </c>
      <c r="G476" s="268">
        <v>476992.17335951998</v>
      </c>
      <c r="H476" s="268">
        <v>667841.46471119998</v>
      </c>
      <c r="I476" s="267" t="s">
        <v>753</v>
      </c>
      <c r="J476" s="267" t="s">
        <v>121</v>
      </c>
      <c r="K476" s="267">
        <v>611657</v>
      </c>
      <c r="L476" s="267" t="s">
        <v>680</v>
      </c>
      <c r="M476"/>
      <c r="N476"/>
      <c r="O476"/>
      <c r="P476"/>
      <c r="Q476" s="151"/>
      <c r="R476"/>
      <c r="S476"/>
      <c r="T476"/>
      <c r="U476"/>
      <c r="V476"/>
    </row>
    <row r="477" spans="1:22" x14ac:dyDescent="0.2">
      <c r="A477" s="267" t="s">
        <v>491</v>
      </c>
      <c r="B477" s="267" t="s">
        <v>495</v>
      </c>
      <c r="C477" s="268">
        <v>4371</v>
      </c>
      <c r="D477" s="268">
        <v>3380</v>
      </c>
      <c r="E477" s="268">
        <v>7751</v>
      </c>
      <c r="F477" s="268">
        <v>161190041.30155101</v>
      </c>
      <c r="G477" s="268">
        <v>145378033.34035799</v>
      </c>
      <c r="H477" s="268">
        <v>306568074.641909</v>
      </c>
      <c r="I477" s="267" t="s">
        <v>753</v>
      </c>
      <c r="J477" s="267" t="s">
        <v>122</v>
      </c>
      <c r="K477" s="267">
        <v>613133</v>
      </c>
      <c r="L477" s="267" t="s">
        <v>703</v>
      </c>
      <c r="M477"/>
      <c r="N477"/>
      <c r="O477"/>
      <c r="P477"/>
      <c r="Q477" s="151"/>
      <c r="R477"/>
      <c r="S477"/>
      <c r="T477"/>
      <c r="U477"/>
      <c r="V477"/>
    </row>
    <row r="478" spans="1:22" x14ac:dyDescent="0.2">
      <c r="A478" s="267" t="s">
        <v>145</v>
      </c>
      <c r="B478" s="267" t="s">
        <v>7</v>
      </c>
      <c r="C478" s="268">
        <v>130</v>
      </c>
      <c r="D478" s="268">
        <v>104</v>
      </c>
      <c r="E478" s="268">
        <v>234</v>
      </c>
      <c r="F478" s="268">
        <v>3153947.98706222</v>
      </c>
      <c r="G478" s="268">
        <v>2810295.2214866802</v>
      </c>
      <c r="H478" s="268">
        <v>5964243.2085488997</v>
      </c>
      <c r="I478" s="267" t="s">
        <v>753</v>
      </c>
      <c r="J478" s="267" t="s">
        <v>121</v>
      </c>
      <c r="K478" s="267">
        <v>613729</v>
      </c>
      <c r="L478" s="267" t="s">
        <v>433</v>
      </c>
      <c r="M478"/>
      <c r="N478"/>
      <c r="O478"/>
      <c r="P478"/>
      <c r="Q478" s="151"/>
      <c r="R478"/>
      <c r="S478"/>
      <c r="T478"/>
      <c r="U478"/>
      <c r="V478"/>
    </row>
    <row r="479" spans="1:22" x14ac:dyDescent="0.2">
      <c r="A479" s="267" t="s">
        <v>491</v>
      </c>
      <c r="B479" s="267" t="s">
        <v>497</v>
      </c>
      <c r="C479" s="268">
        <v>15823</v>
      </c>
      <c r="D479" s="268">
        <v>12723</v>
      </c>
      <c r="E479" s="268">
        <v>28546</v>
      </c>
      <c r="F479" s="268">
        <v>416529816.00605804</v>
      </c>
      <c r="G479" s="268">
        <v>420067008.10735202</v>
      </c>
      <c r="H479" s="268">
        <v>836596824.11340904</v>
      </c>
      <c r="I479" s="267" t="s">
        <v>753</v>
      </c>
      <c r="J479" s="267" t="s">
        <v>122</v>
      </c>
      <c r="K479" s="267">
        <v>614370</v>
      </c>
      <c r="L479" s="267" t="s">
        <v>776</v>
      </c>
      <c r="M479"/>
      <c r="N479"/>
      <c r="O479"/>
      <c r="P479"/>
      <c r="Q479" s="151"/>
      <c r="R479"/>
      <c r="S479"/>
      <c r="T479"/>
      <c r="U479"/>
      <c r="V479"/>
    </row>
    <row r="480" spans="1:22" x14ac:dyDescent="0.2">
      <c r="A480" s="267" t="s">
        <v>261</v>
      </c>
      <c r="B480" s="267" t="s">
        <v>879</v>
      </c>
      <c r="C480" s="268">
        <v>3027</v>
      </c>
      <c r="D480" s="268">
        <v>4968</v>
      </c>
      <c r="E480" s="268">
        <v>7995</v>
      </c>
      <c r="F480" s="268">
        <v>45582027.692051604</v>
      </c>
      <c r="G480" s="268">
        <v>90770558.946808293</v>
      </c>
      <c r="H480" s="268">
        <v>136352586.63886002</v>
      </c>
      <c r="I480" s="267" t="s">
        <v>633</v>
      </c>
      <c r="J480" s="267" t="s">
        <v>121</v>
      </c>
      <c r="K480" s="267">
        <v>614966</v>
      </c>
      <c r="L480" s="267" t="s">
        <v>88</v>
      </c>
      <c r="M480"/>
      <c r="N480"/>
      <c r="O480"/>
      <c r="P480"/>
      <c r="Q480" s="151"/>
      <c r="R480"/>
      <c r="S480"/>
      <c r="T480"/>
      <c r="U480"/>
      <c r="V480"/>
    </row>
    <row r="481" spans="1:22" x14ac:dyDescent="0.2">
      <c r="A481" s="267" t="s">
        <v>301</v>
      </c>
      <c r="B481" s="267" t="s">
        <v>970</v>
      </c>
      <c r="C481" s="268">
        <v>2678</v>
      </c>
      <c r="D481" s="268">
        <v>2551</v>
      </c>
      <c r="E481" s="268">
        <v>5229</v>
      </c>
      <c r="F481" s="268">
        <v>232233403.63467401</v>
      </c>
      <c r="G481" s="268">
        <v>258527482.95119402</v>
      </c>
      <c r="H481" s="268">
        <v>490760886.585868</v>
      </c>
      <c r="I481" s="267" t="s">
        <v>753</v>
      </c>
      <c r="J481" s="267" t="s">
        <v>123</v>
      </c>
      <c r="K481" s="267">
        <v>615310</v>
      </c>
      <c r="L481" s="267" t="s">
        <v>969</v>
      </c>
      <c r="M481"/>
      <c r="N481"/>
      <c r="O481"/>
      <c r="P481"/>
      <c r="Q481" s="151"/>
      <c r="R481"/>
      <c r="S481"/>
      <c r="T481"/>
      <c r="U481"/>
      <c r="V481"/>
    </row>
    <row r="482" spans="1:22" x14ac:dyDescent="0.2">
      <c r="A482" s="267" t="s">
        <v>102</v>
      </c>
      <c r="B482" s="267" t="s">
        <v>114</v>
      </c>
      <c r="C482" s="268">
        <v>272</v>
      </c>
      <c r="D482" s="268">
        <v>333</v>
      </c>
      <c r="E482" s="268">
        <v>605</v>
      </c>
      <c r="F482" s="268">
        <v>5266714.5170034701</v>
      </c>
      <c r="G482" s="268">
        <v>7794719.5127176903</v>
      </c>
      <c r="H482" s="268">
        <v>13061434.0297212</v>
      </c>
      <c r="I482" s="267" t="s">
        <v>633</v>
      </c>
      <c r="J482" s="267" t="s">
        <v>121</v>
      </c>
      <c r="K482" s="267">
        <v>616797</v>
      </c>
      <c r="L482" s="267" t="s">
        <v>758</v>
      </c>
      <c r="M482"/>
      <c r="N482"/>
      <c r="O482"/>
      <c r="P482"/>
      <c r="Q482" s="151"/>
      <c r="R482"/>
      <c r="S482"/>
      <c r="T482"/>
      <c r="U482"/>
      <c r="V482"/>
    </row>
    <row r="483" spans="1:22" x14ac:dyDescent="0.2">
      <c r="A483" s="267" t="s">
        <v>546</v>
      </c>
      <c r="B483" s="267" t="s">
        <v>811</v>
      </c>
      <c r="C483" s="268">
        <v>189</v>
      </c>
      <c r="D483" s="268">
        <v>278</v>
      </c>
      <c r="E483" s="268">
        <v>467</v>
      </c>
      <c r="F483" s="268">
        <v>5825951.1780777602</v>
      </c>
      <c r="G483" s="268">
        <v>10556810.297752999</v>
      </c>
      <c r="H483" s="268">
        <v>16382761.4758307</v>
      </c>
      <c r="I483" s="267" t="s">
        <v>753</v>
      </c>
      <c r="J483" s="267" t="s">
        <v>122</v>
      </c>
      <c r="K483" s="267">
        <v>617209</v>
      </c>
      <c r="L483" s="267" t="s">
        <v>684</v>
      </c>
      <c r="M483"/>
      <c r="N483"/>
      <c r="O483"/>
      <c r="P483"/>
      <c r="Q483" s="151"/>
      <c r="R483"/>
      <c r="S483"/>
      <c r="T483"/>
      <c r="U483"/>
      <c r="V483"/>
    </row>
    <row r="484" spans="1:22" x14ac:dyDescent="0.2">
      <c r="A484" s="267" t="s">
        <v>131</v>
      </c>
      <c r="B484" s="267" t="s">
        <v>391</v>
      </c>
      <c r="C484" s="268">
        <v>4703</v>
      </c>
      <c r="D484" s="268">
        <v>6750</v>
      </c>
      <c r="E484" s="268">
        <v>11453</v>
      </c>
      <c r="F484" s="268">
        <v>85098091.113629699</v>
      </c>
      <c r="G484" s="268">
        <v>149941707.64308399</v>
      </c>
      <c r="H484" s="268">
        <v>235039798.75671402</v>
      </c>
      <c r="I484" s="267" t="s">
        <v>753</v>
      </c>
      <c r="J484" s="267" t="s">
        <v>121</v>
      </c>
      <c r="K484" s="267">
        <v>618629</v>
      </c>
      <c r="L484" s="267" t="s">
        <v>680</v>
      </c>
      <c r="M484"/>
      <c r="N484"/>
      <c r="O484"/>
      <c r="P484"/>
      <c r="Q484" s="151"/>
      <c r="R484"/>
      <c r="S484"/>
      <c r="T484"/>
      <c r="U484"/>
      <c r="V484"/>
    </row>
    <row r="485" spans="1:22" x14ac:dyDescent="0.2">
      <c r="A485" s="267" t="s">
        <v>367</v>
      </c>
      <c r="B485" s="267" t="s">
        <v>405</v>
      </c>
      <c r="C485" s="268">
        <v>580</v>
      </c>
      <c r="D485" s="268">
        <v>521</v>
      </c>
      <c r="E485" s="268">
        <v>1101</v>
      </c>
      <c r="F485" s="268">
        <v>4583636.3367342399</v>
      </c>
      <c r="G485" s="268">
        <v>6628116.3903930699</v>
      </c>
      <c r="H485" s="268">
        <v>11211752.727127301</v>
      </c>
      <c r="I485" s="267" t="s">
        <v>753</v>
      </c>
      <c r="J485" s="267" t="s">
        <v>121</v>
      </c>
      <c r="K485" s="267">
        <v>620807</v>
      </c>
      <c r="L485" s="267" t="s">
        <v>404</v>
      </c>
      <c r="M485"/>
      <c r="N485"/>
      <c r="O485"/>
      <c r="P485"/>
      <c r="Q485" s="151"/>
      <c r="R485"/>
      <c r="S485"/>
      <c r="T485"/>
      <c r="U485"/>
      <c r="V485"/>
    </row>
    <row r="486" spans="1:22" x14ac:dyDescent="0.2">
      <c r="A486" s="267" t="s">
        <v>615</v>
      </c>
      <c r="B486" s="267" t="s">
        <v>1055</v>
      </c>
      <c r="C486" s="268">
        <v>235</v>
      </c>
      <c r="D486" s="268">
        <v>182</v>
      </c>
      <c r="E486" s="268">
        <v>417</v>
      </c>
      <c r="F486" s="268">
        <v>3375918.01986505</v>
      </c>
      <c r="G486" s="268">
        <v>3538613.1551831001</v>
      </c>
      <c r="H486" s="268">
        <v>6914531.1750481501</v>
      </c>
      <c r="I486" s="267" t="s">
        <v>633</v>
      </c>
      <c r="J486" s="267" t="s">
        <v>122</v>
      </c>
      <c r="K486" s="267">
        <v>621631</v>
      </c>
      <c r="L486" s="267" t="s">
        <v>766</v>
      </c>
      <c r="M486"/>
      <c r="N486"/>
      <c r="O486"/>
      <c r="P486"/>
      <c r="Q486" s="151"/>
      <c r="R486"/>
      <c r="S486"/>
      <c r="T486"/>
      <c r="U486"/>
      <c r="V486"/>
    </row>
    <row r="487" spans="1:22" x14ac:dyDescent="0.2">
      <c r="A487" s="267" t="s">
        <v>368</v>
      </c>
      <c r="B487" s="267" t="s">
        <v>578</v>
      </c>
      <c r="C487" s="268">
        <v>215</v>
      </c>
      <c r="D487" s="268">
        <v>336</v>
      </c>
      <c r="E487" s="268">
        <v>551</v>
      </c>
      <c r="F487" s="268">
        <v>5130683.8614483299</v>
      </c>
      <c r="G487" s="268">
        <v>11977346.107177999</v>
      </c>
      <c r="H487" s="268">
        <v>17108029.968626399</v>
      </c>
      <c r="I487" s="267" t="s">
        <v>633</v>
      </c>
      <c r="J487" s="267" t="s">
        <v>121</v>
      </c>
      <c r="K487" s="267">
        <v>622639</v>
      </c>
      <c r="L487" s="267" t="s">
        <v>880</v>
      </c>
      <c r="M487"/>
      <c r="N487"/>
      <c r="O487"/>
      <c r="P487"/>
      <c r="Q487" s="151"/>
      <c r="R487"/>
      <c r="S487"/>
      <c r="T487"/>
      <c r="U487"/>
      <c r="V487"/>
    </row>
    <row r="488" spans="1:22" x14ac:dyDescent="0.2">
      <c r="A488" s="267" t="s">
        <v>370</v>
      </c>
      <c r="B488" s="267" t="s">
        <v>455</v>
      </c>
      <c r="C488" s="268">
        <v>537</v>
      </c>
      <c r="D488" s="268">
        <v>870</v>
      </c>
      <c r="E488" s="268">
        <v>1407</v>
      </c>
      <c r="F488" s="268">
        <v>7975136.3589995001</v>
      </c>
      <c r="G488" s="268">
        <v>18382412.177009299</v>
      </c>
      <c r="H488" s="268">
        <v>26357548.536008798</v>
      </c>
      <c r="I488" s="267" t="s">
        <v>633</v>
      </c>
      <c r="J488" s="267" t="s">
        <v>121</v>
      </c>
      <c r="K488" s="267">
        <v>625236</v>
      </c>
      <c r="L488" s="267" t="s">
        <v>760</v>
      </c>
      <c r="M488"/>
      <c r="N488"/>
      <c r="O488"/>
      <c r="P488"/>
      <c r="Q488" s="151"/>
      <c r="R488"/>
      <c r="S488"/>
      <c r="T488"/>
      <c r="U488"/>
      <c r="V488"/>
    </row>
    <row r="489" spans="1:22" x14ac:dyDescent="0.2">
      <c r="A489" s="267" t="s">
        <v>292</v>
      </c>
      <c r="B489" s="267" t="s">
        <v>533</v>
      </c>
      <c r="C489" s="268">
        <v>44</v>
      </c>
      <c r="D489" s="268">
        <v>76</v>
      </c>
      <c r="E489" s="268">
        <v>120</v>
      </c>
      <c r="F489" s="268">
        <v>1224283.7486670499</v>
      </c>
      <c r="G489" s="268">
        <v>3272458.62055525</v>
      </c>
      <c r="H489" s="268">
        <v>4496742.3692223001</v>
      </c>
      <c r="I489" s="267" t="s">
        <v>753</v>
      </c>
      <c r="J489" s="267" t="s">
        <v>123</v>
      </c>
      <c r="K489" s="267">
        <v>626291</v>
      </c>
      <c r="L489" s="267" t="s">
        <v>734</v>
      </c>
      <c r="M489"/>
      <c r="N489"/>
      <c r="O489"/>
      <c r="P489"/>
      <c r="Q489" s="151"/>
      <c r="R489"/>
      <c r="S489"/>
      <c r="T489"/>
      <c r="U489"/>
      <c r="V489"/>
    </row>
    <row r="490" spans="1:22" x14ac:dyDescent="0.2">
      <c r="A490" s="267" t="s">
        <v>102</v>
      </c>
      <c r="B490" s="267" t="s">
        <v>243</v>
      </c>
      <c r="C490" s="268">
        <v>663</v>
      </c>
      <c r="D490" s="268">
        <v>993</v>
      </c>
      <c r="E490" s="268">
        <v>1656</v>
      </c>
      <c r="F490" s="268">
        <v>13298489.1210324</v>
      </c>
      <c r="G490" s="268">
        <v>24670796.278163902</v>
      </c>
      <c r="H490" s="268">
        <v>37969285.399196297</v>
      </c>
      <c r="I490" s="267" t="s">
        <v>633</v>
      </c>
      <c r="J490" s="267" t="s">
        <v>121</v>
      </c>
      <c r="K490" s="267">
        <v>626945</v>
      </c>
      <c r="L490" s="267" t="s">
        <v>88</v>
      </c>
      <c r="M490"/>
      <c r="N490"/>
      <c r="O490"/>
      <c r="P490"/>
      <c r="Q490" s="151"/>
      <c r="R490"/>
      <c r="S490"/>
      <c r="T490"/>
      <c r="U490"/>
      <c r="V490"/>
    </row>
    <row r="491" spans="1:22" x14ac:dyDescent="0.2">
      <c r="A491" s="267" t="s">
        <v>96</v>
      </c>
      <c r="B491" s="267" t="s">
        <v>360</v>
      </c>
      <c r="C491" s="268">
        <v>10723</v>
      </c>
      <c r="D491" s="268">
        <v>10769</v>
      </c>
      <c r="E491" s="268">
        <v>21492</v>
      </c>
      <c r="F491" s="268">
        <v>187087713.98179901</v>
      </c>
      <c r="G491" s="268">
        <v>227555178.11633101</v>
      </c>
      <c r="H491" s="268">
        <v>414642892.09812999</v>
      </c>
      <c r="I491" s="267" t="s">
        <v>753</v>
      </c>
      <c r="J491" s="267" t="s">
        <v>121</v>
      </c>
      <c r="K491" s="267">
        <v>629543</v>
      </c>
      <c r="L491" s="267" t="s">
        <v>677</v>
      </c>
      <c r="M491"/>
      <c r="N491"/>
      <c r="O491"/>
      <c r="P491"/>
      <c r="Q491" s="151"/>
      <c r="R491"/>
      <c r="S491"/>
      <c r="T491"/>
      <c r="U491"/>
      <c r="V491"/>
    </row>
    <row r="492" spans="1:22" x14ac:dyDescent="0.2">
      <c r="A492" s="267" t="s">
        <v>161</v>
      </c>
      <c r="B492" s="267" t="s">
        <v>738</v>
      </c>
      <c r="C492" s="268">
        <v>117</v>
      </c>
      <c r="D492" s="268">
        <v>231</v>
      </c>
      <c r="E492" s="268">
        <v>348</v>
      </c>
      <c r="F492" s="268">
        <v>1884304.58186669</v>
      </c>
      <c r="G492" s="268">
        <v>5127060.6008041706</v>
      </c>
      <c r="H492" s="268">
        <v>7011365.1826708606</v>
      </c>
      <c r="I492" s="267" t="s">
        <v>633</v>
      </c>
      <c r="J492" s="267" t="s">
        <v>121</v>
      </c>
      <c r="K492" s="267">
        <v>630541</v>
      </c>
      <c r="L492" s="267" t="s">
        <v>126</v>
      </c>
      <c r="M492"/>
      <c r="N492"/>
      <c r="O492"/>
      <c r="P492"/>
      <c r="Q492" s="151"/>
      <c r="R492"/>
      <c r="S492"/>
      <c r="T492"/>
      <c r="U492"/>
      <c r="V492"/>
    </row>
    <row r="493" spans="1:22" x14ac:dyDescent="0.2">
      <c r="A493" s="267" t="s">
        <v>161</v>
      </c>
      <c r="B493" s="267" t="s">
        <v>981</v>
      </c>
      <c r="C493" s="268">
        <v>17</v>
      </c>
      <c r="D493" s="268">
        <v>49</v>
      </c>
      <c r="E493" s="268">
        <v>66</v>
      </c>
      <c r="F493" s="268">
        <v>457801.84425808</v>
      </c>
      <c r="G493" s="268">
        <v>1585221.6916644799</v>
      </c>
      <c r="H493" s="268">
        <v>2043023.5359225599</v>
      </c>
      <c r="I493" s="267" t="s">
        <v>753</v>
      </c>
      <c r="J493" s="267" t="s">
        <v>121</v>
      </c>
      <c r="K493" s="267">
        <v>632315</v>
      </c>
      <c r="L493" s="267" t="s">
        <v>941</v>
      </c>
      <c r="M493"/>
      <c r="N493"/>
      <c r="O493"/>
      <c r="P493"/>
      <c r="Q493" s="151"/>
      <c r="R493"/>
      <c r="S493"/>
      <c r="T493"/>
      <c r="U493"/>
      <c r="V493"/>
    </row>
    <row r="494" spans="1:22" x14ac:dyDescent="0.2">
      <c r="A494" s="267" t="s">
        <v>626</v>
      </c>
      <c r="B494" s="267" t="s">
        <v>424</v>
      </c>
      <c r="C494" s="268">
        <v>268</v>
      </c>
      <c r="D494" s="268">
        <v>365</v>
      </c>
      <c r="E494" s="268">
        <v>633</v>
      </c>
      <c r="F494" s="268">
        <v>6582718.2422548505</v>
      </c>
      <c r="G494" s="268">
        <v>10871797.4730662</v>
      </c>
      <c r="H494" s="268">
        <v>17454515.715321101</v>
      </c>
      <c r="I494" s="267" t="s">
        <v>633</v>
      </c>
      <c r="J494" s="267" t="s">
        <v>122</v>
      </c>
      <c r="K494" s="267">
        <v>632430</v>
      </c>
      <c r="L494" s="267" t="s">
        <v>766</v>
      </c>
      <c r="M494"/>
      <c r="N494"/>
      <c r="O494"/>
      <c r="P494"/>
      <c r="Q494" s="151"/>
      <c r="R494"/>
      <c r="S494"/>
      <c r="T494"/>
      <c r="U494"/>
      <c r="V494"/>
    </row>
    <row r="495" spans="1:22" x14ac:dyDescent="0.2">
      <c r="A495" s="267" t="s">
        <v>239</v>
      </c>
      <c r="B495" s="267" t="s">
        <v>254</v>
      </c>
      <c r="C495" s="268">
        <v>2487</v>
      </c>
      <c r="D495" s="268">
        <v>2571</v>
      </c>
      <c r="E495" s="268">
        <v>5058</v>
      </c>
      <c r="F495" s="268">
        <v>50809772.816403396</v>
      </c>
      <c r="G495" s="268">
        <v>60084931.839221403</v>
      </c>
      <c r="H495" s="268">
        <v>110894704.655625</v>
      </c>
      <c r="I495" s="267" t="s">
        <v>633</v>
      </c>
      <c r="J495" s="267" t="s">
        <v>121</v>
      </c>
      <c r="K495" s="267">
        <v>634386</v>
      </c>
      <c r="L495" s="267" t="s">
        <v>707</v>
      </c>
      <c r="M495"/>
      <c r="N495"/>
      <c r="O495"/>
      <c r="P495"/>
      <c r="Q495" s="151"/>
      <c r="R495"/>
      <c r="S495"/>
      <c r="T495"/>
      <c r="U495"/>
      <c r="V495"/>
    </row>
    <row r="496" spans="1:22" x14ac:dyDescent="0.2">
      <c r="A496" s="267" t="s">
        <v>473</v>
      </c>
      <c r="B496" s="267" t="s">
        <v>484</v>
      </c>
      <c r="C496" s="268">
        <v>6513</v>
      </c>
      <c r="D496" s="268">
        <v>5360</v>
      </c>
      <c r="E496" s="268">
        <v>11873</v>
      </c>
      <c r="F496" s="268">
        <v>232958489.52619502</v>
      </c>
      <c r="G496" s="268">
        <v>241847935.10321999</v>
      </c>
      <c r="H496" s="268">
        <v>474806424.62941504</v>
      </c>
      <c r="I496" s="267" t="s">
        <v>753</v>
      </c>
      <c r="J496" s="267" t="s">
        <v>125</v>
      </c>
      <c r="K496" s="267">
        <v>635623</v>
      </c>
      <c r="L496" s="267" t="s">
        <v>699</v>
      </c>
      <c r="M496"/>
      <c r="N496"/>
      <c r="O496"/>
      <c r="P496"/>
      <c r="Q496" s="151"/>
      <c r="R496"/>
      <c r="S496"/>
      <c r="T496"/>
      <c r="U496"/>
      <c r="V496"/>
    </row>
    <row r="497" spans="1:22" x14ac:dyDescent="0.2">
      <c r="A497" s="267" t="s">
        <v>671</v>
      </c>
      <c r="B497" s="267" t="s">
        <v>187</v>
      </c>
      <c r="C497" s="268">
        <v>90</v>
      </c>
      <c r="D497" s="268">
        <v>183</v>
      </c>
      <c r="E497" s="268">
        <v>273</v>
      </c>
      <c r="F497" s="268">
        <v>2171082.0149248</v>
      </c>
      <c r="G497" s="268">
        <v>5500562.0970918396</v>
      </c>
      <c r="H497" s="268">
        <v>7671644.1120166397</v>
      </c>
      <c r="I497" s="267" t="s">
        <v>753</v>
      </c>
      <c r="J497" s="267" t="s">
        <v>121</v>
      </c>
      <c r="K497" s="267">
        <v>636092</v>
      </c>
      <c r="L497" s="267" t="s">
        <v>182</v>
      </c>
      <c r="M497"/>
      <c r="N497"/>
      <c r="O497"/>
      <c r="P497"/>
      <c r="Q497" s="151"/>
      <c r="R497"/>
      <c r="S497"/>
      <c r="T497"/>
      <c r="U497"/>
      <c r="V497"/>
    </row>
    <row r="498" spans="1:22" x14ac:dyDescent="0.2">
      <c r="A498" s="267" t="s">
        <v>301</v>
      </c>
      <c r="B498" s="267" t="s">
        <v>380</v>
      </c>
      <c r="C498" s="268">
        <v>1898</v>
      </c>
      <c r="D498" s="268">
        <v>1721</v>
      </c>
      <c r="E498" s="268">
        <v>3619</v>
      </c>
      <c r="F498" s="268">
        <v>36682472.160486601</v>
      </c>
      <c r="G498" s="268">
        <v>42454581.9121617</v>
      </c>
      <c r="H498" s="268">
        <v>79137054.072648302</v>
      </c>
      <c r="I498" s="267" t="s">
        <v>633</v>
      </c>
      <c r="J498" s="267" t="s">
        <v>123</v>
      </c>
      <c r="K498" s="267">
        <v>639633</v>
      </c>
      <c r="L498" s="267" t="s">
        <v>792</v>
      </c>
      <c r="M498"/>
      <c r="N498"/>
      <c r="O498"/>
      <c r="P498"/>
      <c r="Q498" s="151"/>
      <c r="R498"/>
      <c r="S498"/>
      <c r="T498"/>
      <c r="U498"/>
      <c r="V498"/>
    </row>
    <row r="499" spans="1:22" x14ac:dyDescent="0.2">
      <c r="A499" s="267" t="s">
        <v>279</v>
      </c>
      <c r="B499" s="267" t="s">
        <v>485</v>
      </c>
      <c r="C499" s="268">
        <v>161</v>
      </c>
      <c r="D499" s="268">
        <v>209</v>
      </c>
      <c r="E499" s="268">
        <v>370</v>
      </c>
      <c r="F499" s="268">
        <v>5802070.0167103298</v>
      </c>
      <c r="G499" s="268">
        <v>6001892.8072033506</v>
      </c>
      <c r="H499" s="268">
        <v>11803962.823913699</v>
      </c>
      <c r="I499" s="267" t="s">
        <v>633</v>
      </c>
      <c r="J499" s="267" t="s">
        <v>121</v>
      </c>
      <c r="K499" s="267">
        <v>639690</v>
      </c>
      <c r="L499" s="267" t="s">
        <v>60</v>
      </c>
      <c r="M499"/>
      <c r="N499"/>
      <c r="O499"/>
      <c r="P499"/>
      <c r="Q499" s="151"/>
      <c r="R499"/>
      <c r="S499"/>
      <c r="T499"/>
      <c r="U499"/>
      <c r="V499"/>
    </row>
    <row r="500" spans="1:22" x14ac:dyDescent="0.2">
      <c r="A500" s="267" t="s">
        <v>730</v>
      </c>
      <c r="B500" s="267" t="s">
        <v>509</v>
      </c>
      <c r="C500" s="268">
        <v>12107</v>
      </c>
      <c r="D500" s="268">
        <v>9493</v>
      </c>
      <c r="E500" s="268">
        <v>21600</v>
      </c>
      <c r="F500" s="268">
        <v>260266474.558956</v>
      </c>
      <c r="G500" s="268">
        <v>237278466.12540999</v>
      </c>
      <c r="H500" s="268">
        <v>497544940.684367</v>
      </c>
      <c r="I500" s="267" t="s">
        <v>753</v>
      </c>
      <c r="J500" s="267" t="s">
        <v>121</v>
      </c>
      <c r="K500" s="267">
        <v>641704</v>
      </c>
      <c r="L500" s="267" t="s">
        <v>174</v>
      </c>
      <c r="M500"/>
      <c r="N500"/>
      <c r="O500"/>
      <c r="P500"/>
      <c r="Q500" s="151"/>
      <c r="R500"/>
      <c r="S500"/>
      <c r="T500"/>
      <c r="U500"/>
      <c r="V500"/>
    </row>
    <row r="501" spans="1:22" x14ac:dyDescent="0.2">
      <c r="A501" s="267" t="s">
        <v>131</v>
      </c>
      <c r="B501" s="267" t="s">
        <v>135</v>
      </c>
      <c r="C501" s="268">
        <v>2846</v>
      </c>
      <c r="D501" s="268">
        <v>2331</v>
      </c>
      <c r="E501" s="268">
        <v>5177</v>
      </c>
      <c r="F501" s="268">
        <v>61482735.935344197</v>
      </c>
      <c r="G501" s="268">
        <v>59879849.103110097</v>
      </c>
      <c r="H501" s="268">
        <v>121362585.038454</v>
      </c>
      <c r="I501" s="267" t="s">
        <v>753</v>
      </c>
      <c r="J501" s="267" t="s">
        <v>121</v>
      </c>
      <c r="K501" s="267">
        <v>642298</v>
      </c>
      <c r="L501" s="267" t="s">
        <v>684</v>
      </c>
      <c r="M501"/>
      <c r="N501"/>
      <c r="O501"/>
      <c r="P501"/>
      <c r="Q501" s="151"/>
      <c r="R501"/>
      <c r="S501"/>
      <c r="T501"/>
      <c r="U501"/>
      <c r="V501"/>
    </row>
    <row r="502" spans="1:22" x14ac:dyDescent="0.2">
      <c r="A502" s="267" t="s">
        <v>270</v>
      </c>
      <c r="B502" s="267" t="s">
        <v>173</v>
      </c>
      <c r="C502" s="268">
        <v>726</v>
      </c>
      <c r="D502" s="268">
        <v>933</v>
      </c>
      <c r="E502" s="268">
        <v>1659</v>
      </c>
      <c r="F502" s="268">
        <v>17629340.895841002</v>
      </c>
      <c r="G502" s="268">
        <v>28265819.0580948</v>
      </c>
      <c r="H502" s="268">
        <v>45895159.953935795</v>
      </c>
      <c r="I502" s="267" t="s">
        <v>753</v>
      </c>
      <c r="J502" s="267" t="s">
        <v>121</v>
      </c>
      <c r="K502" s="267">
        <v>644005</v>
      </c>
      <c r="L502" s="267" t="s">
        <v>677</v>
      </c>
      <c r="M502"/>
      <c r="N502"/>
      <c r="O502"/>
      <c r="P502"/>
      <c r="Q502" s="151"/>
      <c r="R502"/>
      <c r="S502"/>
      <c r="T502"/>
      <c r="U502"/>
      <c r="V502"/>
    </row>
    <row r="503" spans="1:22" x14ac:dyDescent="0.2">
      <c r="A503" s="267" t="s">
        <v>626</v>
      </c>
      <c r="B503" s="267" t="s">
        <v>1103</v>
      </c>
      <c r="C503" s="268">
        <v>1</v>
      </c>
      <c r="D503" s="268">
        <v>4</v>
      </c>
      <c r="E503" s="268">
        <v>5</v>
      </c>
      <c r="F503" s="268">
        <v>42656.814549066803</v>
      </c>
      <c r="G503" s="268">
        <v>62851.012842864402</v>
      </c>
      <c r="H503" s="268">
        <v>105507.827391931</v>
      </c>
      <c r="I503" s="267" t="s">
        <v>633</v>
      </c>
      <c r="J503" s="267" t="s">
        <v>122</v>
      </c>
      <c r="K503" s="267">
        <v>645655</v>
      </c>
      <c r="L503" s="267" t="s">
        <v>15</v>
      </c>
      <c r="M503"/>
      <c r="N503"/>
      <c r="O503"/>
      <c r="P503"/>
      <c r="Q503" s="151"/>
      <c r="R503"/>
      <c r="S503"/>
      <c r="T503"/>
      <c r="U503"/>
      <c r="V503"/>
    </row>
    <row r="504" spans="1:22" x14ac:dyDescent="0.2">
      <c r="A504" s="267" t="s">
        <v>161</v>
      </c>
      <c r="B504" s="267" t="s">
        <v>582</v>
      </c>
      <c r="C504" s="268">
        <v>27</v>
      </c>
      <c r="D504" s="268">
        <v>102</v>
      </c>
      <c r="E504" s="268">
        <v>129</v>
      </c>
      <c r="F504" s="268">
        <v>649343.48862219392</v>
      </c>
      <c r="G504" s="268">
        <v>2339547.8780615097</v>
      </c>
      <c r="H504" s="268">
        <v>2988891.3666837001</v>
      </c>
      <c r="I504" s="267" t="s">
        <v>633</v>
      </c>
      <c r="J504" s="267" t="s">
        <v>121</v>
      </c>
      <c r="K504" s="267">
        <v>645713</v>
      </c>
      <c r="L504" s="267" t="s">
        <v>580</v>
      </c>
      <c r="M504"/>
      <c r="N504"/>
      <c r="O504"/>
      <c r="P504"/>
      <c r="Q504" s="151"/>
      <c r="R504"/>
      <c r="S504"/>
      <c r="T504"/>
      <c r="U504"/>
      <c r="V504"/>
    </row>
    <row r="505" spans="1:22" x14ac:dyDescent="0.2">
      <c r="A505" s="267" t="s">
        <v>730</v>
      </c>
      <c r="B505" s="267" t="s">
        <v>819</v>
      </c>
      <c r="C505" s="268">
        <v>116719</v>
      </c>
      <c r="D505" s="268">
        <v>119859</v>
      </c>
      <c r="E505" s="268">
        <v>236578</v>
      </c>
      <c r="F505" s="268">
        <v>3534829115.6819601</v>
      </c>
      <c r="G505" s="268">
        <v>4644492300.1286201</v>
      </c>
      <c r="H505" s="268">
        <v>8179321415.8105803</v>
      </c>
      <c r="I505" s="267" t="s">
        <v>753</v>
      </c>
      <c r="J505" s="267" t="s">
        <v>121</v>
      </c>
      <c r="K505" s="267">
        <v>645952</v>
      </c>
      <c r="L505" s="267" t="s">
        <v>809</v>
      </c>
      <c r="M505"/>
      <c r="N505"/>
      <c r="O505"/>
      <c r="P505"/>
      <c r="Q505" s="151"/>
      <c r="R505"/>
      <c r="S505"/>
      <c r="T505"/>
      <c r="U505"/>
      <c r="V505"/>
    </row>
    <row r="506" spans="1:22" x14ac:dyDescent="0.2">
      <c r="A506" s="267" t="s">
        <v>671</v>
      </c>
      <c r="B506" s="267" t="s">
        <v>1050</v>
      </c>
      <c r="C506" s="268">
        <v>85</v>
      </c>
      <c r="D506" s="268">
        <v>120</v>
      </c>
      <c r="E506" s="268">
        <v>205</v>
      </c>
      <c r="F506" s="268">
        <v>2013179.4726920801</v>
      </c>
      <c r="G506" s="268">
        <v>3018761.9592424701</v>
      </c>
      <c r="H506" s="268">
        <v>5031941.4319345504</v>
      </c>
      <c r="I506" s="267" t="s">
        <v>753</v>
      </c>
      <c r="J506" s="267" t="s">
        <v>121</v>
      </c>
      <c r="K506" s="267">
        <v>647487</v>
      </c>
      <c r="L506" s="267" t="s">
        <v>838</v>
      </c>
      <c r="M506"/>
      <c r="N506"/>
      <c r="O506"/>
      <c r="P506"/>
      <c r="Q506" s="151"/>
      <c r="R506"/>
      <c r="S506"/>
      <c r="T506"/>
      <c r="U506"/>
      <c r="V506"/>
    </row>
    <row r="507" spans="1:22" x14ac:dyDescent="0.2">
      <c r="A507" s="267" t="s">
        <v>301</v>
      </c>
      <c r="B507" s="267" t="s">
        <v>933</v>
      </c>
      <c r="C507" s="268">
        <v>78</v>
      </c>
      <c r="D507" s="268">
        <v>58</v>
      </c>
      <c r="E507" s="268">
        <v>136</v>
      </c>
      <c r="F507" s="268">
        <v>1160536.59479415</v>
      </c>
      <c r="G507" s="268">
        <v>952889.73176704196</v>
      </c>
      <c r="H507" s="268">
        <v>2113426.3265611902</v>
      </c>
      <c r="I507" s="267" t="s">
        <v>633</v>
      </c>
      <c r="J507" s="267" t="s">
        <v>123</v>
      </c>
      <c r="K507" s="267">
        <v>647669</v>
      </c>
      <c r="L507" s="267" t="s">
        <v>58</v>
      </c>
      <c r="M507"/>
      <c r="N507"/>
      <c r="O507"/>
      <c r="P507"/>
      <c r="Q507" s="151"/>
      <c r="R507"/>
      <c r="S507"/>
      <c r="T507"/>
      <c r="U507"/>
      <c r="V507"/>
    </row>
    <row r="508" spans="1:22" x14ac:dyDescent="0.2">
      <c r="A508" s="267" t="s">
        <v>546</v>
      </c>
      <c r="B508" s="267" t="s">
        <v>609</v>
      </c>
      <c r="C508" s="268">
        <v>6792</v>
      </c>
      <c r="D508" s="268">
        <v>5930</v>
      </c>
      <c r="E508" s="268">
        <v>12722</v>
      </c>
      <c r="F508" s="268">
        <v>212845245.80489501</v>
      </c>
      <c r="G508" s="268">
        <v>215506393.01045802</v>
      </c>
      <c r="H508" s="268">
        <v>428351638.81535298</v>
      </c>
      <c r="I508" s="267" t="s">
        <v>753</v>
      </c>
      <c r="J508" s="267" t="s">
        <v>122</v>
      </c>
      <c r="K508" s="267">
        <v>648964</v>
      </c>
      <c r="L508" s="267" t="s">
        <v>703</v>
      </c>
      <c r="M508"/>
      <c r="N508"/>
      <c r="O508"/>
      <c r="P508"/>
      <c r="Q508" s="151"/>
      <c r="R508"/>
      <c r="S508"/>
      <c r="T508"/>
      <c r="U508"/>
      <c r="V508"/>
    </row>
    <row r="509" spans="1:22" x14ac:dyDescent="0.2">
      <c r="A509" s="267" t="s">
        <v>368</v>
      </c>
      <c r="B509" s="267" t="s">
        <v>815</v>
      </c>
      <c r="C509" s="268">
        <v>972</v>
      </c>
      <c r="D509" s="268">
        <v>1661</v>
      </c>
      <c r="E509" s="268">
        <v>2633</v>
      </c>
      <c r="F509" s="268">
        <v>16949963.011888102</v>
      </c>
      <c r="G509" s="268">
        <v>38035420.644889399</v>
      </c>
      <c r="H509" s="268">
        <v>54985383.656777397</v>
      </c>
      <c r="I509" s="267" t="s">
        <v>753</v>
      </c>
      <c r="J509" s="267" t="s">
        <v>121</v>
      </c>
      <c r="K509" s="267">
        <v>649491</v>
      </c>
      <c r="L509" s="267" t="s">
        <v>1128</v>
      </c>
      <c r="M509"/>
      <c r="N509"/>
      <c r="O509"/>
      <c r="P509"/>
      <c r="Q509" s="151"/>
      <c r="R509"/>
      <c r="S509"/>
      <c r="T509"/>
      <c r="U509"/>
      <c r="V509"/>
    </row>
    <row r="510" spans="1:22" x14ac:dyDescent="0.2">
      <c r="A510" s="267" t="s">
        <v>102</v>
      </c>
      <c r="B510" s="267" t="s">
        <v>130</v>
      </c>
      <c r="C510" s="268">
        <v>16985</v>
      </c>
      <c r="D510" s="268">
        <v>18745</v>
      </c>
      <c r="E510" s="268">
        <v>35730</v>
      </c>
      <c r="F510" s="268">
        <v>310890878.79291999</v>
      </c>
      <c r="G510" s="268">
        <v>425162343.21595103</v>
      </c>
      <c r="H510" s="268">
        <v>736053222.00887001</v>
      </c>
      <c r="I510" s="267" t="s">
        <v>753</v>
      </c>
      <c r="J510" s="267" t="s">
        <v>121</v>
      </c>
      <c r="K510" s="267">
        <v>650200</v>
      </c>
      <c r="L510" s="267" t="s">
        <v>776</v>
      </c>
      <c r="M510"/>
      <c r="N510"/>
      <c r="O510"/>
      <c r="P510"/>
      <c r="Q510" s="151"/>
      <c r="R510"/>
      <c r="S510"/>
      <c r="T510"/>
      <c r="U510"/>
      <c r="V510"/>
    </row>
    <row r="511" spans="1:22" x14ac:dyDescent="0.2">
      <c r="A511" s="267" t="s">
        <v>301</v>
      </c>
      <c r="B511" s="267" t="s">
        <v>972</v>
      </c>
      <c r="C511" s="268">
        <v>3765</v>
      </c>
      <c r="D511" s="268">
        <v>4957</v>
      </c>
      <c r="E511" s="268">
        <v>8722</v>
      </c>
      <c r="F511" s="268">
        <v>353615273.39637101</v>
      </c>
      <c r="G511" s="268">
        <v>538559146.63480294</v>
      </c>
      <c r="H511" s="268">
        <v>892174420.03117299</v>
      </c>
      <c r="I511" s="267" t="s">
        <v>753</v>
      </c>
      <c r="J511" s="267" t="s">
        <v>123</v>
      </c>
      <c r="K511" s="267">
        <v>651141</v>
      </c>
      <c r="L511" s="267" t="s">
        <v>734</v>
      </c>
      <c r="M511"/>
      <c r="N511"/>
      <c r="O511"/>
      <c r="P511"/>
      <c r="Q511" s="151"/>
      <c r="R511"/>
      <c r="S511"/>
      <c r="T511"/>
      <c r="U511"/>
      <c r="V511"/>
    </row>
    <row r="512" spans="1:22" x14ac:dyDescent="0.2">
      <c r="A512" s="267" t="s">
        <v>44</v>
      </c>
      <c r="B512" s="267" t="s">
        <v>71</v>
      </c>
      <c r="C512" s="268">
        <v>40</v>
      </c>
      <c r="D512" s="268">
        <v>57</v>
      </c>
      <c r="E512" s="268">
        <v>97</v>
      </c>
      <c r="F512" s="268">
        <v>747161.91529845214</v>
      </c>
      <c r="G512" s="268">
        <v>1017699.87585767</v>
      </c>
      <c r="H512" s="268">
        <v>1764861.7911561199</v>
      </c>
      <c r="I512" s="267" t="s">
        <v>633</v>
      </c>
      <c r="J512" s="267" t="s">
        <v>121</v>
      </c>
      <c r="K512" s="267">
        <v>651380</v>
      </c>
      <c r="L512" s="267" t="s">
        <v>756</v>
      </c>
      <c r="M512"/>
      <c r="N512"/>
      <c r="O512"/>
      <c r="P512"/>
      <c r="Q512" s="151"/>
      <c r="R512"/>
      <c r="S512"/>
      <c r="T512"/>
      <c r="U512"/>
      <c r="V512"/>
    </row>
    <row r="513" spans="1:22" x14ac:dyDescent="0.2">
      <c r="A513" s="267" t="s">
        <v>226</v>
      </c>
      <c r="B513" s="267" t="s">
        <v>227</v>
      </c>
      <c r="C513" s="268">
        <v>574</v>
      </c>
      <c r="D513" s="268">
        <v>822</v>
      </c>
      <c r="E513" s="268">
        <v>1396</v>
      </c>
      <c r="F513" s="268">
        <v>8142340.3967995299</v>
      </c>
      <c r="G513" s="268">
        <v>15367975.5749235</v>
      </c>
      <c r="H513" s="268">
        <v>23510315.971723001</v>
      </c>
      <c r="I513" s="267" t="s">
        <v>633</v>
      </c>
      <c r="J513" s="267" t="s">
        <v>121</v>
      </c>
      <c r="K513" s="267">
        <v>652628</v>
      </c>
      <c r="L513" s="267" t="s">
        <v>758</v>
      </c>
      <c r="M513"/>
      <c r="N513"/>
      <c r="O513"/>
      <c r="P513"/>
      <c r="Q513" s="151"/>
      <c r="R513"/>
      <c r="S513"/>
      <c r="T513"/>
      <c r="U513"/>
      <c r="V513"/>
    </row>
    <row r="514" spans="1:22" x14ac:dyDescent="0.2">
      <c r="A514" s="267" t="s">
        <v>727</v>
      </c>
      <c r="B514" s="267" t="s">
        <v>822</v>
      </c>
      <c r="C514" s="268">
        <v>388</v>
      </c>
      <c r="D514" s="268">
        <v>848</v>
      </c>
      <c r="E514" s="268">
        <v>1236</v>
      </c>
      <c r="F514" s="268">
        <v>9251151.4145780392</v>
      </c>
      <c r="G514" s="268">
        <v>22433570.057446603</v>
      </c>
      <c r="H514" s="268">
        <v>31684721.472024702</v>
      </c>
      <c r="I514" s="267" t="s">
        <v>753</v>
      </c>
      <c r="J514" s="267" t="s">
        <v>121</v>
      </c>
      <c r="K514" s="267">
        <v>653030</v>
      </c>
      <c r="L514" s="267" t="s">
        <v>684</v>
      </c>
      <c r="M514"/>
      <c r="N514"/>
      <c r="O514"/>
      <c r="P514"/>
      <c r="Q514" s="151"/>
      <c r="R514"/>
      <c r="S514"/>
      <c r="T514"/>
      <c r="U514"/>
      <c r="V514"/>
    </row>
    <row r="515" spans="1:22" x14ac:dyDescent="0.2">
      <c r="A515" s="267" t="s">
        <v>367</v>
      </c>
      <c r="B515" s="267" t="s">
        <v>110</v>
      </c>
      <c r="C515" s="268">
        <v>4045</v>
      </c>
      <c r="D515" s="268">
        <v>5249</v>
      </c>
      <c r="E515" s="268">
        <v>9294</v>
      </c>
      <c r="F515" s="268">
        <v>52842567.993098199</v>
      </c>
      <c r="G515" s="268">
        <v>94963095.745493203</v>
      </c>
      <c r="H515" s="268">
        <v>147805663.73859099</v>
      </c>
      <c r="I515" s="267" t="s">
        <v>633</v>
      </c>
      <c r="J515" s="267" t="s">
        <v>121</v>
      </c>
      <c r="K515" s="267">
        <v>653097</v>
      </c>
      <c r="L515" s="267" t="s">
        <v>505</v>
      </c>
      <c r="M515"/>
      <c r="N515"/>
      <c r="O515"/>
      <c r="P515"/>
      <c r="Q515" s="151"/>
      <c r="R515"/>
      <c r="S515"/>
      <c r="T515"/>
      <c r="U515"/>
      <c r="V515"/>
    </row>
    <row r="516" spans="1:22" x14ac:dyDescent="0.2">
      <c r="A516" s="267" t="s">
        <v>44</v>
      </c>
      <c r="B516" s="267" t="s">
        <v>51</v>
      </c>
      <c r="C516" s="268">
        <v>3583</v>
      </c>
      <c r="D516" s="268">
        <v>4093</v>
      </c>
      <c r="E516" s="268">
        <v>7676</v>
      </c>
      <c r="F516" s="268">
        <v>61785838.101490103</v>
      </c>
      <c r="G516" s="268">
        <v>83812709.957548499</v>
      </c>
      <c r="H516" s="268">
        <v>145598548.05903903</v>
      </c>
      <c r="I516" s="267" t="s">
        <v>753</v>
      </c>
      <c r="J516" s="267" t="s">
        <v>121</v>
      </c>
      <c r="K516" s="267">
        <v>654459</v>
      </c>
      <c r="L516" s="267" t="s">
        <v>680</v>
      </c>
      <c r="M516"/>
      <c r="N516"/>
      <c r="O516"/>
      <c r="P516"/>
      <c r="Q516" s="151"/>
      <c r="R516"/>
      <c r="S516"/>
      <c r="T516"/>
      <c r="U516"/>
      <c r="V516"/>
    </row>
    <row r="517" spans="1:22" x14ac:dyDescent="0.2">
      <c r="A517" s="267" t="s">
        <v>491</v>
      </c>
      <c r="B517" s="267" t="s">
        <v>545</v>
      </c>
      <c r="C517" s="268">
        <v>142</v>
      </c>
      <c r="D517" s="268">
        <v>133</v>
      </c>
      <c r="E517" s="268">
        <v>275</v>
      </c>
      <c r="F517" s="268">
        <v>5074898.2757382002</v>
      </c>
      <c r="G517" s="268">
        <v>6360316.7985957097</v>
      </c>
      <c r="H517" s="268">
        <v>11435215.074333901</v>
      </c>
      <c r="I517" s="267" t="s">
        <v>753</v>
      </c>
      <c r="J517" s="267" t="s">
        <v>122</v>
      </c>
      <c r="K517" s="267">
        <v>654988</v>
      </c>
      <c r="L517" s="267" t="s">
        <v>675</v>
      </c>
      <c r="M517"/>
      <c r="N517"/>
      <c r="O517"/>
      <c r="P517"/>
      <c r="Q517" s="151"/>
      <c r="R517"/>
      <c r="S517"/>
      <c r="T517"/>
      <c r="U517"/>
      <c r="V517"/>
    </row>
    <row r="518" spans="1:22" x14ac:dyDescent="0.2">
      <c r="A518" s="267" t="s">
        <v>724</v>
      </c>
      <c r="B518" s="267" t="s">
        <v>406</v>
      </c>
      <c r="C518" s="268">
        <v>486</v>
      </c>
      <c r="D518" s="268">
        <v>429</v>
      </c>
      <c r="E518" s="268">
        <v>915</v>
      </c>
      <c r="F518" s="268">
        <v>3120100.4686723198</v>
      </c>
      <c r="G518" s="268">
        <v>4691071.7278948203</v>
      </c>
      <c r="H518" s="268">
        <v>7811172.1965671405</v>
      </c>
      <c r="I518" s="267" t="s">
        <v>753</v>
      </c>
      <c r="J518" s="267" t="s">
        <v>121</v>
      </c>
      <c r="K518" s="267">
        <v>656637</v>
      </c>
      <c r="L518" s="267" t="s">
        <v>404</v>
      </c>
      <c r="M518"/>
      <c r="N518"/>
      <c r="O518"/>
      <c r="P518"/>
      <c r="Q518" s="151"/>
      <c r="R518"/>
      <c r="S518"/>
      <c r="T518"/>
      <c r="U518"/>
      <c r="V518"/>
    </row>
    <row r="519" spans="1:22" x14ac:dyDescent="0.2">
      <c r="A519" s="267" t="s">
        <v>301</v>
      </c>
      <c r="B519" s="267" t="s">
        <v>320</v>
      </c>
      <c r="C519" s="268">
        <v>341</v>
      </c>
      <c r="D519" s="268">
        <v>318</v>
      </c>
      <c r="E519" s="268">
        <v>659</v>
      </c>
      <c r="F519" s="268">
        <v>5424569.5360583998</v>
      </c>
      <c r="G519" s="268">
        <v>6233742.0397452703</v>
      </c>
      <c r="H519" s="268">
        <v>11658311.575803699</v>
      </c>
      <c r="I519" s="267" t="s">
        <v>633</v>
      </c>
      <c r="J519" s="267" t="s">
        <v>123</v>
      </c>
      <c r="K519" s="267">
        <v>657460</v>
      </c>
      <c r="L519" s="267" t="s">
        <v>766</v>
      </c>
      <c r="M519"/>
      <c r="N519"/>
      <c r="O519"/>
      <c r="P519"/>
      <c r="Q519" s="151"/>
      <c r="R519"/>
      <c r="S519"/>
      <c r="T519"/>
      <c r="U519"/>
      <c r="V519"/>
    </row>
    <row r="520" spans="1:22" x14ac:dyDescent="0.2">
      <c r="A520" s="267" t="s">
        <v>367</v>
      </c>
      <c r="B520" s="267" t="s">
        <v>318</v>
      </c>
      <c r="C520" s="268">
        <v>113</v>
      </c>
      <c r="D520" s="268">
        <v>211</v>
      </c>
      <c r="E520" s="268">
        <v>324</v>
      </c>
      <c r="F520" s="268">
        <v>2874184.8256191001</v>
      </c>
      <c r="G520" s="268">
        <v>6384240.7264804402</v>
      </c>
      <c r="H520" s="268">
        <v>9258425.5520995408</v>
      </c>
      <c r="I520" s="267" t="s">
        <v>753</v>
      </c>
      <c r="J520" s="267" t="s">
        <v>121</v>
      </c>
      <c r="K520" s="267">
        <v>660290</v>
      </c>
      <c r="L520" s="267" t="s">
        <v>32</v>
      </c>
      <c r="M520"/>
      <c r="N520"/>
      <c r="O520"/>
      <c r="P520"/>
      <c r="Q520" s="151"/>
      <c r="R520"/>
      <c r="S520"/>
      <c r="T520"/>
      <c r="U520"/>
      <c r="V520"/>
    </row>
    <row r="521" spans="1:22" x14ac:dyDescent="0.2">
      <c r="A521" s="267" t="s">
        <v>369</v>
      </c>
      <c r="B521" s="267" t="s">
        <v>569</v>
      </c>
      <c r="C521" s="268">
        <v>4885</v>
      </c>
      <c r="D521" s="268">
        <v>6972</v>
      </c>
      <c r="E521" s="268">
        <v>11857</v>
      </c>
      <c r="F521" s="268">
        <v>91680649.400308296</v>
      </c>
      <c r="G521" s="268">
        <v>164724830.38449702</v>
      </c>
      <c r="H521" s="268">
        <v>256405479.784805</v>
      </c>
      <c r="I521" s="267" t="s">
        <v>633</v>
      </c>
      <c r="J521" s="267" t="s">
        <v>121</v>
      </c>
      <c r="K521" s="267">
        <v>661066</v>
      </c>
      <c r="L521" s="267" t="s">
        <v>760</v>
      </c>
      <c r="M521"/>
      <c r="N521"/>
      <c r="O521"/>
      <c r="P521"/>
      <c r="Q521" s="151"/>
      <c r="R521"/>
      <c r="S521"/>
      <c r="T521"/>
      <c r="U521"/>
      <c r="V521"/>
    </row>
    <row r="522" spans="1:22" x14ac:dyDescent="0.2">
      <c r="A522" s="267" t="s">
        <v>727</v>
      </c>
      <c r="B522" s="267" t="s">
        <v>184</v>
      </c>
      <c r="C522" s="268">
        <v>10440</v>
      </c>
      <c r="D522" s="268">
        <v>12015</v>
      </c>
      <c r="E522" s="268">
        <v>22455</v>
      </c>
      <c r="F522" s="268">
        <v>274848162.004722</v>
      </c>
      <c r="G522" s="268">
        <v>388231433.190229</v>
      </c>
      <c r="H522" s="268">
        <v>663079595.19495106</v>
      </c>
      <c r="I522" s="267" t="s">
        <v>753</v>
      </c>
      <c r="J522" s="267" t="s">
        <v>121</v>
      </c>
      <c r="K522" s="267">
        <v>661124</v>
      </c>
      <c r="L522" s="267" t="s">
        <v>182</v>
      </c>
      <c r="M522"/>
      <c r="N522"/>
      <c r="O522"/>
      <c r="P522"/>
      <c r="Q522" s="151"/>
      <c r="R522"/>
      <c r="S522"/>
      <c r="T522"/>
      <c r="U522"/>
      <c r="V522"/>
    </row>
    <row r="523" spans="1:22" x14ac:dyDescent="0.2">
      <c r="A523" s="267" t="s">
        <v>615</v>
      </c>
      <c r="B523" s="267" t="s">
        <v>1061</v>
      </c>
      <c r="C523" s="268">
        <v>12</v>
      </c>
      <c r="D523" s="268">
        <v>13</v>
      </c>
      <c r="E523" s="268">
        <v>25</v>
      </c>
      <c r="F523" s="268">
        <v>298329.13048017299</v>
      </c>
      <c r="G523" s="268">
        <v>309912.89653755602</v>
      </c>
      <c r="H523" s="268">
        <v>608242.02701772901</v>
      </c>
      <c r="I523" s="267" t="s">
        <v>633</v>
      </c>
      <c r="J523" s="267" t="s">
        <v>122</v>
      </c>
      <c r="K523" s="267">
        <v>664482</v>
      </c>
      <c r="L523" s="267" t="s">
        <v>766</v>
      </c>
      <c r="M523"/>
      <c r="N523"/>
      <c r="O523"/>
      <c r="P523"/>
      <c r="Q523" s="151"/>
      <c r="R523"/>
      <c r="S523"/>
      <c r="T523"/>
      <c r="U523"/>
      <c r="V523"/>
    </row>
    <row r="524" spans="1:22" x14ac:dyDescent="0.2">
      <c r="A524" s="267" t="s">
        <v>279</v>
      </c>
      <c r="B524" s="267" t="s">
        <v>287</v>
      </c>
      <c r="C524" s="268">
        <v>177</v>
      </c>
      <c r="D524" s="268">
        <v>211</v>
      </c>
      <c r="E524" s="268">
        <v>388</v>
      </c>
      <c r="F524" s="268">
        <v>3091151.5843017302</v>
      </c>
      <c r="G524" s="268">
        <v>5528267.20178572</v>
      </c>
      <c r="H524" s="268">
        <v>8619418.786087459</v>
      </c>
      <c r="I524" s="267" t="s">
        <v>633</v>
      </c>
      <c r="J524" s="267" t="s">
        <v>121</v>
      </c>
      <c r="K524" s="267">
        <v>665315</v>
      </c>
      <c r="L524" s="267" t="s">
        <v>992</v>
      </c>
      <c r="M524"/>
      <c r="N524"/>
      <c r="O524"/>
      <c r="P524"/>
      <c r="Q524" s="151"/>
      <c r="R524"/>
      <c r="S524"/>
      <c r="T524"/>
      <c r="U524"/>
      <c r="V524"/>
    </row>
    <row r="525" spans="1:22" x14ac:dyDescent="0.2">
      <c r="A525" s="267" t="s">
        <v>293</v>
      </c>
      <c r="B525" s="267" t="s">
        <v>366</v>
      </c>
      <c r="C525" s="268">
        <v>10438</v>
      </c>
      <c r="D525" s="268">
        <v>9172</v>
      </c>
      <c r="E525" s="268">
        <v>19610</v>
      </c>
      <c r="F525" s="268">
        <v>221617776.24341801</v>
      </c>
      <c r="G525" s="268">
        <v>230197247.68875101</v>
      </c>
      <c r="H525" s="268">
        <v>451815023.93216902</v>
      </c>
      <c r="I525" s="267" t="s">
        <v>753</v>
      </c>
      <c r="J525" s="267" t="s">
        <v>123</v>
      </c>
      <c r="K525" s="267">
        <v>665372</v>
      </c>
      <c r="L525" s="267" t="s">
        <v>677</v>
      </c>
      <c r="M525"/>
      <c r="N525"/>
      <c r="O525"/>
      <c r="P525"/>
      <c r="Q525" s="151"/>
      <c r="R525"/>
      <c r="S525"/>
      <c r="T525"/>
      <c r="U525"/>
      <c r="V525"/>
    </row>
    <row r="526" spans="1:22" x14ac:dyDescent="0.2">
      <c r="A526" s="267" t="s">
        <v>208</v>
      </c>
      <c r="B526" s="267" t="s">
        <v>1037</v>
      </c>
      <c r="C526" s="268">
        <v>0</v>
      </c>
      <c r="D526" s="268">
        <v>1</v>
      </c>
      <c r="E526" s="268">
        <v>1</v>
      </c>
      <c r="F526" s="268">
        <v>0</v>
      </c>
      <c r="G526" s="268">
        <v>13849.256898998099</v>
      </c>
      <c r="H526" s="268">
        <v>13849.256898998099</v>
      </c>
      <c r="I526" s="267" t="s">
        <v>633</v>
      </c>
      <c r="J526" s="267" t="s">
        <v>121</v>
      </c>
      <c r="K526" s="267">
        <v>666313</v>
      </c>
      <c r="L526" s="267" t="s">
        <v>1038</v>
      </c>
      <c r="M526"/>
      <c r="N526"/>
      <c r="O526"/>
      <c r="P526"/>
      <c r="Q526" s="151"/>
      <c r="R526"/>
      <c r="S526"/>
      <c r="T526"/>
      <c r="U526"/>
      <c r="V526"/>
    </row>
    <row r="527" spans="1:22" x14ac:dyDescent="0.2">
      <c r="A527" s="267" t="s">
        <v>367</v>
      </c>
      <c r="B527" s="267" t="s">
        <v>739</v>
      </c>
      <c r="C527" s="268">
        <v>65</v>
      </c>
      <c r="D527" s="268">
        <v>143</v>
      </c>
      <c r="E527" s="268">
        <v>208</v>
      </c>
      <c r="F527" s="268">
        <v>1585836.5466935299</v>
      </c>
      <c r="G527" s="268">
        <v>3657841.4876145297</v>
      </c>
      <c r="H527" s="268">
        <v>5243678.0343080601</v>
      </c>
      <c r="I527" s="267" t="s">
        <v>633</v>
      </c>
      <c r="J527" s="267" t="s">
        <v>121</v>
      </c>
      <c r="K527" s="267">
        <v>666370</v>
      </c>
      <c r="L527" s="267" t="s">
        <v>126</v>
      </c>
      <c r="M527"/>
      <c r="N527"/>
      <c r="O527"/>
      <c r="P527"/>
      <c r="Q527" s="151"/>
      <c r="R527"/>
      <c r="S527"/>
      <c r="T527"/>
      <c r="U527"/>
      <c r="V527"/>
    </row>
    <row r="528" spans="1:22" x14ac:dyDescent="0.2">
      <c r="A528" s="267" t="s">
        <v>44</v>
      </c>
      <c r="B528" s="267" t="s">
        <v>778</v>
      </c>
      <c r="C528" s="268">
        <v>7508</v>
      </c>
      <c r="D528" s="268">
        <v>7210</v>
      </c>
      <c r="E528" s="268">
        <v>14718</v>
      </c>
      <c r="F528" s="268">
        <v>93622664.761109307</v>
      </c>
      <c r="G528" s="268">
        <v>115575154.41481499</v>
      </c>
      <c r="H528" s="268">
        <v>209197819.175924</v>
      </c>
      <c r="I528" s="267" t="s">
        <v>633</v>
      </c>
      <c r="J528" s="267" t="s">
        <v>121</v>
      </c>
      <c r="K528" s="267">
        <v>666495</v>
      </c>
      <c r="L528" s="267" t="s">
        <v>777</v>
      </c>
      <c r="M528"/>
      <c r="N528"/>
      <c r="O528"/>
      <c r="P528"/>
      <c r="Q528" s="151"/>
      <c r="R528"/>
      <c r="S528"/>
      <c r="T528"/>
      <c r="U528"/>
      <c r="V528"/>
    </row>
    <row r="529" spans="1:22" x14ac:dyDescent="0.2">
      <c r="A529" s="267" t="s">
        <v>611</v>
      </c>
      <c r="B529" s="267" t="s">
        <v>510</v>
      </c>
      <c r="C529" s="268">
        <v>8988</v>
      </c>
      <c r="D529" s="268">
        <v>8659</v>
      </c>
      <c r="E529" s="268">
        <v>17647</v>
      </c>
      <c r="F529" s="268">
        <v>285213277.19534999</v>
      </c>
      <c r="G529" s="268">
        <v>361032955.17817497</v>
      </c>
      <c r="H529" s="268">
        <v>646246232.37352502</v>
      </c>
      <c r="I529" s="267" t="s">
        <v>753</v>
      </c>
      <c r="J529" s="267" t="s">
        <v>122</v>
      </c>
      <c r="K529" s="267">
        <v>666552</v>
      </c>
      <c r="L529" s="267" t="s">
        <v>174</v>
      </c>
      <c r="M529"/>
      <c r="N529"/>
      <c r="O529"/>
      <c r="P529"/>
      <c r="Q529" s="151"/>
      <c r="R529"/>
      <c r="S529"/>
      <c r="T529"/>
      <c r="U529"/>
      <c r="V529"/>
    </row>
    <row r="530" spans="1:22" x14ac:dyDescent="0.2">
      <c r="A530" s="267" t="s">
        <v>748</v>
      </c>
      <c r="B530" s="267" t="s">
        <v>1127</v>
      </c>
      <c r="C530" s="268">
        <v>2415</v>
      </c>
      <c r="D530" s="268">
        <v>3296</v>
      </c>
      <c r="E530" s="268">
        <v>5711</v>
      </c>
      <c r="F530" s="268">
        <v>29341984.337763</v>
      </c>
      <c r="G530" s="268">
        <v>51907838.9392116</v>
      </c>
      <c r="H530" s="268">
        <v>81249823.276974604</v>
      </c>
      <c r="I530" s="267" t="s">
        <v>633</v>
      </c>
      <c r="J530" s="267" t="s">
        <v>121</v>
      </c>
      <c r="K530" s="267">
        <v>668269</v>
      </c>
      <c r="L530" s="267" t="s">
        <v>766</v>
      </c>
      <c r="M530"/>
      <c r="N530"/>
      <c r="O530"/>
      <c r="P530"/>
      <c r="Q530" s="151"/>
      <c r="R530"/>
      <c r="S530"/>
      <c r="T530"/>
      <c r="U530"/>
      <c r="V530"/>
    </row>
    <row r="531" spans="1:22" x14ac:dyDescent="0.2">
      <c r="A531" s="267" t="s">
        <v>161</v>
      </c>
      <c r="B531" s="267" t="s">
        <v>775</v>
      </c>
      <c r="C531" s="268">
        <v>1337</v>
      </c>
      <c r="D531" s="268">
        <v>1847</v>
      </c>
      <c r="E531" s="268">
        <v>3184</v>
      </c>
      <c r="F531" s="268">
        <v>21545796.2460896</v>
      </c>
      <c r="G531" s="268">
        <v>37611102.895619199</v>
      </c>
      <c r="H531" s="268">
        <v>59156899.141708799</v>
      </c>
      <c r="I531" s="267" t="s">
        <v>633</v>
      </c>
      <c r="J531" s="267" t="s">
        <v>121</v>
      </c>
      <c r="K531" s="267">
        <v>670091</v>
      </c>
      <c r="L531" s="267" t="s">
        <v>449</v>
      </c>
      <c r="M531"/>
      <c r="N531"/>
      <c r="O531"/>
      <c r="P531"/>
      <c r="Q531" s="151"/>
      <c r="R531"/>
      <c r="S531"/>
      <c r="T531"/>
      <c r="U531"/>
      <c r="V531"/>
    </row>
    <row r="532" spans="1:22" x14ac:dyDescent="0.2">
      <c r="A532" s="267" t="s">
        <v>473</v>
      </c>
      <c r="B532" s="267" t="s">
        <v>489</v>
      </c>
      <c r="C532" s="268">
        <v>7896</v>
      </c>
      <c r="D532" s="268">
        <v>6215</v>
      </c>
      <c r="E532" s="268">
        <v>14111</v>
      </c>
      <c r="F532" s="268">
        <v>322451395.96009803</v>
      </c>
      <c r="G532" s="268">
        <v>319645387.76106703</v>
      </c>
      <c r="H532" s="268">
        <v>642096783.72116399</v>
      </c>
      <c r="I532" s="267" t="s">
        <v>753</v>
      </c>
      <c r="J532" s="267" t="s">
        <v>125</v>
      </c>
      <c r="K532" s="267">
        <v>671453</v>
      </c>
      <c r="L532" s="267" t="s">
        <v>699</v>
      </c>
      <c r="M532"/>
      <c r="N532"/>
      <c r="O532"/>
      <c r="P532"/>
      <c r="Q532" s="151"/>
      <c r="R532"/>
      <c r="S532"/>
      <c r="T532"/>
      <c r="U532"/>
      <c r="V532"/>
    </row>
    <row r="533" spans="1:22" x14ac:dyDescent="0.2">
      <c r="A533" s="267" t="s">
        <v>368</v>
      </c>
      <c r="B533" s="267" t="s">
        <v>31</v>
      </c>
      <c r="C533" s="268">
        <v>4129</v>
      </c>
      <c r="D533" s="268">
        <v>6309</v>
      </c>
      <c r="E533" s="268">
        <v>10438</v>
      </c>
      <c r="F533" s="268">
        <v>87686346.029358298</v>
      </c>
      <c r="G533" s="268">
        <v>172610979.06746</v>
      </c>
      <c r="H533" s="268">
        <v>260297325.09681901</v>
      </c>
      <c r="I533" s="267" t="s">
        <v>753</v>
      </c>
      <c r="J533" s="267" t="s">
        <v>121</v>
      </c>
      <c r="K533" s="267">
        <v>671982</v>
      </c>
      <c r="L533" s="267" t="s">
        <v>838</v>
      </c>
      <c r="M533"/>
      <c r="N533"/>
      <c r="O533"/>
      <c r="P533"/>
      <c r="Q533" s="151"/>
      <c r="R533"/>
      <c r="S533"/>
      <c r="T533"/>
      <c r="U533"/>
      <c r="V533"/>
    </row>
    <row r="534" spans="1:22" x14ac:dyDescent="0.2">
      <c r="A534" s="267" t="s">
        <v>546</v>
      </c>
      <c r="B534" s="267" t="s">
        <v>511</v>
      </c>
      <c r="C534" s="268">
        <v>27609</v>
      </c>
      <c r="D534" s="268">
        <v>20293</v>
      </c>
      <c r="E534" s="268">
        <v>47902</v>
      </c>
      <c r="F534" s="268">
        <v>756558533.17034495</v>
      </c>
      <c r="G534" s="268">
        <v>656590810.42372799</v>
      </c>
      <c r="H534" s="268">
        <v>1413149343.59407</v>
      </c>
      <c r="I534" s="267" t="s">
        <v>753</v>
      </c>
      <c r="J534" s="267" t="s">
        <v>122</v>
      </c>
      <c r="K534" s="267">
        <v>677534</v>
      </c>
      <c r="L534" s="267" t="s">
        <v>174</v>
      </c>
      <c r="M534"/>
      <c r="N534"/>
      <c r="O534"/>
      <c r="P534"/>
      <c r="Q534" s="151"/>
      <c r="R534"/>
      <c r="S534"/>
      <c r="T534"/>
      <c r="U534"/>
      <c r="V534"/>
    </row>
    <row r="535" spans="1:22" x14ac:dyDescent="0.2">
      <c r="A535" s="267" t="s">
        <v>102</v>
      </c>
      <c r="B535" s="267" t="s">
        <v>104</v>
      </c>
      <c r="C535" s="268">
        <v>862</v>
      </c>
      <c r="D535" s="268">
        <v>696</v>
      </c>
      <c r="E535" s="268">
        <v>1558</v>
      </c>
      <c r="F535" s="268">
        <v>15676829.950868601</v>
      </c>
      <c r="G535" s="268">
        <v>15694363.998526201</v>
      </c>
      <c r="H535" s="268">
        <v>31371193.9493949</v>
      </c>
      <c r="I535" s="267" t="s">
        <v>753</v>
      </c>
      <c r="J535" s="267" t="s">
        <v>121</v>
      </c>
      <c r="K535" s="267">
        <v>678128</v>
      </c>
      <c r="L535" s="267" t="s">
        <v>684</v>
      </c>
      <c r="M535"/>
      <c r="N535"/>
      <c r="O535"/>
      <c r="P535"/>
      <c r="Q535" s="151"/>
      <c r="R535"/>
      <c r="S535"/>
      <c r="T535"/>
      <c r="U535"/>
      <c r="V535"/>
    </row>
    <row r="536" spans="1:22" x14ac:dyDescent="0.2">
      <c r="A536" s="267" t="s">
        <v>369</v>
      </c>
      <c r="B536" s="267" t="s">
        <v>356</v>
      </c>
      <c r="C536" s="268">
        <v>13150</v>
      </c>
      <c r="D536" s="268">
        <v>18599</v>
      </c>
      <c r="E536" s="268">
        <v>31749</v>
      </c>
      <c r="F536" s="268">
        <v>291405714.347166</v>
      </c>
      <c r="G536" s="268">
        <v>511486931.38875997</v>
      </c>
      <c r="H536" s="268">
        <v>802892645.73592603</v>
      </c>
      <c r="I536" s="267" t="s">
        <v>753</v>
      </c>
      <c r="J536" s="267" t="s">
        <v>121</v>
      </c>
      <c r="K536" s="267">
        <v>679837</v>
      </c>
      <c r="L536" s="267" t="s">
        <v>677</v>
      </c>
      <c r="M536"/>
      <c r="N536"/>
      <c r="O536"/>
      <c r="P536"/>
      <c r="Q536" s="151"/>
      <c r="R536"/>
      <c r="S536"/>
      <c r="T536"/>
      <c r="U536"/>
      <c r="V536"/>
    </row>
    <row r="537" spans="1:22" x14ac:dyDescent="0.2">
      <c r="A537" s="267" t="s">
        <v>546</v>
      </c>
      <c r="B537" s="267" t="s">
        <v>512</v>
      </c>
      <c r="C537" s="268">
        <v>5328</v>
      </c>
      <c r="D537" s="268">
        <v>4252</v>
      </c>
      <c r="E537" s="268">
        <v>9580</v>
      </c>
      <c r="F537" s="268">
        <v>164826985.78040102</v>
      </c>
      <c r="G537" s="268">
        <v>164987359.23232201</v>
      </c>
      <c r="H537" s="268">
        <v>329814345.01272303</v>
      </c>
      <c r="I537" s="267" t="s">
        <v>753</v>
      </c>
      <c r="J537" s="267" t="s">
        <v>122</v>
      </c>
      <c r="K537" s="267">
        <v>680546</v>
      </c>
      <c r="L537" s="267" t="s">
        <v>174</v>
      </c>
      <c r="M537"/>
      <c r="N537"/>
      <c r="O537"/>
      <c r="P537"/>
      <c r="Q537" s="151"/>
      <c r="R537"/>
      <c r="S537"/>
      <c r="T537"/>
      <c r="U537"/>
      <c r="V537"/>
    </row>
    <row r="538" spans="1:22" x14ac:dyDescent="0.2">
      <c r="A538" s="267" t="s">
        <v>44</v>
      </c>
      <c r="B538" s="267" t="s">
        <v>1104</v>
      </c>
      <c r="C538" s="268">
        <v>0</v>
      </c>
      <c r="D538" s="268">
        <v>2</v>
      </c>
      <c r="E538" s="268">
        <v>2</v>
      </c>
      <c r="F538" s="268">
        <v>0</v>
      </c>
      <c r="G538" s="268">
        <v>40353.120272449705</v>
      </c>
      <c r="H538" s="268">
        <v>40353.120272449705</v>
      </c>
      <c r="I538" s="267" t="s">
        <v>633</v>
      </c>
      <c r="J538" s="267" t="s">
        <v>121</v>
      </c>
      <c r="K538" s="267">
        <v>681486</v>
      </c>
      <c r="L538" s="267" t="s">
        <v>15</v>
      </c>
      <c r="M538"/>
      <c r="N538"/>
      <c r="O538"/>
      <c r="P538"/>
      <c r="Q538" s="151"/>
      <c r="R538"/>
      <c r="S538"/>
      <c r="T538"/>
      <c r="U538"/>
      <c r="V538"/>
    </row>
    <row r="539" spans="1:22" x14ac:dyDescent="0.2">
      <c r="A539" s="267" t="s">
        <v>161</v>
      </c>
      <c r="B539" s="267" t="s">
        <v>583</v>
      </c>
      <c r="C539" s="268">
        <v>10</v>
      </c>
      <c r="D539" s="268">
        <v>15</v>
      </c>
      <c r="E539" s="268">
        <v>25</v>
      </c>
      <c r="F539" s="268">
        <v>294450.49398144701</v>
      </c>
      <c r="G539" s="268">
        <v>379435.45830472006</v>
      </c>
      <c r="H539" s="268">
        <v>673885.952286168</v>
      </c>
      <c r="I539" s="267" t="s">
        <v>633</v>
      </c>
      <c r="J539" s="267" t="s">
        <v>121</v>
      </c>
      <c r="K539" s="267">
        <v>681544</v>
      </c>
      <c r="L539" s="267" t="s">
        <v>580</v>
      </c>
      <c r="M539"/>
      <c r="N539"/>
      <c r="O539"/>
      <c r="P539"/>
      <c r="Q539" s="151"/>
      <c r="R539"/>
      <c r="S539"/>
      <c r="T539"/>
      <c r="U539"/>
      <c r="V539"/>
    </row>
    <row r="540" spans="1:22" x14ac:dyDescent="0.2">
      <c r="A540" s="267" t="s">
        <v>671</v>
      </c>
      <c r="B540" s="267" t="s">
        <v>820</v>
      </c>
      <c r="C540" s="268">
        <v>128014</v>
      </c>
      <c r="D540" s="268">
        <v>136060</v>
      </c>
      <c r="E540" s="268">
        <v>264074</v>
      </c>
      <c r="F540" s="268">
        <v>4427950978.4785595</v>
      </c>
      <c r="G540" s="268">
        <v>5936845224.9998798</v>
      </c>
      <c r="H540" s="268">
        <v>10364796203.478399</v>
      </c>
      <c r="I540" s="267" t="s">
        <v>753</v>
      </c>
      <c r="J540" s="267" t="s">
        <v>121</v>
      </c>
      <c r="K540" s="267">
        <v>681783</v>
      </c>
      <c r="L540" s="267" t="s">
        <v>809</v>
      </c>
      <c r="M540"/>
      <c r="N540"/>
      <c r="O540"/>
      <c r="P540"/>
      <c r="Q540" s="151"/>
      <c r="R540"/>
      <c r="S540"/>
      <c r="T540"/>
      <c r="U540"/>
      <c r="V540"/>
    </row>
    <row r="541" spans="1:22" x14ac:dyDescent="0.2">
      <c r="A541" s="267" t="s">
        <v>546</v>
      </c>
      <c r="B541" s="267" t="s">
        <v>111</v>
      </c>
      <c r="C541" s="268">
        <v>3042</v>
      </c>
      <c r="D541" s="268">
        <v>2862</v>
      </c>
      <c r="E541" s="268">
        <v>5904</v>
      </c>
      <c r="F541" s="268">
        <v>94099447.256077006</v>
      </c>
      <c r="G541" s="268">
        <v>109152392.119504</v>
      </c>
      <c r="H541" s="268">
        <v>203251839.37558103</v>
      </c>
      <c r="I541" s="267" t="s">
        <v>633</v>
      </c>
      <c r="J541" s="267" t="s">
        <v>122</v>
      </c>
      <c r="K541" s="267">
        <v>682377</v>
      </c>
      <c r="L541" s="267" t="s">
        <v>677</v>
      </c>
      <c r="M541"/>
      <c r="N541"/>
      <c r="O541"/>
      <c r="P541"/>
      <c r="Q541" s="151"/>
      <c r="R541"/>
      <c r="S541"/>
      <c r="T541"/>
      <c r="U541"/>
      <c r="V541"/>
    </row>
    <row r="542" spans="1:22" x14ac:dyDescent="0.2">
      <c r="A542" s="267" t="s">
        <v>727</v>
      </c>
      <c r="B542" s="267" t="s">
        <v>1033</v>
      </c>
      <c r="C542" s="268">
        <v>6</v>
      </c>
      <c r="D542" s="268">
        <v>8</v>
      </c>
      <c r="E542" s="268">
        <v>14</v>
      </c>
      <c r="F542" s="268">
        <v>194258.72369280001</v>
      </c>
      <c r="G542" s="268">
        <v>300053.51641395001</v>
      </c>
      <c r="H542" s="268">
        <v>494312.24010674999</v>
      </c>
      <c r="I542" s="267" t="s">
        <v>753</v>
      </c>
      <c r="J542" s="267" t="s">
        <v>121</v>
      </c>
      <c r="K542" s="267">
        <v>683318</v>
      </c>
      <c r="L542" s="267" t="s">
        <v>684</v>
      </c>
      <c r="M542"/>
      <c r="N542"/>
      <c r="O542"/>
      <c r="P542"/>
      <c r="Q542" s="151"/>
      <c r="R542"/>
      <c r="S542"/>
      <c r="T542"/>
      <c r="U542"/>
      <c r="V542"/>
    </row>
    <row r="543" spans="1:22" x14ac:dyDescent="0.2">
      <c r="A543" s="267" t="s">
        <v>131</v>
      </c>
      <c r="B543" s="267" t="s">
        <v>692</v>
      </c>
      <c r="C543" s="268">
        <v>69</v>
      </c>
      <c r="D543" s="268">
        <v>84</v>
      </c>
      <c r="E543" s="268">
        <v>153</v>
      </c>
      <c r="F543" s="268">
        <v>1379599.8322082001</v>
      </c>
      <c r="G543" s="268">
        <v>2446184.3068371299</v>
      </c>
      <c r="H543" s="268">
        <v>3825784.1390453302</v>
      </c>
      <c r="I543" s="267" t="s">
        <v>633</v>
      </c>
      <c r="J543" s="267" t="s">
        <v>121</v>
      </c>
      <c r="K543" s="267">
        <v>683490</v>
      </c>
      <c r="L543" s="267" t="s">
        <v>58</v>
      </c>
      <c r="M543"/>
      <c r="N543"/>
      <c r="O543"/>
      <c r="P543"/>
      <c r="Q543" s="151"/>
      <c r="R543"/>
      <c r="S543"/>
      <c r="T543"/>
      <c r="U543"/>
      <c r="V543"/>
    </row>
    <row r="544" spans="1:22" x14ac:dyDescent="0.2">
      <c r="A544" s="267" t="s">
        <v>102</v>
      </c>
      <c r="B544" s="267" t="s">
        <v>105</v>
      </c>
      <c r="C544" s="268">
        <v>4812</v>
      </c>
      <c r="D544" s="268">
        <v>5276</v>
      </c>
      <c r="E544" s="268">
        <v>10088</v>
      </c>
      <c r="F544" s="268">
        <v>97602352.379196301</v>
      </c>
      <c r="G544" s="268">
        <v>129708828.384371</v>
      </c>
      <c r="H544" s="268">
        <v>227311180.763567</v>
      </c>
      <c r="I544" s="267" t="s">
        <v>753</v>
      </c>
      <c r="J544" s="267" t="s">
        <v>121</v>
      </c>
      <c r="K544" s="267">
        <v>684795</v>
      </c>
      <c r="L544" s="267" t="s">
        <v>703</v>
      </c>
      <c r="M544"/>
      <c r="N544"/>
      <c r="O544"/>
      <c r="P544"/>
      <c r="Q544" s="151"/>
      <c r="R544"/>
      <c r="S544"/>
      <c r="T544"/>
      <c r="U544"/>
      <c r="V544"/>
    </row>
    <row r="545" spans="1:22" x14ac:dyDescent="0.2">
      <c r="A545" s="267" t="s">
        <v>44</v>
      </c>
      <c r="B545" s="267" t="s">
        <v>56</v>
      </c>
      <c r="C545" s="268">
        <v>21785</v>
      </c>
      <c r="D545" s="268">
        <v>19387</v>
      </c>
      <c r="E545" s="268">
        <v>41172</v>
      </c>
      <c r="F545" s="268">
        <v>358950938.93157899</v>
      </c>
      <c r="G545" s="268">
        <v>386458149.43710798</v>
      </c>
      <c r="H545" s="268">
        <v>745409088.36868799</v>
      </c>
      <c r="I545" s="267" t="s">
        <v>753</v>
      </c>
      <c r="J545" s="267" t="s">
        <v>121</v>
      </c>
      <c r="K545" s="267">
        <v>686030</v>
      </c>
      <c r="L545" s="267" t="s">
        <v>776</v>
      </c>
      <c r="M545"/>
      <c r="N545"/>
      <c r="O545"/>
      <c r="P545"/>
      <c r="Q545" s="151"/>
      <c r="R545"/>
      <c r="S545"/>
      <c r="T545"/>
      <c r="U545"/>
      <c r="V545"/>
    </row>
    <row r="546" spans="1:22" x14ac:dyDescent="0.2">
      <c r="A546" s="267" t="s">
        <v>102</v>
      </c>
      <c r="B546" s="267" t="s">
        <v>140</v>
      </c>
      <c r="C546" s="268">
        <v>243</v>
      </c>
      <c r="D546" s="268">
        <v>332</v>
      </c>
      <c r="E546" s="268">
        <v>575</v>
      </c>
      <c r="F546" s="268">
        <v>3598680.4303265102</v>
      </c>
      <c r="G546" s="268">
        <v>6718111.8734218506</v>
      </c>
      <c r="H546" s="268">
        <v>10316792.303748401</v>
      </c>
      <c r="I546" s="267" t="s">
        <v>633</v>
      </c>
      <c r="J546" s="267" t="s">
        <v>121</v>
      </c>
      <c r="K546" s="267">
        <v>686626</v>
      </c>
      <c r="L546" s="267" t="s">
        <v>88</v>
      </c>
      <c r="M546"/>
      <c r="N546"/>
      <c r="O546"/>
      <c r="P546"/>
      <c r="Q546" s="151"/>
      <c r="R546"/>
      <c r="S546"/>
      <c r="T546"/>
      <c r="U546"/>
      <c r="V546"/>
    </row>
    <row r="547" spans="1:22" x14ac:dyDescent="0.2">
      <c r="A547" s="267" t="s">
        <v>301</v>
      </c>
      <c r="B547" s="267" t="s">
        <v>973</v>
      </c>
      <c r="C547" s="268">
        <v>218</v>
      </c>
      <c r="D547" s="268">
        <v>445</v>
      </c>
      <c r="E547" s="268">
        <v>663</v>
      </c>
      <c r="F547" s="268">
        <v>17607432.908070598</v>
      </c>
      <c r="G547" s="268">
        <v>44299760.7604561</v>
      </c>
      <c r="H547" s="268">
        <v>61907193.668526597</v>
      </c>
      <c r="I547" s="267" t="s">
        <v>753</v>
      </c>
      <c r="J547" s="267" t="s">
        <v>123</v>
      </c>
      <c r="K547" s="267">
        <v>686972</v>
      </c>
      <c r="L547" s="267" t="s">
        <v>734</v>
      </c>
      <c r="M547"/>
      <c r="N547"/>
      <c r="O547"/>
      <c r="P547"/>
      <c r="Q547" s="151"/>
      <c r="R547"/>
      <c r="S547"/>
      <c r="T547"/>
      <c r="U547"/>
      <c r="V547"/>
    </row>
    <row r="548" spans="1:22" x14ac:dyDescent="0.2">
      <c r="A548" s="267" t="s">
        <v>367</v>
      </c>
      <c r="B548" s="267" t="s">
        <v>873</v>
      </c>
      <c r="C548" s="268">
        <v>6518</v>
      </c>
      <c r="D548" s="268">
        <v>10782</v>
      </c>
      <c r="E548" s="268">
        <v>17300</v>
      </c>
      <c r="F548" s="268">
        <v>144378065.29205403</v>
      </c>
      <c r="G548" s="268">
        <v>310878615.36046302</v>
      </c>
      <c r="H548" s="268">
        <v>455256680.65251702</v>
      </c>
      <c r="I548" s="267" t="s">
        <v>753</v>
      </c>
      <c r="J548" s="267" t="s">
        <v>121</v>
      </c>
      <c r="K548" s="267">
        <v>688457</v>
      </c>
      <c r="L548" s="267" t="s">
        <v>836</v>
      </c>
      <c r="M548"/>
      <c r="N548"/>
      <c r="O548"/>
      <c r="P548"/>
      <c r="Q548" s="151"/>
      <c r="R548"/>
      <c r="S548"/>
      <c r="T548"/>
      <c r="U548"/>
      <c r="V548"/>
    </row>
    <row r="549" spans="1:22" x14ac:dyDescent="0.2">
      <c r="A549" s="267" t="s">
        <v>301</v>
      </c>
      <c r="B549" s="267" t="s">
        <v>435</v>
      </c>
      <c r="C549" s="268">
        <v>160</v>
      </c>
      <c r="D549" s="268">
        <v>237</v>
      </c>
      <c r="E549" s="268">
        <v>397</v>
      </c>
      <c r="F549" s="268">
        <v>5723172.6699562501</v>
      </c>
      <c r="G549" s="268">
        <v>10023700.706297301</v>
      </c>
      <c r="H549" s="268">
        <v>15746873.376253501</v>
      </c>
      <c r="I549" s="267" t="s">
        <v>633</v>
      </c>
      <c r="J549" s="267" t="s">
        <v>123</v>
      </c>
      <c r="K549" s="267">
        <v>688861</v>
      </c>
      <c r="L549" s="267" t="s">
        <v>878</v>
      </c>
      <c r="M549"/>
      <c r="N549"/>
      <c r="O549"/>
      <c r="P549"/>
      <c r="Q549" s="151"/>
      <c r="R549"/>
      <c r="S549"/>
      <c r="T549"/>
      <c r="U549"/>
      <c r="V549"/>
    </row>
    <row r="550" spans="1:22" x14ac:dyDescent="0.2">
      <c r="A550" s="267" t="s">
        <v>270</v>
      </c>
      <c r="B550" s="267" t="s">
        <v>197</v>
      </c>
      <c r="C550" s="268">
        <v>555</v>
      </c>
      <c r="D550" s="268">
        <v>667</v>
      </c>
      <c r="E550" s="268">
        <v>1222</v>
      </c>
      <c r="F550" s="268">
        <v>8665439.90634479</v>
      </c>
      <c r="G550" s="268">
        <v>12151130.9846818</v>
      </c>
      <c r="H550" s="268">
        <v>20816570.891026601</v>
      </c>
      <c r="I550" s="267" t="s">
        <v>633</v>
      </c>
      <c r="J550" s="267" t="s">
        <v>121</v>
      </c>
      <c r="K550" s="267">
        <v>688986</v>
      </c>
      <c r="L550" s="267" t="s">
        <v>423</v>
      </c>
      <c r="M550"/>
      <c r="N550"/>
      <c r="O550"/>
      <c r="P550"/>
      <c r="Q550" s="151"/>
      <c r="R550"/>
      <c r="S550"/>
      <c r="T550"/>
      <c r="U550"/>
      <c r="V550"/>
    </row>
    <row r="551" spans="1:22" x14ac:dyDescent="0.2">
      <c r="A551" s="267" t="s">
        <v>671</v>
      </c>
      <c r="B551" s="267" t="s">
        <v>681</v>
      </c>
      <c r="C551" s="268">
        <v>7150</v>
      </c>
      <c r="D551" s="268">
        <v>7790</v>
      </c>
      <c r="E551" s="268">
        <v>14940</v>
      </c>
      <c r="F551" s="268">
        <v>188781556.82866701</v>
      </c>
      <c r="G551" s="268">
        <v>250712594.940658</v>
      </c>
      <c r="H551" s="268">
        <v>439494151.76932502</v>
      </c>
      <c r="I551" s="267" t="s">
        <v>753</v>
      </c>
      <c r="J551" s="267" t="s">
        <v>121</v>
      </c>
      <c r="K551" s="267">
        <v>690289</v>
      </c>
      <c r="L551" s="267" t="s">
        <v>680</v>
      </c>
      <c r="M551"/>
      <c r="N551"/>
      <c r="O551"/>
      <c r="P551"/>
      <c r="Q551" s="151"/>
      <c r="R551"/>
      <c r="S551"/>
      <c r="T551"/>
      <c r="U551"/>
      <c r="V551"/>
    </row>
    <row r="552" spans="1:22" x14ac:dyDescent="0.2">
      <c r="A552" s="267" t="s">
        <v>626</v>
      </c>
      <c r="B552" s="267" t="s">
        <v>833</v>
      </c>
      <c r="C552" s="268">
        <v>549</v>
      </c>
      <c r="D552" s="268">
        <v>763</v>
      </c>
      <c r="E552" s="268">
        <v>1312</v>
      </c>
      <c r="F552" s="268">
        <v>19785104.320911601</v>
      </c>
      <c r="G552" s="268">
        <v>32312939.837105799</v>
      </c>
      <c r="H552" s="268">
        <v>52098044.158017397</v>
      </c>
      <c r="I552" s="267" t="s">
        <v>633</v>
      </c>
      <c r="J552" s="267" t="s">
        <v>122</v>
      </c>
      <c r="K552" s="267">
        <v>690636</v>
      </c>
      <c r="L552" s="267" t="s">
        <v>362</v>
      </c>
      <c r="M552"/>
      <c r="N552"/>
      <c r="O552"/>
      <c r="P552"/>
      <c r="Q552" s="151"/>
      <c r="R552"/>
      <c r="S552"/>
      <c r="T552"/>
      <c r="U552"/>
      <c r="V552"/>
    </row>
    <row r="553" spans="1:22" x14ac:dyDescent="0.2">
      <c r="A553" s="267" t="s">
        <v>145</v>
      </c>
      <c r="B553" s="267" t="s">
        <v>206</v>
      </c>
      <c r="C553" s="268">
        <v>12</v>
      </c>
      <c r="D553" s="268">
        <v>16</v>
      </c>
      <c r="E553" s="268">
        <v>28</v>
      </c>
      <c r="F553" s="268">
        <v>419836.95048936497</v>
      </c>
      <c r="G553" s="268">
        <v>286027.03982197604</v>
      </c>
      <c r="H553" s="268">
        <v>705863.99031134101</v>
      </c>
      <c r="I553" s="267" t="s">
        <v>633</v>
      </c>
      <c r="J553" s="267" t="s">
        <v>121</v>
      </c>
      <c r="K553" s="267">
        <v>690693</v>
      </c>
      <c r="L553" s="267" t="s">
        <v>423</v>
      </c>
      <c r="M553"/>
      <c r="N553"/>
      <c r="O553"/>
      <c r="P553"/>
      <c r="Q553" s="151"/>
      <c r="R553"/>
      <c r="S553"/>
      <c r="T553"/>
      <c r="U553"/>
      <c r="V553"/>
    </row>
    <row r="554" spans="1:22" x14ac:dyDescent="0.2">
      <c r="A554" s="267" t="s">
        <v>301</v>
      </c>
      <c r="B554" s="267" t="s">
        <v>971</v>
      </c>
      <c r="C554" s="268">
        <v>504</v>
      </c>
      <c r="D554" s="268">
        <v>1025</v>
      </c>
      <c r="E554" s="268">
        <v>1529</v>
      </c>
      <c r="F554" s="268">
        <v>39765928.572246701</v>
      </c>
      <c r="G554" s="268">
        <v>97518244.606473908</v>
      </c>
      <c r="H554" s="268">
        <v>137284173.17872101</v>
      </c>
      <c r="I554" s="267" t="s">
        <v>753</v>
      </c>
      <c r="J554" s="267" t="s">
        <v>123</v>
      </c>
      <c r="K554" s="267">
        <v>691220</v>
      </c>
      <c r="L554" s="267" t="s">
        <v>969</v>
      </c>
      <c r="M554"/>
      <c r="N554"/>
      <c r="O554"/>
      <c r="P554"/>
      <c r="Q554" s="151"/>
      <c r="R554"/>
      <c r="S554"/>
      <c r="T554"/>
      <c r="U554"/>
      <c r="V554"/>
    </row>
    <row r="555" spans="1:22" x14ac:dyDescent="0.2">
      <c r="A555" s="267" t="s">
        <v>724</v>
      </c>
      <c r="B555" s="267" t="s">
        <v>929</v>
      </c>
      <c r="C555" s="268">
        <v>3845</v>
      </c>
      <c r="D555" s="268">
        <v>4262</v>
      </c>
      <c r="E555" s="268">
        <v>8107</v>
      </c>
      <c r="F555" s="268">
        <v>99204830.240891397</v>
      </c>
      <c r="G555" s="268">
        <v>134819121.80788302</v>
      </c>
      <c r="H555" s="268">
        <v>234023952.048774</v>
      </c>
      <c r="I555" s="267" t="s">
        <v>753</v>
      </c>
      <c r="J555" s="267" t="s">
        <v>121</v>
      </c>
      <c r="K555" s="267">
        <v>694539</v>
      </c>
      <c r="L555" s="267" t="s">
        <v>763</v>
      </c>
      <c r="M555"/>
      <c r="N555"/>
      <c r="O555"/>
      <c r="P555"/>
      <c r="Q555" s="151"/>
      <c r="R555"/>
      <c r="S555"/>
      <c r="T555"/>
      <c r="U555"/>
      <c r="V555"/>
    </row>
    <row r="556" spans="1:22" x14ac:dyDescent="0.2">
      <c r="A556" s="267" t="s">
        <v>44</v>
      </c>
      <c r="B556" s="267" t="s">
        <v>570</v>
      </c>
      <c r="C556" s="268">
        <v>78</v>
      </c>
      <c r="D556" s="268">
        <v>92</v>
      </c>
      <c r="E556" s="268">
        <v>170</v>
      </c>
      <c r="F556" s="268">
        <v>1598906.6052552899</v>
      </c>
      <c r="G556" s="268">
        <v>2446418.6636922602</v>
      </c>
      <c r="H556" s="268">
        <v>4045325.2689475496</v>
      </c>
      <c r="I556" s="267" t="s">
        <v>633</v>
      </c>
      <c r="J556" s="267" t="s">
        <v>121</v>
      </c>
      <c r="K556" s="267">
        <v>696898</v>
      </c>
      <c r="L556" s="267" t="s">
        <v>760</v>
      </c>
      <c r="M556"/>
      <c r="N556"/>
      <c r="O556"/>
      <c r="P556"/>
      <c r="Q556" s="151"/>
      <c r="R556"/>
      <c r="S556"/>
      <c r="T556"/>
      <c r="U556"/>
      <c r="V556"/>
    </row>
    <row r="557" spans="1:22" x14ac:dyDescent="0.2">
      <c r="A557" s="267" t="s">
        <v>279</v>
      </c>
      <c r="B557" s="267" t="s">
        <v>860</v>
      </c>
      <c r="C557" s="268">
        <v>76</v>
      </c>
      <c r="D557" s="268">
        <v>142</v>
      </c>
      <c r="E557" s="268">
        <v>218</v>
      </c>
      <c r="F557" s="268">
        <v>1437060.7107047101</v>
      </c>
      <c r="G557" s="268">
        <v>3053010.9727244698</v>
      </c>
      <c r="H557" s="268">
        <v>4490071.6834291704</v>
      </c>
      <c r="I557" s="267" t="s">
        <v>633</v>
      </c>
      <c r="J557" s="267" t="s">
        <v>121</v>
      </c>
      <c r="K557" s="267">
        <v>698605</v>
      </c>
      <c r="L557" s="267" t="s">
        <v>718</v>
      </c>
      <c r="M557"/>
      <c r="N557"/>
      <c r="O557"/>
      <c r="P557"/>
      <c r="Q557" s="151"/>
      <c r="R557"/>
      <c r="S557"/>
      <c r="T557"/>
      <c r="U557"/>
      <c r="V557"/>
    </row>
    <row r="558" spans="1:22" x14ac:dyDescent="0.2">
      <c r="A558" s="267" t="s">
        <v>615</v>
      </c>
      <c r="B558" s="267" t="s">
        <v>1062</v>
      </c>
      <c r="C558" s="268">
        <v>971</v>
      </c>
      <c r="D558" s="268">
        <v>1232</v>
      </c>
      <c r="E558" s="268">
        <v>2203</v>
      </c>
      <c r="F558" s="268">
        <v>27531636.2286903</v>
      </c>
      <c r="G558" s="268">
        <v>40487348.312244296</v>
      </c>
      <c r="H558" s="268">
        <v>68018984.540934592</v>
      </c>
      <c r="I558" s="267" t="s">
        <v>633</v>
      </c>
      <c r="J558" s="267" t="s">
        <v>122</v>
      </c>
      <c r="K558" s="267">
        <v>700310</v>
      </c>
      <c r="L558" s="267" t="s">
        <v>766</v>
      </c>
      <c r="M558"/>
      <c r="N558"/>
      <c r="O558"/>
      <c r="P558"/>
      <c r="Q558" s="151"/>
      <c r="R558"/>
      <c r="S558"/>
      <c r="T558"/>
      <c r="U558"/>
      <c r="V558"/>
    </row>
    <row r="559" spans="1:22" x14ac:dyDescent="0.2">
      <c r="A559" s="267" t="s">
        <v>145</v>
      </c>
      <c r="B559" s="267" t="s">
        <v>513</v>
      </c>
      <c r="C559" s="268">
        <v>5255</v>
      </c>
      <c r="D559" s="268">
        <v>2990</v>
      </c>
      <c r="E559" s="268">
        <v>8245</v>
      </c>
      <c r="F559" s="268">
        <v>276182067.46127403</v>
      </c>
      <c r="G559" s="268">
        <v>195589258.34008902</v>
      </c>
      <c r="H559" s="268">
        <v>471771325.80136299</v>
      </c>
      <c r="I559" s="267" t="s">
        <v>753</v>
      </c>
      <c r="J559" s="267" t="s">
        <v>121</v>
      </c>
      <c r="K559" s="267">
        <v>702381</v>
      </c>
      <c r="L559" s="267" t="s">
        <v>174</v>
      </c>
      <c r="M559"/>
      <c r="N559"/>
      <c r="O559"/>
      <c r="P559"/>
      <c r="Q559" s="151"/>
      <c r="R559"/>
      <c r="S559"/>
      <c r="T559"/>
      <c r="U559"/>
      <c r="V559"/>
    </row>
    <row r="560" spans="1:22" x14ac:dyDescent="0.2">
      <c r="A560" s="267" t="s">
        <v>208</v>
      </c>
      <c r="B560" s="267" t="s">
        <v>425</v>
      </c>
      <c r="C560" s="268">
        <v>214</v>
      </c>
      <c r="D560" s="268">
        <v>436</v>
      </c>
      <c r="E560" s="268">
        <v>650</v>
      </c>
      <c r="F560" s="268">
        <v>2765887.1615019501</v>
      </c>
      <c r="G560" s="268">
        <v>7683955.7050841302</v>
      </c>
      <c r="H560" s="268">
        <v>10449842.8665861</v>
      </c>
      <c r="I560" s="267" t="s">
        <v>633</v>
      </c>
      <c r="J560" s="267" t="s">
        <v>121</v>
      </c>
      <c r="K560" s="267">
        <v>704098</v>
      </c>
      <c r="L560" s="267" t="s">
        <v>766</v>
      </c>
      <c r="M560"/>
      <c r="N560"/>
      <c r="O560"/>
      <c r="P560"/>
      <c r="Q560" s="151"/>
      <c r="R560"/>
      <c r="S560"/>
      <c r="T560"/>
      <c r="U560"/>
      <c r="V560"/>
    </row>
    <row r="561" spans="1:22" x14ac:dyDescent="0.2">
      <c r="A561" s="267" t="s">
        <v>239</v>
      </c>
      <c r="B561" s="267" t="s">
        <v>940</v>
      </c>
      <c r="C561" s="268">
        <v>8285</v>
      </c>
      <c r="D561" s="268">
        <v>9915</v>
      </c>
      <c r="E561" s="268">
        <v>18200</v>
      </c>
      <c r="F561" s="268">
        <v>86040728.067868501</v>
      </c>
      <c r="G561" s="268">
        <v>134666810.11776301</v>
      </c>
      <c r="H561" s="268">
        <v>220707538.18563202</v>
      </c>
      <c r="I561" s="267" t="s">
        <v>753</v>
      </c>
      <c r="J561" s="267" t="s">
        <v>121</v>
      </c>
      <c r="K561" s="267">
        <v>705806</v>
      </c>
      <c r="L561" s="267" t="s">
        <v>941</v>
      </c>
      <c r="M561"/>
      <c r="N561"/>
      <c r="O561"/>
      <c r="P561"/>
      <c r="Q561" s="151"/>
      <c r="R561"/>
      <c r="S561"/>
      <c r="T561"/>
      <c r="U561"/>
      <c r="V561"/>
    </row>
    <row r="562" spans="1:22" x14ac:dyDescent="0.2">
      <c r="A562" s="267" t="s">
        <v>348</v>
      </c>
      <c r="B562" s="267" t="s">
        <v>490</v>
      </c>
      <c r="C562" s="268">
        <v>9799</v>
      </c>
      <c r="D562" s="268">
        <v>8327</v>
      </c>
      <c r="E562" s="268">
        <v>18126</v>
      </c>
      <c r="F562" s="268">
        <v>434597873.23822099</v>
      </c>
      <c r="G562" s="268">
        <v>470339262.96394199</v>
      </c>
      <c r="H562" s="268">
        <v>904937136.20216298</v>
      </c>
      <c r="I562" s="267" t="s">
        <v>753</v>
      </c>
      <c r="J562" s="267" t="s">
        <v>125</v>
      </c>
      <c r="K562" s="267">
        <v>707281</v>
      </c>
      <c r="L562" s="267" t="s">
        <v>699</v>
      </c>
      <c r="M562"/>
      <c r="N562"/>
      <c r="O562"/>
      <c r="P562"/>
      <c r="Q562" s="151"/>
      <c r="R562"/>
      <c r="S562"/>
      <c r="T562"/>
      <c r="U562"/>
      <c r="V562"/>
    </row>
    <row r="563" spans="1:22" x14ac:dyDescent="0.2">
      <c r="A563" s="267" t="s">
        <v>44</v>
      </c>
      <c r="B563" s="267" t="s">
        <v>333</v>
      </c>
      <c r="C563" s="268">
        <v>474</v>
      </c>
      <c r="D563" s="268">
        <v>484</v>
      </c>
      <c r="E563" s="268">
        <v>958</v>
      </c>
      <c r="F563" s="268">
        <v>6417075.5764284106</v>
      </c>
      <c r="G563" s="268">
        <v>7553694.4715414299</v>
      </c>
      <c r="H563" s="268">
        <v>13970770.047969799</v>
      </c>
      <c r="I563" s="267" t="s">
        <v>633</v>
      </c>
      <c r="J563" s="267" t="s">
        <v>121</v>
      </c>
      <c r="K563" s="267">
        <v>707638</v>
      </c>
      <c r="L563" s="267" t="s">
        <v>812</v>
      </c>
      <c r="M563"/>
      <c r="N563"/>
      <c r="O563"/>
      <c r="P563"/>
      <c r="Q563" s="151"/>
      <c r="R563"/>
      <c r="S563"/>
      <c r="T563"/>
      <c r="U563"/>
      <c r="V563"/>
    </row>
    <row r="564" spans="1:22" x14ac:dyDescent="0.2">
      <c r="A564" s="267" t="s">
        <v>279</v>
      </c>
      <c r="B564" s="267" t="s">
        <v>814</v>
      </c>
      <c r="C564" s="268">
        <v>154</v>
      </c>
      <c r="D564" s="268">
        <v>289</v>
      </c>
      <c r="E564" s="268">
        <v>443</v>
      </c>
      <c r="F564" s="268">
        <v>1814357.35989066</v>
      </c>
      <c r="G564" s="268">
        <v>4818972.0559743596</v>
      </c>
      <c r="H564" s="268">
        <v>6633329.4158650199</v>
      </c>
      <c r="I564" s="267" t="s">
        <v>753</v>
      </c>
      <c r="J564" s="267" t="s">
        <v>121</v>
      </c>
      <c r="K564" s="267">
        <v>711945</v>
      </c>
      <c r="L564" s="267" t="s">
        <v>1128</v>
      </c>
      <c r="M564"/>
      <c r="N564"/>
      <c r="O564"/>
      <c r="P564"/>
      <c r="Q564" s="151"/>
      <c r="R564"/>
      <c r="S564"/>
      <c r="T564"/>
      <c r="U564"/>
      <c r="V564"/>
    </row>
    <row r="565" spans="1:22" x14ac:dyDescent="0.2">
      <c r="A565" s="267" t="s">
        <v>208</v>
      </c>
      <c r="B565" s="267" t="s">
        <v>171</v>
      </c>
      <c r="C565" s="268">
        <v>3060</v>
      </c>
      <c r="D565" s="268">
        <v>3944</v>
      </c>
      <c r="E565" s="268">
        <v>7004</v>
      </c>
      <c r="F565" s="268">
        <v>56981924.369808994</v>
      </c>
      <c r="G565" s="268">
        <v>93059986.158167407</v>
      </c>
      <c r="H565" s="268">
        <v>150041910.52797601</v>
      </c>
      <c r="I565" s="267" t="s">
        <v>753</v>
      </c>
      <c r="J565" s="267" t="s">
        <v>121</v>
      </c>
      <c r="K565" s="267">
        <v>715664</v>
      </c>
      <c r="L565" s="267" t="s">
        <v>677</v>
      </c>
      <c r="M565"/>
      <c r="N565"/>
      <c r="O565"/>
      <c r="P565"/>
      <c r="Q565" s="151"/>
      <c r="R565"/>
      <c r="S565"/>
      <c r="T565"/>
      <c r="U565"/>
      <c r="V565"/>
    </row>
    <row r="566" spans="1:22" x14ac:dyDescent="0.2">
      <c r="A566" s="267" t="s">
        <v>301</v>
      </c>
      <c r="B566" s="267" t="s">
        <v>1101</v>
      </c>
      <c r="C566" s="268">
        <v>1</v>
      </c>
      <c r="D566" s="268">
        <v>2</v>
      </c>
      <c r="E566" s="268">
        <v>3</v>
      </c>
      <c r="F566" s="268">
        <v>39215.773397591503</v>
      </c>
      <c r="G566" s="268">
        <v>38225.153338473399</v>
      </c>
      <c r="H566" s="268">
        <v>77440.926736064896</v>
      </c>
      <c r="I566" s="267" t="s">
        <v>633</v>
      </c>
      <c r="J566" s="267" t="s">
        <v>123</v>
      </c>
      <c r="K566" s="267">
        <v>717314</v>
      </c>
      <c r="L566" s="267" t="s">
        <v>15</v>
      </c>
      <c r="M566"/>
      <c r="N566"/>
      <c r="O566"/>
      <c r="P566"/>
      <c r="Q566" s="151"/>
      <c r="R566"/>
      <c r="S566"/>
      <c r="T566"/>
      <c r="U566"/>
      <c r="V566"/>
    </row>
    <row r="567" spans="1:22" x14ac:dyDescent="0.2">
      <c r="A567" s="267" t="s">
        <v>208</v>
      </c>
      <c r="B567" s="267" t="s">
        <v>909</v>
      </c>
      <c r="C567" s="268">
        <v>19</v>
      </c>
      <c r="D567" s="268">
        <v>37</v>
      </c>
      <c r="E567" s="268">
        <v>56</v>
      </c>
      <c r="F567" s="268">
        <v>369379.49591151695</v>
      </c>
      <c r="G567" s="268">
        <v>961506.12715328392</v>
      </c>
      <c r="H567" s="268">
        <v>1330885.6230647999</v>
      </c>
      <c r="I567" s="267" t="s">
        <v>633</v>
      </c>
      <c r="J567" s="267" t="s">
        <v>121</v>
      </c>
      <c r="K567" s="267">
        <v>717371</v>
      </c>
      <c r="L567" s="267" t="s">
        <v>580</v>
      </c>
      <c r="M567"/>
      <c r="N567"/>
      <c r="O567"/>
      <c r="P567"/>
      <c r="Q567" s="151"/>
      <c r="R567"/>
      <c r="S567"/>
      <c r="T567"/>
      <c r="U567"/>
      <c r="V567"/>
    </row>
    <row r="568" spans="1:22" x14ac:dyDescent="0.2">
      <c r="A568" s="267" t="s">
        <v>145</v>
      </c>
      <c r="B568" s="267" t="s">
        <v>157</v>
      </c>
      <c r="C568" s="268">
        <v>2556</v>
      </c>
      <c r="D568" s="268">
        <v>4016</v>
      </c>
      <c r="E568" s="268">
        <v>6572</v>
      </c>
      <c r="F568" s="268">
        <v>42200124.615425698</v>
      </c>
      <c r="G568" s="268">
        <v>82311643.427741498</v>
      </c>
      <c r="H568" s="268">
        <v>124511768.043167</v>
      </c>
      <c r="I568" s="267" t="s">
        <v>633</v>
      </c>
      <c r="J568" s="267" t="s">
        <v>121</v>
      </c>
      <c r="K568" s="267">
        <v>717496</v>
      </c>
      <c r="L568" s="267" t="s">
        <v>777</v>
      </c>
      <c r="M568"/>
      <c r="N568"/>
      <c r="O568"/>
      <c r="P568"/>
      <c r="Q568" s="151"/>
      <c r="R568"/>
      <c r="S568"/>
      <c r="T568"/>
      <c r="U568"/>
      <c r="V568"/>
    </row>
    <row r="569" spans="1:22" x14ac:dyDescent="0.2">
      <c r="A569" s="267" t="s">
        <v>491</v>
      </c>
      <c r="B569" s="267" t="s">
        <v>514</v>
      </c>
      <c r="C569" s="268">
        <v>15194</v>
      </c>
      <c r="D569" s="268">
        <v>11566</v>
      </c>
      <c r="E569" s="268">
        <v>26760</v>
      </c>
      <c r="F569" s="268">
        <v>424260133.759583</v>
      </c>
      <c r="G569" s="268">
        <v>400150238.93859798</v>
      </c>
      <c r="H569" s="268">
        <v>824410372.69818103</v>
      </c>
      <c r="I569" s="267" t="s">
        <v>753</v>
      </c>
      <c r="J569" s="267" t="s">
        <v>122</v>
      </c>
      <c r="K569" s="267">
        <v>717611</v>
      </c>
      <c r="L569" s="267" t="s">
        <v>174</v>
      </c>
      <c r="M569"/>
      <c r="N569"/>
      <c r="O569"/>
      <c r="P569"/>
      <c r="Q569" s="151"/>
      <c r="R569"/>
      <c r="S569"/>
      <c r="T569"/>
      <c r="U569"/>
      <c r="V569"/>
    </row>
    <row r="570" spans="1:22" x14ac:dyDescent="0.2">
      <c r="A570" s="267" t="s">
        <v>491</v>
      </c>
      <c r="B570" s="267" t="s">
        <v>112</v>
      </c>
      <c r="C570" s="268">
        <v>4023</v>
      </c>
      <c r="D570" s="268">
        <v>3221</v>
      </c>
      <c r="E570" s="268">
        <v>7244</v>
      </c>
      <c r="F570" s="268">
        <v>132711295.89590099</v>
      </c>
      <c r="G570" s="268">
        <v>139928073.48485801</v>
      </c>
      <c r="H570" s="268">
        <v>272639369.380759</v>
      </c>
      <c r="I570" s="267" t="s">
        <v>633</v>
      </c>
      <c r="J570" s="267" t="s">
        <v>122</v>
      </c>
      <c r="K570" s="267">
        <v>718205</v>
      </c>
      <c r="L570" s="267" t="s">
        <v>677</v>
      </c>
      <c r="M570"/>
      <c r="N570"/>
      <c r="O570"/>
      <c r="P570"/>
      <c r="Q570" s="151"/>
      <c r="R570"/>
      <c r="S570"/>
      <c r="T570"/>
      <c r="U570"/>
      <c r="V570"/>
    </row>
    <row r="571" spans="1:22" x14ac:dyDescent="0.2">
      <c r="A571" s="267" t="s">
        <v>131</v>
      </c>
      <c r="B571" s="267" t="s">
        <v>134</v>
      </c>
      <c r="C571" s="268">
        <v>5268</v>
      </c>
      <c r="D571" s="268">
        <v>5320</v>
      </c>
      <c r="E571" s="268">
        <v>10588</v>
      </c>
      <c r="F571" s="268">
        <v>86230299.771588594</v>
      </c>
      <c r="G571" s="268">
        <v>113153354.201629</v>
      </c>
      <c r="H571" s="268">
        <v>199383653.97321701</v>
      </c>
      <c r="I571" s="267" t="s">
        <v>753</v>
      </c>
      <c r="J571" s="267" t="s">
        <v>121</v>
      </c>
      <c r="K571" s="267">
        <v>720623</v>
      </c>
      <c r="L571" s="267" t="s">
        <v>703</v>
      </c>
      <c r="M571"/>
      <c r="N571"/>
      <c r="O571"/>
      <c r="P571"/>
      <c r="Q571" s="151"/>
      <c r="R571"/>
      <c r="S571"/>
      <c r="T571"/>
      <c r="U571"/>
      <c r="V571"/>
    </row>
    <row r="572" spans="1:22" x14ac:dyDescent="0.2">
      <c r="A572" s="267" t="s">
        <v>724</v>
      </c>
      <c r="B572" s="267" t="s">
        <v>443</v>
      </c>
      <c r="C572" s="268">
        <v>281</v>
      </c>
      <c r="D572" s="268">
        <v>529</v>
      </c>
      <c r="E572" s="268">
        <v>810</v>
      </c>
      <c r="F572" s="268">
        <v>6606808.0797049003</v>
      </c>
      <c r="G572" s="268">
        <v>14894119.5788635</v>
      </c>
      <c r="H572" s="268">
        <v>21500927.658568401</v>
      </c>
      <c r="I572" s="267" t="s">
        <v>633</v>
      </c>
      <c r="J572" s="267" t="s">
        <v>121</v>
      </c>
      <c r="K572" s="267">
        <v>721035</v>
      </c>
      <c r="L572" s="267" t="s">
        <v>764</v>
      </c>
      <c r="M572"/>
      <c r="N572"/>
      <c r="O572"/>
      <c r="P572"/>
      <c r="Q572" s="151"/>
      <c r="R572"/>
      <c r="S572"/>
      <c r="T572"/>
      <c r="U572"/>
      <c r="V572"/>
    </row>
    <row r="573" spans="1:22" x14ac:dyDescent="0.2">
      <c r="A573" s="267" t="s">
        <v>626</v>
      </c>
      <c r="B573" s="267" t="s">
        <v>955</v>
      </c>
      <c r="C573" s="268">
        <v>2721</v>
      </c>
      <c r="D573" s="268">
        <v>3751</v>
      </c>
      <c r="E573" s="268">
        <v>6472</v>
      </c>
      <c r="F573" s="268">
        <v>71023234.051008597</v>
      </c>
      <c r="G573" s="268">
        <v>123009557.04708</v>
      </c>
      <c r="H573" s="268">
        <v>194032791.098088</v>
      </c>
      <c r="I573" s="267" t="s">
        <v>633</v>
      </c>
      <c r="J573" s="267" t="s">
        <v>122</v>
      </c>
      <c r="K573" s="267">
        <v>721746</v>
      </c>
      <c r="L573" s="267" t="s">
        <v>752</v>
      </c>
      <c r="M573"/>
      <c r="N573"/>
      <c r="O573"/>
      <c r="P573"/>
      <c r="Q573" s="151"/>
      <c r="R573"/>
      <c r="S573"/>
      <c r="T573"/>
      <c r="U573"/>
      <c r="V573"/>
    </row>
    <row r="574" spans="1:22" x14ac:dyDescent="0.2">
      <c r="A574" s="267" t="s">
        <v>671</v>
      </c>
      <c r="B574" s="267" t="s">
        <v>722</v>
      </c>
      <c r="C574" s="268">
        <v>24671</v>
      </c>
      <c r="D574" s="268">
        <v>23893</v>
      </c>
      <c r="E574" s="268">
        <v>48564</v>
      </c>
      <c r="F574" s="268">
        <v>649819327.08685005</v>
      </c>
      <c r="G574" s="268">
        <v>774188443.89078605</v>
      </c>
      <c r="H574" s="268">
        <v>1424007770.9776402</v>
      </c>
      <c r="I574" s="267" t="s">
        <v>753</v>
      </c>
      <c r="J574" s="267" t="s">
        <v>121</v>
      </c>
      <c r="K574" s="267">
        <v>721860</v>
      </c>
      <c r="L574" s="267" t="s">
        <v>776</v>
      </c>
      <c r="M574"/>
      <c r="N574"/>
      <c r="O574"/>
      <c r="P574"/>
      <c r="Q574" s="151"/>
      <c r="R574"/>
      <c r="S574"/>
      <c r="T574"/>
      <c r="U574"/>
      <c r="V574"/>
    </row>
    <row r="575" spans="1:22" x14ac:dyDescent="0.2">
      <c r="A575" s="267" t="s">
        <v>301</v>
      </c>
      <c r="B575" s="267" t="s">
        <v>323</v>
      </c>
      <c r="C575" s="268">
        <v>872</v>
      </c>
      <c r="D575" s="268">
        <v>841</v>
      </c>
      <c r="E575" s="268">
        <v>1713</v>
      </c>
      <c r="F575" s="268">
        <v>13540732.408379499</v>
      </c>
      <c r="G575" s="268">
        <v>15902756.136891998</v>
      </c>
      <c r="H575" s="268">
        <v>29443488.545271501</v>
      </c>
      <c r="I575" s="267" t="s">
        <v>633</v>
      </c>
      <c r="J575" s="267" t="s">
        <v>123</v>
      </c>
      <c r="K575" s="267">
        <v>722454</v>
      </c>
      <c r="L575" s="267" t="s">
        <v>88</v>
      </c>
      <c r="M575"/>
      <c r="N575"/>
      <c r="O575"/>
      <c r="P575"/>
      <c r="Q575" s="151"/>
      <c r="R575"/>
      <c r="S575"/>
      <c r="T575"/>
      <c r="U575"/>
      <c r="V575"/>
    </row>
    <row r="576" spans="1:22" x14ac:dyDescent="0.2">
      <c r="A576" s="267" t="s">
        <v>131</v>
      </c>
      <c r="B576" s="267" t="s">
        <v>141</v>
      </c>
      <c r="C576" s="268">
        <v>7716</v>
      </c>
      <c r="D576" s="268">
        <v>11478</v>
      </c>
      <c r="E576" s="268">
        <v>19194</v>
      </c>
      <c r="F576" s="268">
        <v>143018642.71310401</v>
      </c>
      <c r="G576" s="268">
        <v>286276776.56878901</v>
      </c>
      <c r="H576" s="268">
        <v>429295419.28189403</v>
      </c>
      <c r="I576" s="267" t="s">
        <v>753</v>
      </c>
      <c r="J576" s="267" t="s">
        <v>121</v>
      </c>
      <c r="K576" s="267">
        <v>722983</v>
      </c>
      <c r="L576" s="267" t="s">
        <v>32</v>
      </c>
      <c r="M576"/>
      <c r="N576"/>
      <c r="O576"/>
      <c r="P576"/>
      <c r="Q576" s="151"/>
      <c r="R576"/>
      <c r="S576"/>
      <c r="T576"/>
      <c r="U576"/>
      <c r="V576"/>
    </row>
    <row r="577" spans="1:22" x14ac:dyDescent="0.2">
      <c r="A577" s="267" t="s">
        <v>44</v>
      </c>
      <c r="B577" s="267" t="s">
        <v>417</v>
      </c>
      <c r="C577" s="268">
        <v>26</v>
      </c>
      <c r="D577" s="268">
        <v>48</v>
      </c>
      <c r="E577" s="268">
        <v>74</v>
      </c>
      <c r="F577" s="268">
        <v>544286.28271110903</v>
      </c>
      <c r="G577" s="268">
        <v>1376463.9627056599</v>
      </c>
      <c r="H577" s="268">
        <v>1920750.24541676</v>
      </c>
      <c r="I577" s="267" t="s">
        <v>633</v>
      </c>
      <c r="J577" s="267" t="s">
        <v>121</v>
      </c>
      <c r="K577" s="267">
        <v>724633</v>
      </c>
      <c r="L577" s="267" t="s">
        <v>41</v>
      </c>
      <c r="M577"/>
      <c r="N577"/>
      <c r="O577"/>
      <c r="P577"/>
      <c r="Q577" s="151"/>
      <c r="R577"/>
      <c r="S577"/>
      <c r="T577"/>
      <c r="U577"/>
      <c r="V577"/>
    </row>
    <row r="578" spans="1:22" x14ac:dyDescent="0.2">
      <c r="A578" s="267" t="s">
        <v>279</v>
      </c>
      <c r="B578" s="267" t="s">
        <v>858</v>
      </c>
      <c r="C578" s="268">
        <v>42</v>
      </c>
      <c r="D578" s="268">
        <v>118</v>
      </c>
      <c r="E578" s="268">
        <v>160</v>
      </c>
      <c r="F578" s="268">
        <v>1000655.11743456</v>
      </c>
      <c r="G578" s="268">
        <v>2981516.9141958999</v>
      </c>
      <c r="H578" s="268">
        <v>3982172.0316304499</v>
      </c>
      <c r="I578" s="267" t="s">
        <v>633</v>
      </c>
      <c r="J578" s="267" t="s">
        <v>121</v>
      </c>
      <c r="K578" s="267">
        <v>724690</v>
      </c>
      <c r="L578" s="267" t="s">
        <v>361</v>
      </c>
      <c r="M578"/>
      <c r="N578"/>
      <c r="O578"/>
      <c r="P578"/>
      <c r="Q578" s="151"/>
      <c r="R578"/>
      <c r="S578"/>
      <c r="T578"/>
      <c r="U578"/>
      <c r="V578"/>
    </row>
    <row r="579" spans="1:22" x14ac:dyDescent="0.2">
      <c r="A579" s="267" t="s">
        <v>546</v>
      </c>
      <c r="B579" s="267" t="s">
        <v>551</v>
      </c>
      <c r="C579" s="268">
        <v>7550</v>
      </c>
      <c r="D579" s="268">
        <v>6905</v>
      </c>
      <c r="E579" s="268">
        <v>14455</v>
      </c>
      <c r="F579" s="268">
        <v>189384486.24033302</v>
      </c>
      <c r="G579" s="268">
        <v>214263028.84298199</v>
      </c>
      <c r="H579" s="268">
        <v>403647515.08331501</v>
      </c>
      <c r="I579" s="267" t="s">
        <v>753</v>
      </c>
      <c r="J579" s="267" t="s">
        <v>122</v>
      </c>
      <c r="K579" s="267">
        <v>726117</v>
      </c>
      <c r="L579" s="267" t="s">
        <v>680</v>
      </c>
      <c r="M579"/>
      <c r="N579"/>
      <c r="O579"/>
      <c r="P579"/>
      <c r="Q579" s="151"/>
      <c r="R579"/>
      <c r="S579"/>
      <c r="T579"/>
      <c r="U579"/>
      <c r="V579"/>
    </row>
    <row r="580" spans="1:22" x14ac:dyDescent="0.2">
      <c r="A580" s="267" t="s">
        <v>301</v>
      </c>
      <c r="B580" s="267" t="s">
        <v>968</v>
      </c>
      <c r="C580" s="268">
        <v>2373</v>
      </c>
      <c r="D580" s="268">
        <v>3328</v>
      </c>
      <c r="E580" s="268">
        <v>5701</v>
      </c>
      <c r="F580" s="268">
        <v>210752630.18998799</v>
      </c>
      <c r="G580" s="268">
        <v>352812304.04478699</v>
      </c>
      <c r="H580" s="268">
        <v>563564934.23477495</v>
      </c>
      <c r="I580" s="267" t="s">
        <v>753</v>
      </c>
      <c r="J580" s="267" t="s">
        <v>123</v>
      </c>
      <c r="K580" s="267">
        <v>727057</v>
      </c>
      <c r="L580" s="267" t="s">
        <v>969</v>
      </c>
      <c r="M580"/>
      <c r="N580"/>
      <c r="O580"/>
      <c r="P580"/>
      <c r="Q580" s="151"/>
      <c r="R580"/>
      <c r="S580"/>
      <c r="T580"/>
      <c r="U580"/>
      <c r="V580"/>
    </row>
    <row r="581" spans="1:22" x14ac:dyDescent="0.2">
      <c r="A581" s="267" t="s">
        <v>671</v>
      </c>
      <c r="B581" s="267" t="s">
        <v>923</v>
      </c>
      <c r="C581" s="268">
        <v>8730</v>
      </c>
      <c r="D581" s="268">
        <v>9114</v>
      </c>
      <c r="E581" s="268">
        <v>17844</v>
      </c>
      <c r="F581" s="268">
        <v>218799180.821567</v>
      </c>
      <c r="G581" s="268">
        <v>266340228.72465</v>
      </c>
      <c r="H581" s="268">
        <v>485139409.54621702</v>
      </c>
      <c r="I581" s="267" t="s">
        <v>753</v>
      </c>
      <c r="J581" s="267" t="s">
        <v>121</v>
      </c>
      <c r="K581" s="267">
        <v>730366</v>
      </c>
      <c r="L581" s="267" t="s">
        <v>763</v>
      </c>
      <c r="M581"/>
      <c r="N581"/>
      <c r="O581"/>
      <c r="P581"/>
      <c r="Q581" s="151"/>
      <c r="R581"/>
      <c r="S581"/>
      <c r="T581"/>
      <c r="U581"/>
      <c r="V581"/>
    </row>
    <row r="582" spans="1:22" x14ac:dyDescent="0.2">
      <c r="A582" s="267" t="s">
        <v>44</v>
      </c>
      <c r="B582" s="267" t="s">
        <v>571</v>
      </c>
      <c r="C582" s="268">
        <v>136</v>
      </c>
      <c r="D582" s="268">
        <v>191</v>
      </c>
      <c r="E582" s="268">
        <v>327</v>
      </c>
      <c r="F582" s="268">
        <v>2430326.1643023496</v>
      </c>
      <c r="G582" s="268">
        <v>4290697.6840452598</v>
      </c>
      <c r="H582" s="268">
        <v>6721023.8483476099</v>
      </c>
      <c r="I582" s="267" t="s">
        <v>633</v>
      </c>
      <c r="J582" s="267" t="s">
        <v>121</v>
      </c>
      <c r="K582" s="267">
        <v>732727</v>
      </c>
      <c r="L582" s="267" t="s">
        <v>760</v>
      </c>
      <c r="M582"/>
      <c r="N582"/>
      <c r="O582"/>
      <c r="P582"/>
      <c r="Q582" s="151"/>
      <c r="R582"/>
      <c r="S582"/>
      <c r="T582"/>
      <c r="U582"/>
      <c r="V582"/>
    </row>
    <row r="583" spans="1:22" x14ac:dyDescent="0.2">
      <c r="A583" s="267" t="s">
        <v>279</v>
      </c>
      <c r="B583" s="267" t="s">
        <v>251</v>
      </c>
      <c r="C583" s="268">
        <v>1474</v>
      </c>
      <c r="D583" s="268">
        <v>2206</v>
      </c>
      <c r="E583" s="268">
        <v>3680</v>
      </c>
      <c r="F583" s="268">
        <v>20656926.959082101</v>
      </c>
      <c r="G583" s="268">
        <v>37539198.025089398</v>
      </c>
      <c r="H583" s="268">
        <v>58196124.984171502</v>
      </c>
      <c r="I583" s="267" t="s">
        <v>633</v>
      </c>
      <c r="J583" s="267" t="s">
        <v>121</v>
      </c>
      <c r="K583" s="267">
        <v>734434</v>
      </c>
      <c r="L583" s="267" t="s">
        <v>88</v>
      </c>
      <c r="M583"/>
      <c r="N583"/>
      <c r="O583"/>
      <c r="P583"/>
      <c r="Q583" s="151"/>
      <c r="R583"/>
      <c r="S583"/>
      <c r="T583"/>
      <c r="U583"/>
      <c r="V583"/>
    </row>
    <row r="584" spans="1:22" x14ac:dyDescent="0.2">
      <c r="A584" s="267" t="s">
        <v>727</v>
      </c>
      <c r="B584" s="267" t="s">
        <v>755</v>
      </c>
      <c r="C584" s="268">
        <v>16583</v>
      </c>
      <c r="D584" s="268">
        <v>29573</v>
      </c>
      <c r="E584" s="268">
        <v>46156</v>
      </c>
      <c r="F584" s="268">
        <v>510365626.80330199</v>
      </c>
      <c r="G584" s="268">
        <v>1098022184.6945002</v>
      </c>
      <c r="H584" s="268">
        <v>1608387811.4978101</v>
      </c>
      <c r="I584" s="267" t="s">
        <v>753</v>
      </c>
      <c r="J584" s="267" t="s">
        <v>121</v>
      </c>
      <c r="K584" s="267">
        <v>734491</v>
      </c>
      <c r="L584" s="267" t="s">
        <v>220</v>
      </c>
      <c r="M584"/>
      <c r="N584"/>
      <c r="O584"/>
      <c r="P584"/>
      <c r="Q584" s="151"/>
      <c r="R584"/>
      <c r="S584"/>
      <c r="T584"/>
      <c r="U584"/>
      <c r="V584"/>
    </row>
    <row r="585" spans="1:22" x14ac:dyDescent="0.2">
      <c r="A585" s="267" t="s">
        <v>546</v>
      </c>
      <c r="B585" s="267" t="s">
        <v>921</v>
      </c>
      <c r="C585" s="268">
        <v>722</v>
      </c>
      <c r="D585" s="268">
        <v>688</v>
      </c>
      <c r="E585" s="268">
        <v>1410</v>
      </c>
      <c r="F585" s="268">
        <v>15901263.966398401</v>
      </c>
      <c r="G585" s="268">
        <v>19533144.9223358</v>
      </c>
      <c r="H585" s="268">
        <v>35434408.888734199</v>
      </c>
      <c r="I585" s="267" t="s">
        <v>633</v>
      </c>
      <c r="J585" s="267" t="s">
        <v>122</v>
      </c>
      <c r="K585" s="267">
        <v>734558</v>
      </c>
      <c r="L585" s="267" t="s">
        <v>920</v>
      </c>
      <c r="M585"/>
      <c r="N585"/>
      <c r="O585"/>
      <c r="P585"/>
      <c r="Q585" s="151"/>
      <c r="R585"/>
      <c r="S585"/>
      <c r="T585"/>
      <c r="U585"/>
      <c r="V585"/>
    </row>
    <row r="586" spans="1:22" x14ac:dyDescent="0.2">
      <c r="A586" s="267" t="s">
        <v>671</v>
      </c>
      <c r="B586" s="267" t="s">
        <v>765</v>
      </c>
      <c r="C586" s="268">
        <v>803</v>
      </c>
      <c r="D586" s="268">
        <v>829</v>
      </c>
      <c r="E586" s="268">
        <v>1632</v>
      </c>
      <c r="F586" s="268">
        <v>13605356.3197947</v>
      </c>
      <c r="G586" s="268">
        <v>17338209.343561299</v>
      </c>
      <c r="H586" s="268">
        <v>30943565.663355999</v>
      </c>
      <c r="I586" s="267" t="s">
        <v>753</v>
      </c>
      <c r="J586" s="267" t="s">
        <v>121</v>
      </c>
      <c r="K586" s="267">
        <v>739458</v>
      </c>
      <c r="L586" s="267" t="s">
        <v>674</v>
      </c>
      <c r="M586"/>
      <c r="N586"/>
      <c r="O586"/>
      <c r="P586"/>
      <c r="Q586" s="151"/>
      <c r="R586"/>
      <c r="S586"/>
      <c r="T586"/>
      <c r="U586"/>
      <c r="V586"/>
    </row>
    <row r="587" spans="1:22" x14ac:dyDescent="0.2">
      <c r="A587" s="267" t="s">
        <v>368</v>
      </c>
      <c r="B587" s="267" t="s">
        <v>942</v>
      </c>
      <c r="C587" s="268">
        <v>197</v>
      </c>
      <c r="D587" s="268">
        <v>340</v>
      </c>
      <c r="E587" s="268">
        <v>537</v>
      </c>
      <c r="F587" s="268">
        <v>5148387.7142407801</v>
      </c>
      <c r="G587" s="268">
        <v>10820375.308395999</v>
      </c>
      <c r="H587" s="268">
        <v>15968763.022636799</v>
      </c>
      <c r="I587" s="267" t="s">
        <v>753</v>
      </c>
      <c r="J587" s="267" t="s">
        <v>121</v>
      </c>
      <c r="K587" s="267">
        <v>741637</v>
      </c>
      <c r="L587" s="267" t="s">
        <v>941</v>
      </c>
      <c r="M587"/>
      <c r="N587"/>
      <c r="O587"/>
      <c r="P587"/>
      <c r="Q587" s="151"/>
      <c r="R587"/>
      <c r="S587"/>
      <c r="T587"/>
      <c r="U587"/>
      <c r="V587"/>
    </row>
    <row r="588" spans="1:22" x14ac:dyDescent="0.2">
      <c r="A588" s="267" t="s">
        <v>724</v>
      </c>
      <c r="B588" s="267" t="s">
        <v>867</v>
      </c>
      <c r="C588" s="268">
        <v>602</v>
      </c>
      <c r="D588" s="268">
        <v>950</v>
      </c>
      <c r="E588" s="268">
        <v>1552</v>
      </c>
      <c r="F588" s="268">
        <v>14071370.919798</v>
      </c>
      <c r="G588" s="268">
        <v>27825456.770057201</v>
      </c>
      <c r="H588" s="268">
        <v>41896827.689855203</v>
      </c>
      <c r="I588" s="267" t="s">
        <v>753</v>
      </c>
      <c r="J588" s="267" t="s">
        <v>121</v>
      </c>
      <c r="K588" s="267">
        <v>741694</v>
      </c>
      <c r="L588" s="267" t="s">
        <v>838</v>
      </c>
      <c r="M588"/>
      <c r="N588"/>
      <c r="O588"/>
      <c r="P588"/>
      <c r="Q588" s="151"/>
      <c r="R588"/>
      <c r="S588"/>
      <c r="T588"/>
      <c r="U588"/>
      <c r="V588"/>
    </row>
    <row r="589" spans="1:22" x14ac:dyDescent="0.2">
      <c r="A589" s="267" t="s">
        <v>348</v>
      </c>
      <c r="B589" s="267" t="s">
        <v>351</v>
      </c>
      <c r="C589" s="268">
        <v>10541</v>
      </c>
      <c r="D589" s="268">
        <v>9347</v>
      </c>
      <c r="E589" s="268">
        <v>19888</v>
      </c>
      <c r="F589" s="268">
        <v>494326516.94022703</v>
      </c>
      <c r="G589" s="268">
        <v>533739519.96601599</v>
      </c>
      <c r="H589" s="268">
        <v>1028066036.90624</v>
      </c>
      <c r="I589" s="267" t="s">
        <v>753</v>
      </c>
      <c r="J589" s="267" t="s">
        <v>125</v>
      </c>
      <c r="K589" s="267">
        <v>743112</v>
      </c>
      <c r="L589" s="267" t="s">
        <v>699</v>
      </c>
      <c r="M589"/>
      <c r="N589"/>
      <c r="O589"/>
      <c r="P589"/>
      <c r="Q589" s="151"/>
      <c r="R589"/>
      <c r="S589"/>
      <c r="T589"/>
      <c r="U589"/>
      <c r="V589"/>
    </row>
    <row r="590" spans="1:22" x14ac:dyDescent="0.2">
      <c r="A590" s="267" t="s">
        <v>473</v>
      </c>
      <c r="B590" s="267" t="s">
        <v>515</v>
      </c>
      <c r="C590" s="268">
        <v>67626</v>
      </c>
      <c r="D590" s="268">
        <v>70547</v>
      </c>
      <c r="E590" s="268">
        <v>138173</v>
      </c>
      <c r="F590" s="268">
        <v>4120359269.4649</v>
      </c>
      <c r="G590" s="268">
        <v>5355357417.8408394</v>
      </c>
      <c r="H590" s="268">
        <v>9475716687.3057404</v>
      </c>
      <c r="I590" s="267" t="s">
        <v>753</v>
      </c>
      <c r="J590" s="267" t="s">
        <v>125</v>
      </c>
      <c r="K590" s="267">
        <v>747899</v>
      </c>
      <c r="L590" s="267" t="s">
        <v>174</v>
      </c>
      <c r="M590"/>
      <c r="N590"/>
      <c r="O590"/>
      <c r="P590"/>
      <c r="Q590" s="151"/>
      <c r="R590"/>
      <c r="S590"/>
      <c r="T590"/>
      <c r="U590"/>
      <c r="V590"/>
    </row>
    <row r="591" spans="1:22" x14ac:dyDescent="0.2">
      <c r="A591" s="267" t="s">
        <v>301</v>
      </c>
      <c r="B591" s="267" t="s">
        <v>516</v>
      </c>
      <c r="C591" s="268">
        <v>36235</v>
      </c>
      <c r="D591" s="268">
        <v>24967</v>
      </c>
      <c r="E591" s="268">
        <v>61202</v>
      </c>
      <c r="F591" s="268">
        <v>983747195.16163003</v>
      </c>
      <c r="G591" s="268">
        <v>816258854.45732594</v>
      </c>
      <c r="H591" s="268">
        <v>1800006049.6189601</v>
      </c>
      <c r="I591" s="267" t="s">
        <v>753</v>
      </c>
      <c r="J591" s="267" t="s">
        <v>123</v>
      </c>
      <c r="K591" s="267">
        <v>749192</v>
      </c>
      <c r="L591" s="267" t="s">
        <v>174</v>
      </c>
      <c r="M591"/>
      <c r="N591"/>
      <c r="O591"/>
      <c r="P591"/>
      <c r="Q591" s="151"/>
      <c r="R591"/>
      <c r="S591"/>
      <c r="T591"/>
      <c r="U591"/>
      <c r="V591"/>
    </row>
    <row r="592" spans="1:22" x14ac:dyDescent="0.2">
      <c r="A592" s="267" t="s">
        <v>301</v>
      </c>
      <c r="B592" s="267" t="s">
        <v>85</v>
      </c>
      <c r="C592" s="268">
        <v>624</v>
      </c>
      <c r="D592" s="268">
        <v>719</v>
      </c>
      <c r="E592" s="268">
        <v>1343</v>
      </c>
      <c r="F592" s="268">
        <v>2250062.3933759001</v>
      </c>
      <c r="G592" s="268">
        <v>3931386.81307462</v>
      </c>
      <c r="H592" s="268">
        <v>6181449.2064505303</v>
      </c>
      <c r="I592" s="267" t="s">
        <v>633</v>
      </c>
      <c r="J592" s="267" t="s">
        <v>123</v>
      </c>
      <c r="K592" s="267">
        <v>749606</v>
      </c>
      <c r="L592" s="267" t="s">
        <v>84</v>
      </c>
      <c r="M592"/>
      <c r="N592"/>
      <c r="O592"/>
      <c r="P592"/>
      <c r="Q592" s="151"/>
      <c r="R592"/>
      <c r="S592"/>
      <c r="T592"/>
      <c r="U592"/>
      <c r="V592"/>
    </row>
    <row r="593" spans="1:22" x14ac:dyDescent="0.2">
      <c r="A593" s="267" t="s">
        <v>270</v>
      </c>
      <c r="B593" s="267" t="s">
        <v>278</v>
      </c>
      <c r="C593" s="268">
        <v>27923</v>
      </c>
      <c r="D593" s="268">
        <v>24655</v>
      </c>
      <c r="E593" s="268">
        <v>52578</v>
      </c>
      <c r="F593" s="268">
        <v>552277847.81431699</v>
      </c>
      <c r="G593" s="268">
        <v>591276807.29868293</v>
      </c>
      <c r="H593" s="268">
        <v>1143554655.1129999</v>
      </c>
      <c r="I593" s="267" t="s">
        <v>753</v>
      </c>
      <c r="J593" s="267" t="s">
        <v>121</v>
      </c>
      <c r="K593" s="267">
        <v>749788</v>
      </c>
      <c r="L593" s="267" t="s">
        <v>684</v>
      </c>
      <c r="M593"/>
      <c r="N593"/>
      <c r="O593"/>
      <c r="P593"/>
      <c r="Q593" s="151"/>
      <c r="R593"/>
      <c r="S593"/>
      <c r="T593"/>
      <c r="U593"/>
      <c r="V593"/>
    </row>
    <row r="594" spans="1:22" x14ac:dyDescent="0.2">
      <c r="A594" s="267" t="s">
        <v>748</v>
      </c>
      <c r="B594" s="267" t="s">
        <v>170</v>
      </c>
      <c r="C594" s="268">
        <v>5259</v>
      </c>
      <c r="D594" s="268">
        <v>4930</v>
      </c>
      <c r="E594" s="268">
        <v>10189</v>
      </c>
      <c r="F594" s="268">
        <v>119043150.41040599</v>
      </c>
      <c r="G594" s="268">
        <v>136404843.573852</v>
      </c>
      <c r="H594" s="268">
        <v>255447993.984258</v>
      </c>
      <c r="I594" s="267" t="s">
        <v>753</v>
      </c>
      <c r="J594" s="267" t="s">
        <v>121</v>
      </c>
      <c r="K594" s="267">
        <v>751495</v>
      </c>
      <c r="L594" s="267" t="s">
        <v>677</v>
      </c>
      <c r="M594"/>
      <c r="N594"/>
      <c r="O594"/>
      <c r="P594"/>
      <c r="Q594" s="151"/>
      <c r="R594"/>
      <c r="S594"/>
      <c r="T594"/>
      <c r="U594"/>
      <c r="V594"/>
    </row>
    <row r="595" spans="1:22" x14ac:dyDescent="0.2">
      <c r="A595" s="267" t="s">
        <v>368</v>
      </c>
      <c r="B595" s="267" t="s">
        <v>517</v>
      </c>
      <c r="C595" s="268">
        <v>32030</v>
      </c>
      <c r="D595" s="268">
        <v>43875</v>
      </c>
      <c r="E595" s="268">
        <v>75905</v>
      </c>
      <c r="F595" s="268">
        <v>746795105.14351296</v>
      </c>
      <c r="G595" s="268">
        <v>1374347325.9695599</v>
      </c>
      <c r="H595" s="268">
        <v>2121142431.11308</v>
      </c>
      <c r="I595" s="267" t="s">
        <v>753</v>
      </c>
      <c r="J595" s="267" t="s">
        <v>121</v>
      </c>
      <c r="K595" s="267">
        <v>752204</v>
      </c>
      <c r="L595" s="267" t="s">
        <v>174</v>
      </c>
      <c r="M595"/>
      <c r="N595"/>
      <c r="O595"/>
      <c r="P595"/>
      <c r="Q595" s="151"/>
      <c r="R595"/>
      <c r="S595"/>
      <c r="T595"/>
      <c r="U595"/>
      <c r="V595"/>
    </row>
    <row r="596" spans="1:22" x14ac:dyDescent="0.2">
      <c r="A596" s="267" t="s">
        <v>208</v>
      </c>
      <c r="B596" s="267" t="s">
        <v>584</v>
      </c>
      <c r="C596" s="268">
        <v>132</v>
      </c>
      <c r="D596" s="268">
        <v>184</v>
      </c>
      <c r="E596" s="268">
        <v>316</v>
      </c>
      <c r="F596" s="268">
        <v>2786839.0168222599</v>
      </c>
      <c r="G596" s="268">
        <v>5159257.5618467098</v>
      </c>
      <c r="H596" s="268">
        <v>7946096.5786689799</v>
      </c>
      <c r="I596" s="267" t="s">
        <v>633</v>
      </c>
      <c r="J596" s="267" t="s">
        <v>121</v>
      </c>
      <c r="K596" s="267">
        <v>753202</v>
      </c>
      <c r="L596" s="267" t="s">
        <v>580</v>
      </c>
      <c r="M596"/>
      <c r="N596"/>
      <c r="O596"/>
      <c r="P596"/>
      <c r="Q596" s="151"/>
      <c r="R596"/>
      <c r="S596"/>
      <c r="T596"/>
      <c r="U596"/>
      <c r="V596"/>
    </row>
    <row r="597" spans="1:22" x14ac:dyDescent="0.2">
      <c r="A597" s="267" t="s">
        <v>626</v>
      </c>
      <c r="B597" s="267" t="s">
        <v>631</v>
      </c>
      <c r="C597" s="268">
        <v>320</v>
      </c>
      <c r="D597" s="268">
        <v>473</v>
      </c>
      <c r="E597" s="268">
        <v>793</v>
      </c>
      <c r="F597" s="268">
        <v>7656958.31072977</v>
      </c>
      <c r="G597" s="268">
        <v>14860039.056572299</v>
      </c>
      <c r="H597" s="268">
        <v>22516997.367302097</v>
      </c>
      <c r="I597" s="267" t="s">
        <v>633</v>
      </c>
      <c r="J597" s="267" t="s">
        <v>122</v>
      </c>
      <c r="K597" s="267">
        <v>753384</v>
      </c>
      <c r="L597" s="267" t="s">
        <v>354</v>
      </c>
      <c r="M597"/>
      <c r="N597"/>
      <c r="O597"/>
      <c r="P597"/>
      <c r="Q597" s="151"/>
      <c r="R597"/>
      <c r="S597"/>
      <c r="T597"/>
      <c r="U597"/>
      <c r="V597"/>
    </row>
    <row r="598" spans="1:22" x14ac:dyDescent="0.2">
      <c r="A598" s="267" t="s">
        <v>145</v>
      </c>
      <c r="B598" s="267" t="s">
        <v>518</v>
      </c>
      <c r="C598" s="268">
        <v>31661</v>
      </c>
      <c r="D598" s="268">
        <v>30399</v>
      </c>
      <c r="E598" s="268">
        <v>62060</v>
      </c>
      <c r="F598" s="268">
        <v>844787678.20596099</v>
      </c>
      <c r="G598" s="268">
        <v>1139507739.3039398</v>
      </c>
      <c r="H598" s="268">
        <v>1984295417.5098999</v>
      </c>
      <c r="I598" s="267" t="s">
        <v>753</v>
      </c>
      <c r="J598" s="267" t="s">
        <v>121</v>
      </c>
      <c r="K598" s="267">
        <v>753442</v>
      </c>
      <c r="L598" s="267" t="s">
        <v>174</v>
      </c>
      <c r="M598"/>
      <c r="N598"/>
      <c r="O598"/>
      <c r="P598"/>
      <c r="Q598" s="151"/>
      <c r="R598"/>
      <c r="S598"/>
      <c r="T598"/>
      <c r="U598"/>
      <c r="V598"/>
    </row>
    <row r="599" spans="1:22" x14ac:dyDescent="0.2">
      <c r="A599" s="267" t="s">
        <v>279</v>
      </c>
      <c r="B599" s="267" t="s">
        <v>20</v>
      </c>
      <c r="C599" s="268">
        <v>35</v>
      </c>
      <c r="D599" s="268">
        <v>73</v>
      </c>
      <c r="E599" s="268">
        <v>108</v>
      </c>
      <c r="F599" s="268">
        <v>709030.61870819388</v>
      </c>
      <c r="G599" s="268">
        <v>1494478.1813856801</v>
      </c>
      <c r="H599" s="268">
        <v>2203508.8000938799</v>
      </c>
      <c r="I599" s="267" t="s">
        <v>633</v>
      </c>
      <c r="J599" s="267" t="s">
        <v>121</v>
      </c>
      <c r="K599" s="267">
        <v>755033</v>
      </c>
      <c r="L599" s="267" t="s">
        <v>423</v>
      </c>
      <c r="M599"/>
      <c r="N599"/>
      <c r="O599"/>
      <c r="P599"/>
      <c r="Q599" s="151"/>
      <c r="R599"/>
      <c r="S599"/>
      <c r="T599"/>
      <c r="U599"/>
      <c r="V599"/>
    </row>
    <row r="600" spans="1:22" x14ac:dyDescent="0.2">
      <c r="A600" s="267" t="s">
        <v>86</v>
      </c>
      <c r="B600" s="267" t="s">
        <v>374</v>
      </c>
      <c r="C600" s="268">
        <v>121</v>
      </c>
      <c r="D600" s="268">
        <v>158</v>
      </c>
      <c r="E600" s="268">
        <v>279</v>
      </c>
      <c r="F600" s="268">
        <v>2804945.88813526</v>
      </c>
      <c r="G600" s="268">
        <v>4048462.11337385</v>
      </c>
      <c r="H600" s="268">
        <v>6853408.0015091207</v>
      </c>
      <c r="I600" s="267" t="s">
        <v>633</v>
      </c>
      <c r="J600" s="267" t="s">
        <v>121</v>
      </c>
      <c r="K600" s="267">
        <v>755090</v>
      </c>
      <c r="L600" s="267" t="s">
        <v>449</v>
      </c>
      <c r="M600"/>
      <c r="N600"/>
      <c r="O600"/>
      <c r="P600"/>
      <c r="Q600" s="151"/>
      <c r="R600"/>
      <c r="S600"/>
      <c r="T600"/>
      <c r="U600"/>
      <c r="V600"/>
    </row>
    <row r="601" spans="1:22" x14ac:dyDescent="0.2">
      <c r="A601" s="267" t="s">
        <v>226</v>
      </c>
      <c r="B601" s="267" t="s">
        <v>234</v>
      </c>
      <c r="C601" s="268">
        <v>765</v>
      </c>
      <c r="D601" s="268">
        <v>843</v>
      </c>
      <c r="E601" s="268">
        <v>1608</v>
      </c>
      <c r="F601" s="268">
        <v>8169800.3147675097</v>
      </c>
      <c r="G601" s="268">
        <v>12182354.301911199</v>
      </c>
      <c r="H601" s="268">
        <v>20352154.6166787</v>
      </c>
      <c r="I601" s="267" t="s">
        <v>753</v>
      </c>
      <c r="J601" s="267" t="s">
        <v>121</v>
      </c>
      <c r="K601" s="267">
        <v>756452</v>
      </c>
      <c r="L601" s="267" t="s">
        <v>703</v>
      </c>
      <c r="M601"/>
      <c r="N601"/>
      <c r="O601"/>
      <c r="P601"/>
      <c r="Q601" s="151"/>
      <c r="R601"/>
      <c r="S601"/>
      <c r="T601"/>
      <c r="U601"/>
      <c r="V601"/>
    </row>
    <row r="602" spans="1:22" x14ac:dyDescent="0.2">
      <c r="A602" s="267" t="s">
        <v>546</v>
      </c>
      <c r="B602" s="267" t="s">
        <v>378</v>
      </c>
      <c r="C602" s="268">
        <v>329</v>
      </c>
      <c r="D602" s="268">
        <v>404</v>
      </c>
      <c r="E602" s="268">
        <v>733</v>
      </c>
      <c r="F602" s="268">
        <v>9057802.0874117706</v>
      </c>
      <c r="G602" s="268">
        <v>15222910.2657167</v>
      </c>
      <c r="H602" s="268">
        <v>24280712.3531284</v>
      </c>
      <c r="I602" s="267" t="s">
        <v>633</v>
      </c>
      <c r="J602" s="267" t="s">
        <v>122</v>
      </c>
      <c r="K602" s="267">
        <v>756866</v>
      </c>
      <c r="L602" s="267" t="s">
        <v>764</v>
      </c>
      <c r="M602"/>
      <c r="N602"/>
      <c r="O602"/>
      <c r="P602"/>
      <c r="Q602" s="151"/>
      <c r="R602"/>
      <c r="S602"/>
      <c r="T602"/>
      <c r="U602"/>
      <c r="V602"/>
    </row>
    <row r="603" spans="1:22" x14ac:dyDescent="0.2">
      <c r="A603" s="267" t="s">
        <v>226</v>
      </c>
      <c r="B603" s="267" t="s">
        <v>236</v>
      </c>
      <c r="C603" s="268">
        <v>143</v>
      </c>
      <c r="D603" s="268">
        <v>226</v>
      </c>
      <c r="E603" s="268">
        <v>369</v>
      </c>
      <c r="F603" s="268">
        <v>2759026.48472826</v>
      </c>
      <c r="G603" s="268">
        <v>5758368.3450477701</v>
      </c>
      <c r="H603" s="268">
        <v>8517394.8297760207</v>
      </c>
      <c r="I603" s="267" t="s">
        <v>633</v>
      </c>
      <c r="J603" s="267" t="s">
        <v>121</v>
      </c>
      <c r="K603" s="267">
        <v>757575</v>
      </c>
      <c r="L603" s="267" t="s">
        <v>752</v>
      </c>
      <c r="M603"/>
      <c r="N603"/>
      <c r="O603"/>
      <c r="P603"/>
      <c r="Q603" s="151"/>
      <c r="R603"/>
      <c r="S603"/>
      <c r="T603"/>
      <c r="U603"/>
      <c r="V603"/>
    </row>
    <row r="604" spans="1:22" x14ac:dyDescent="0.2">
      <c r="A604" s="267" t="s">
        <v>367</v>
      </c>
      <c r="B604" s="267" t="s">
        <v>1071</v>
      </c>
      <c r="C604" s="268">
        <v>23</v>
      </c>
      <c r="D604" s="268">
        <v>43</v>
      </c>
      <c r="E604" s="268">
        <v>66</v>
      </c>
      <c r="F604" s="268">
        <v>373019.11578506097</v>
      </c>
      <c r="G604" s="268">
        <v>1227389.9883034101</v>
      </c>
      <c r="H604" s="268">
        <v>1600409.1040884701</v>
      </c>
      <c r="I604" s="267" t="s">
        <v>633</v>
      </c>
      <c r="J604" s="267" t="s">
        <v>121</v>
      </c>
      <c r="K604" s="267">
        <v>759225</v>
      </c>
      <c r="L604" s="267" t="s">
        <v>1067</v>
      </c>
      <c r="M604"/>
      <c r="N604"/>
      <c r="O604"/>
      <c r="P604"/>
      <c r="Q604" s="151"/>
      <c r="R604"/>
      <c r="S604"/>
      <c r="T604"/>
      <c r="U604"/>
      <c r="V604"/>
    </row>
    <row r="605" spans="1:22" x14ac:dyDescent="0.2">
      <c r="A605" s="267" t="s">
        <v>546</v>
      </c>
      <c r="B605" s="267" t="s">
        <v>607</v>
      </c>
      <c r="C605" s="268">
        <v>3542</v>
      </c>
      <c r="D605" s="268">
        <v>2484</v>
      </c>
      <c r="E605" s="268">
        <v>6026</v>
      </c>
      <c r="F605" s="268">
        <v>91426146.147183493</v>
      </c>
      <c r="G605" s="268">
        <v>70908422.450399607</v>
      </c>
      <c r="H605" s="268">
        <v>162334568.597583</v>
      </c>
      <c r="I605" s="267" t="s">
        <v>753</v>
      </c>
      <c r="J605" s="267" t="s">
        <v>122</v>
      </c>
      <c r="K605" s="267">
        <v>761940</v>
      </c>
      <c r="L605" s="267" t="s">
        <v>776</v>
      </c>
      <c r="M605"/>
      <c r="N605"/>
      <c r="O605"/>
      <c r="P605"/>
      <c r="Q605" s="151"/>
      <c r="R605"/>
      <c r="S605"/>
      <c r="T605"/>
      <c r="U605"/>
      <c r="V605"/>
    </row>
    <row r="606" spans="1:22" x14ac:dyDescent="0.2">
      <c r="A606" s="267" t="s">
        <v>301</v>
      </c>
      <c r="B606" s="267" t="s">
        <v>964</v>
      </c>
      <c r="C606" s="268">
        <v>7853</v>
      </c>
      <c r="D606" s="268">
        <v>7068</v>
      </c>
      <c r="E606" s="268">
        <v>14921</v>
      </c>
      <c r="F606" s="268">
        <v>202803700.17074901</v>
      </c>
      <c r="G606" s="268">
        <v>228338016.25343102</v>
      </c>
      <c r="H606" s="268">
        <v>431141716.42418003</v>
      </c>
      <c r="I606" s="267" t="s">
        <v>633</v>
      </c>
      <c r="J606" s="267" t="s">
        <v>123</v>
      </c>
      <c r="K606" s="267">
        <v>762880</v>
      </c>
      <c r="L606" s="267" t="s">
        <v>397</v>
      </c>
      <c r="M606"/>
      <c r="N606"/>
      <c r="O606"/>
      <c r="P606"/>
      <c r="Q606" s="151"/>
      <c r="R606"/>
      <c r="S606"/>
      <c r="T606"/>
      <c r="U606"/>
      <c r="V606"/>
    </row>
    <row r="607" spans="1:22" x14ac:dyDescent="0.2">
      <c r="A607" s="267" t="s">
        <v>369</v>
      </c>
      <c r="B607" s="267" t="s">
        <v>1086</v>
      </c>
      <c r="C607" s="268">
        <v>2</v>
      </c>
      <c r="D607" s="268">
        <v>13</v>
      </c>
      <c r="E607" s="268">
        <v>15</v>
      </c>
      <c r="F607" s="268">
        <v>23687.8138643733</v>
      </c>
      <c r="G607" s="268">
        <v>342944.88680410601</v>
      </c>
      <c r="H607" s="268">
        <v>366632.70066848001</v>
      </c>
      <c r="I607" s="267" t="s">
        <v>633</v>
      </c>
      <c r="J607" s="267" t="s">
        <v>121</v>
      </c>
      <c r="K607" s="267">
        <v>763474</v>
      </c>
      <c r="L607" s="267" t="s">
        <v>1067</v>
      </c>
      <c r="M607"/>
      <c r="N607"/>
      <c r="O607"/>
      <c r="P607"/>
      <c r="Q607" s="151"/>
      <c r="R607"/>
      <c r="S607"/>
      <c r="T607"/>
      <c r="U607"/>
      <c r="V607"/>
    </row>
    <row r="608" spans="1:22" x14ac:dyDescent="0.2">
      <c r="A608" s="267" t="s">
        <v>44</v>
      </c>
      <c r="B608" s="267" t="s">
        <v>1069</v>
      </c>
      <c r="C608" s="268">
        <v>881</v>
      </c>
      <c r="D608" s="268">
        <v>1045</v>
      </c>
      <c r="E608" s="268">
        <v>1926</v>
      </c>
      <c r="F608" s="268">
        <v>14432893.811926099</v>
      </c>
      <c r="G608" s="268">
        <v>21367747.990660399</v>
      </c>
      <c r="H608" s="268">
        <v>35800641.802586399</v>
      </c>
      <c r="I608" s="267" t="s">
        <v>633</v>
      </c>
      <c r="J608" s="267" t="s">
        <v>121</v>
      </c>
      <c r="K608" s="267">
        <v>764951</v>
      </c>
      <c r="L608" s="267" t="s">
        <v>766</v>
      </c>
      <c r="M608"/>
      <c r="N608"/>
      <c r="O608"/>
      <c r="P608"/>
      <c r="Q608" s="151"/>
      <c r="R608"/>
      <c r="S608"/>
      <c r="T608"/>
      <c r="U608"/>
      <c r="V608"/>
    </row>
    <row r="609" spans="1:22" x14ac:dyDescent="0.2">
      <c r="A609" s="267" t="s">
        <v>724</v>
      </c>
      <c r="B609" s="267" t="s">
        <v>840</v>
      </c>
      <c r="C609" s="268">
        <v>11128</v>
      </c>
      <c r="D609" s="268">
        <v>14512</v>
      </c>
      <c r="E609" s="268">
        <v>25640</v>
      </c>
      <c r="F609" s="268">
        <v>238598859.22457901</v>
      </c>
      <c r="G609" s="268">
        <v>384490438.76025897</v>
      </c>
      <c r="H609" s="268">
        <v>623089297.98483801</v>
      </c>
      <c r="I609" s="267" t="s">
        <v>753</v>
      </c>
      <c r="J609" s="267" t="s">
        <v>121</v>
      </c>
      <c r="K609" s="267">
        <v>766667</v>
      </c>
      <c r="L609" s="267" t="s">
        <v>174</v>
      </c>
      <c r="M609"/>
      <c r="N609"/>
      <c r="O609"/>
      <c r="P609"/>
      <c r="Q609" s="151"/>
      <c r="R609"/>
      <c r="S609"/>
      <c r="T609"/>
      <c r="U609"/>
      <c r="V609"/>
    </row>
    <row r="610" spans="1:22" x14ac:dyDescent="0.2">
      <c r="A610" s="267" t="s">
        <v>131</v>
      </c>
      <c r="B610" s="267" t="s">
        <v>572</v>
      </c>
      <c r="C610" s="268">
        <v>1996</v>
      </c>
      <c r="D610" s="268">
        <v>3219</v>
      </c>
      <c r="E610" s="268">
        <v>5215</v>
      </c>
      <c r="F610" s="268">
        <v>36119618.231767096</v>
      </c>
      <c r="G610" s="268">
        <v>72247772.6216093</v>
      </c>
      <c r="H610" s="268">
        <v>108367390.853376</v>
      </c>
      <c r="I610" s="267" t="s">
        <v>633</v>
      </c>
      <c r="J610" s="267" t="s">
        <v>121</v>
      </c>
      <c r="K610" s="267">
        <v>768499</v>
      </c>
      <c r="L610" s="267" t="s">
        <v>760</v>
      </c>
      <c r="M610"/>
      <c r="N610"/>
      <c r="O610"/>
      <c r="P610"/>
      <c r="Q610" s="151"/>
      <c r="R610"/>
      <c r="S610"/>
      <c r="T610"/>
      <c r="U610"/>
      <c r="V610"/>
    </row>
    <row r="611" spans="1:22" x14ac:dyDescent="0.2">
      <c r="A611" s="267" t="s">
        <v>102</v>
      </c>
      <c r="B611" s="267" t="s">
        <v>573</v>
      </c>
      <c r="C611" s="268">
        <v>3423</v>
      </c>
      <c r="D611" s="268">
        <v>3481</v>
      </c>
      <c r="E611" s="268">
        <v>6904</v>
      </c>
      <c r="F611" s="268">
        <v>44173064.916321397</v>
      </c>
      <c r="G611" s="268">
        <v>57336157.946518898</v>
      </c>
      <c r="H611" s="268">
        <v>101509222.86284</v>
      </c>
      <c r="I611" s="267" t="s">
        <v>633</v>
      </c>
      <c r="J611" s="267" t="s">
        <v>121</v>
      </c>
      <c r="K611" s="267">
        <v>768556</v>
      </c>
      <c r="L611" s="267" t="s">
        <v>760</v>
      </c>
      <c r="M611"/>
      <c r="N611"/>
      <c r="O611"/>
      <c r="P611"/>
      <c r="Q611" s="151"/>
      <c r="R611"/>
      <c r="S611"/>
      <c r="T611"/>
      <c r="U611"/>
      <c r="V611"/>
    </row>
    <row r="612" spans="1:22" x14ac:dyDescent="0.2">
      <c r="A612" s="267" t="s">
        <v>491</v>
      </c>
      <c r="B612" s="267" t="s">
        <v>181</v>
      </c>
      <c r="C612" s="268">
        <v>908</v>
      </c>
      <c r="D612" s="268">
        <v>838</v>
      </c>
      <c r="E612" s="268">
        <v>1746</v>
      </c>
      <c r="F612" s="268">
        <v>18891621.527642198</v>
      </c>
      <c r="G612" s="268">
        <v>23439389.846978601</v>
      </c>
      <c r="H612" s="268">
        <v>42331011.374620803</v>
      </c>
      <c r="I612" s="267" t="s">
        <v>753</v>
      </c>
      <c r="J612" s="267" t="s">
        <v>122</v>
      </c>
      <c r="K612" s="267">
        <v>768614</v>
      </c>
      <c r="L612" s="267" t="s">
        <v>182</v>
      </c>
      <c r="M612"/>
      <c r="N612"/>
      <c r="O612"/>
      <c r="P612"/>
      <c r="Q612" s="151"/>
      <c r="R612"/>
      <c r="S612"/>
      <c r="T612"/>
      <c r="U612"/>
      <c r="V612"/>
    </row>
    <row r="613" spans="1:22" x14ac:dyDescent="0.2">
      <c r="A613" s="267" t="s">
        <v>368</v>
      </c>
      <c r="B613" s="267" t="s">
        <v>798</v>
      </c>
      <c r="C613" s="268">
        <v>392</v>
      </c>
      <c r="D613" s="268">
        <v>594</v>
      </c>
      <c r="E613" s="268">
        <v>986</v>
      </c>
      <c r="F613" s="268">
        <v>7409218.0307249399</v>
      </c>
      <c r="G613" s="268">
        <v>13551698.649256799</v>
      </c>
      <c r="H613" s="268">
        <v>20960916.679981701</v>
      </c>
      <c r="I613" s="267" t="s">
        <v>633</v>
      </c>
      <c r="J613" s="267" t="s">
        <v>121</v>
      </c>
      <c r="K613" s="267">
        <v>770263</v>
      </c>
      <c r="L613" s="267" t="s">
        <v>88</v>
      </c>
      <c r="M613"/>
      <c r="N613"/>
      <c r="O613"/>
      <c r="P613"/>
      <c r="Q613" s="151"/>
      <c r="R613"/>
      <c r="S613"/>
      <c r="T613"/>
      <c r="U613"/>
      <c r="V613"/>
    </row>
    <row r="614" spans="1:22" x14ac:dyDescent="0.2">
      <c r="A614" s="267" t="s">
        <v>491</v>
      </c>
      <c r="B614" s="267" t="s">
        <v>919</v>
      </c>
      <c r="C614" s="268">
        <v>840</v>
      </c>
      <c r="D614" s="268">
        <v>1019</v>
      </c>
      <c r="E614" s="268">
        <v>1859</v>
      </c>
      <c r="F614" s="268">
        <v>34366564.001479797</v>
      </c>
      <c r="G614" s="268">
        <v>47241929.751566403</v>
      </c>
      <c r="H614" s="268">
        <v>81608493.7530462</v>
      </c>
      <c r="I614" s="267" t="s">
        <v>633</v>
      </c>
      <c r="J614" s="267" t="s">
        <v>122</v>
      </c>
      <c r="K614" s="267">
        <v>770388</v>
      </c>
      <c r="L614" s="267" t="s">
        <v>920</v>
      </c>
      <c r="M614"/>
      <c r="N614"/>
      <c r="O614"/>
      <c r="P614"/>
      <c r="Q614" s="151"/>
      <c r="R614"/>
      <c r="S614"/>
      <c r="T614"/>
      <c r="U614"/>
      <c r="V614"/>
    </row>
    <row r="615" spans="1:22" x14ac:dyDescent="0.2">
      <c r="A615" s="267" t="s">
        <v>279</v>
      </c>
      <c r="B615" s="267" t="s">
        <v>283</v>
      </c>
      <c r="C615" s="268">
        <v>11202</v>
      </c>
      <c r="D615" s="268">
        <v>12022</v>
      </c>
      <c r="E615" s="268">
        <v>23224</v>
      </c>
      <c r="F615" s="268">
        <v>172857110.012272</v>
      </c>
      <c r="G615" s="268">
        <v>226951508.658851</v>
      </c>
      <c r="H615" s="268">
        <v>399808618.67112303</v>
      </c>
      <c r="I615" s="267" t="s">
        <v>753</v>
      </c>
      <c r="J615" s="267" t="s">
        <v>121</v>
      </c>
      <c r="K615" s="267">
        <v>771030</v>
      </c>
      <c r="L615" s="267" t="s">
        <v>701</v>
      </c>
      <c r="M615"/>
      <c r="N615"/>
      <c r="O615"/>
      <c r="P615"/>
      <c r="Q615" s="151"/>
      <c r="R615"/>
      <c r="S615"/>
      <c r="T615"/>
      <c r="U615"/>
      <c r="V615"/>
    </row>
    <row r="616" spans="1:22" x14ac:dyDescent="0.2">
      <c r="A616" s="267" t="s">
        <v>208</v>
      </c>
      <c r="B616" s="267" t="s">
        <v>861</v>
      </c>
      <c r="C616" s="268">
        <v>42</v>
      </c>
      <c r="D616" s="268">
        <v>107</v>
      </c>
      <c r="E616" s="268">
        <v>149</v>
      </c>
      <c r="F616" s="268">
        <v>698456.62562668405</v>
      </c>
      <c r="G616" s="268">
        <v>2144068.2668783702</v>
      </c>
      <c r="H616" s="268">
        <v>2842524.89250506</v>
      </c>
      <c r="I616" s="267" t="s">
        <v>633</v>
      </c>
      <c r="J616" s="267" t="s">
        <v>121</v>
      </c>
      <c r="K616" s="267">
        <v>772038</v>
      </c>
      <c r="L616" s="267" t="s">
        <v>862</v>
      </c>
      <c r="M616"/>
      <c r="N616"/>
      <c r="O616"/>
      <c r="P616"/>
      <c r="Q616" s="151"/>
      <c r="R616"/>
      <c r="S616"/>
      <c r="T616"/>
      <c r="U616"/>
      <c r="V616"/>
    </row>
    <row r="617" spans="1:22" x14ac:dyDescent="0.2">
      <c r="A617" s="267" t="s">
        <v>44</v>
      </c>
      <c r="B617" s="267" t="s">
        <v>741</v>
      </c>
      <c r="C617" s="268">
        <v>55</v>
      </c>
      <c r="D617" s="268">
        <v>95</v>
      </c>
      <c r="E617" s="268">
        <v>150</v>
      </c>
      <c r="F617" s="268">
        <v>892623.45032439602</v>
      </c>
      <c r="G617" s="268">
        <v>2114663.3223215598</v>
      </c>
      <c r="H617" s="268">
        <v>3007286.7726459596</v>
      </c>
      <c r="I617" s="267" t="s">
        <v>633</v>
      </c>
      <c r="J617" s="267" t="s">
        <v>121</v>
      </c>
      <c r="K617" s="267">
        <v>773861</v>
      </c>
      <c r="L617" s="267" t="s">
        <v>126</v>
      </c>
      <c r="M617"/>
      <c r="N617"/>
      <c r="O617"/>
      <c r="P617"/>
      <c r="Q617" s="151"/>
      <c r="R617"/>
      <c r="S617"/>
      <c r="T617"/>
      <c r="U617"/>
      <c r="V617"/>
    </row>
    <row r="618" spans="1:22" x14ac:dyDescent="0.2">
      <c r="A618" s="267" t="s">
        <v>348</v>
      </c>
      <c r="B618" s="267" t="s">
        <v>352</v>
      </c>
      <c r="C618" s="268">
        <v>10228</v>
      </c>
      <c r="D618" s="268">
        <v>9620</v>
      </c>
      <c r="E618" s="268">
        <v>19848</v>
      </c>
      <c r="F618" s="268">
        <v>506393991.41502899</v>
      </c>
      <c r="G618" s="268">
        <v>583581309.99889195</v>
      </c>
      <c r="H618" s="268">
        <v>1089975301.4139202</v>
      </c>
      <c r="I618" s="267" t="s">
        <v>753</v>
      </c>
      <c r="J618" s="267" t="s">
        <v>125</v>
      </c>
      <c r="K618" s="267">
        <v>778944</v>
      </c>
      <c r="L618" s="267" t="s">
        <v>699</v>
      </c>
      <c r="M618"/>
      <c r="N618"/>
      <c r="O618"/>
      <c r="P618"/>
      <c r="Q618" s="151"/>
      <c r="R618"/>
      <c r="S618"/>
      <c r="T618"/>
      <c r="U618"/>
      <c r="V618"/>
    </row>
    <row r="619" spans="1:22" x14ac:dyDescent="0.2">
      <c r="A619" s="267" t="s">
        <v>208</v>
      </c>
      <c r="B619" s="267" t="s">
        <v>210</v>
      </c>
      <c r="C619" s="268">
        <v>818</v>
      </c>
      <c r="D619" s="268">
        <v>1108</v>
      </c>
      <c r="E619" s="268">
        <v>1926</v>
      </c>
      <c r="F619" s="268">
        <v>16612928.3092371</v>
      </c>
      <c r="G619" s="268">
        <v>26783147.137879699</v>
      </c>
      <c r="H619" s="268">
        <v>43396075.4471168</v>
      </c>
      <c r="I619" s="267" t="s">
        <v>633</v>
      </c>
      <c r="J619" s="267" t="s">
        <v>121</v>
      </c>
      <c r="K619" s="267">
        <v>779538</v>
      </c>
      <c r="L619" s="267" t="s">
        <v>88</v>
      </c>
      <c r="M619"/>
      <c r="N619"/>
      <c r="O619"/>
      <c r="P619"/>
      <c r="Q619" s="151"/>
      <c r="R619"/>
      <c r="S619"/>
      <c r="T619"/>
      <c r="U619"/>
      <c r="V619"/>
    </row>
    <row r="620" spans="1:22" x14ac:dyDescent="0.2">
      <c r="A620" s="267" t="s">
        <v>131</v>
      </c>
      <c r="B620" s="267" t="s">
        <v>751</v>
      </c>
      <c r="C620" s="268">
        <v>252</v>
      </c>
      <c r="D620" s="268">
        <v>393</v>
      </c>
      <c r="E620" s="268">
        <v>645</v>
      </c>
      <c r="F620" s="268">
        <v>4546726.8147421796</v>
      </c>
      <c r="G620" s="268">
        <v>8902847.1482728291</v>
      </c>
      <c r="H620" s="268">
        <v>13449573.963015001</v>
      </c>
      <c r="I620" s="267" t="s">
        <v>633</v>
      </c>
      <c r="J620" s="267" t="s">
        <v>121</v>
      </c>
      <c r="K620" s="267">
        <v>780007</v>
      </c>
      <c r="L620" s="267" t="s">
        <v>358</v>
      </c>
      <c r="M620"/>
      <c r="N620"/>
      <c r="O620"/>
      <c r="P620"/>
      <c r="Q620" s="151"/>
      <c r="R620"/>
      <c r="S620"/>
      <c r="T620"/>
      <c r="U620"/>
      <c r="V620"/>
    </row>
    <row r="621" spans="1:22" x14ac:dyDescent="0.2">
      <c r="A621" s="267" t="s">
        <v>301</v>
      </c>
      <c r="B621" s="267" t="s">
        <v>915</v>
      </c>
      <c r="C621" s="268">
        <v>91</v>
      </c>
      <c r="D621" s="268">
        <v>93</v>
      </c>
      <c r="E621" s="268">
        <v>184</v>
      </c>
      <c r="F621" s="268">
        <v>3134907.3208449497</v>
      </c>
      <c r="G621" s="268">
        <v>3888868.0029917499</v>
      </c>
      <c r="H621" s="268">
        <v>7023775.3238367001</v>
      </c>
      <c r="I621" s="267" t="s">
        <v>753</v>
      </c>
      <c r="J621" s="267" t="s">
        <v>123</v>
      </c>
      <c r="K621" s="267">
        <v>781716</v>
      </c>
      <c r="L621" s="267" t="s">
        <v>905</v>
      </c>
      <c r="M621"/>
      <c r="N621"/>
      <c r="O621"/>
      <c r="P621"/>
      <c r="Q621" s="151"/>
      <c r="R621"/>
      <c r="S621"/>
      <c r="T621"/>
      <c r="U621"/>
      <c r="V621"/>
    </row>
    <row r="622" spans="1:22" x14ac:dyDescent="0.2">
      <c r="A622" s="267" t="s">
        <v>473</v>
      </c>
      <c r="B622" s="267" t="s">
        <v>519</v>
      </c>
      <c r="C622" s="268">
        <v>71210</v>
      </c>
      <c r="D622" s="268">
        <v>55731</v>
      </c>
      <c r="E622" s="268">
        <v>126941</v>
      </c>
      <c r="F622" s="268">
        <v>5125598221.2346296</v>
      </c>
      <c r="G622" s="268">
        <v>4766157748.43577</v>
      </c>
      <c r="H622" s="268">
        <v>9891755969.6703892</v>
      </c>
      <c r="I622" s="267" t="s">
        <v>753</v>
      </c>
      <c r="J622" s="267" t="s">
        <v>125</v>
      </c>
      <c r="K622" s="267">
        <v>783720</v>
      </c>
      <c r="L622" s="267" t="s">
        <v>174</v>
      </c>
      <c r="M622"/>
      <c r="N622"/>
      <c r="O622"/>
      <c r="P622"/>
      <c r="Q622" s="151"/>
      <c r="R622"/>
      <c r="S622"/>
      <c r="T622"/>
      <c r="U622"/>
      <c r="V622"/>
    </row>
    <row r="623" spans="1:22" x14ac:dyDescent="0.2">
      <c r="A623" s="267" t="s">
        <v>730</v>
      </c>
      <c r="B623" s="267" t="s">
        <v>520</v>
      </c>
      <c r="C623" s="268">
        <v>90094</v>
      </c>
      <c r="D623" s="268">
        <v>75933</v>
      </c>
      <c r="E623" s="268">
        <v>166027</v>
      </c>
      <c r="F623" s="268">
        <v>3271856948.0005798</v>
      </c>
      <c r="G623" s="268">
        <v>3370312628.8603101</v>
      </c>
      <c r="H623" s="268">
        <v>6642169576.8608904</v>
      </c>
      <c r="I623" s="267" t="s">
        <v>753</v>
      </c>
      <c r="J623" s="267" t="s">
        <v>121</v>
      </c>
      <c r="K623" s="267">
        <v>785022</v>
      </c>
      <c r="L623" s="267" t="s">
        <v>174</v>
      </c>
      <c r="M623"/>
      <c r="N623"/>
      <c r="O623"/>
      <c r="P623"/>
      <c r="Q623" s="151"/>
      <c r="R623"/>
      <c r="S623"/>
      <c r="T623"/>
      <c r="U623"/>
      <c r="V623"/>
    </row>
    <row r="624" spans="1:22" x14ac:dyDescent="0.2">
      <c r="A624" s="267" t="s">
        <v>748</v>
      </c>
      <c r="B624" s="267" t="s">
        <v>624</v>
      </c>
      <c r="C624" s="268">
        <v>582</v>
      </c>
      <c r="D624" s="268">
        <v>728</v>
      </c>
      <c r="E624" s="268">
        <v>1310</v>
      </c>
      <c r="F624" s="268">
        <v>11194917.745929301</v>
      </c>
      <c r="G624" s="268">
        <v>17364023.811272901</v>
      </c>
      <c r="H624" s="268">
        <v>28558941.557202201</v>
      </c>
      <c r="I624" s="267" t="s">
        <v>633</v>
      </c>
      <c r="J624" s="267" t="s">
        <v>121</v>
      </c>
      <c r="K624" s="267">
        <v>785493</v>
      </c>
      <c r="L624" s="267" t="s">
        <v>41</v>
      </c>
      <c r="M624"/>
      <c r="N624"/>
      <c r="O624"/>
      <c r="P624"/>
      <c r="Q624" s="151"/>
      <c r="R624"/>
      <c r="S624"/>
      <c r="T624"/>
      <c r="U624"/>
      <c r="V624"/>
    </row>
    <row r="625" spans="1:22" x14ac:dyDescent="0.2">
      <c r="A625" s="267" t="s">
        <v>261</v>
      </c>
      <c r="B625" s="267" t="s">
        <v>268</v>
      </c>
      <c r="C625" s="268">
        <v>18025</v>
      </c>
      <c r="D625" s="268">
        <v>19540</v>
      </c>
      <c r="E625" s="268">
        <v>37565</v>
      </c>
      <c r="F625" s="268">
        <v>233483266.295717</v>
      </c>
      <c r="G625" s="268">
        <v>315002139.08514702</v>
      </c>
      <c r="H625" s="268">
        <v>548485405.3808639</v>
      </c>
      <c r="I625" s="267" t="s">
        <v>753</v>
      </c>
      <c r="J625" s="267" t="s">
        <v>121</v>
      </c>
      <c r="K625" s="267">
        <v>785618</v>
      </c>
      <c r="L625" s="267" t="s">
        <v>684</v>
      </c>
      <c r="M625"/>
      <c r="N625"/>
      <c r="O625"/>
      <c r="P625"/>
      <c r="Q625" s="151"/>
      <c r="R625"/>
      <c r="S625"/>
      <c r="T625"/>
      <c r="U625"/>
      <c r="V625"/>
    </row>
    <row r="626" spans="1:22" x14ac:dyDescent="0.2">
      <c r="A626" s="267" t="s">
        <v>611</v>
      </c>
      <c r="B626" s="267" t="s">
        <v>613</v>
      </c>
      <c r="C626" s="268">
        <v>1738</v>
      </c>
      <c r="D626" s="268">
        <v>1748</v>
      </c>
      <c r="E626" s="268">
        <v>3486</v>
      </c>
      <c r="F626" s="268">
        <v>40815024.472979702</v>
      </c>
      <c r="G626" s="268">
        <v>54234814.548698597</v>
      </c>
      <c r="H626" s="268">
        <v>95049839.021678299</v>
      </c>
      <c r="I626" s="267" t="s">
        <v>753</v>
      </c>
      <c r="J626" s="267" t="s">
        <v>122</v>
      </c>
      <c r="K626" s="267">
        <v>787382</v>
      </c>
      <c r="L626" s="267" t="s">
        <v>684</v>
      </c>
      <c r="M626"/>
      <c r="N626"/>
      <c r="O626"/>
      <c r="P626"/>
      <c r="Q626" s="151"/>
      <c r="R626"/>
      <c r="S626"/>
      <c r="T626"/>
      <c r="U626"/>
      <c r="V626"/>
    </row>
    <row r="627" spans="1:22" x14ac:dyDescent="0.2">
      <c r="A627" s="267" t="s">
        <v>208</v>
      </c>
      <c r="B627" s="267" t="s">
        <v>579</v>
      </c>
      <c r="C627" s="268">
        <v>68</v>
      </c>
      <c r="D627" s="268">
        <v>109</v>
      </c>
      <c r="E627" s="268">
        <v>177</v>
      </c>
      <c r="F627" s="268">
        <v>1369141.92878002</v>
      </c>
      <c r="G627" s="268">
        <v>2799438.4055982102</v>
      </c>
      <c r="H627" s="268">
        <v>4168580.3343782299</v>
      </c>
      <c r="I627" s="267" t="s">
        <v>633</v>
      </c>
      <c r="J627" s="267" t="s">
        <v>121</v>
      </c>
      <c r="K627" s="267">
        <v>789032</v>
      </c>
      <c r="L627" s="267" t="s">
        <v>580</v>
      </c>
      <c r="M627"/>
      <c r="N627"/>
      <c r="O627"/>
      <c r="P627"/>
      <c r="Q627" s="151"/>
      <c r="R627"/>
      <c r="S627"/>
      <c r="T627"/>
      <c r="U627"/>
      <c r="V627"/>
    </row>
    <row r="628" spans="1:22" x14ac:dyDescent="0.2">
      <c r="A628" s="267" t="s">
        <v>671</v>
      </c>
      <c r="B628" s="267" t="s">
        <v>521</v>
      </c>
      <c r="C628" s="268">
        <v>49311</v>
      </c>
      <c r="D628" s="268">
        <v>46021</v>
      </c>
      <c r="E628" s="268">
        <v>95332</v>
      </c>
      <c r="F628" s="268">
        <v>1156426624.11429</v>
      </c>
      <c r="G628" s="268">
        <v>1348343644.31231</v>
      </c>
      <c r="H628" s="268">
        <v>2504770268.4266</v>
      </c>
      <c r="I628" s="267" t="s">
        <v>753</v>
      </c>
      <c r="J628" s="267" t="s">
        <v>121</v>
      </c>
      <c r="K628" s="267">
        <v>789271</v>
      </c>
      <c r="L628" s="267" t="s">
        <v>174</v>
      </c>
      <c r="M628"/>
      <c r="N628"/>
      <c r="O628"/>
      <c r="P628"/>
      <c r="Q628" s="151"/>
      <c r="R628"/>
      <c r="S628"/>
      <c r="T628"/>
      <c r="U628"/>
      <c r="V628"/>
    </row>
    <row r="629" spans="1:22" x14ac:dyDescent="0.2">
      <c r="A629" s="267" t="s">
        <v>671</v>
      </c>
      <c r="B629" s="267" t="s">
        <v>444</v>
      </c>
      <c r="C629" s="268">
        <v>46</v>
      </c>
      <c r="D629" s="268">
        <v>69</v>
      </c>
      <c r="E629" s="268">
        <v>115</v>
      </c>
      <c r="F629" s="268">
        <v>1327209.6630639001</v>
      </c>
      <c r="G629" s="268">
        <v>1560455.643558</v>
      </c>
      <c r="H629" s="268">
        <v>2887665.3066218998</v>
      </c>
      <c r="I629" s="267" t="s">
        <v>633</v>
      </c>
      <c r="J629" s="267" t="s">
        <v>121</v>
      </c>
      <c r="K629" s="267">
        <v>792697</v>
      </c>
      <c r="L629" s="267" t="s">
        <v>764</v>
      </c>
      <c r="M629"/>
      <c r="N629"/>
      <c r="O629"/>
      <c r="P629"/>
      <c r="Q629" s="151"/>
      <c r="R629"/>
      <c r="S629"/>
      <c r="T629"/>
      <c r="U629"/>
      <c r="V629"/>
    </row>
    <row r="630" spans="1:22" x14ac:dyDescent="0.2">
      <c r="A630" s="267" t="s">
        <v>626</v>
      </c>
      <c r="B630" s="267" t="s">
        <v>956</v>
      </c>
      <c r="C630" s="268">
        <v>518</v>
      </c>
      <c r="D630" s="268">
        <v>717</v>
      </c>
      <c r="E630" s="268">
        <v>1235</v>
      </c>
      <c r="F630" s="268">
        <v>13808153.1197048</v>
      </c>
      <c r="G630" s="268">
        <v>23184110.288025402</v>
      </c>
      <c r="H630" s="268">
        <v>36992263.407730304</v>
      </c>
      <c r="I630" s="267" t="s">
        <v>633</v>
      </c>
      <c r="J630" s="267" t="s">
        <v>122</v>
      </c>
      <c r="K630" s="267">
        <v>793406</v>
      </c>
      <c r="L630" s="267" t="s">
        <v>752</v>
      </c>
      <c r="M630"/>
      <c r="N630"/>
      <c r="O630"/>
      <c r="P630"/>
      <c r="Q630" s="151"/>
      <c r="R630"/>
      <c r="S630"/>
      <c r="T630"/>
      <c r="U630"/>
      <c r="V630"/>
    </row>
    <row r="631" spans="1:22" x14ac:dyDescent="0.2">
      <c r="A631" s="267" t="s">
        <v>301</v>
      </c>
      <c r="B631" s="267" t="s">
        <v>322</v>
      </c>
      <c r="C631" s="268">
        <v>996</v>
      </c>
      <c r="D631" s="268">
        <v>1053</v>
      </c>
      <c r="E631" s="268">
        <v>2049</v>
      </c>
      <c r="F631" s="268">
        <v>16599943.940337799</v>
      </c>
      <c r="G631" s="268">
        <v>21079315.864016</v>
      </c>
      <c r="H631" s="268">
        <v>37679259.804353803</v>
      </c>
      <c r="I631" s="267" t="s">
        <v>633</v>
      </c>
      <c r="J631" s="267" t="s">
        <v>123</v>
      </c>
      <c r="K631" s="267">
        <v>794115</v>
      </c>
      <c r="L631" s="267" t="s">
        <v>88</v>
      </c>
      <c r="M631"/>
      <c r="N631"/>
      <c r="O631"/>
      <c r="P631"/>
      <c r="Q631" s="151"/>
      <c r="R631"/>
      <c r="S631"/>
      <c r="T631"/>
      <c r="U631"/>
      <c r="V631"/>
    </row>
    <row r="632" spans="1:22" x14ac:dyDescent="0.2">
      <c r="A632" s="267" t="s">
        <v>131</v>
      </c>
      <c r="B632" s="267" t="s">
        <v>1070</v>
      </c>
      <c r="C632" s="268">
        <v>24</v>
      </c>
      <c r="D632" s="268">
        <v>34</v>
      </c>
      <c r="E632" s="268">
        <v>58</v>
      </c>
      <c r="F632" s="268">
        <v>465339.87357717397</v>
      </c>
      <c r="G632" s="268">
        <v>986974.30160427897</v>
      </c>
      <c r="H632" s="268">
        <v>1452314.1751814501</v>
      </c>
      <c r="I632" s="267" t="s">
        <v>633</v>
      </c>
      <c r="J632" s="267" t="s">
        <v>121</v>
      </c>
      <c r="K632" s="267">
        <v>795054</v>
      </c>
      <c r="L632" s="267" t="s">
        <v>1067</v>
      </c>
      <c r="M632"/>
      <c r="N632"/>
      <c r="O632"/>
      <c r="P632"/>
      <c r="Q632" s="151"/>
      <c r="R632"/>
      <c r="S632"/>
      <c r="T632"/>
      <c r="U632"/>
      <c r="V632"/>
    </row>
    <row r="633" spans="1:22" x14ac:dyDescent="0.2">
      <c r="A633" s="267" t="s">
        <v>145</v>
      </c>
      <c r="B633" s="267" t="s">
        <v>156</v>
      </c>
      <c r="C633" s="268">
        <v>13298</v>
      </c>
      <c r="D633" s="268">
        <v>9553</v>
      </c>
      <c r="E633" s="268">
        <v>22851</v>
      </c>
      <c r="F633" s="268">
        <v>293457015.63222802</v>
      </c>
      <c r="G633" s="268">
        <v>241533827.26464602</v>
      </c>
      <c r="H633" s="268">
        <v>534990842.89687401</v>
      </c>
      <c r="I633" s="267" t="s">
        <v>753</v>
      </c>
      <c r="J633" s="267" t="s">
        <v>121</v>
      </c>
      <c r="K633" s="267">
        <v>797779</v>
      </c>
      <c r="L633" s="267" t="s">
        <v>776</v>
      </c>
      <c r="M633"/>
      <c r="N633"/>
      <c r="O633"/>
      <c r="P633"/>
      <c r="Q633" s="151"/>
      <c r="R633"/>
      <c r="S633"/>
      <c r="T633"/>
      <c r="U633"/>
      <c r="V633"/>
    </row>
    <row r="634" spans="1:22" x14ac:dyDescent="0.2">
      <c r="A634" s="267" t="s">
        <v>626</v>
      </c>
      <c r="B634" s="267" t="s">
        <v>1080</v>
      </c>
      <c r="C634" s="268">
        <v>2</v>
      </c>
      <c r="D634" s="268">
        <v>4</v>
      </c>
      <c r="E634" s="268">
        <v>6</v>
      </c>
      <c r="F634" s="268">
        <v>21653.867143768799</v>
      </c>
      <c r="G634" s="268">
        <v>120383.692381377</v>
      </c>
      <c r="H634" s="268">
        <v>142037.559525146</v>
      </c>
      <c r="I634" s="267" t="s">
        <v>633</v>
      </c>
      <c r="J634" s="267" t="s">
        <v>122</v>
      </c>
      <c r="K634" s="267">
        <v>799304</v>
      </c>
      <c r="L634" s="267" t="s">
        <v>1067</v>
      </c>
      <c r="M634"/>
      <c r="N634"/>
      <c r="O634"/>
      <c r="P634"/>
      <c r="Q634" s="151"/>
      <c r="R634"/>
      <c r="S634"/>
      <c r="T634"/>
      <c r="U634"/>
      <c r="V634"/>
    </row>
    <row r="635" spans="1:22" x14ac:dyDescent="0.2">
      <c r="A635" s="267" t="s">
        <v>145</v>
      </c>
      <c r="B635" s="267" t="s">
        <v>355</v>
      </c>
      <c r="C635" s="268">
        <v>492</v>
      </c>
      <c r="D635" s="268">
        <v>642</v>
      </c>
      <c r="E635" s="268">
        <v>1134</v>
      </c>
      <c r="F635" s="268">
        <v>10570653.9154402</v>
      </c>
      <c r="G635" s="268">
        <v>16475682.7073566</v>
      </c>
      <c r="H635" s="268">
        <v>27046336.6227968</v>
      </c>
      <c r="I635" s="267" t="s">
        <v>633</v>
      </c>
      <c r="J635" s="267" t="s">
        <v>121</v>
      </c>
      <c r="K635" s="267">
        <v>800664</v>
      </c>
      <c r="L635" s="267" t="s">
        <v>361</v>
      </c>
      <c r="M635"/>
      <c r="N635"/>
      <c r="O635"/>
      <c r="P635"/>
      <c r="Q635" s="151"/>
      <c r="R635"/>
      <c r="S635"/>
      <c r="T635"/>
      <c r="U635"/>
      <c r="V635"/>
    </row>
    <row r="636" spans="1:22" x14ac:dyDescent="0.2">
      <c r="A636" s="267" t="s">
        <v>102</v>
      </c>
      <c r="B636" s="267" t="s">
        <v>574</v>
      </c>
      <c r="C636" s="268">
        <v>387</v>
      </c>
      <c r="D636" s="268">
        <v>552</v>
      </c>
      <c r="E636" s="268">
        <v>939</v>
      </c>
      <c r="F636" s="268">
        <v>6330927.5849078102</v>
      </c>
      <c r="G636" s="268">
        <v>11637220.9168064</v>
      </c>
      <c r="H636" s="268">
        <v>17968148.5017142</v>
      </c>
      <c r="I636" s="267" t="s">
        <v>633</v>
      </c>
      <c r="J636" s="267" t="s">
        <v>121</v>
      </c>
      <c r="K636" s="267">
        <v>804385</v>
      </c>
      <c r="L636" s="267" t="s">
        <v>760</v>
      </c>
      <c r="M636"/>
      <c r="N636"/>
      <c r="O636"/>
      <c r="P636"/>
      <c r="Q636" s="151"/>
      <c r="R636"/>
      <c r="S636"/>
      <c r="T636"/>
      <c r="U636"/>
      <c r="V636"/>
    </row>
    <row r="637" spans="1:22" x14ac:dyDescent="0.2">
      <c r="A637" s="267" t="s">
        <v>546</v>
      </c>
      <c r="B637" s="267" t="s">
        <v>183</v>
      </c>
      <c r="C637" s="268">
        <v>1648</v>
      </c>
      <c r="D637" s="268">
        <v>1313</v>
      </c>
      <c r="E637" s="268">
        <v>2961</v>
      </c>
      <c r="F637" s="268">
        <v>35450556.300156794</v>
      </c>
      <c r="G637" s="268">
        <v>37077404.914244294</v>
      </c>
      <c r="H637" s="268">
        <v>72527961.214401096</v>
      </c>
      <c r="I637" s="267" t="s">
        <v>753</v>
      </c>
      <c r="J637" s="267" t="s">
        <v>122</v>
      </c>
      <c r="K637" s="267">
        <v>804443</v>
      </c>
      <c r="L637" s="267" t="s">
        <v>182</v>
      </c>
      <c r="M637"/>
      <c r="N637"/>
      <c r="O637"/>
      <c r="P637"/>
      <c r="Q637" s="151"/>
      <c r="R637"/>
      <c r="S637"/>
      <c r="T637"/>
      <c r="U637"/>
      <c r="V637"/>
    </row>
    <row r="638" spans="1:22" x14ac:dyDescent="0.2">
      <c r="A638" s="267" t="s">
        <v>145</v>
      </c>
      <c r="B638" s="267" t="s">
        <v>575</v>
      </c>
      <c r="C638" s="268">
        <v>64</v>
      </c>
      <c r="D638" s="268">
        <v>100</v>
      </c>
      <c r="E638" s="268">
        <v>164</v>
      </c>
      <c r="F638" s="268">
        <v>2174049.7438119496</v>
      </c>
      <c r="G638" s="268">
        <v>4703378.6357936002</v>
      </c>
      <c r="H638" s="268">
        <v>6877428.3796055503</v>
      </c>
      <c r="I638" s="267" t="s">
        <v>753</v>
      </c>
      <c r="J638" s="267" t="s">
        <v>121</v>
      </c>
      <c r="K638" s="267">
        <v>806034</v>
      </c>
      <c r="L638" s="267" t="s">
        <v>576</v>
      </c>
      <c r="M638"/>
      <c r="N638"/>
      <c r="O638"/>
      <c r="P638"/>
      <c r="Q638" s="151"/>
      <c r="R638"/>
      <c r="S638"/>
      <c r="T638"/>
      <c r="U638"/>
      <c r="V638"/>
    </row>
    <row r="639" spans="1:22" x14ac:dyDescent="0.2">
      <c r="A639" s="267" t="s">
        <v>239</v>
      </c>
      <c r="B639" s="267" t="s">
        <v>720</v>
      </c>
      <c r="C639" s="268">
        <v>370</v>
      </c>
      <c r="D639" s="268">
        <v>818</v>
      </c>
      <c r="E639" s="268">
        <v>1188</v>
      </c>
      <c r="F639" s="268">
        <v>5265376.3610069901</v>
      </c>
      <c r="G639" s="268">
        <v>16045300.0203944</v>
      </c>
      <c r="H639" s="268">
        <v>21310676.381401401</v>
      </c>
      <c r="I639" s="267" t="s">
        <v>633</v>
      </c>
      <c r="J639" s="267" t="s">
        <v>121</v>
      </c>
      <c r="K639" s="267">
        <v>806091</v>
      </c>
      <c r="L639" s="267" t="s">
        <v>88</v>
      </c>
      <c r="M639"/>
      <c r="N639"/>
      <c r="O639"/>
      <c r="P639"/>
      <c r="Q639" s="151"/>
      <c r="R639"/>
      <c r="S639"/>
      <c r="T639"/>
      <c r="U639"/>
      <c r="V639"/>
    </row>
    <row r="640" spans="1:22" x14ac:dyDescent="0.2">
      <c r="A640" s="267" t="s">
        <v>671</v>
      </c>
      <c r="B640" s="267" t="s">
        <v>702</v>
      </c>
      <c r="C640" s="268">
        <v>7354</v>
      </c>
      <c r="D640" s="268">
        <v>8301</v>
      </c>
      <c r="E640" s="268">
        <v>15655</v>
      </c>
      <c r="F640" s="268">
        <v>157101395.34650001</v>
      </c>
      <c r="G640" s="268">
        <v>220047481.51344699</v>
      </c>
      <c r="H640" s="268">
        <v>377148876.85994703</v>
      </c>
      <c r="I640" s="267" t="s">
        <v>753</v>
      </c>
      <c r="J640" s="267" t="s">
        <v>121</v>
      </c>
      <c r="K640" s="267">
        <v>806869</v>
      </c>
      <c r="L640" s="267" t="s">
        <v>701</v>
      </c>
      <c r="M640"/>
      <c r="N640"/>
      <c r="O640"/>
      <c r="P640"/>
      <c r="Q640" s="151"/>
      <c r="R640"/>
      <c r="S640"/>
      <c r="T640"/>
      <c r="U640"/>
      <c r="V640"/>
    </row>
    <row r="641" spans="1:22" x14ac:dyDescent="0.2">
      <c r="A641" s="267" t="s">
        <v>546</v>
      </c>
      <c r="B641" s="267" t="s">
        <v>549</v>
      </c>
      <c r="C641" s="268">
        <v>2320</v>
      </c>
      <c r="D641" s="268">
        <v>2138</v>
      </c>
      <c r="E641" s="268">
        <v>4458</v>
      </c>
      <c r="F641" s="268">
        <v>61198155.730678797</v>
      </c>
      <c r="G641" s="268">
        <v>74536666.689934</v>
      </c>
      <c r="H641" s="268">
        <v>135734822.42061302</v>
      </c>
      <c r="I641" s="267" t="s">
        <v>753</v>
      </c>
      <c r="J641" s="267" t="s">
        <v>122</v>
      </c>
      <c r="K641" s="267">
        <v>807453</v>
      </c>
      <c r="L641" s="267" t="s">
        <v>790</v>
      </c>
      <c r="M641"/>
      <c r="N641"/>
      <c r="O641"/>
      <c r="P641"/>
      <c r="Q641" s="151"/>
      <c r="R641"/>
      <c r="S641"/>
      <c r="T641"/>
      <c r="U641"/>
      <c r="V641"/>
    </row>
    <row r="642" spans="1:22" x14ac:dyDescent="0.2">
      <c r="A642" s="267" t="s">
        <v>161</v>
      </c>
      <c r="B642" s="267" t="s">
        <v>452</v>
      </c>
      <c r="C642" s="268">
        <v>417</v>
      </c>
      <c r="D642" s="268">
        <v>224</v>
      </c>
      <c r="E642" s="268">
        <v>641</v>
      </c>
      <c r="F642" s="268">
        <v>4495212.0731390007</v>
      </c>
      <c r="G642" s="268">
        <v>2949474.7410433101</v>
      </c>
      <c r="H642" s="268">
        <v>7444686.8141823104</v>
      </c>
      <c r="I642" s="267" t="s">
        <v>633</v>
      </c>
      <c r="J642" s="267" t="s">
        <v>121</v>
      </c>
      <c r="K642" s="267">
        <v>807867</v>
      </c>
      <c r="L642" s="267" t="s">
        <v>88</v>
      </c>
      <c r="M642"/>
      <c r="N642"/>
      <c r="O642"/>
      <c r="P642"/>
      <c r="Q642" s="151"/>
      <c r="R642"/>
      <c r="S642"/>
      <c r="T642"/>
      <c r="U642"/>
      <c r="V642"/>
    </row>
    <row r="643" spans="1:22" x14ac:dyDescent="0.2">
      <c r="A643" s="267" t="s">
        <v>626</v>
      </c>
      <c r="B643" s="267" t="s">
        <v>627</v>
      </c>
      <c r="C643" s="268">
        <v>93</v>
      </c>
      <c r="D643" s="268">
        <v>147</v>
      </c>
      <c r="E643" s="268">
        <v>240</v>
      </c>
      <c r="F643" s="268">
        <v>1418225.3724183999</v>
      </c>
      <c r="G643" s="268">
        <v>3316060.7771990998</v>
      </c>
      <c r="H643" s="268">
        <v>4734286.1496174997</v>
      </c>
      <c r="I643" s="267" t="s">
        <v>633</v>
      </c>
      <c r="J643" s="267" t="s">
        <v>122</v>
      </c>
      <c r="K643" s="267">
        <v>808634</v>
      </c>
      <c r="L643" s="267" t="s">
        <v>992</v>
      </c>
      <c r="M643"/>
      <c r="N643"/>
      <c r="O643"/>
      <c r="P643"/>
      <c r="Q643" s="151"/>
      <c r="R643"/>
      <c r="S643"/>
      <c r="T643"/>
      <c r="U643"/>
      <c r="V643"/>
    </row>
    <row r="644" spans="1:22" x14ac:dyDescent="0.2">
      <c r="A644" s="267" t="s">
        <v>239</v>
      </c>
      <c r="B644" s="267" t="s">
        <v>389</v>
      </c>
      <c r="C644" s="268">
        <v>1</v>
      </c>
      <c r="D644" s="268">
        <v>6</v>
      </c>
      <c r="E644" s="268">
        <v>7</v>
      </c>
      <c r="F644" s="268">
        <v>9308.6377750219599</v>
      </c>
      <c r="G644" s="268">
        <v>113568.06664272099</v>
      </c>
      <c r="H644" s="268">
        <v>122876.70441774299</v>
      </c>
      <c r="I644" s="267" t="s">
        <v>633</v>
      </c>
      <c r="J644" s="267" t="s">
        <v>121</v>
      </c>
      <c r="K644" s="267">
        <v>809699</v>
      </c>
      <c r="L644" s="267" t="s">
        <v>126</v>
      </c>
      <c r="M644"/>
      <c r="N644"/>
      <c r="O644"/>
      <c r="P644"/>
      <c r="Q644" s="151"/>
      <c r="R644"/>
      <c r="S644"/>
      <c r="T644"/>
      <c r="U644"/>
      <c r="V644"/>
    </row>
    <row r="645" spans="1:22" x14ac:dyDescent="0.2">
      <c r="A645" s="267" t="s">
        <v>44</v>
      </c>
      <c r="B645" s="267" t="s">
        <v>189</v>
      </c>
      <c r="C645" s="268">
        <v>19</v>
      </c>
      <c r="D645" s="268">
        <v>14</v>
      </c>
      <c r="E645" s="268">
        <v>33</v>
      </c>
      <c r="F645" s="268">
        <v>220694.71409478699</v>
      </c>
      <c r="G645" s="268">
        <v>193702.493337925</v>
      </c>
      <c r="H645" s="268">
        <v>414397.20743271202</v>
      </c>
      <c r="I645" s="267" t="s">
        <v>633</v>
      </c>
      <c r="J645" s="267" t="s">
        <v>121</v>
      </c>
      <c r="K645" s="267">
        <v>810465</v>
      </c>
      <c r="L645" s="267" t="s">
        <v>423</v>
      </c>
      <c r="M645"/>
      <c r="N645"/>
      <c r="O645"/>
      <c r="P645"/>
      <c r="Q645" s="151"/>
      <c r="R645"/>
      <c r="S645"/>
      <c r="T645"/>
      <c r="U645"/>
      <c r="V645"/>
    </row>
    <row r="646" spans="1:22" x14ac:dyDescent="0.2">
      <c r="A646" s="267" t="s">
        <v>748</v>
      </c>
      <c r="B646" s="267" t="s">
        <v>353</v>
      </c>
      <c r="C646" s="268">
        <v>4701</v>
      </c>
      <c r="D646" s="268">
        <v>4175</v>
      </c>
      <c r="E646" s="268">
        <v>8876</v>
      </c>
      <c r="F646" s="268">
        <v>111609754.135976</v>
      </c>
      <c r="G646" s="268">
        <v>119229533.25174201</v>
      </c>
      <c r="H646" s="268">
        <v>230839287.38771901</v>
      </c>
      <c r="I646" s="267" t="s">
        <v>753</v>
      </c>
      <c r="J646" s="267" t="s">
        <v>121</v>
      </c>
      <c r="K646" s="267">
        <v>811117</v>
      </c>
      <c r="L646" s="267" t="s">
        <v>677</v>
      </c>
      <c r="M646"/>
      <c r="N646"/>
      <c r="O646"/>
      <c r="P646"/>
      <c r="Q646" s="151"/>
      <c r="R646"/>
      <c r="S646"/>
      <c r="T646"/>
      <c r="U646"/>
      <c r="V646"/>
    </row>
    <row r="647" spans="1:22" x14ac:dyDescent="0.2">
      <c r="A647" s="267" t="s">
        <v>344</v>
      </c>
      <c r="B647" s="267" t="s">
        <v>347</v>
      </c>
      <c r="C647" s="268">
        <v>13786</v>
      </c>
      <c r="D647" s="268">
        <v>13284</v>
      </c>
      <c r="E647" s="268">
        <v>27070</v>
      </c>
      <c r="F647" s="268">
        <v>576307473.996369</v>
      </c>
      <c r="G647" s="268">
        <v>666030314.812747</v>
      </c>
      <c r="H647" s="268">
        <v>1242337788.8091199</v>
      </c>
      <c r="I647" s="267" t="s">
        <v>753</v>
      </c>
      <c r="J647" s="267" t="s">
        <v>125</v>
      </c>
      <c r="K647" s="267">
        <v>814772</v>
      </c>
      <c r="L647" s="267" t="s">
        <v>699</v>
      </c>
      <c r="M647"/>
      <c r="N647"/>
      <c r="O647"/>
      <c r="P647"/>
      <c r="Q647" s="151"/>
      <c r="R647"/>
      <c r="S647"/>
      <c r="T647"/>
      <c r="U647"/>
      <c r="V647"/>
    </row>
    <row r="648" spans="1:22" x14ac:dyDescent="0.2">
      <c r="A648" s="267" t="s">
        <v>270</v>
      </c>
      <c r="B648" s="267" t="s">
        <v>999</v>
      </c>
      <c r="C648" s="268">
        <v>91</v>
      </c>
      <c r="D648" s="268">
        <v>105</v>
      </c>
      <c r="E648" s="268">
        <v>196</v>
      </c>
      <c r="F648" s="268">
        <v>2023831.4801695801</v>
      </c>
      <c r="G648" s="268">
        <v>3403789.7912693298</v>
      </c>
      <c r="H648" s="268">
        <v>5427621.2714389004</v>
      </c>
      <c r="I648" s="267" t="s">
        <v>753</v>
      </c>
      <c r="J648" s="267" t="s">
        <v>121</v>
      </c>
      <c r="K648" s="267">
        <v>815712</v>
      </c>
      <c r="L648" s="267" t="s">
        <v>446</v>
      </c>
      <c r="M648"/>
      <c r="N648"/>
      <c r="O648"/>
      <c r="P648"/>
      <c r="Q648" s="151"/>
      <c r="R648"/>
      <c r="S648"/>
      <c r="T648"/>
      <c r="U648"/>
      <c r="V648"/>
    </row>
    <row r="649" spans="1:22" x14ac:dyDescent="0.2">
      <c r="A649" s="267" t="s">
        <v>102</v>
      </c>
      <c r="B649" s="267" t="s">
        <v>350</v>
      </c>
      <c r="C649" s="268">
        <v>459</v>
      </c>
      <c r="D649" s="268">
        <v>638</v>
      </c>
      <c r="E649" s="268">
        <v>1097</v>
      </c>
      <c r="F649" s="268">
        <v>9600298.5500044301</v>
      </c>
      <c r="G649" s="268">
        <v>17314524.970925499</v>
      </c>
      <c r="H649" s="268">
        <v>26914823.52093</v>
      </c>
      <c r="I649" s="267" t="s">
        <v>633</v>
      </c>
      <c r="J649" s="267" t="s">
        <v>121</v>
      </c>
      <c r="K649" s="267">
        <v>815837</v>
      </c>
      <c r="L649" s="267" t="s">
        <v>358</v>
      </c>
      <c r="M649"/>
      <c r="N649"/>
      <c r="O649"/>
      <c r="P649"/>
      <c r="Q649" s="151"/>
      <c r="R649"/>
      <c r="S649"/>
      <c r="T649"/>
      <c r="U649"/>
      <c r="V649"/>
    </row>
    <row r="650" spans="1:22" x14ac:dyDescent="0.2">
      <c r="A650" s="267" t="s">
        <v>491</v>
      </c>
      <c r="B650" s="267" t="s">
        <v>1045</v>
      </c>
      <c r="C650" s="268">
        <v>318</v>
      </c>
      <c r="D650" s="268">
        <v>307</v>
      </c>
      <c r="E650" s="268">
        <v>625</v>
      </c>
      <c r="F650" s="268">
        <v>9502826.2079228796</v>
      </c>
      <c r="G650" s="268">
        <v>11068168.290184999</v>
      </c>
      <c r="H650" s="268">
        <v>20570994.498107899</v>
      </c>
      <c r="I650" s="267" t="s">
        <v>633</v>
      </c>
      <c r="J650" s="267" t="s">
        <v>122</v>
      </c>
      <c r="K650" s="267">
        <v>815894</v>
      </c>
      <c r="L650" s="267" t="s">
        <v>764</v>
      </c>
      <c r="M650"/>
      <c r="N650"/>
      <c r="O650"/>
      <c r="P650"/>
      <c r="Q650" s="151"/>
      <c r="R650"/>
      <c r="S650"/>
      <c r="T650"/>
      <c r="U650"/>
      <c r="V650"/>
    </row>
    <row r="651" spans="1:22" x14ac:dyDescent="0.2">
      <c r="A651" s="267" t="s">
        <v>301</v>
      </c>
      <c r="B651" s="267" t="s">
        <v>916</v>
      </c>
      <c r="C651" s="268">
        <v>319</v>
      </c>
      <c r="D651" s="268">
        <v>405</v>
      </c>
      <c r="E651" s="268">
        <v>724</v>
      </c>
      <c r="F651" s="268">
        <v>3545220.6305862898</v>
      </c>
      <c r="G651" s="268">
        <v>5269164.8981534299</v>
      </c>
      <c r="H651" s="268">
        <v>8814385.5287397094</v>
      </c>
      <c r="I651" s="267" t="s">
        <v>753</v>
      </c>
      <c r="J651" s="267" t="s">
        <v>123</v>
      </c>
      <c r="K651" s="267">
        <v>817544</v>
      </c>
      <c r="L651" s="267" t="s">
        <v>905</v>
      </c>
      <c r="M651"/>
      <c r="N651"/>
      <c r="O651"/>
      <c r="P651"/>
      <c r="Q651" s="151"/>
      <c r="R651"/>
      <c r="S651"/>
      <c r="T651"/>
      <c r="U651"/>
      <c r="V651"/>
    </row>
    <row r="652" spans="1:22" x14ac:dyDescent="0.2">
      <c r="A652" s="267" t="s">
        <v>131</v>
      </c>
      <c r="B652" s="267" t="s">
        <v>883</v>
      </c>
      <c r="C652" s="268">
        <v>548</v>
      </c>
      <c r="D652" s="268">
        <v>721</v>
      </c>
      <c r="E652" s="268">
        <v>1269</v>
      </c>
      <c r="F652" s="268">
        <v>6183158.7208290799</v>
      </c>
      <c r="G652" s="268">
        <v>9352324.3944566902</v>
      </c>
      <c r="H652" s="268">
        <v>15535483.115285799</v>
      </c>
      <c r="I652" s="267" t="s">
        <v>633</v>
      </c>
      <c r="J652" s="267" t="s">
        <v>121</v>
      </c>
      <c r="K652" s="267">
        <v>817601</v>
      </c>
      <c r="L652" s="267" t="s">
        <v>88</v>
      </c>
      <c r="M652"/>
      <c r="N652"/>
      <c r="O652"/>
      <c r="P652"/>
      <c r="Q652" s="151"/>
      <c r="R652"/>
      <c r="S652"/>
      <c r="T652"/>
      <c r="U652"/>
      <c r="V652"/>
    </row>
    <row r="653" spans="1:22" x14ac:dyDescent="0.2">
      <c r="A653" s="267" t="s">
        <v>161</v>
      </c>
      <c r="B653" s="267" t="s">
        <v>937</v>
      </c>
      <c r="C653" s="268">
        <v>1815</v>
      </c>
      <c r="D653" s="268">
        <v>2682</v>
      </c>
      <c r="E653" s="268">
        <v>4497</v>
      </c>
      <c r="F653" s="268">
        <v>35727613.755351596</v>
      </c>
      <c r="G653" s="268">
        <v>66009252.039503306</v>
      </c>
      <c r="H653" s="268">
        <v>101736865.794855</v>
      </c>
      <c r="I653" s="267" t="s">
        <v>633</v>
      </c>
      <c r="J653" s="267" t="s">
        <v>121</v>
      </c>
      <c r="K653" s="267">
        <v>819029</v>
      </c>
      <c r="L653" s="267" t="s">
        <v>920</v>
      </c>
      <c r="M653"/>
      <c r="N653"/>
      <c r="O653"/>
      <c r="P653"/>
      <c r="Q653" s="151"/>
      <c r="R653"/>
      <c r="S653"/>
      <c r="T653"/>
      <c r="U653"/>
      <c r="V653"/>
    </row>
    <row r="654" spans="1:22" x14ac:dyDescent="0.2">
      <c r="A654" s="267" t="s">
        <v>348</v>
      </c>
      <c r="B654" s="267" t="s">
        <v>526</v>
      </c>
      <c r="C654" s="268">
        <v>37949</v>
      </c>
      <c r="D654" s="268">
        <v>25012</v>
      </c>
      <c r="E654" s="268">
        <v>62961</v>
      </c>
      <c r="F654" s="268">
        <v>2715783517.9966903</v>
      </c>
      <c r="G654" s="268">
        <v>2101355178.96561</v>
      </c>
      <c r="H654" s="268">
        <v>4817138696.9623003</v>
      </c>
      <c r="I654" s="267" t="s">
        <v>753</v>
      </c>
      <c r="J654" s="267" t="s">
        <v>125</v>
      </c>
      <c r="K654" s="267">
        <v>819557</v>
      </c>
      <c r="L654" s="267" t="s">
        <v>174</v>
      </c>
      <c r="M654"/>
      <c r="N654"/>
      <c r="O654"/>
      <c r="P654"/>
      <c r="Q654" s="151"/>
      <c r="R654"/>
      <c r="S654"/>
      <c r="T654"/>
      <c r="U654"/>
      <c r="V654"/>
    </row>
    <row r="655" spans="1:22" x14ac:dyDescent="0.2">
      <c r="A655" s="267" t="s">
        <v>748</v>
      </c>
      <c r="B655" s="267" t="s">
        <v>527</v>
      </c>
      <c r="C655" s="268">
        <v>20510</v>
      </c>
      <c r="D655" s="268">
        <v>22329</v>
      </c>
      <c r="E655" s="268">
        <v>42839</v>
      </c>
      <c r="F655" s="268">
        <v>458432431.567945</v>
      </c>
      <c r="G655" s="268">
        <v>616503927.209759</v>
      </c>
      <c r="H655" s="268">
        <v>1074936358.7776999</v>
      </c>
      <c r="I655" s="267" t="s">
        <v>753</v>
      </c>
      <c r="J655" s="267" t="s">
        <v>121</v>
      </c>
      <c r="K655" s="267">
        <v>820852</v>
      </c>
      <c r="L655" s="267" t="s">
        <v>174</v>
      </c>
      <c r="M655"/>
      <c r="N655"/>
      <c r="O655"/>
      <c r="P655"/>
      <c r="Q655" s="151"/>
      <c r="R655"/>
      <c r="S655"/>
      <c r="T655"/>
      <c r="U655"/>
      <c r="V655"/>
    </row>
    <row r="656" spans="1:22" x14ac:dyDescent="0.2">
      <c r="A656" s="267" t="s">
        <v>239</v>
      </c>
      <c r="B656" s="267" t="s">
        <v>250</v>
      </c>
      <c r="C656" s="268">
        <v>1104</v>
      </c>
      <c r="D656" s="268">
        <v>1557</v>
      </c>
      <c r="E656" s="268">
        <v>2661</v>
      </c>
      <c r="F656" s="268">
        <v>26248189.967467401</v>
      </c>
      <c r="G656" s="268">
        <v>44308742.169568099</v>
      </c>
      <c r="H656" s="268">
        <v>70556932.137035504</v>
      </c>
      <c r="I656" s="267" t="s">
        <v>633</v>
      </c>
      <c r="J656" s="267" t="s">
        <v>121</v>
      </c>
      <c r="K656" s="267">
        <v>821389</v>
      </c>
      <c r="L656" s="267" t="s">
        <v>754</v>
      </c>
      <c r="M656"/>
      <c r="N656"/>
      <c r="O656"/>
      <c r="P656"/>
      <c r="Q656" s="151"/>
      <c r="R656"/>
      <c r="S656"/>
      <c r="T656"/>
      <c r="U656"/>
      <c r="V656"/>
    </row>
    <row r="657" spans="1:22" x14ac:dyDescent="0.2">
      <c r="A657" s="267" t="s">
        <v>369</v>
      </c>
      <c r="B657" s="267" t="s">
        <v>966</v>
      </c>
      <c r="C657" s="268">
        <v>141</v>
      </c>
      <c r="D657" s="268">
        <v>278</v>
      </c>
      <c r="E657" s="268">
        <v>419</v>
      </c>
      <c r="F657" s="268">
        <v>2361092.6865809998</v>
      </c>
      <c r="G657" s="268">
        <v>6331693.4235301204</v>
      </c>
      <c r="H657" s="268">
        <v>8692786.1101111192</v>
      </c>
      <c r="I657" s="267" t="s">
        <v>753</v>
      </c>
      <c r="J657" s="267" t="s">
        <v>121</v>
      </c>
      <c r="K657" s="267">
        <v>823039</v>
      </c>
      <c r="L657" s="267" t="s">
        <v>790</v>
      </c>
      <c r="M657"/>
      <c r="N657"/>
      <c r="O657"/>
      <c r="P657"/>
      <c r="Q657" s="151"/>
      <c r="R657"/>
      <c r="S657"/>
      <c r="T657"/>
      <c r="U657"/>
      <c r="V657"/>
    </row>
    <row r="658" spans="1:22" x14ac:dyDescent="0.2">
      <c r="A658" s="267" t="s">
        <v>131</v>
      </c>
      <c r="B658" s="267" t="s">
        <v>824</v>
      </c>
      <c r="C658" s="268">
        <v>887</v>
      </c>
      <c r="D658" s="268">
        <v>1364</v>
      </c>
      <c r="E658" s="268">
        <v>2251</v>
      </c>
      <c r="F658" s="268">
        <v>17768364.640437499</v>
      </c>
      <c r="G658" s="268">
        <v>33530184.469931401</v>
      </c>
      <c r="H658" s="268">
        <v>51298549.110368997</v>
      </c>
      <c r="I658" s="267" t="s">
        <v>753</v>
      </c>
      <c r="J658" s="267" t="s">
        <v>121</v>
      </c>
      <c r="K658" s="267">
        <v>823096</v>
      </c>
      <c r="L658" s="267" t="s">
        <v>809</v>
      </c>
      <c r="M658"/>
      <c r="N658"/>
      <c r="O658"/>
      <c r="P658"/>
      <c r="Q658" s="151"/>
      <c r="R658"/>
      <c r="S658"/>
      <c r="T658"/>
      <c r="U658"/>
      <c r="V658"/>
    </row>
    <row r="659" spans="1:22" x14ac:dyDescent="0.2">
      <c r="A659" s="267" t="s">
        <v>208</v>
      </c>
      <c r="B659" s="267" t="s">
        <v>528</v>
      </c>
      <c r="C659" s="268">
        <v>35795</v>
      </c>
      <c r="D659" s="268">
        <v>42798</v>
      </c>
      <c r="E659" s="268">
        <v>78593</v>
      </c>
      <c r="F659" s="268">
        <v>736332673.28757095</v>
      </c>
      <c r="G659" s="268">
        <v>1177447435.9883699</v>
      </c>
      <c r="H659" s="268">
        <v>1913780109.27595</v>
      </c>
      <c r="I659" s="267" t="s">
        <v>753</v>
      </c>
      <c r="J659" s="267" t="s">
        <v>121</v>
      </c>
      <c r="K659" s="267">
        <v>825109</v>
      </c>
      <c r="L659" s="267" t="s">
        <v>174</v>
      </c>
      <c r="M659"/>
      <c r="N659"/>
      <c r="O659"/>
      <c r="P659"/>
      <c r="Q659" s="151"/>
      <c r="R659"/>
      <c r="S659"/>
      <c r="T659"/>
      <c r="U659"/>
      <c r="V659"/>
    </row>
    <row r="660" spans="1:22" x14ac:dyDescent="0.2">
      <c r="A660" s="267" t="s">
        <v>161</v>
      </c>
      <c r="B660" s="267" t="s">
        <v>168</v>
      </c>
      <c r="C660" s="268">
        <v>47</v>
      </c>
      <c r="D660" s="268">
        <v>64</v>
      </c>
      <c r="E660" s="268">
        <v>111</v>
      </c>
      <c r="F660" s="268">
        <v>738781.45582390705</v>
      </c>
      <c r="G660" s="268">
        <v>1270643.4170228499</v>
      </c>
      <c r="H660" s="268">
        <v>2009424.8728467601</v>
      </c>
      <c r="I660" s="267" t="s">
        <v>633</v>
      </c>
      <c r="J660" s="267" t="s">
        <v>121</v>
      </c>
      <c r="K660" s="267">
        <v>828111</v>
      </c>
      <c r="L660" s="267" t="s">
        <v>126</v>
      </c>
      <c r="M660"/>
      <c r="N660"/>
      <c r="O660"/>
      <c r="P660"/>
      <c r="Q660" s="151"/>
      <c r="R660"/>
      <c r="S660"/>
      <c r="T660"/>
      <c r="U660"/>
      <c r="V660"/>
    </row>
    <row r="661" spans="1:22" x14ac:dyDescent="0.2">
      <c r="A661" s="267" t="s">
        <v>473</v>
      </c>
      <c r="B661" s="267" t="s">
        <v>475</v>
      </c>
      <c r="C661" s="268">
        <v>9346</v>
      </c>
      <c r="D661" s="268">
        <v>6845</v>
      </c>
      <c r="E661" s="268">
        <v>16191</v>
      </c>
      <c r="F661" s="268">
        <v>326709564.42519802</v>
      </c>
      <c r="G661" s="268">
        <v>283431765.853441</v>
      </c>
      <c r="H661" s="268">
        <v>610141330.27863896</v>
      </c>
      <c r="I661" s="267" t="s">
        <v>753</v>
      </c>
      <c r="J661" s="267" t="s">
        <v>125</v>
      </c>
      <c r="K661" s="267">
        <v>829358</v>
      </c>
      <c r="L661" s="267" t="s">
        <v>790</v>
      </c>
      <c r="M661"/>
      <c r="N661"/>
      <c r="O661"/>
      <c r="P661"/>
      <c r="Q661" s="151"/>
      <c r="R661"/>
      <c r="S661"/>
      <c r="T661"/>
      <c r="U661"/>
      <c r="V661"/>
    </row>
    <row r="662" spans="1:22" x14ac:dyDescent="0.2">
      <c r="A662" s="267" t="s">
        <v>292</v>
      </c>
      <c r="B662" s="267" t="s">
        <v>8</v>
      </c>
      <c r="C662" s="268">
        <v>3587</v>
      </c>
      <c r="D662" s="268">
        <v>3245</v>
      </c>
      <c r="E662" s="268">
        <v>6832</v>
      </c>
      <c r="F662" s="268">
        <v>108361655.770868</v>
      </c>
      <c r="G662" s="268">
        <v>115612026.526547</v>
      </c>
      <c r="H662" s="268">
        <v>223973682.29741499</v>
      </c>
      <c r="I662" s="267" t="s">
        <v>753</v>
      </c>
      <c r="J662" s="267" t="s">
        <v>123</v>
      </c>
      <c r="K662" s="267">
        <v>829945</v>
      </c>
      <c r="L662" s="267" t="s">
        <v>433</v>
      </c>
      <c r="M662"/>
      <c r="N662"/>
      <c r="O662"/>
      <c r="P662"/>
      <c r="Q662" s="151"/>
      <c r="R662"/>
      <c r="S662"/>
      <c r="T662"/>
      <c r="U662"/>
      <c r="V662"/>
    </row>
    <row r="663" spans="1:22" x14ac:dyDescent="0.2">
      <c r="A663" s="267" t="s">
        <v>615</v>
      </c>
      <c r="B663" s="267" t="s">
        <v>1073</v>
      </c>
      <c r="C663" s="268">
        <v>41</v>
      </c>
      <c r="D663" s="268">
        <v>29</v>
      </c>
      <c r="E663" s="268">
        <v>70</v>
      </c>
      <c r="F663" s="268">
        <v>883707.51651813404</v>
      </c>
      <c r="G663" s="268">
        <v>1014194.28440262</v>
      </c>
      <c r="H663" s="268">
        <v>1897901.80092076</v>
      </c>
      <c r="I663" s="267" t="s">
        <v>633</v>
      </c>
      <c r="J663" s="267" t="s">
        <v>122</v>
      </c>
      <c r="K663" s="267">
        <v>830885</v>
      </c>
      <c r="L663" s="267" t="s">
        <v>1067</v>
      </c>
      <c r="M663"/>
      <c r="N663"/>
      <c r="O663"/>
      <c r="P663"/>
      <c r="Q663" s="151"/>
      <c r="R663"/>
      <c r="S663"/>
      <c r="T663"/>
      <c r="U663"/>
      <c r="V663"/>
    </row>
    <row r="664" spans="1:22" x14ac:dyDescent="0.2">
      <c r="A664" s="267" t="s">
        <v>473</v>
      </c>
      <c r="B664" s="267" t="s">
        <v>483</v>
      </c>
      <c r="C664" s="268">
        <v>1096</v>
      </c>
      <c r="D664" s="268">
        <v>922</v>
      </c>
      <c r="E664" s="268">
        <v>2018</v>
      </c>
      <c r="F664" s="268">
        <v>23609473.467620898</v>
      </c>
      <c r="G664" s="268">
        <v>25618078.7542626</v>
      </c>
      <c r="H664" s="268">
        <v>49227552.221883498</v>
      </c>
      <c r="I664" s="267" t="s">
        <v>753</v>
      </c>
      <c r="J664" s="267" t="s">
        <v>125</v>
      </c>
      <c r="K664" s="267">
        <v>832360</v>
      </c>
      <c r="L664" s="267" t="s">
        <v>699</v>
      </c>
      <c r="M664"/>
      <c r="N664"/>
      <c r="O664"/>
      <c r="P664"/>
      <c r="Q664" s="151"/>
      <c r="R664"/>
      <c r="S664"/>
      <c r="T664"/>
      <c r="U664"/>
      <c r="V664"/>
    </row>
    <row r="665" spans="1:22" x14ac:dyDescent="0.2">
      <c r="A665" s="267" t="s">
        <v>626</v>
      </c>
      <c r="B665" s="267" t="s">
        <v>1009</v>
      </c>
      <c r="C665" s="268">
        <v>133</v>
      </c>
      <c r="D665" s="268">
        <v>218</v>
      </c>
      <c r="E665" s="268">
        <v>351</v>
      </c>
      <c r="F665" s="268">
        <v>4697958.2559897602</v>
      </c>
      <c r="G665" s="268">
        <v>11822295.843646199</v>
      </c>
      <c r="H665" s="268">
        <v>16520254.099635899</v>
      </c>
      <c r="I665" s="267" t="s">
        <v>753</v>
      </c>
      <c r="J665" s="267" t="s">
        <v>122</v>
      </c>
      <c r="K665" s="267">
        <v>832717</v>
      </c>
      <c r="L665" s="267" t="s">
        <v>32</v>
      </c>
      <c r="M665"/>
      <c r="N665"/>
      <c r="O665"/>
      <c r="P665"/>
      <c r="Q665" s="151"/>
      <c r="R665"/>
      <c r="S665"/>
      <c r="T665"/>
      <c r="U665"/>
      <c r="V665"/>
    </row>
    <row r="666" spans="1:22" x14ac:dyDescent="0.2">
      <c r="A666" s="267" t="s">
        <v>671</v>
      </c>
      <c r="B666" s="267" t="s">
        <v>803</v>
      </c>
      <c r="C666" s="268">
        <v>1698</v>
      </c>
      <c r="D666" s="268">
        <v>1940</v>
      </c>
      <c r="E666" s="268">
        <v>3638</v>
      </c>
      <c r="F666" s="268">
        <v>36293439.833095603</v>
      </c>
      <c r="G666" s="268">
        <v>50477925.443927705</v>
      </c>
      <c r="H666" s="268">
        <v>86771365.277023301</v>
      </c>
      <c r="I666" s="267" t="s">
        <v>753</v>
      </c>
      <c r="J666" s="267" t="s">
        <v>121</v>
      </c>
      <c r="K666" s="267">
        <v>832899</v>
      </c>
      <c r="L666" s="267" t="s">
        <v>433</v>
      </c>
      <c r="M666"/>
      <c r="N666"/>
      <c r="O666"/>
      <c r="P666"/>
      <c r="Q666" s="151"/>
      <c r="R666"/>
      <c r="S666"/>
      <c r="T666"/>
      <c r="U666"/>
      <c r="V666"/>
    </row>
    <row r="667" spans="1:22" x14ac:dyDescent="0.2">
      <c r="A667" s="267" t="s">
        <v>671</v>
      </c>
      <c r="B667" s="267" t="s">
        <v>721</v>
      </c>
      <c r="C667" s="268">
        <v>7483</v>
      </c>
      <c r="D667" s="268">
        <v>5685</v>
      </c>
      <c r="E667" s="268">
        <v>13168</v>
      </c>
      <c r="F667" s="268">
        <v>241140185.20942101</v>
      </c>
      <c r="G667" s="268">
        <v>207521597.79652199</v>
      </c>
      <c r="H667" s="268">
        <v>448661783.005943</v>
      </c>
      <c r="I667" s="267" t="s">
        <v>753</v>
      </c>
      <c r="J667" s="267" t="s">
        <v>121</v>
      </c>
      <c r="K667" s="267">
        <v>833608</v>
      </c>
      <c r="L667" s="267" t="s">
        <v>776</v>
      </c>
      <c r="M667"/>
      <c r="N667"/>
      <c r="O667"/>
      <c r="P667"/>
      <c r="Q667" s="151"/>
      <c r="R667"/>
      <c r="S667"/>
      <c r="T667"/>
      <c r="U667"/>
      <c r="V667"/>
    </row>
    <row r="668" spans="1:22" x14ac:dyDescent="0.2">
      <c r="A668" s="267" t="s">
        <v>368</v>
      </c>
      <c r="B668" s="267" t="s">
        <v>213</v>
      </c>
      <c r="C668" s="268">
        <v>30770</v>
      </c>
      <c r="D668" s="268">
        <v>44079</v>
      </c>
      <c r="E668" s="268">
        <v>74849</v>
      </c>
      <c r="F668" s="268">
        <v>791657470.65188098</v>
      </c>
      <c r="G668" s="268">
        <v>1465571066.00421</v>
      </c>
      <c r="H668" s="268">
        <v>2257228536.6560898</v>
      </c>
      <c r="I668" s="267" t="s">
        <v>753</v>
      </c>
      <c r="J668" s="267" t="s">
        <v>121</v>
      </c>
      <c r="K668" s="267">
        <v>834788</v>
      </c>
      <c r="L668" s="267" t="s">
        <v>212</v>
      </c>
      <c r="M668"/>
      <c r="N668"/>
      <c r="O668"/>
      <c r="P668"/>
      <c r="Q668" s="151"/>
      <c r="R668"/>
      <c r="S668"/>
      <c r="T668"/>
      <c r="U668"/>
      <c r="V668"/>
    </row>
    <row r="669" spans="1:22" x14ac:dyDescent="0.2">
      <c r="A669" s="267" t="s">
        <v>145</v>
      </c>
      <c r="B669" s="267" t="s">
        <v>1088</v>
      </c>
      <c r="C669" s="268">
        <v>1</v>
      </c>
      <c r="D669" s="268">
        <v>0</v>
      </c>
      <c r="E669" s="268">
        <v>1</v>
      </c>
      <c r="F669" s="268">
        <v>2581.9105844998498</v>
      </c>
      <c r="G669" s="268">
        <v>0</v>
      </c>
      <c r="H669" s="268">
        <v>2581.9105844998498</v>
      </c>
      <c r="I669" s="267" t="s">
        <v>633</v>
      </c>
      <c r="J669" s="267" t="s">
        <v>121</v>
      </c>
      <c r="K669" s="267">
        <v>835132</v>
      </c>
      <c r="L669" s="267" t="s">
        <v>1067</v>
      </c>
      <c r="M669"/>
      <c r="N669"/>
      <c r="O669"/>
      <c r="P669"/>
      <c r="Q669" s="151"/>
      <c r="R669"/>
      <c r="S669"/>
      <c r="T669"/>
      <c r="U669"/>
      <c r="V669"/>
    </row>
    <row r="670" spans="1:22" x14ac:dyDescent="0.2">
      <c r="A670" s="267" t="s">
        <v>102</v>
      </c>
      <c r="B670" s="267" t="s">
        <v>14</v>
      </c>
      <c r="C670" s="268">
        <v>252</v>
      </c>
      <c r="D670" s="268">
        <v>379</v>
      </c>
      <c r="E670" s="268">
        <v>631</v>
      </c>
      <c r="F670" s="268">
        <v>3951550.0460542799</v>
      </c>
      <c r="G670" s="268">
        <v>7863993.0780384298</v>
      </c>
      <c r="H670" s="268">
        <v>11815543.1240927</v>
      </c>
      <c r="I670" s="267" t="s">
        <v>633</v>
      </c>
      <c r="J670" s="267" t="s">
        <v>121</v>
      </c>
      <c r="K670" s="267">
        <v>836379</v>
      </c>
      <c r="L670" s="267" t="s">
        <v>15</v>
      </c>
      <c r="M670"/>
      <c r="N670"/>
      <c r="O670"/>
      <c r="P670"/>
      <c r="Q670" s="151"/>
      <c r="R670"/>
      <c r="S670"/>
      <c r="T670"/>
      <c r="U670"/>
      <c r="V670"/>
    </row>
    <row r="671" spans="1:22" x14ac:dyDescent="0.2">
      <c r="A671" s="267" t="s">
        <v>279</v>
      </c>
      <c r="B671" s="267" t="s">
        <v>357</v>
      </c>
      <c r="C671" s="268">
        <v>436</v>
      </c>
      <c r="D671" s="268">
        <v>625</v>
      </c>
      <c r="E671" s="268">
        <v>1061</v>
      </c>
      <c r="F671" s="268">
        <v>9774593.2656874601</v>
      </c>
      <c r="G671" s="268">
        <v>19055738.5760413</v>
      </c>
      <c r="H671" s="268">
        <v>28830331.841728799</v>
      </c>
      <c r="I671" s="267" t="s">
        <v>633</v>
      </c>
      <c r="J671" s="267" t="s">
        <v>121</v>
      </c>
      <c r="K671" s="267">
        <v>836494</v>
      </c>
      <c r="L671" s="267" t="s">
        <v>361</v>
      </c>
      <c r="M671"/>
      <c r="N671"/>
      <c r="O671"/>
      <c r="P671"/>
      <c r="Q671" s="151"/>
      <c r="R671"/>
      <c r="S671"/>
      <c r="T671"/>
      <c r="U671"/>
      <c r="V671"/>
    </row>
    <row r="672" spans="1:22" x14ac:dyDescent="0.2">
      <c r="A672" s="267" t="s">
        <v>615</v>
      </c>
      <c r="B672" s="267" t="s">
        <v>881</v>
      </c>
      <c r="C672" s="268">
        <v>18</v>
      </c>
      <c r="D672" s="268">
        <v>33</v>
      </c>
      <c r="E672" s="268">
        <v>51</v>
      </c>
      <c r="F672" s="268">
        <v>448547.72044951207</v>
      </c>
      <c r="G672" s="268">
        <v>942945.49618676794</v>
      </c>
      <c r="H672" s="268">
        <v>1391493.2166362801</v>
      </c>
      <c r="I672" s="267" t="s">
        <v>633</v>
      </c>
      <c r="J672" s="267" t="s">
        <v>122</v>
      </c>
      <c r="K672" s="267">
        <v>838268</v>
      </c>
      <c r="L672" s="267" t="s">
        <v>358</v>
      </c>
      <c r="M672"/>
      <c r="N672"/>
      <c r="O672"/>
      <c r="P672"/>
      <c r="Q672" s="151"/>
      <c r="R672"/>
      <c r="S672"/>
      <c r="T672"/>
      <c r="U672"/>
      <c r="V672"/>
    </row>
    <row r="673" spans="1:22" x14ac:dyDescent="0.2">
      <c r="A673" s="267" t="s">
        <v>367</v>
      </c>
      <c r="B673" s="267" t="s">
        <v>390</v>
      </c>
      <c r="C673" s="268">
        <v>3283</v>
      </c>
      <c r="D673" s="268">
        <v>5208</v>
      </c>
      <c r="E673" s="268">
        <v>8491</v>
      </c>
      <c r="F673" s="268">
        <v>62892290.343535297</v>
      </c>
      <c r="G673" s="268">
        <v>128855638.658059</v>
      </c>
      <c r="H673" s="268">
        <v>191747929.00159401</v>
      </c>
      <c r="I673" s="267" t="s">
        <v>753</v>
      </c>
      <c r="J673" s="267" t="s">
        <v>121</v>
      </c>
      <c r="K673" s="267">
        <v>838383</v>
      </c>
      <c r="L673" s="267" t="s">
        <v>859</v>
      </c>
      <c r="M673"/>
      <c r="N673"/>
      <c r="O673"/>
      <c r="P673"/>
      <c r="Q673" s="151"/>
      <c r="R673"/>
      <c r="S673"/>
      <c r="T673"/>
      <c r="U673"/>
      <c r="V673"/>
    </row>
    <row r="674" spans="1:22" x14ac:dyDescent="0.2">
      <c r="A674" s="267" t="s">
        <v>727</v>
      </c>
      <c r="B674" s="267" t="s">
        <v>669</v>
      </c>
      <c r="C674" s="268">
        <v>6938</v>
      </c>
      <c r="D674" s="268">
        <v>5225</v>
      </c>
      <c r="E674" s="268">
        <v>12163</v>
      </c>
      <c r="F674" s="268">
        <v>177785895.29540101</v>
      </c>
      <c r="G674" s="268">
        <v>165449246.13619801</v>
      </c>
      <c r="H674" s="268">
        <v>343235141.43159902</v>
      </c>
      <c r="I674" s="267" t="s">
        <v>753</v>
      </c>
      <c r="J674" s="267" t="s">
        <v>121</v>
      </c>
      <c r="K674" s="267">
        <v>838441</v>
      </c>
      <c r="L674" s="267" t="s">
        <v>675</v>
      </c>
      <c r="M674"/>
      <c r="N674"/>
      <c r="O674"/>
      <c r="P674"/>
      <c r="Q674" s="151"/>
      <c r="R674"/>
      <c r="S674"/>
      <c r="T674"/>
      <c r="U674"/>
      <c r="V674"/>
    </row>
    <row r="675" spans="1:22" x14ac:dyDescent="0.2">
      <c r="A675" s="267" t="s">
        <v>102</v>
      </c>
      <c r="B675" s="267" t="s">
        <v>386</v>
      </c>
      <c r="C675" s="268">
        <v>4289</v>
      </c>
      <c r="D675" s="268">
        <v>5665</v>
      </c>
      <c r="E675" s="268">
        <v>9954</v>
      </c>
      <c r="F675" s="268">
        <v>79268391.700477794</v>
      </c>
      <c r="G675" s="268">
        <v>127687889.30274799</v>
      </c>
      <c r="H675" s="268">
        <v>206956281.00322601</v>
      </c>
      <c r="I675" s="267" t="s">
        <v>753</v>
      </c>
      <c r="J675" s="267" t="s">
        <v>121</v>
      </c>
      <c r="K675" s="267">
        <v>840033</v>
      </c>
      <c r="L675" s="267" t="s">
        <v>677</v>
      </c>
      <c r="M675"/>
      <c r="N675"/>
      <c r="O675"/>
      <c r="P675"/>
      <c r="Q675" s="151"/>
      <c r="R675"/>
      <c r="S675"/>
      <c r="T675"/>
      <c r="U675"/>
      <c r="V675"/>
    </row>
    <row r="676" spans="1:22" x14ac:dyDescent="0.2">
      <c r="A676" s="267" t="s">
        <v>724</v>
      </c>
      <c r="B676" s="267" t="s">
        <v>725</v>
      </c>
      <c r="C676" s="268">
        <v>29959</v>
      </c>
      <c r="D676" s="268">
        <v>33475</v>
      </c>
      <c r="E676" s="268">
        <v>63434</v>
      </c>
      <c r="F676" s="268">
        <v>649733839.84793901</v>
      </c>
      <c r="G676" s="268">
        <v>919485735.58814394</v>
      </c>
      <c r="H676" s="268">
        <v>1569219575.43608</v>
      </c>
      <c r="I676" s="267" t="s">
        <v>753</v>
      </c>
      <c r="J676" s="267" t="s">
        <v>121</v>
      </c>
      <c r="K676" s="267">
        <v>842690</v>
      </c>
      <c r="L676" s="267" t="s">
        <v>701</v>
      </c>
      <c r="M676"/>
      <c r="N676"/>
      <c r="O676"/>
      <c r="P676"/>
      <c r="Q676" s="151"/>
      <c r="R676"/>
      <c r="S676"/>
      <c r="T676"/>
      <c r="U676"/>
      <c r="V676"/>
    </row>
    <row r="677" spans="1:22" x14ac:dyDescent="0.2">
      <c r="A677" s="267" t="s">
        <v>491</v>
      </c>
      <c r="B677" s="267" t="s">
        <v>492</v>
      </c>
      <c r="C677" s="268">
        <v>3451</v>
      </c>
      <c r="D677" s="268">
        <v>3022</v>
      </c>
      <c r="E677" s="268">
        <v>6473</v>
      </c>
      <c r="F677" s="268">
        <v>110235202.61197899</v>
      </c>
      <c r="G677" s="268">
        <v>124644948.666549</v>
      </c>
      <c r="H677" s="268">
        <v>234880151.278528</v>
      </c>
      <c r="I677" s="267" t="s">
        <v>753</v>
      </c>
      <c r="J677" s="267" t="s">
        <v>122</v>
      </c>
      <c r="K677" s="267">
        <v>843284</v>
      </c>
      <c r="L677" s="267" t="s">
        <v>790</v>
      </c>
      <c r="M677"/>
      <c r="N677"/>
      <c r="O677"/>
      <c r="P677"/>
      <c r="Q677" s="151"/>
      <c r="R677"/>
      <c r="S677"/>
      <c r="T677"/>
      <c r="U677"/>
      <c r="V677"/>
    </row>
    <row r="678" spans="1:22" x14ac:dyDescent="0.2">
      <c r="A678" s="267" t="s">
        <v>279</v>
      </c>
      <c r="B678" s="267" t="s">
        <v>451</v>
      </c>
      <c r="C678" s="268">
        <v>299</v>
      </c>
      <c r="D678" s="268">
        <v>491</v>
      </c>
      <c r="E678" s="268">
        <v>790</v>
      </c>
      <c r="F678" s="268">
        <v>5670610.5552726304</v>
      </c>
      <c r="G678" s="268">
        <v>10590541.506828099</v>
      </c>
      <c r="H678" s="268">
        <v>16261152.062100699</v>
      </c>
      <c r="I678" s="267" t="s">
        <v>633</v>
      </c>
      <c r="J678" s="267" t="s">
        <v>121</v>
      </c>
      <c r="K678" s="267">
        <v>843698</v>
      </c>
      <c r="L678" s="267" t="s">
        <v>88</v>
      </c>
      <c r="M678"/>
      <c r="N678"/>
      <c r="O678"/>
      <c r="P678"/>
      <c r="Q678" s="151"/>
      <c r="R678"/>
      <c r="S678"/>
      <c r="T678"/>
      <c r="U678"/>
      <c r="V678"/>
    </row>
    <row r="679" spans="1:22" x14ac:dyDescent="0.2">
      <c r="A679" s="267" t="s">
        <v>473</v>
      </c>
      <c r="B679" s="267" t="s">
        <v>476</v>
      </c>
      <c r="C679" s="268">
        <v>8890</v>
      </c>
      <c r="D679" s="268">
        <v>7977</v>
      </c>
      <c r="E679" s="268">
        <v>16867</v>
      </c>
      <c r="F679" s="268">
        <v>293024794.008497</v>
      </c>
      <c r="G679" s="268">
        <v>327101736.89547503</v>
      </c>
      <c r="H679" s="268">
        <v>620126530.90397191</v>
      </c>
      <c r="I679" s="267" t="s">
        <v>753</v>
      </c>
      <c r="J679" s="267" t="s">
        <v>125</v>
      </c>
      <c r="K679" s="267">
        <v>844522</v>
      </c>
      <c r="L679" s="267" t="s">
        <v>796</v>
      </c>
      <c r="M679"/>
      <c r="N679"/>
      <c r="O679"/>
      <c r="P679"/>
      <c r="Q679" s="151"/>
      <c r="R679"/>
      <c r="S679"/>
      <c r="T679"/>
      <c r="U679"/>
      <c r="V679"/>
    </row>
    <row r="680" spans="1:22" x14ac:dyDescent="0.2">
      <c r="A680" s="267" t="s">
        <v>102</v>
      </c>
      <c r="B680" s="267" t="s">
        <v>334</v>
      </c>
      <c r="C680" s="268">
        <v>218</v>
      </c>
      <c r="D680" s="268">
        <v>332</v>
      </c>
      <c r="E680" s="268">
        <v>550</v>
      </c>
      <c r="F680" s="268">
        <v>3335047.6613188498</v>
      </c>
      <c r="G680" s="268">
        <v>6697106.8292300096</v>
      </c>
      <c r="H680" s="268">
        <v>10032154.490548899</v>
      </c>
      <c r="I680" s="267" t="s">
        <v>633</v>
      </c>
      <c r="J680" s="267" t="s">
        <v>121</v>
      </c>
      <c r="K680" s="267">
        <v>846709</v>
      </c>
      <c r="L680" s="267" t="s">
        <v>812</v>
      </c>
      <c r="M680"/>
      <c r="N680"/>
      <c r="O680"/>
      <c r="P680"/>
      <c r="Q680" s="151"/>
      <c r="R680"/>
      <c r="S680"/>
      <c r="T680"/>
      <c r="U680"/>
      <c r="V680"/>
    </row>
    <row r="681" spans="1:22" x14ac:dyDescent="0.2">
      <c r="A681" s="267" t="s">
        <v>261</v>
      </c>
      <c r="B681" s="267" t="s">
        <v>957</v>
      </c>
      <c r="C681" s="268">
        <v>4264</v>
      </c>
      <c r="D681" s="268">
        <v>6822</v>
      </c>
      <c r="E681" s="268">
        <v>11086</v>
      </c>
      <c r="F681" s="268">
        <v>70452113.95592539</v>
      </c>
      <c r="G681" s="268">
        <v>136161344.870408</v>
      </c>
      <c r="H681" s="268">
        <v>206613458.82633299</v>
      </c>
      <c r="I681" s="267" t="s">
        <v>633</v>
      </c>
      <c r="J681" s="267" t="s">
        <v>121</v>
      </c>
      <c r="K681" s="267">
        <v>848069</v>
      </c>
      <c r="L681" s="267" t="s">
        <v>752</v>
      </c>
      <c r="M681"/>
      <c r="N681"/>
      <c r="O681"/>
      <c r="P681"/>
      <c r="Q681" s="151"/>
      <c r="R681"/>
      <c r="S681"/>
      <c r="T681"/>
      <c r="U681"/>
      <c r="V681"/>
    </row>
    <row r="682" spans="1:22" x14ac:dyDescent="0.2">
      <c r="A682" s="267" t="s">
        <v>86</v>
      </c>
      <c r="B682" s="267" t="s">
        <v>1000</v>
      </c>
      <c r="C682" s="268">
        <v>143</v>
      </c>
      <c r="D682" s="268">
        <v>215</v>
      </c>
      <c r="E682" s="268">
        <v>358</v>
      </c>
      <c r="F682" s="268">
        <v>1860976.5164119799</v>
      </c>
      <c r="G682" s="268">
        <v>3795636.5288748899</v>
      </c>
      <c r="H682" s="268">
        <v>5656613.0452868696</v>
      </c>
      <c r="I682" s="267" t="s">
        <v>633</v>
      </c>
      <c r="J682" s="267" t="s">
        <v>121</v>
      </c>
      <c r="K682" s="267">
        <v>848770</v>
      </c>
      <c r="L682" s="267" t="s">
        <v>126</v>
      </c>
      <c r="M682"/>
      <c r="N682"/>
      <c r="O682"/>
      <c r="P682"/>
      <c r="Q682" s="151"/>
      <c r="R682"/>
      <c r="S682"/>
      <c r="T682"/>
      <c r="U682"/>
      <c r="V682"/>
    </row>
    <row r="683" spans="1:22" x14ac:dyDescent="0.2">
      <c r="A683" s="267" t="s">
        <v>239</v>
      </c>
      <c r="B683" s="267" t="s">
        <v>1123</v>
      </c>
      <c r="C683" s="268">
        <v>0</v>
      </c>
      <c r="D683" s="268">
        <v>3</v>
      </c>
      <c r="E683" s="268">
        <v>3</v>
      </c>
      <c r="F683" s="268">
        <v>0</v>
      </c>
      <c r="G683" s="268">
        <v>140642.04249067602</v>
      </c>
      <c r="H683" s="268">
        <v>140642.04249067602</v>
      </c>
      <c r="I683" s="267" t="s">
        <v>633</v>
      </c>
      <c r="J683" s="267" t="s">
        <v>121</v>
      </c>
      <c r="K683" s="267">
        <v>849711</v>
      </c>
      <c r="L683" s="267" t="s">
        <v>466</v>
      </c>
      <c r="M683"/>
      <c r="N683"/>
      <c r="O683"/>
      <c r="P683"/>
      <c r="Q683" s="151"/>
      <c r="R683"/>
      <c r="S683"/>
      <c r="T683"/>
      <c r="U683"/>
      <c r="V683"/>
    </row>
    <row r="684" spans="1:22" x14ac:dyDescent="0.2">
      <c r="A684" s="267" t="s">
        <v>344</v>
      </c>
      <c r="B684" s="267" t="s">
        <v>346</v>
      </c>
      <c r="C684" s="268">
        <v>16768</v>
      </c>
      <c r="D684" s="268">
        <v>18764</v>
      </c>
      <c r="E684" s="268">
        <v>35532</v>
      </c>
      <c r="F684" s="268">
        <v>377740472.77294201</v>
      </c>
      <c r="G684" s="268">
        <v>523238438.57947099</v>
      </c>
      <c r="H684" s="268">
        <v>900978911.35241294</v>
      </c>
      <c r="I684" s="267" t="s">
        <v>753</v>
      </c>
      <c r="J684" s="267" t="s">
        <v>125</v>
      </c>
      <c r="K684" s="267">
        <v>850602</v>
      </c>
      <c r="L684" s="267" t="s">
        <v>699</v>
      </c>
      <c r="M684"/>
      <c r="N684"/>
      <c r="O684"/>
      <c r="P684"/>
      <c r="Q684" s="151"/>
      <c r="R684"/>
      <c r="S684"/>
      <c r="T684"/>
      <c r="U684"/>
      <c r="V684"/>
    </row>
    <row r="685" spans="1:22" x14ac:dyDescent="0.2">
      <c r="A685" s="267" t="s">
        <v>208</v>
      </c>
      <c r="B685" s="267" t="s">
        <v>1125</v>
      </c>
      <c r="C685" s="268">
        <v>1115</v>
      </c>
      <c r="D685" s="268">
        <v>2428</v>
      </c>
      <c r="E685" s="268">
        <v>3543</v>
      </c>
      <c r="F685" s="268">
        <v>16298129.863208801</v>
      </c>
      <c r="G685" s="268">
        <v>38630922.049879499</v>
      </c>
      <c r="H685" s="268">
        <v>54929051.913088299</v>
      </c>
      <c r="I685" s="267" t="s">
        <v>633</v>
      </c>
      <c r="J685" s="267" t="s">
        <v>121</v>
      </c>
      <c r="K685" s="267">
        <v>851725</v>
      </c>
      <c r="L685" s="267" t="s">
        <v>764</v>
      </c>
      <c r="M685"/>
      <c r="N685"/>
      <c r="O685"/>
      <c r="P685"/>
      <c r="Q685" s="151"/>
      <c r="R685"/>
      <c r="S685"/>
      <c r="T685"/>
      <c r="U685"/>
      <c r="V685"/>
    </row>
    <row r="686" spans="1:22" x14ac:dyDescent="0.2">
      <c r="A686" s="267" t="s">
        <v>301</v>
      </c>
      <c r="B686" s="267" t="s">
        <v>918</v>
      </c>
      <c r="C686" s="268">
        <v>254</v>
      </c>
      <c r="D686" s="268">
        <v>288</v>
      </c>
      <c r="E686" s="268">
        <v>542</v>
      </c>
      <c r="F686" s="268">
        <v>10292440.1647067</v>
      </c>
      <c r="G686" s="268">
        <v>13560448.435428001</v>
      </c>
      <c r="H686" s="268">
        <v>23852888.600134701</v>
      </c>
      <c r="I686" s="267" t="s">
        <v>753</v>
      </c>
      <c r="J686" s="267" t="s">
        <v>123</v>
      </c>
      <c r="K686" s="267">
        <v>853374</v>
      </c>
      <c r="L686" s="267" t="s">
        <v>905</v>
      </c>
      <c r="M686"/>
      <c r="N686"/>
      <c r="O686"/>
      <c r="P686"/>
      <c r="Q686" s="151"/>
      <c r="R686"/>
      <c r="S686"/>
      <c r="T686"/>
      <c r="U686"/>
      <c r="V686"/>
    </row>
    <row r="687" spans="1:22" x14ac:dyDescent="0.2">
      <c r="A687" s="267" t="s">
        <v>671</v>
      </c>
      <c r="B687" s="267" t="s">
        <v>415</v>
      </c>
      <c r="C687" s="268">
        <v>19427</v>
      </c>
      <c r="D687" s="268">
        <v>12485</v>
      </c>
      <c r="E687" s="268">
        <v>31912</v>
      </c>
      <c r="F687" s="268">
        <v>434586915.84700704</v>
      </c>
      <c r="G687" s="268">
        <v>334571981.50821704</v>
      </c>
      <c r="H687" s="268">
        <v>769158897.35522294</v>
      </c>
      <c r="I687" s="267" t="s">
        <v>753</v>
      </c>
      <c r="J687" s="267" t="s">
        <v>121</v>
      </c>
      <c r="K687" s="267">
        <v>853499</v>
      </c>
      <c r="L687" s="267" t="s">
        <v>174</v>
      </c>
      <c r="M687"/>
      <c r="N687"/>
      <c r="O687"/>
      <c r="P687"/>
      <c r="Q687" s="151"/>
      <c r="R687"/>
      <c r="S687"/>
      <c r="T687"/>
      <c r="U687"/>
      <c r="V687"/>
    </row>
    <row r="688" spans="1:22" x14ac:dyDescent="0.2">
      <c r="A688" s="267" t="s">
        <v>348</v>
      </c>
      <c r="B688" s="267" t="s">
        <v>529</v>
      </c>
      <c r="C688" s="268">
        <v>23027</v>
      </c>
      <c r="D688" s="268">
        <v>14123</v>
      </c>
      <c r="E688" s="268">
        <v>37150</v>
      </c>
      <c r="F688" s="268">
        <v>1460316920.1148798</v>
      </c>
      <c r="G688" s="268">
        <v>1029780794.5454199</v>
      </c>
      <c r="H688" s="268">
        <v>2490097714.6603003</v>
      </c>
      <c r="I688" s="267" t="s">
        <v>753</v>
      </c>
      <c r="J688" s="267" t="s">
        <v>125</v>
      </c>
      <c r="K688" s="267">
        <v>855387</v>
      </c>
      <c r="L688" s="267" t="s">
        <v>174</v>
      </c>
      <c r="M688"/>
      <c r="N688"/>
      <c r="O688"/>
      <c r="P688"/>
      <c r="Q688" s="151"/>
      <c r="R688"/>
      <c r="S688"/>
      <c r="T688"/>
      <c r="U688"/>
      <c r="V688"/>
    </row>
    <row r="689" spans="1:22" x14ac:dyDescent="0.2">
      <c r="A689" s="267" t="s">
        <v>301</v>
      </c>
      <c r="B689" s="267" t="s">
        <v>340</v>
      </c>
      <c r="C689" s="268">
        <v>2021</v>
      </c>
      <c r="D689" s="268">
        <v>2135</v>
      </c>
      <c r="E689" s="268">
        <v>4156</v>
      </c>
      <c r="F689" s="268">
        <v>62137445.179710299</v>
      </c>
      <c r="G689" s="268">
        <v>79418737.91065459</v>
      </c>
      <c r="H689" s="268">
        <v>141556183.09036502</v>
      </c>
      <c r="I689" s="267" t="s">
        <v>753</v>
      </c>
      <c r="J689" s="267" t="s">
        <v>123</v>
      </c>
      <c r="K689" s="267">
        <v>855973</v>
      </c>
      <c r="L689" s="267" t="s">
        <v>674</v>
      </c>
      <c r="M689"/>
      <c r="N689"/>
      <c r="O689"/>
      <c r="P689"/>
      <c r="Q689" s="151"/>
      <c r="R689"/>
      <c r="S689"/>
      <c r="T689"/>
      <c r="U689"/>
      <c r="V689"/>
    </row>
    <row r="690" spans="1:22" x14ac:dyDescent="0.2">
      <c r="A690" s="267" t="s">
        <v>724</v>
      </c>
      <c r="B690" s="267" t="s">
        <v>530</v>
      </c>
      <c r="C690" s="268">
        <v>21017</v>
      </c>
      <c r="D690" s="268">
        <v>25649</v>
      </c>
      <c r="E690" s="268">
        <v>46666</v>
      </c>
      <c r="F690" s="268">
        <v>531503210.82395601</v>
      </c>
      <c r="G690" s="268">
        <v>812903038.63631499</v>
      </c>
      <c r="H690" s="268">
        <v>1344406249.4602699</v>
      </c>
      <c r="I690" s="267" t="s">
        <v>753</v>
      </c>
      <c r="J690" s="267" t="s">
        <v>121</v>
      </c>
      <c r="K690" s="267">
        <v>856682</v>
      </c>
      <c r="L690" s="267" t="s">
        <v>174</v>
      </c>
      <c r="M690"/>
      <c r="N690"/>
      <c r="O690"/>
      <c r="P690"/>
      <c r="Q690" s="151"/>
      <c r="R690"/>
      <c r="S690"/>
      <c r="T690"/>
      <c r="U690"/>
      <c r="V690"/>
    </row>
    <row r="691" spans="1:22" x14ac:dyDescent="0.2">
      <c r="A691" s="267" t="s">
        <v>301</v>
      </c>
      <c r="B691" s="267" t="s">
        <v>1114</v>
      </c>
      <c r="C691" s="268">
        <v>406</v>
      </c>
      <c r="D691" s="268">
        <v>311</v>
      </c>
      <c r="E691" s="268">
        <v>717</v>
      </c>
      <c r="F691" s="268">
        <v>5952941.8016095404</v>
      </c>
      <c r="G691" s="268">
        <v>5160809.6040463699</v>
      </c>
      <c r="H691" s="268">
        <v>11113751.4056559</v>
      </c>
      <c r="I691" s="267" t="s">
        <v>633</v>
      </c>
      <c r="J691" s="267" t="s">
        <v>123</v>
      </c>
      <c r="K691" s="267">
        <v>857037</v>
      </c>
      <c r="L691" s="267" t="s">
        <v>126</v>
      </c>
      <c r="M691"/>
      <c r="N691"/>
      <c r="O691"/>
      <c r="P691"/>
      <c r="Q691" s="151"/>
      <c r="R691"/>
      <c r="S691"/>
      <c r="T691"/>
      <c r="U691"/>
      <c r="V691"/>
    </row>
    <row r="692" spans="1:22" x14ac:dyDescent="0.2">
      <c r="A692" s="267" t="s">
        <v>145</v>
      </c>
      <c r="B692" s="267" t="s">
        <v>83</v>
      </c>
      <c r="C692" s="268">
        <v>89</v>
      </c>
      <c r="D692" s="268">
        <v>156</v>
      </c>
      <c r="E692" s="268">
        <v>245</v>
      </c>
      <c r="F692" s="268">
        <v>1408332.88028062</v>
      </c>
      <c r="G692" s="268">
        <v>3380181.9425698998</v>
      </c>
      <c r="H692" s="268">
        <v>4788514.8228505198</v>
      </c>
      <c r="I692" s="267" t="s">
        <v>633</v>
      </c>
      <c r="J692" s="267" t="s">
        <v>121</v>
      </c>
      <c r="K692" s="267">
        <v>857094</v>
      </c>
      <c r="L692" s="267" t="s">
        <v>84</v>
      </c>
      <c r="M692"/>
      <c r="N692"/>
      <c r="O692"/>
      <c r="P692"/>
      <c r="Q692" s="151"/>
      <c r="R692"/>
      <c r="S692"/>
      <c r="T692"/>
      <c r="U692"/>
      <c r="V692"/>
    </row>
    <row r="693" spans="1:22" x14ac:dyDescent="0.2">
      <c r="A693" s="267" t="s">
        <v>748</v>
      </c>
      <c r="B693" s="267" t="s">
        <v>38</v>
      </c>
      <c r="C693" s="268">
        <v>2828</v>
      </c>
      <c r="D693" s="268">
        <v>2104</v>
      </c>
      <c r="E693" s="268">
        <v>4932</v>
      </c>
      <c r="F693" s="268">
        <v>63069033.0471747</v>
      </c>
      <c r="G693" s="268">
        <v>57260253.0761365</v>
      </c>
      <c r="H693" s="268">
        <v>120329286.123311</v>
      </c>
      <c r="I693" s="267" t="s">
        <v>753</v>
      </c>
      <c r="J693" s="267" t="s">
        <v>121</v>
      </c>
      <c r="K693" s="267">
        <v>857276</v>
      </c>
      <c r="L693" s="267" t="s">
        <v>684</v>
      </c>
      <c r="M693"/>
      <c r="N693"/>
      <c r="O693"/>
      <c r="P693"/>
      <c r="Q693" s="151"/>
      <c r="R693"/>
      <c r="S693"/>
      <c r="T693"/>
      <c r="U693"/>
      <c r="V693"/>
    </row>
    <row r="694" spans="1:22" x14ac:dyDescent="0.2">
      <c r="A694" s="267" t="s">
        <v>748</v>
      </c>
      <c r="B694" s="267" t="s">
        <v>531</v>
      </c>
      <c r="C694" s="268">
        <v>20588</v>
      </c>
      <c r="D694" s="268">
        <v>20295</v>
      </c>
      <c r="E694" s="268">
        <v>40883</v>
      </c>
      <c r="F694" s="268">
        <v>482916604.93264902</v>
      </c>
      <c r="G694" s="268">
        <v>585612543.77029395</v>
      </c>
      <c r="H694" s="268">
        <v>1068529148.70294</v>
      </c>
      <c r="I694" s="267" t="s">
        <v>753</v>
      </c>
      <c r="J694" s="267" t="s">
        <v>121</v>
      </c>
      <c r="K694" s="267">
        <v>860932</v>
      </c>
      <c r="L694" s="267" t="s">
        <v>174</v>
      </c>
      <c r="M694"/>
      <c r="N694"/>
      <c r="O694"/>
      <c r="P694"/>
      <c r="Q694" s="151"/>
      <c r="R694"/>
      <c r="S694"/>
      <c r="T694"/>
      <c r="U694"/>
      <c r="V694"/>
    </row>
    <row r="695" spans="1:22" x14ac:dyDescent="0.2">
      <c r="A695" s="267" t="s">
        <v>44</v>
      </c>
      <c r="B695" s="267" t="s">
        <v>719</v>
      </c>
      <c r="C695" s="268">
        <v>29</v>
      </c>
      <c r="D695" s="268">
        <v>36</v>
      </c>
      <c r="E695" s="268">
        <v>65</v>
      </c>
      <c r="F695" s="268">
        <v>545723.2815155501</v>
      </c>
      <c r="G695" s="268">
        <v>1001874.22596537</v>
      </c>
      <c r="H695" s="268">
        <v>1547597.5074809201</v>
      </c>
      <c r="I695" s="267" t="s">
        <v>633</v>
      </c>
      <c r="J695" s="267" t="s">
        <v>121</v>
      </c>
      <c r="K695" s="267">
        <v>865063</v>
      </c>
      <c r="L695" s="267" t="s">
        <v>752</v>
      </c>
      <c r="M695"/>
      <c r="N695"/>
      <c r="O695"/>
      <c r="P695"/>
      <c r="Q695" s="151"/>
      <c r="R695"/>
      <c r="S695"/>
      <c r="T695"/>
      <c r="U695"/>
      <c r="V695"/>
    </row>
    <row r="696" spans="1:22" x14ac:dyDescent="0.2">
      <c r="A696" s="267" t="s">
        <v>491</v>
      </c>
      <c r="B696" s="267" t="s">
        <v>9</v>
      </c>
      <c r="C696" s="268">
        <v>2977</v>
      </c>
      <c r="D696" s="268">
        <v>3054</v>
      </c>
      <c r="E696" s="268">
        <v>6031</v>
      </c>
      <c r="F696" s="268">
        <v>82442111.687477797</v>
      </c>
      <c r="G696" s="268">
        <v>110377265.180709</v>
      </c>
      <c r="H696" s="268">
        <v>192819376.868186</v>
      </c>
      <c r="I696" s="267" t="s">
        <v>753</v>
      </c>
      <c r="J696" s="267" t="s">
        <v>122</v>
      </c>
      <c r="K696" s="267">
        <v>865774</v>
      </c>
      <c r="L696" s="267" t="s">
        <v>433</v>
      </c>
      <c r="M696"/>
      <c r="N696"/>
      <c r="O696"/>
      <c r="P696"/>
      <c r="Q696" s="151"/>
      <c r="R696"/>
      <c r="S696"/>
      <c r="T696"/>
      <c r="U696"/>
      <c r="V696"/>
    </row>
    <row r="697" spans="1:22" x14ac:dyDescent="0.2">
      <c r="A697" s="267" t="s">
        <v>102</v>
      </c>
      <c r="B697" s="267" t="s">
        <v>1083</v>
      </c>
      <c r="C697" s="268">
        <v>9</v>
      </c>
      <c r="D697" s="268">
        <v>19</v>
      </c>
      <c r="E697" s="268">
        <v>28</v>
      </c>
      <c r="F697" s="268">
        <v>312310.305347591</v>
      </c>
      <c r="G697" s="268">
        <v>574661.16095996497</v>
      </c>
      <c r="H697" s="268">
        <v>886971.46630755591</v>
      </c>
      <c r="I697" s="267" t="s">
        <v>633</v>
      </c>
      <c r="J697" s="267" t="s">
        <v>121</v>
      </c>
      <c r="K697" s="267">
        <v>866715</v>
      </c>
      <c r="L697" s="267" t="s">
        <v>1067</v>
      </c>
      <c r="M697"/>
      <c r="N697"/>
      <c r="O697"/>
      <c r="P697"/>
      <c r="Q697" s="151"/>
      <c r="R697"/>
      <c r="S697"/>
      <c r="T697"/>
      <c r="U697"/>
      <c r="V697"/>
    </row>
    <row r="698" spans="1:22" x14ac:dyDescent="0.2">
      <c r="A698" s="267" t="s">
        <v>226</v>
      </c>
      <c r="B698" s="267" t="s">
        <v>193</v>
      </c>
      <c r="C698" s="268">
        <v>14</v>
      </c>
      <c r="D698" s="268">
        <v>23</v>
      </c>
      <c r="E698" s="268">
        <v>37</v>
      </c>
      <c r="F698" s="268">
        <v>138438.907881222</v>
      </c>
      <c r="G698" s="268">
        <v>375287.75284627301</v>
      </c>
      <c r="H698" s="268">
        <v>513726.66072749405</v>
      </c>
      <c r="I698" s="267" t="s">
        <v>633</v>
      </c>
      <c r="J698" s="267" t="s">
        <v>121</v>
      </c>
      <c r="K698" s="267">
        <v>866897</v>
      </c>
      <c r="L698" s="267" t="s">
        <v>423</v>
      </c>
      <c r="M698"/>
      <c r="N698"/>
      <c r="O698"/>
      <c r="P698"/>
      <c r="Q698" s="151"/>
      <c r="R698"/>
      <c r="S698"/>
      <c r="T698"/>
      <c r="U698"/>
      <c r="V698"/>
    </row>
    <row r="699" spans="1:22" x14ac:dyDescent="0.2">
      <c r="A699" s="267" t="s">
        <v>491</v>
      </c>
      <c r="B699" s="267" t="s">
        <v>837</v>
      </c>
      <c r="C699" s="268">
        <v>694</v>
      </c>
      <c r="D699" s="268">
        <v>636</v>
      </c>
      <c r="E699" s="268">
        <v>1330</v>
      </c>
      <c r="F699" s="268">
        <v>11324687.789345101</v>
      </c>
      <c r="G699" s="268">
        <v>12805796.5322001</v>
      </c>
      <c r="H699" s="268">
        <v>24130484.321545202</v>
      </c>
      <c r="I699" s="267" t="s">
        <v>753</v>
      </c>
      <c r="J699" s="267" t="s">
        <v>122</v>
      </c>
      <c r="K699" s="267">
        <v>867606</v>
      </c>
      <c r="L699" s="267" t="s">
        <v>836</v>
      </c>
      <c r="M699"/>
      <c r="N699"/>
      <c r="O699"/>
      <c r="P699"/>
      <c r="Q699" s="151"/>
      <c r="R699"/>
      <c r="S699"/>
      <c r="T699"/>
      <c r="U699"/>
      <c r="V699"/>
    </row>
    <row r="700" spans="1:22" x14ac:dyDescent="0.2">
      <c r="A700" s="267" t="s">
        <v>546</v>
      </c>
      <c r="B700" s="267" t="s">
        <v>594</v>
      </c>
      <c r="C700" s="268">
        <v>16967</v>
      </c>
      <c r="D700" s="268">
        <v>15836</v>
      </c>
      <c r="E700" s="268">
        <v>32803</v>
      </c>
      <c r="F700" s="268">
        <v>417999744.08603102</v>
      </c>
      <c r="G700" s="268">
        <v>469639789.395114</v>
      </c>
      <c r="H700" s="268">
        <v>887639533.48114491</v>
      </c>
      <c r="I700" s="267" t="s">
        <v>753</v>
      </c>
      <c r="J700" s="267" t="s">
        <v>122</v>
      </c>
      <c r="K700" s="267">
        <v>869438</v>
      </c>
      <c r="L700" s="267" t="s">
        <v>174</v>
      </c>
      <c r="M700"/>
      <c r="N700"/>
      <c r="O700"/>
      <c r="P700"/>
      <c r="Q700" s="151"/>
      <c r="R700"/>
      <c r="S700"/>
      <c r="T700"/>
      <c r="U700"/>
      <c r="V700"/>
    </row>
    <row r="701" spans="1:22" x14ac:dyDescent="0.2">
      <c r="A701" s="267" t="s">
        <v>491</v>
      </c>
      <c r="B701" s="267" t="s">
        <v>426</v>
      </c>
      <c r="C701" s="268">
        <v>2013</v>
      </c>
      <c r="D701" s="268">
        <v>2313</v>
      </c>
      <c r="E701" s="268">
        <v>4326</v>
      </c>
      <c r="F701" s="268">
        <v>90463070.659117296</v>
      </c>
      <c r="G701" s="268">
        <v>127630742.22046</v>
      </c>
      <c r="H701" s="268">
        <v>218093812.87957701</v>
      </c>
      <c r="I701" s="267" t="s">
        <v>633</v>
      </c>
      <c r="J701" s="267" t="s">
        <v>122</v>
      </c>
      <c r="K701" s="267">
        <v>870493</v>
      </c>
      <c r="L701" s="267" t="s">
        <v>795</v>
      </c>
      <c r="M701"/>
      <c r="N701"/>
      <c r="O701"/>
      <c r="P701"/>
      <c r="Q701" s="151"/>
      <c r="R701"/>
      <c r="S701"/>
      <c r="T701"/>
      <c r="U701"/>
      <c r="V701"/>
    </row>
    <row r="702" spans="1:22" x14ac:dyDescent="0.2">
      <c r="A702" s="267" t="s">
        <v>145</v>
      </c>
      <c r="B702" s="267" t="s">
        <v>1084</v>
      </c>
      <c r="C702" s="268">
        <v>1</v>
      </c>
      <c r="D702" s="268">
        <v>4</v>
      </c>
      <c r="E702" s="268">
        <v>5</v>
      </c>
      <c r="F702" s="268">
        <v>45511.114802165299</v>
      </c>
      <c r="G702" s="268">
        <v>188500.67842965902</v>
      </c>
      <c r="H702" s="268">
        <v>234011.79323182401</v>
      </c>
      <c r="I702" s="267" t="s">
        <v>633</v>
      </c>
      <c r="J702" s="267" t="s">
        <v>121</v>
      </c>
      <c r="K702" s="267">
        <v>870964</v>
      </c>
      <c r="L702" s="267" t="s">
        <v>1067</v>
      </c>
      <c r="M702"/>
      <c r="N702"/>
      <c r="O702"/>
      <c r="P702"/>
      <c r="Q702" s="151"/>
      <c r="R702"/>
      <c r="S702"/>
      <c r="T702"/>
      <c r="U702"/>
      <c r="V702"/>
    </row>
    <row r="703" spans="1:22" x14ac:dyDescent="0.2">
      <c r="A703" s="267" t="s">
        <v>145</v>
      </c>
      <c r="B703" s="267" t="s">
        <v>910</v>
      </c>
      <c r="C703" s="268">
        <v>1047</v>
      </c>
      <c r="D703" s="268">
        <v>1014</v>
      </c>
      <c r="E703" s="268">
        <v>2061</v>
      </c>
      <c r="F703" s="268">
        <v>19160405.134517897</v>
      </c>
      <c r="G703" s="268">
        <v>22403828.765131999</v>
      </c>
      <c r="H703" s="268">
        <v>41564233.899649896</v>
      </c>
      <c r="I703" s="267" t="s">
        <v>633</v>
      </c>
      <c r="J703" s="267" t="s">
        <v>121</v>
      </c>
      <c r="K703" s="267">
        <v>872200</v>
      </c>
      <c r="L703" s="267" t="s">
        <v>15</v>
      </c>
      <c r="M703"/>
      <c r="N703"/>
      <c r="O703"/>
      <c r="P703"/>
      <c r="Q703" s="151"/>
      <c r="R703"/>
      <c r="S703"/>
      <c r="T703"/>
      <c r="U703"/>
      <c r="V703"/>
    </row>
    <row r="704" spans="1:22" x14ac:dyDescent="0.2">
      <c r="A704" s="267" t="s">
        <v>208</v>
      </c>
      <c r="B704" s="267" t="s">
        <v>224</v>
      </c>
      <c r="C704" s="268">
        <v>4509</v>
      </c>
      <c r="D704" s="268">
        <v>5747</v>
      </c>
      <c r="E704" s="268">
        <v>10256</v>
      </c>
      <c r="F704" s="268">
        <v>59792931.089244798</v>
      </c>
      <c r="G704" s="268">
        <v>97825392.7258524</v>
      </c>
      <c r="H704" s="268">
        <v>157618323.815097</v>
      </c>
      <c r="I704" s="267" t="s">
        <v>753</v>
      </c>
      <c r="J704" s="267" t="s">
        <v>121</v>
      </c>
      <c r="K704" s="267">
        <v>872382</v>
      </c>
      <c r="L704" s="267" t="s">
        <v>212</v>
      </c>
      <c r="M704"/>
      <c r="N704"/>
      <c r="O704"/>
      <c r="P704"/>
      <c r="Q704" s="151"/>
      <c r="R704"/>
      <c r="S704"/>
      <c r="T704"/>
      <c r="U704"/>
      <c r="V704"/>
    </row>
    <row r="705" spans="1:22" x14ac:dyDescent="0.2">
      <c r="A705" s="267" t="s">
        <v>145</v>
      </c>
      <c r="B705" s="267" t="s">
        <v>1077</v>
      </c>
      <c r="C705" s="268">
        <v>246</v>
      </c>
      <c r="D705" s="268">
        <v>243</v>
      </c>
      <c r="E705" s="268">
        <v>489</v>
      </c>
      <c r="F705" s="268">
        <v>4584971.4409695901</v>
      </c>
      <c r="G705" s="268">
        <v>5505742.8974478105</v>
      </c>
      <c r="H705" s="268">
        <v>10090714.3384174</v>
      </c>
      <c r="I705" s="267" t="s">
        <v>633</v>
      </c>
      <c r="J705" s="267" t="s">
        <v>121</v>
      </c>
      <c r="K705" s="267">
        <v>872440</v>
      </c>
      <c r="L705" s="267" t="s">
        <v>354</v>
      </c>
      <c r="M705"/>
      <c r="N705"/>
      <c r="O705"/>
      <c r="P705"/>
      <c r="Q705" s="151"/>
      <c r="R705"/>
      <c r="S705"/>
      <c r="T705"/>
      <c r="U705"/>
      <c r="V705"/>
    </row>
    <row r="706" spans="1:22" x14ac:dyDescent="0.2">
      <c r="A706" s="267" t="s">
        <v>615</v>
      </c>
      <c r="B706" s="267" t="s">
        <v>769</v>
      </c>
      <c r="C706" s="268">
        <v>58</v>
      </c>
      <c r="D706" s="268">
        <v>97</v>
      </c>
      <c r="E706" s="268">
        <v>155</v>
      </c>
      <c r="F706" s="268">
        <v>1354596.4964886401</v>
      </c>
      <c r="G706" s="268">
        <v>3394275.3775426499</v>
      </c>
      <c r="H706" s="268">
        <v>4748871.8740312904</v>
      </c>
      <c r="I706" s="267" t="s">
        <v>633</v>
      </c>
      <c r="J706" s="267" t="s">
        <v>122</v>
      </c>
      <c r="K706" s="267">
        <v>873505</v>
      </c>
      <c r="L706" s="267" t="s">
        <v>767</v>
      </c>
      <c r="M706"/>
      <c r="N706"/>
      <c r="O706"/>
      <c r="P706"/>
      <c r="Q706" s="151"/>
      <c r="R706"/>
      <c r="S706"/>
      <c r="T706"/>
      <c r="U706"/>
      <c r="V706"/>
    </row>
    <row r="707" spans="1:22" x14ac:dyDescent="0.2">
      <c r="A707" s="267" t="s">
        <v>301</v>
      </c>
      <c r="B707" s="267" t="s">
        <v>834</v>
      </c>
      <c r="C707" s="268">
        <v>8227</v>
      </c>
      <c r="D707" s="268">
        <v>9406</v>
      </c>
      <c r="E707" s="268">
        <v>17633</v>
      </c>
      <c r="F707" s="268">
        <v>419667955.85565299</v>
      </c>
      <c r="G707" s="268">
        <v>613806610.419662</v>
      </c>
      <c r="H707" s="268">
        <v>1033474566.2753099</v>
      </c>
      <c r="I707" s="267" t="s">
        <v>753</v>
      </c>
      <c r="J707" s="267" t="s">
        <v>123</v>
      </c>
      <c r="K707" s="267">
        <v>874032</v>
      </c>
      <c r="L707" s="267" t="s">
        <v>501</v>
      </c>
      <c r="M707"/>
      <c r="N707"/>
      <c r="O707"/>
      <c r="P707"/>
      <c r="Q707" s="151"/>
      <c r="R707"/>
      <c r="S707"/>
      <c r="T707"/>
      <c r="U707"/>
      <c r="V707"/>
    </row>
    <row r="708" spans="1:22" x14ac:dyDescent="0.2">
      <c r="A708" s="267" t="s">
        <v>626</v>
      </c>
      <c r="B708" s="267" t="s">
        <v>887</v>
      </c>
      <c r="C708" s="268">
        <v>353</v>
      </c>
      <c r="D708" s="268">
        <v>318</v>
      </c>
      <c r="E708" s="268">
        <v>671</v>
      </c>
      <c r="F708" s="268">
        <v>5304711.42782648</v>
      </c>
      <c r="G708" s="268">
        <v>6068060.2914223699</v>
      </c>
      <c r="H708" s="268">
        <v>11372771.7192489</v>
      </c>
      <c r="I708" s="267" t="s">
        <v>633</v>
      </c>
      <c r="J708" s="267" t="s">
        <v>122</v>
      </c>
      <c r="K708" s="267">
        <v>874099</v>
      </c>
      <c r="L708" s="267" t="s">
        <v>358</v>
      </c>
      <c r="M708"/>
      <c r="N708"/>
      <c r="O708"/>
      <c r="P708"/>
      <c r="Q708" s="151"/>
      <c r="R708"/>
      <c r="S708"/>
      <c r="T708"/>
      <c r="U708"/>
      <c r="V708"/>
    </row>
    <row r="709" spans="1:22" x14ac:dyDescent="0.2">
      <c r="A709" s="267" t="s">
        <v>131</v>
      </c>
      <c r="B709" s="267" t="s">
        <v>205</v>
      </c>
      <c r="C709" s="268">
        <v>1458</v>
      </c>
      <c r="D709" s="268">
        <v>2284</v>
      </c>
      <c r="E709" s="268">
        <v>3742</v>
      </c>
      <c r="F709" s="268">
        <v>25091774.833722699</v>
      </c>
      <c r="G709" s="268">
        <v>53015642.667777397</v>
      </c>
      <c r="H709" s="268">
        <v>78107417.501500189</v>
      </c>
      <c r="I709" s="267" t="s">
        <v>633</v>
      </c>
      <c r="J709" s="267" t="s">
        <v>121</v>
      </c>
      <c r="K709" s="267">
        <v>874271</v>
      </c>
      <c r="L709" s="267" t="s">
        <v>423</v>
      </c>
      <c r="M709"/>
      <c r="N709"/>
      <c r="O709"/>
      <c r="P709"/>
      <c r="Q709" s="151"/>
      <c r="R709"/>
      <c r="S709"/>
      <c r="T709"/>
      <c r="U709"/>
      <c r="V709"/>
    </row>
    <row r="710" spans="1:22" x14ac:dyDescent="0.2">
      <c r="A710" s="267" t="s">
        <v>293</v>
      </c>
      <c r="B710" s="267" t="s">
        <v>986</v>
      </c>
      <c r="C710" s="268">
        <v>5984</v>
      </c>
      <c r="D710" s="268">
        <v>6160</v>
      </c>
      <c r="E710" s="268">
        <v>12144</v>
      </c>
      <c r="F710" s="268">
        <v>174576739.55159801</v>
      </c>
      <c r="G710" s="268">
        <v>211770391.570317</v>
      </c>
      <c r="H710" s="268">
        <v>386347131.12191498</v>
      </c>
      <c r="I710" s="267" t="s">
        <v>753</v>
      </c>
      <c r="J710" s="267" t="s">
        <v>123</v>
      </c>
      <c r="K710" s="267">
        <v>878520</v>
      </c>
      <c r="L710" s="267" t="s">
        <v>701</v>
      </c>
      <c r="M710"/>
      <c r="N710"/>
      <c r="O710"/>
      <c r="P710"/>
      <c r="Q710" s="151"/>
      <c r="R710"/>
      <c r="S710"/>
      <c r="T710"/>
      <c r="U710"/>
      <c r="V710"/>
    </row>
    <row r="711" spans="1:22" x14ac:dyDescent="0.2">
      <c r="A711" s="267" t="s">
        <v>293</v>
      </c>
      <c r="B711" s="267" t="s">
        <v>297</v>
      </c>
      <c r="C711" s="268">
        <v>5883</v>
      </c>
      <c r="D711" s="268">
        <v>4650</v>
      </c>
      <c r="E711" s="268">
        <v>10533</v>
      </c>
      <c r="F711" s="268">
        <v>173211150.24106002</v>
      </c>
      <c r="G711" s="268">
        <v>158832676.24857903</v>
      </c>
      <c r="H711" s="268">
        <v>332043826.48963797</v>
      </c>
      <c r="I711" s="267" t="s">
        <v>753</v>
      </c>
      <c r="J711" s="267" t="s">
        <v>123</v>
      </c>
      <c r="K711" s="267">
        <v>879114</v>
      </c>
      <c r="L711" s="267" t="s">
        <v>790</v>
      </c>
      <c r="M711"/>
      <c r="N711"/>
      <c r="O711"/>
      <c r="P711"/>
      <c r="Q711" s="151"/>
      <c r="R711"/>
      <c r="S711"/>
      <c r="T711"/>
      <c r="U711"/>
      <c r="V711"/>
    </row>
    <row r="712" spans="1:22" x14ac:dyDescent="0.2">
      <c r="A712" s="267" t="s">
        <v>145</v>
      </c>
      <c r="B712" s="267" t="s">
        <v>634</v>
      </c>
      <c r="C712" s="268">
        <v>229</v>
      </c>
      <c r="D712" s="268">
        <v>205</v>
      </c>
      <c r="E712" s="268">
        <v>434</v>
      </c>
      <c r="F712" s="268">
        <v>3471264.1638430497</v>
      </c>
      <c r="G712" s="268">
        <v>3703206.7551955199</v>
      </c>
      <c r="H712" s="268">
        <v>7174470.9190385705</v>
      </c>
      <c r="I712" s="267" t="s">
        <v>633</v>
      </c>
      <c r="J712" s="267" t="s">
        <v>121</v>
      </c>
      <c r="K712" s="267">
        <v>882068</v>
      </c>
      <c r="L712" s="267" t="s">
        <v>362</v>
      </c>
      <c r="M712"/>
      <c r="N712"/>
      <c r="O712"/>
      <c r="P712"/>
      <c r="Q712" s="151"/>
      <c r="R712"/>
      <c r="S712"/>
      <c r="T712"/>
      <c r="U712"/>
      <c r="V712"/>
    </row>
    <row r="713" spans="1:22" x14ac:dyDescent="0.2">
      <c r="A713" s="267" t="s">
        <v>367</v>
      </c>
      <c r="B713" s="267" t="s">
        <v>203</v>
      </c>
      <c r="C713" s="268">
        <v>202</v>
      </c>
      <c r="D713" s="268">
        <v>383</v>
      </c>
      <c r="E713" s="268">
        <v>585</v>
      </c>
      <c r="F713" s="268">
        <v>4202370.3655710397</v>
      </c>
      <c r="G713" s="268">
        <v>10540388.537983799</v>
      </c>
      <c r="H713" s="268">
        <v>14742758.903554801</v>
      </c>
      <c r="I713" s="267" t="s">
        <v>633</v>
      </c>
      <c r="J713" s="267" t="s">
        <v>121</v>
      </c>
      <c r="K713" s="267">
        <v>882126</v>
      </c>
      <c r="L713" s="267" t="s">
        <v>423</v>
      </c>
      <c r="M713"/>
      <c r="N713"/>
      <c r="O713"/>
      <c r="P713"/>
      <c r="Q713" s="151"/>
      <c r="R713"/>
      <c r="S713"/>
      <c r="T713"/>
      <c r="U713"/>
      <c r="V713"/>
    </row>
    <row r="714" spans="1:22" x14ac:dyDescent="0.2">
      <c r="A714" s="267" t="s">
        <v>370</v>
      </c>
      <c r="B714" s="267" t="s">
        <v>335</v>
      </c>
      <c r="C714" s="268">
        <v>690</v>
      </c>
      <c r="D714" s="268">
        <v>1169</v>
      </c>
      <c r="E714" s="268">
        <v>1859</v>
      </c>
      <c r="F714" s="268">
        <v>9583657.9141460396</v>
      </c>
      <c r="G714" s="268">
        <v>20097071.253969703</v>
      </c>
      <c r="H714" s="268">
        <v>29680729.168115802</v>
      </c>
      <c r="I714" s="267" t="s">
        <v>633</v>
      </c>
      <c r="J714" s="267" t="s">
        <v>121</v>
      </c>
      <c r="K714" s="267">
        <v>882530</v>
      </c>
      <c r="L714" s="267" t="s">
        <v>812</v>
      </c>
      <c r="M714"/>
      <c r="N714"/>
      <c r="O714"/>
      <c r="P714"/>
      <c r="Q714" s="151"/>
      <c r="R714"/>
      <c r="S714"/>
      <c r="T714"/>
      <c r="U714"/>
      <c r="V714"/>
    </row>
    <row r="715" spans="1:22" x14ac:dyDescent="0.2">
      <c r="A715" s="267" t="s">
        <v>301</v>
      </c>
      <c r="B715" s="267" t="s">
        <v>1053</v>
      </c>
      <c r="C715" s="268">
        <v>3</v>
      </c>
      <c r="D715" s="268">
        <v>22</v>
      </c>
      <c r="E715" s="268">
        <v>25</v>
      </c>
      <c r="F715" s="268">
        <v>50496.094638000002</v>
      </c>
      <c r="G715" s="268">
        <v>842165.58150700002</v>
      </c>
      <c r="H715" s="268">
        <v>892661.67614500003</v>
      </c>
      <c r="I715" s="267" t="s">
        <v>633</v>
      </c>
      <c r="J715" s="267" t="s">
        <v>123</v>
      </c>
      <c r="K715" s="267">
        <v>883710</v>
      </c>
      <c r="L715" s="267" t="s">
        <v>1025</v>
      </c>
      <c r="M715"/>
      <c r="N715"/>
      <c r="O715"/>
      <c r="P715"/>
      <c r="Q715" s="151"/>
      <c r="R715"/>
      <c r="S715"/>
      <c r="T715"/>
      <c r="U715"/>
      <c r="V715"/>
    </row>
    <row r="716" spans="1:22" x14ac:dyDescent="0.2">
      <c r="A716" s="267" t="s">
        <v>279</v>
      </c>
      <c r="B716" s="267" t="s">
        <v>195</v>
      </c>
      <c r="C716" s="268">
        <v>177</v>
      </c>
      <c r="D716" s="268">
        <v>325</v>
      </c>
      <c r="E716" s="268">
        <v>502</v>
      </c>
      <c r="F716" s="268">
        <v>1996795.4558573</v>
      </c>
      <c r="G716" s="268">
        <v>4942190.65370089</v>
      </c>
      <c r="H716" s="268">
        <v>6938986.1095581902</v>
      </c>
      <c r="I716" s="267" t="s">
        <v>633</v>
      </c>
      <c r="J716" s="267" t="s">
        <v>121</v>
      </c>
      <c r="K716" s="267">
        <v>887497</v>
      </c>
      <c r="L716" s="267" t="s">
        <v>423</v>
      </c>
      <c r="M716"/>
      <c r="N716"/>
      <c r="O716"/>
      <c r="P716"/>
      <c r="Q716" s="151"/>
      <c r="R716"/>
      <c r="S716"/>
      <c r="T716"/>
      <c r="U716"/>
      <c r="V716"/>
    </row>
    <row r="717" spans="1:22" x14ac:dyDescent="0.2">
      <c r="A717" s="267" t="s">
        <v>292</v>
      </c>
      <c r="B717" s="267" t="s">
        <v>1117</v>
      </c>
      <c r="C717" s="268">
        <v>187</v>
      </c>
      <c r="D717" s="268">
        <v>225</v>
      </c>
      <c r="E717" s="268">
        <v>412</v>
      </c>
      <c r="F717" s="268">
        <v>3703078.9866177598</v>
      </c>
      <c r="G717" s="268">
        <v>5612589.6325160004</v>
      </c>
      <c r="H717" s="268">
        <v>9315668.6191337593</v>
      </c>
      <c r="I717" s="267" t="s">
        <v>633</v>
      </c>
      <c r="J717" s="267" t="s">
        <v>123</v>
      </c>
      <c r="K717" s="267">
        <v>887554</v>
      </c>
      <c r="L717" s="267" t="s">
        <v>764</v>
      </c>
      <c r="M717"/>
      <c r="N717"/>
      <c r="O717"/>
      <c r="P717"/>
      <c r="Q717" s="151"/>
      <c r="R717"/>
      <c r="S717"/>
      <c r="T717"/>
      <c r="U717"/>
      <c r="V717"/>
    </row>
    <row r="718" spans="1:22" x14ac:dyDescent="0.2">
      <c r="A718" s="267" t="s">
        <v>301</v>
      </c>
      <c r="B718" s="267" t="s">
        <v>917</v>
      </c>
      <c r="C718" s="268">
        <v>1840</v>
      </c>
      <c r="D718" s="268">
        <v>1939</v>
      </c>
      <c r="E718" s="268">
        <v>3779</v>
      </c>
      <c r="F718" s="268">
        <v>18898298.34347</v>
      </c>
      <c r="G718" s="268">
        <v>24643667.847093802</v>
      </c>
      <c r="H718" s="268">
        <v>43541966.190563798</v>
      </c>
      <c r="I718" s="267" t="s">
        <v>753</v>
      </c>
      <c r="J718" s="267" t="s">
        <v>123</v>
      </c>
      <c r="K718" s="267">
        <v>889204</v>
      </c>
      <c r="L718" s="267" t="s">
        <v>905</v>
      </c>
      <c r="M718"/>
      <c r="N718"/>
      <c r="O718"/>
      <c r="P718"/>
      <c r="Q718" s="151"/>
      <c r="R718"/>
      <c r="S718"/>
      <c r="T718"/>
      <c r="U718"/>
      <c r="V718"/>
    </row>
    <row r="719" spans="1:22" x14ac:dyDescent="0.2">
      <c r="A719" s="267" t="s">
        <v>102</v>
      </c>
      <c r="B719" s="267" t="s">
        <v>870</v>
      </c>
      <c r="C719" s="268">
        <v>620</v>
      </c>
      <c r="D719" s="268">
        <v>742</v>
      </c>
      <c r="E719" s="268">
        <v>1362</v>
      </c>
      <c r="F719" s="268">
        <v>6575186.8782352703</v>
      </c>
      <c r="G719" s="268">
        <v>10788106.547484901</v>
      </c>
      <c r="H719" s="268">
        <v>17363293.4257202</v>
      </c>
      <c r="I719" s="267" t="s">
        <v>633</v>
      </c>
      <c r="J719" s="267" t="s">
        <v>121</v>
      </c>
      <c r="K719" s="267">
        <v>889261</v>
      </c>
      <c r="L719" s="267" t="s">
        <v>88</v>
      </c>
      <c r="M719"/>
      <c r="N719"/>
      <c r="O719"/>
      <c r="P719"/>
      <c r="Q719" s="151"/>
      <c r="R719"/>
      <c r="S719"/>
      <c r="T719"/>
      <c r="U719"/>
      <c r="V719"/>
    </row>
    <row r="720" spans="1:22" x14ac:dyDescent="0.2">
      <c r="A720" s="267" t="s">
        <v>368</v>
      </c>
      <c r="B720" s="267" t="s">
        <v>1091</v>
      </c>
      <c r="C720" s="268">
        <v>1755</v>
      </c>
      <c r="D720" s="268">
        <v>2823</v>
      </c>
      <c r="E720" s="268">
        <v>4578</v>
      </c>
      <c r="F720" s="268">
        <v>33386122.524042699</v>
      </c>
      <c r="G720" s="268">
        <v>74490007.495923206</v>
      </c>
      <c r="H720" s="268">
        <v>107876130.01996599</v>
      </c>
      <c r="I720" s="267" t="s">
        <v>633</v>
      </c>
      <c r="J720" s="267" t="s">
        <v>121</v>
      </c>
      <c r="K720" s="267">
        <v>889386</v>
      </c>
      <c r="L720" s="267" t="s">
        <v>766</v>
      </c>
      <c r="M720"/>
      <c r="N720"/>
      <c r="O720"/>
      <c r="P720"/>
      <c r="Q720" s="151"/>
      <c r="R720"/>
      <c r="S720"/>
      <c r="T720"/>
      <c r="U720"/>
      <c r="V720"/>
    </row>
    <row r="721" spans="1:22" x14ac:dyDescent="0.2">
      <c r="A721" s="267" t="s">
        <v>92</v>
      </c>
      <c r="B721" s="267" t="s">
        <v>465</v>
      </c>
      <c r="C721" s="268">
        <v>3838</v>
      </c>
      <c r="D721" s="268">
        <v>5681</v>
      </c>
      <c r="E721" s="268">
        <v>9519</v>
      </c>
      <c r="F721" s="268">
        <v>72523371.2885703</v>
      </c>
      <c r="G721" s="268">
        <v>126669597.37759</v>
      </c>
      <c r="H721" s="268">
        <v>199192968.66615999</v>
      </c>
      <c r="I721" s="267" t="s">
        <v>633</v>
      </c>
      <c r="J721" s="267" t="s">
        <v>121</v>
      </c>
      <c r="K721" s="267">
        <v>891036</v>
      </c>
      <c r="L721" s="267" t="s">
        <v>434</v>
      </c>
      <c r="M721"/>
      <c r="N721"/>
      <c r="O721"/>
      <c r="P721"/>
      <c r="Q721" s="151"/>
      <c r="R721"/>
      <c r="S721"/>
      <c r="T721"/>
      <c r="U721"/>
      <c r="V721"/>
    </row>
    <row r="722" spans="1:22" x14ac:dyDescent="0.2">
      <c r="A722" s="267" t="s">
        <v>145</v>
      </c>
      <c r="B722" s="267" t="s">
        <v>1124</v>
      </c>
      <c r="C722" s="268">
        <v>2098</v>
      </c>
      <c r="D722" s="268">
        <v>2062</v>
      </c>
      <c r="E722" s="268">
        <v>4160</v>
      </c>
      <c r="F722" s="268">
        <v>129132970.097256</v>
      </c>
      <c r="G722" s="268">
        <v>136883725.03644302</v>
      </c>
      <c r="H722" s="268">
        <v>266016695.133699</v>
      </c>
      <c r="I722" s="267" t="s">
        <v>753</v>
      </c>
      <c r="J722" s="267" t="s">
        <v>121</v>
      </c>
      <c r="K722" s="267">
        <v>891804</v>
      </c>
      <c r="L722" s="267" t="s">
        <v>433</v>
      </c>
      <c r="M722"/>
      <c r="N722"/>
      <c r="O722"/>
      <c r="P722"/>
      <c r="Q722" s="151"/>
      <c r="R722"/>
      <c r="S722"/>
      <c r="T722"/>
      <c r="U722"/>
      <c r="V722"/>
    </row>
    <row r="723" spans="1:22" x14ac:dyDescent="0.2">
      <c r="A723" s="267" t="s">
        <v>92</v>
      </c>
      <c r="B723" s="267" t="s">
        <v>537</v>
      </c>
      <c r="C723" s="268">
        <v>33342</v>
      </c>
      <c r="D723" s="268">
        <v>32141</v>
      </c>
      <c r="E723" s="268">
        <v>65483</v>
      </c>
      <c r="F723" s="268">
        <v>607683206.38231695</v>
      </c>
      <c r="G723" s="268">
        <v>732243402.46146297</v>
      </c>
      <c r="H723" s="268">
        <v>1339926608.84378</v>
      </c>
      <c r="I723" s="267" t="s">
        <v>753</v>
      </c>
      <c r="J723" s="267" t="s">
        <v>121</v>
      </c>
      <c r="K723" s="267">
        <v>896761</v>
      </c>
      <c r="L723" s="267" t="s">
        <v>174</v>
      </c>
      <c r="M723"/>
      <c r="N723"/>
      <c r="O723"/>
      <c r="P723"/>
      <c r="Q723" s="151"/>
      <c r="R723"/>
      <c r="S723"/>
      <c r="T723"/>
      <c r="U723"/>
      <c r="V723"/>
    </row>
    <row r="724" spans="1:22" x14ac:dyDescent="0.2">
      <c r="A724" s="267" t="s">
        <v>279</v>
      </c>
      <c r="B724" s="267" t="s">
        <v>285</v>
      </c>
      <c r="C724" s="268">
        <v>1833</v>
      </c>
      <c r="D724" s="268">
        <v>2918</v>
      </c>
      <c r="E724" s="268">
        <v>4751</v>
      </c>
      <c r="F724" s="268">
        <v>28645431.038755499</v>
      </c>
      <c r="G724" s="268">
        <v>56706952.212510198</v>
      </c>
      <c r="H724" s="268">
        <v>85352383.25126569</v>
      </c>
      <c r="I724" s="267" t="s">
        <v>633</v>
      </c>
      <c r="J724" s="267" t="s">
        <v>121</v>
      </c>
      <c r="K724" s="267">
        <v>899120</v>
      </c>
      <c r="L724" s="267" t="s">
        <v>361</v>
      </c>
      <c r="M724"/>
      <c r="N724"/>
      <c r="O724"/>
      <c r="P724"/>
      <c r="Q724" s="151"/>
      <c r="R724"/>
      <c r="S724"/>
      <c r="T724"/>
      <c r="U724"/>
      <c r="V724"/>
    </row>
    <row r="725" spans="1:22" x14ac:dyDescent="0.2">
      <c r="A725" s="267" t="s">
        <v>44</v>
      </c>
      <c r="B725" s="267" t="s">
        <v>54</v>
      </c>
      <c r="C725" s="268">
        <v>102</v>
      </c>
      <c r="D725" s="268">
        <v>105</v>
      </c>
      <c r="E725" s="268">
        <v>207</v>
      </c>
      <c r="F725" s="268">
        <v>1232118.95534603</v>
      </c>
      <c r="G725" s="268">
        <v>1630130.5881509301</v>
      </c>
      <c r="H725" s="268">
        <v>2862249.5434969598</v>
      </c>
      <c r="I725" s="267" t="s">
        <v>633</v>
      </c>
      <c r="J725" s="267" t="s">
        <v>121</v>
      </c>
      <c r="K725" s="267">
        <v>899773</v>
      </c>
      <c r="L725" s="267" t="s">
        <v>126</v>
      </c>
      <c r="M725"/>
      <c r="N725"/>
      <c r="O725"/>
      <c r="P725"/>
      <c r="Q725" s="151"/>
      <c r="R725"/>
      <c r="S725"/>
      <c r="T725"/>
      <c r="U725"/>
      <c r="V725"/>
    </row>
    <row r="726" spans="1:22" x14ac:dyDescent="0.2">
      <c r="A726" s="267" t="s">
        <v>145</v>
      </c>
      <c r="B726" s="267" t="s">
        <v>1133</v>
      </c>
      <c r="C726" s="268">
        <v>1</v>
      </c>
      <c r="D726" s="268">
        <v>1</v>
      </c>
      <c r="E726" s="268">
        <v>2</v>
      </c>
      <c r="F726" s="268">
        <v>24260.409574959998</v>
      </c>
      <c r="G726" s="268">
        <v>41061.150789359999</v>
      </c>
      <c r="H726" s="268">
        <v>65321.560364320001</v>
      </c>
      <c r="I726" s="267" t="s">
        <v>633</v>
      </c>
      <c r="J726" s="267" t="s">
        <v>121</v>
      </c>
      <c r="K726" s="267">
        <v>900712</v>
      </c>
      <c r="L726" s="267" t="s">
        <v>777</v>
      </c>
      <c r="M726"/>
      <c r="N726"/>
      <c r="O726"/>
      <c r="P726"/>
      <c r="Q726" s="151"/>
      <c r="R726"/>
      <c r="S726"/>
      <c r="T726"/>
      <c r="U726"/>
      <c r="V726"/>
    </row>
    <row r="727" spans="1:22" x14ac:dyDescent="0.2">
      <c r="A727" s="267" t="s">
        <v>615</v>
      </c>
      <c r="B727" s="267" t="s">
        <v>963</v>
      </c>
      <c r="C727" s="268">
        <v>680</v>
      </c>
      <c r="D727" s="268">
        <v>870</v>
      </c>
      <c r="E727" s="268">
        <v>1550</v>
      </c>
      <c r="F727" s="268">
        <v>17377906.027287003</v>
      </c>
      <c r="G727" s="268">
        <v>25359560.014074601</v>
      </c>
      <c r="H727" s="268">
        <v>42737466.0413616</v>
      </c>
      <c r="I727" s="267" t="s">
        <v>633</v>
      </c>
      <c r="J727" s="267" t="s">
        <v>122</v>
      </c>
      <c r="K727" s="267">
        <v>900894</v>
      </c>
      <c r="L727" s="267" t="s">
        <v>752</v>
      </c>
      <c r="M727"/>
      <c r="N727"/>
      <c r="O727"/>
      <c r="P727"/>
      <c r="Q727" s="151"/>
      <c r="R727"/>
      <c r="S727"/>
      <c r="T727"/>
      <c r="U727"/>
      <c r="V727"/>
    </row>
    <row r="728" spans="1:22" x14ac:dyDescent="0.2">
      <c r="A728" s="267" t="s">
        <v>348</v>
      </c>
      <c r="B728" s="267" t="s">
        <v>474</v>
      </c>
      <c r="C728" s="268">
        <v>8550</v>
      </c>
      <c r="D728" s="268">
        <v>7394</v>
      </c>
      <c r="E728" s="268">
        <v>15944</v>
      </c>
      <c r="F728" s="268">
        <v>352450134.61018801</v>
      </c>
      <c r="G728" s="268">
        <v>370180146.77157003</v>
      </c>
      <c r="H728" s="268">
        <v>722630281.38175797</v>
      </c>
      <c r="I728" s="267" t="s">
        <v>753</v>
      </c>
      <c r="J728" s="267" t="s">
        <v>125</v>
      </c>
      <c r="K728" s="267">
        <v>901017</v>
      </c>
      <c r="L728" s="267" t="s">
        <v>790</v>
      </c>
      <c r="M728"/>
      <c r="N728"/>
      <c r="O728"/>
      <c r="P728"/>
      <c r="Q728" s="151"/>
      <c r="R728"/>
      <c r="S728"/>
      <c r="T728"/>
      <c r="U728"/>
      <c r="V728"/>
    </row>
    <row r="729" spans="1:22" x14ac:dyDescent="0.2">
      <c r="A729" s="267" t="s">
        <v>546</v>
      </c>
      <c r="B729" s="267" t="s">
        <v>10</v>
      </c>
      <c r="C729" s="268">
        <v>1003</v>
      </c>
      <c r="D729" s="268">
        <v>968</v>
      </c>
      <c r="E729" s="268">
        <v>1971</v>
      </c>
      <c r="F729" s="268">
        <v>24517565.695405398</v>
      </c>
      <c r="G729" s="268">
        <v>28268837.256401099</v>
      </c>
      <c r="H729" s="268">
        <v>52786402.951806501</v>
      </c>
      <c r="I729" s="267" t="s">
        <v>753</v>
      </c>
      <c r="J729" s="267" t="s">
        <v>122</v>
      </c>
      <c r="K729" s="267">
        <v>901603</v>
      </c>
      <c r="L729" s="267" t="s">
        <v>433</v>
      </c>
      <c r="M729"/>
      <c r="N729"/>
      <c r="O729"/>
      <c r="P729"/>
      <c r="Q729" s="151"/>
      <c r="R729"/>
      <c r="S729"/>
      <c r="T729"/>
      <c r="U729"/>
      <c r="V729"/>
    </row>
    <row r="730" spans="1:22" x14ac:dyDescent="0.2">
      <c r="A730" s="267" t="s">
        <v>44</v>
      </c>
      <c r="B730" s="267" t="s">
        <v>221</v>
      </c>
      <c r="C730" s="268">
        <v>8</v>
      </c>
      <c r="D730" s="268">
        <v>12</v>
      </c>
      <c r="E730" s="268">
        <v>20</v>
      </c>
      <c r="F730" s="268">
        <v>228485.18001881399</v>
      </c>
      <c r="G730" s="268">
        <v>244192.63500444402</v>
      </c>
      <c r="H730" s="268">
        <v>472677.81502325798</v>
      </c>
      <c r="I730" s="267" t="s">
        <v>633</v>
      </c>
      <c r="J730" s="267" t="s">
        <v>121</v>
      </c>
      <c r="K730" s="267">
        <v>902668</v>
      </c>
      <c r="L730" s="267" t="s">
        <v>782</v>
      </c>
      <c r="M730"/>
      <c r="N730"/>
      <c r="O730"/>
      <c r="P730"/>
      <c r="Q730" s="151"/>
      <c r="R730"/>
      <c r="S730"/>
      <c r="T730"/>
      <c r="U730"/>
      <c r="V730"/>
    </row>
    <row r="731" spans="1:22" x14ac:dyDescent="0.2">
      <c r="A731" s="267" t="s">
        <v>671</v>
      </c>
      <c r="B731" s="267" t="s">
        <v>538</v>
      </c>
      <c r="C731" s="268">
        <v>5711</v>
      </c>
      <c r="D731" s="268">
        <v>3751</v>
      </c>
      <c r="E731" s="268">
        <v>9462</v>
      </c>
      <c r="F731" s="268">
        <v>145712224.403741</v>
      </c>
      <c r="G731" s="268">
        <v>111292331.807704</v>
      </c>
      <c r="H731" s="268">
        <v>257004556.211445</v>
      </c>
      <c r="I731" s="267" t="s">
        <v>753</v>
      </c>
      <c r="J731" s="267" t="s">
        <v>121</v>
      </c>
      <c r="K731" s="267">
        <v>902783</v>
      </c>
      <c r="L731" s="267" t="s">
        <v>174</v>
      </c>
      <c r="M731"/>
      <c r="N731"/>
      <c r="O731"/>
      <c r="P731"/>
      <c r="Q731" s="151"/>
      <c r="R731"/>
      <c r="S731"/>
      <c r="T731"/>
      <c r="U731"/>
      <c r="V731"/>
    </row>
    <row r="732" spans="1:22" x14ac:dyDescent="0.2">
      <c r="A732" s="267" t="s">
        <v>724</v>
      </c>
      <c r="B732" s="267" t="s">
        <v>1126</v>
      </c>
      <c r="C732" s="268">
        <v>2708</v>
      </c>
      <c r="D732" s="268">
        <v>3740</v>
      </c>
      <c r="E732" s="268">
        <v>6448</v>
      </c>
      <c r="F732" s="268">
        <v>49610862.977806598</v>
      </c>
      <c r="G732" s="268">
        <v>83459878.963257492</v>
      </c>
      <c r="H732" s="268">
        <v>133070741.941064</v>
      </c>
      <c r="I732" s="267" t="s">
        <v>753</v>
      </c>
      <c r="J732" s="267" t="s">
        <v>121</v>
      </c>
      <c r="K732" s="267">
        <v>903435</v>
      </c>
      <c r="L732" s="267" t="s">
        <v>836</v>
      </c>
      <c r="M732"/>
      <c r="N732"/>
      <c r="O732"/>
      <c r="P732"/>
      <c r="Q732" s="151"/>
      <c r="R732"/>
      <c r="S732"/>
      <c r="T732"/>
      <c r="U732"/>
      <c r="V732"/>
    </row>
    <row r="733" spans="1:22" x14ac:dyDescent="0.2">
      <c r="A733" s="267" t="s">
        <v>92</v>
      </c>
      <c r="B733" s="267" t="s">
        <v>695</v>
      </c>
      <c r="C733" s="268">
        <v>853</v>
      </c>
      <c r="D733" s="268">
        <v>1075</v>
      </c>
      <c r="E733" s="268">
        <v>1928</v>
      </c>
      <c r="F733" s="268">
        <v>15718637.469795099</v>
      </c>
      <c r="G733" s="268">
        <v>23782093.279174998</v>
      </c>
      <c r="H733" s="268">
        <v>39500730.748970002</v>
      </c>
      <c r="I733" s="267" t="s">
        <v>633</v>
      </c>
      <c r="J733" s="267" t="s">
        <v>121</v>
      </c>
      <c r="K733" s="267">
        <v>904490</v>
      </c>
      <c r="L733" s="267" t="s">
        <v>1026</v>
      </c>
      <c r="M733"/>
      <c r="N733"/>
      <c r="O733"/>
      <c r="P733"/>
      <c r="Q733" s="151"/>
      <c r="R733"/>
      <c r="S733"/>
      <c r="T733"/>
      <c r="U733"/>
      <c r="V733"/>
    </row>
    <row r="734" spans="1:22" x14ac:dyDescent="0.2">
      <c r="A734" s="267" t="s">
        <v>671</v>
      </c>
      <c r="B734" s="267" t="s">
        <v>710</v>
      </c>
      <c r="C734" s="268">
        <v>5683</v>
      </c>
      <c r="D734" s="268">
        <v>6359</v>
      </c>
      <c r="E734" s="268">
        <v>12042</v>
      </c>
      <c r="F734" s="268">
        <v>165695228.09639099</v>
      </c>
      <c r="G734" s="268">
        <v>234066234.16849002</v>
      </c>
      <c r="H734" s="268">
        <v>399761462.26488101</v>
      </c>
      <c r="I734" s="267" t="s">
        <v>753</v>
      </c>
      <c r="J734" s="267" t="s">
        <v>121</v>
      </c>
      <c r="K734" s="267">
        <v>905265</v>
      </c>
      <c r="L734" s="267" t="s">
        <v>174</v>
      </c>
      <c r="M734"/>
      <c r="N734"/>
      <c r="O734"/>
      <c r="P734"/>
      <c r="Q734" s="151"/>
      <c r="R734"/>
      <c r="S734"/>
      <c r="T734"/>
      <c r="U734"/>
      <c r="V734"/>
    </row>
    <row r="735" spans="1:22" x14ac:dyDescent="0.2">
      <c r="A735" s="267" t="s">
        <v>626</v>
      </c>
      <c r="B735" s="267" t="s">
        <v>1066</v>
      </c>
      <c r="C735" s="268">
        <v>11</v>
      </c>
      <c r="D735" s="268">
        <v>13</v>
      </c>
      <c r="E735" s="268">
        <v>24</v>
      </c>
      <c r="F735" s="268">
        <v>353234.94418677106</v>
      </c>
      <c r="G735" s="268">
        <v>242286.374188752</v>
      </c>
      <c r="H735" s="268">
        <v>595521.31837552309</v>
      </c>
      <c r="I735" s="267" t="s">
        <v>633</v>
      </c>
      <c r="J735" s="267" t="s">
        <v>122</v>
      </c>
      <c r="K735" s="267">
        <v>906792</v>
      </c>
      <c r="L735" s="267" t="s">
        <v>1067</v>
      </c>
      <c r="M735"/>
      <c r="N735"/>
      <c r="O735"/>
      <c r="P735"/>
      <c r="Q735" s="151"/>
      <c r="R735"/>
      <c r="S735"/>
      <c r="T735"/>
      <c r="U735"/>
      <c r="V735"/>
    </row>
    <row r="736" spans="1:22" x14ac:dyDescent="0.2">
      <c r="A736" s="267" t="s">
        <v>226</v>
      </c>
      <c r="B736" s="267" t="s">
        <v>418</v>
      </c>
      <c r="C736" s="268">
        <v>1417</v>
      </c>
      <c r="D736" s="268">
        <v>1563</v>
      </c>
      <c r="E736" s="268">
        <v>2980</v>
      </c>
      <c r="F736" s="268">
        <v>9277939.8716192096</v>
      </c>
      <c r="G736" s="268">
        <v>14045133.313745299</v>
      </c>
      <c r="H736" s="268">
        <v>23323073.1853645</v>
      </c>
      <c r="I736" s="267" t="s">
        <v>633</v>
      </c>
      <c r="J736" s="267" t="s">
        <v>121</v>
      </c>
      <c r="K736" s="267">
        <v>908038</v>
      </c>
      <c r="L736" s="267" t="s">
        <v>15</v>
      </c>
      <c r="M736"/>
      <c r="N736"/>
      <c r="O736"/>
      <c r="P736"/>
      <c r="Q736" s="151"/>
      <c r="R736"/>
      <c r="S736"/>
      <c r="T736"/>
      <c r="U736"/>
      <c r="V736"/>
    </row>
    <row r="737" spans="1:22" x14ac:dyDescent="0.2">
      <c r="A737" s="267" t="s">
        <v>748</v>
      </c>
      <c r="B737" s="267" t="s">
        <v>902</v>
      </c>
      <c r="C737" s="268">
        <v>473</v>
      </c>
      <c r="D737" s="268">
        <v>474</v>
      </c>
      <c r="E737" s="268">
        <v>947</v>
      </c>
      <c r="F737" s="268">
        <v>4682304.3400487397</v>
      </c>
      <c r="G737" s="268">
        <v>7253806.5702013802</v>
      </c>
      <c r="H737" s="268">
        <v>11936110.910250099</v>
      </c>
      <c r="I737" s="267" t="s">
        <v>633</v>
      </c>
      <c r="J737" s="267" t="s">
        <v>121</v>
      </c>
      <c r="K737" s="267">
        <v>908095</v>
      </c>
      <c r="L737" s="267" t="s">
        <v>397</v>
      </c>
      <c r="M737"/>
      <c r="N737"/>
      <c r="O737"/>
      <c r="P737"/>
      <c r="Q737" s="151"/>
      <c r="R737"/>
      <c r="S737"/>
      <c r="T737"/>
      <c r="U737"/>
      <c r="V737"/>
    </row>
    <row r="738" spans="1:22" x14ac:dyDescent="0.2">
      <c r="A738" s="267" t="s">
        <v>145</v>
      </c>
      <c r="B738" s="267" t="s">
        <v>821</v>
      </c>
      <c r="C738" s="268">
        <v>5198</v>
      </c>
      <c r="D738" s="268">
        <v>5130</v>
      </c>
      <c r="E738" s="268">
        <v>10328</v>
      </c>
      <c r="F738" s="268">
        <v>150625122.270206</v>
      </c>
      <c r="G738" s="268">
        <v>177713050.43129602</v>
      </c>
      <c r="H738" s="268">
        <v>328338172.70150101</v>
      </c>
      <c r="I738" s="267" t="s">
        <v>753</v>
      </c>
      <c r="J738" s="267" t="s">
        <v>121</v>
      </c>
      <c r="K738" s="267">
        <v>908277</v>
      </c>
      <c r="L738" s="267" t="s">
        <v>809</v>
      </c>
      <c r="M738"/>
      <c r="N738"/>
      <c r="O738"/>
      <c r="P738"/>
      <c r="Q738" s="151"/>
      <c r="R738"/>
      <c r="S738"/>
      <c r="T738"/>
      <c r="U738"/>
      <c r="V738"/>
    </row>
    <row r="739" spans="1:22" x14ac:dyDescent="0.2">
      <c r="A739" s="267" t="s">
        <v>367</v>
      </c>
      <c r="B739" s="267" t="s">
        <v>142</v>
      </c>
      <c r="C739" s="268">
        <v>1116</v>
      </c>
      <c r="D739" s="268">
        <v>1666</v>
      </c>
      <c r="E739" s="268">
        <v>2782</v>
      </c>
      <c r="F739" s="268">
        <v>18942786.304045398</v>
      </c>
      <c r="G739" s="268">
        <v>36275466.804921597</v>
      </c>
      <c r="H739" s="268">
        <v>55218253.108967006</v>
      </c>
      <c r="I739" s="267" t="s">
        <v>633</v>
      </c>
      <c r="J739" s="267" t="s">
        <v>121</v>
      </c>
      <c r="K739" s="267">
        <v>908806</v>
      </c>
      <c r="L739" s="267" t="s">
        <v>88</v>
      </c>
      <c r="M739"/>
      <c r="N739"/>
      <c r="O739"/>
      <c r="P739"/>
      <c r="Q739" s="151"/>
      <c r="R739"/>
      <c r="S739"/>
      <c r="T739"/>
      <c r="U739"/>
      <c r="V739"/>
    </row>
    <row r="740" spans="1:22" x14ac:dyDescent="0.2">
      <c r="A740" s="267" t="s">
        <v>626</v>
      </c>
      <c r="B740" s="267" t="s">
        <v>768</v>
      </c>
      <c r="C740" s="268">
        <v>1206</v>
      </c>
      <c r="D740" s="268">
        <v>1985</v>
      </c>
      <c r="E740" s="268">
        <v>3191</v>
      </c>
      <c r="F740" s="268">
        <v>29445772.082990699</v>
      </c>
      <c r="G740" s="268">
        <v>59451094.347913101</v>
      </c>
      <c r="H740" s="268">
        <v>88896866.430903792</v>
      </c>
      <c r="I740" s="267" t="s">
        <v>633</v>
      </c>
      <c r="J740" s="267" t="s">
        <v>122</v>
      </c>
      <c r="K740" s="267">
        <v>909333</v>
      </c>
      <c r="L740" s="267" t="s">
        <v>767</v>
      </c>
      <c r="M740"/>
      <c r="N740"/>
      <c r="O740"/>
      <c r="P740"/>
      <c r="Q740" s="151"/>
      <c r="R740"/>
      <c r="S740"/>
      <c r="T740"/>
      <c r="U740"/>
      <c r="V740"/>
    </row>
    <row r="741" spans="1:22" x14ac:dyDescent="0.2">
      <c r="A741" s="267" t="s">
        <v>226</v>
      </c>
      <c r="B741" s="267" t="s">
        <v>336</v>
      </c>
      <c r="C741" s="268">
        <v>130</v>
      </c>
      <c r="D741" s="268">
        <v>256</v>
      </c>
      <c r="E741" s="268">
        <v>386</v>
      </c>
      <c r="F741" s="268">
        <v>1475445.16560184</v>
      </c>
      <c r="G741" s="268">
        <v>4425490.2187760398</v>
      </c>
      <c r="H741" s="268">
        <v>5900935.38437788</v>
      </c>
      <c r="I741" s="267" t="s">
        <v>633</v>
      </c>
      <c r="J741" s="267" t="s">
        <v>121</v>
      </c>
      <c r="K741" s="267">
        <v>910109</v>
      </c>
      <c r="L741" s="267" t="s">
        <v>423</v>
      </c>
      <c r="M741"/>
      <c r="N741"/>
      <c r="O741"/>
      <c r="P741"/>
      <c r="Q741" s="151"/>
      <c r="R741"/>
      <c r="S741"/>
      <c r="T741"/>
      <c r="U741"/>
      <c r="V741"/>
    </row>
    <row r="742" spans="1:22" x14ac:dyDescent="0.2">
      <c r="A742" s="267" t="s">
        <v>301</v>
      </c>
      <c r="B742" s="267" t="s">
        <v>982</v>
      </c>
      <c r="C742" s="268">
        <v>759</v>
      </c>
      <c r="D742" s="268">
        <v>1164</v>
      </c>
      <c r="E742" s="268">
        <v>1923</v>
      </c>
      <c r="F742" s="268">
        <v>78692685.517440706</v>
      </c>
      <c r="G742" s="268">
        <v>153708498.73361301</v>
      </c>
      <c r="H742" s="268">
        <v>232401184.25105301</v>
      </c>
      <c r="I742" s="267" t="s">
        <v>633</v>
      </c>
      <c r="J742" s="267" t="s">
        <v>123</v>
      </c>
      <c r="K742" s="267">
        <v>910455</v>
      </c>
      <c r="L742" s="267" t="s">
        <v>983</v>
      </c>
      <c r="M742"/>
      <c r="N742"/>
      <c r="O742"/>
      <c r="P742"/>
      <c r="Q742" s="151"/>
      <c r="R742"/>
      <c r="S742"/>
      <c r="T742"/>
      <c r="U742"/>
      <c r="V742"/>
    </row>
    <row r="743" spans="1:22" x14ac:dyDescent="0.2">
      <c r="A743" s="267" t="s">
        <v>301</v>
      </c>
      <c r="B743" s="267" t="s">
        <v>907</v>
      </c>
      <c r="C743" s="268">
        <v>18946</v>
      </c>
      <c r="D743" s="268">
        <v>22524</v>
      </c>
      <c r="E743" s="268">
        <v>41470</v>
      </c>
      <c r="F743" s="268">
        <v>1540045674.45171</v>
      </c>
      <c r="G743" s="268">
        <v>2236408512.7350798</v>
      </c>
      <c r="H743" s="268">
        <v>3776454187.18679</v>
      </c>
      <c r="I743" s="267" t="s">
        <v>633</v>
      </c>
      <c r="J743" s="267" t="s">
        <v>123</v>
      </c>
      <c r="K743" s="267">
        <v>912287</v>
      </c>
      <c r="L743" s="267" t="s">
        <v>397</v>
      </c>
      <c r="M743"/>
      <c r="N743"/>
      <c r="O743"/>
      <c r="P743"/>
      <c r="Q743" s="151"/>
      <c r="R743"/>
      <c r="S743"/>
      <c r="T743"/>
      <c r="U743"/>
      <c r="V743"/>
    </row>
    <row r="744" spans="1:22" x14ac:dyDescent="0.2">
      <c r="A744" s="267" t="s">
        <v>44</v>
      </c>
      <c r="B744" s="267" t="s">
        <v>70</v>
      </c>
      <c r="C744" s="268">
        <v>1902</v>
      </c>
      <c r="D744" s="268">
        <v>1639</v>
      </c>
      <c r="E744" s="268">
        <v>3541</v>
      </c>
      <c r="F744" s="268">
        <v>30847902.253833599</v>
      </c>
      <c r="G744" s="268">
        <v>31447075.820097599</v>
      </c>
      <c r="H744" s="268">
        <v>62294978.073931202</v>
      </c>
      <c r="I744" s="267" t="s">
        <v>753</v>
      </c>
      <c r="J744" s="267" t="s">
        <v>121</v>
      </c>
      <c r="K744" s="267">
        <v>914291</v>
      </c>
      <c r="L744" s="267" t="s">
        <v>174</v>
      </c>
      <c r="M744"/>
      <c r="N744"/>
      <c r="O744"/>
      <c r="P744"/>
      <c r="Q744" s="151"/>
      <c r="R744"/>
      <c r="S744"/>
      <c r="T744"/>
      <c r="U744"/>
      <c r="V744"/>
    </row>
    <row r="745" spans="1:22" x14ac:dyDescent="0.2">
      <c r="A745" s="267" t="s">
        <v>261</v>
      </c>
      <c r="B745" s="267" t="s">
        <v>337</v>
      </c>
      <c r="C745" s="268">
        <v>2740</v>
      </c>
      <c r="D745" s="268">
        <v>3402</v>
      </c>
      <c r="E745" s="268">
        <v>6142</v>
      </c>
      <c r="F745" s="268">
        <v>36587547.459064305</v>
      </c>
      <c r="G745" s="268">
        <v>56489309.641463302</v>
      </c>
      <c r="H745" s="268">
        <v>93076857.100527599</v>
      </c>
      <c r="I745" s="267" t="s">
        <v>633</v>
      </c>
      <c r="J745" s="267" t="s">
        <v>121</v>
      </c>
      <c r="K745" s="267">
        <v>914358</v>
      </c>
      <c r="L745" s="267" t="s">
        <v>859</v>
      </c>
      <c r="M745"/>
      <c r="N745"/>
      <c r="O745"/>
      <c r="P745"/>
      <c r="Q745" s="151"/>
      <c r="R745"/>
      <c r="S745"/>
      <c r="T745"/>
      <c r="U745"/>
      <c r="V745"/>
    </row>
    <row r="746" spans="1:22" x14ac:dyDescent="0.2">
      <c r="A746" s="267" t="s">
        <v>131</v>
      </c>
      <c r="B746" s="267" t="s">
        <v>965</v>
      </c>
      <c r="C746" s="268">
        <v>4223</v>
      </c>
      <c r="D746" s="268">
        <v>5407</v>
      </c>
      <c r="E746" s="268">
        <v>9630</v>
      </c>
      <c r="F746" s="268">
        <v>88547464.303049505</v>
      </c>
      <c r="G746" s="268">
        <v>142480694.66077101</v>
      </c>
      <c r="H746" s="268">
        <v>231028158.96382102</v>
      </c>
      <c r="I746" s="267" t="s">
        <v>753</v>
      </c>
      <c r="J746" s="267" t="s">
        <v>121</v>
      </c>
      <c r="K746" s="267">
        <v>914945</v>
      </c>
      <c r="L746" s="267" t="s">
        <v>790</v>
      </c>
      <c r="M746"/>
      <c r="N746"/>
      <c r="O746"/>
      <c r="P746"/>
      <c r="Q746" s="151"/>
      <c r="R746"/>
      <c r="S746"/>
      <c r="T746"/>
      <c r="U746"/>
      <c r="V746"/>
    </row>
    <row r="747" spans="1:22" x14ac:dyDescent="0.2">
      <c r="A747" s="267" t="s">
        <v>86</v>
      </c>
      <c r="B747" s="267" t="s">
        <v>761</v>
      </c>
      <c r="C747" s="268">
        <v>438</v>
      </c>
      <c r="D747" s="268">
        <v>558</v>
      </c>
      <c r="E747" s="268">
        <v>996</v>
      </c>
      <c r="F747" s="268">
        <v>9019848.7164867092</v>
      </c>
      <c r="G747" s="268">
        <v>14377271.196552999</v>
      </c>
      <c r="H747" s="268">
        <v>23397119.913039699</v>
      </c>
      <c r="I747" s="267" t="s">
        <v>633</v>
      </c>
      <c r="J747" s="267" t="s">
        <v>121</v>
      </c>
      <c r="K747" s="267">
        <v>916122</v>
      </c>
      <c r="L747" s="267" t="s">
        <v>760</v>
      </c>
      <c r="M747"/>
      <c r="N747"/>
      <c r="O747"/>
      <c r="P747"/>
      <c r="Q747" s="151"/>
      <c r="R747"/>
      <c r="S747"/>
      <c r="T747"/>
      <c r="U747"/>
      <c r="V747"/>
    </row>
    <row r="748" spans="1:22" x14ac:dyDescent="0.2">
      <c r="A748" s="267" t="s">
        <v>671</v>
      </c>
      <c r="B748" s="267" t="s">
        <v>781</v>
      </c>
      <c r="C748" s="268">
        <v>10712</v>
      </c>
      <c r="D748" s="268">
        <v>12824</v>
      </c>
      <c r="E748" s="268">
        <v>23536</v>
      </c>
      <c r="F748" s="268">
        <v>289176839.34315902</v>
      </c>
      <c r="G748" s="268">
        <v>426102942.84141004</v>
      </c>
      <c r="H748" s="268">
        <v>715279782.18456805</v>
      </c>
      <c r="I748" s="267" t="s">
        <v>753</v>
      </c>
      <c r="J748" s="267" t="s">
        <v>121</v>
      </c>
      <c r="K748" s="267">
        <v>916189</v>
      </c>
      <c r="L748" s="267" t="s">
        <v>677</v>
      </c>
      <c r="M748"/>
      <c r="N748"/>
      <c r="O748"/>
      <c r="P748"/>
      <c r="Q748" s="151"/>
      <c r="R748"/>
      <c r="S748"/>
      <c r="T748"/>
      <c r="U748"/>
      <c r="V748"/>
    </row>
    <row r="749" spans="1:22" x14ac:dyDescent="0.2">
      <c r="A749" s="267" t="s">
        <v>615</v>
      </c>
      <c r="B749" s="267" t="s">
        <v>635</v>
      </c>
      <c r="C749" s="268">
        <v>845</v>
      </c>
      <c r="D749" s="268">
        <v>1082</v>
      </c>
      <c r="E749" s="268">
        <v>1927</v>
      </c>
      <c r="F749" s="268">
        <v>22891056.519375902</v>
      </c>
      <c r="G749" s="268">
        <v>34021704.820258997</v>
      </c>
      <c r="H749" s="268">
        <v>56912761.339634895</v>
      </c>
      <c r="I749" s="267" t="s">
        <v>633</v>
      </c>
      <c r="J749" s="267" t="s">
        <v>122</v>
      </c>
      <c r="K749" s="267">
        <v>917898</v>
      </c>
      <c r="L749" s="267" t="s">
        <v>362</v>
      </c>
      <c r="M749"/>
      <c r="N749"/>
      <c r="O749"/>
      <c r="P749"/>
      <c r="Q749" s="151"/>
      <c r="R749"/>
      <c r="S749"/>
      <c r="T749"/>
      <c r="U749"/>
      <c r="V749"/>
    </row>
    <row r="750" spans="1:22" x14ac:dyDescent="0.2">
      <c r="A750" s="267" t="s">
        <v>131</v>
      </c>
      <c r="B750" s="267" t="s">
        <v>200</v>
      </c>
      <c r="C750" s="268">
        <v>234</v>
      </c>
      <c r="D750" s="268">
        <v>281</v>
      </c>
      <c r="E750" s="268">
        <v>515</v>
      </c>
      <c r="F750" s="268">
        <v>3811951.05543542</v>
      </c>
      <c r="G750" s="268">
        <v>5938862.9121640399</v>
      </c>
      <c r="H750" s="268">
        <v>9750813.9675994702</v>
      </c>
      <c r="I750" s="267" t="s">
        <v>633</v>
      </c>
      <c r="J750" s="267" t="s">
        <v>121</v>
      </c>
      <c r="K750" s="267">
        <v>917955</v>
      </c>
      <c r="L750" s="267" t="s">
        <v>423</v>
      </c>
      <c r="M750"/>
      <c r="N750"/>
      <c r="O750"/>
      <c r="P750"/>
      <c r="Q750" s="151"/>
      <c r="R750"/>
      <c r="S750"/>
      <c r="T750"/>
      <c r="U750"/>
      <c r="V750"/>
    </row>
    <row r="751" spans="1:22" x14ac:dyDescent="0.2">
      <c r="A751" s="267" t="s">
        <v>279</v>
      </c>
      <c r="B751" s="267" t="s">
        <v>338</v>
      </c>
      <c r="C751" s="268">
        <v>167</v>
      </c>
      <c r="D751" s="268">
        <v>230</v>
      </c>
      <c r="E751" s="268">
        <v>397</v>
      </c>
      <c r="F751" s="268">
        <v>2658330.1437033499</v>
      </c>
      <c r="G751" s="268">
        <v>4750185.0857308405</v>
      </c>
      <c r="H751" s="268">
        <v>7408515.2294341801</v>
      </c>
      <c r="I751" s="267" t="s">
        <v>633</v>
      </c>
      <c r="J751" s="267" t="s">
        <v>121</v>
      </c>
      <c r="K751" s="267">
        <v>918367</v>
      </c>
      <c r="L751" s="267" t="s">
        <v>812</v>
      </c>
      <c r="M751"/>
      <c r="N751"/>
      <c r="O751"/>
      <c r="P751"/>
      <c r="Q751" s="151"/>
      <c r="R751"/>
      <c r="S751"/>
      <c r="T751"/>
      <c r="U751"/>
      <c r="V751"/>
    </row>
    <row r="752" spans="1:22" x14ac:dyDescent="0.2">
      <c r="A752" s="267" t="s">
        <v>131</v>
      </c>
      <c r="B752" s="267" t="s">
        <v>113</v>
      </c>
      <c r="C752" s="268">
        <v>2725</v>
      </c>
      <c r="D752" s="268">
        <v>3796</v>
      </c>
      <c r="E752" s="268">
        <v>6521</v>
      </c>
      <c r="F752" s="268">
        <v>38464724.619160399</v>
      </c>
      <c r="G752" s="268">
        <v>67731361.0843575</v>
      </c>
      <c r="H752" s="268">
        <v>106196085.703518</v>
      </c>
      <c r="I752" s="267" t="s">
        <v>633</v>
      </c>
      <c r="J752" s="267" t="s">
        <v>121</v>
      </c>
      <c r="K752" s="267">
        <v>919787</v>
      </c>
      <c r="L752" s="267" t="s">
        <v>677</v>
      </c>
      <c r="M752"/>
      <c r="N752"/>
      <c r="O752"/>
      <c r="P752"/>
      <c r="Q752" s="151"/>
      <c r="R752"/>
      <c r="S752"/>
      <c r="T752"/>
      <c r="U752"/>
      <c r="V752"/>
    </row>
    <row r="753" spans="1:22" x14ac:dyDescent="0.2">
      <c r="A753" s="267" t="s">
        <v>92</v>
      </c>
      <c r="B753" s="267" t="s">
        <v>693</v>
      </c>
      <c r="C753" s="268">
        <v>42</v>
      </c>
      <c r="D753" s="268">
        <v>55</v>
      </c>
      <c r="E753" s="268">
        <v>97</v>
      </c>
      <c r="F753" s="268">
        <v>652608.97235666087</v>
      </c>
      <c r="G753" s="268">
        <v>1060578.65888141</v>
      </c>
      <c r="H753" s="268">
        <v>1713187.6312380701</v>
      </c>
      <c r="I753" s="267" t="s">
        <v>633</v>
      </c>
      <c r="J753" s="267" t="s">
        <v>121</v>
      </c>
      <c r="K753" s="267">
        <v>920371</v>
      </c>
      <c r="L753" s="267" t="s">
        <v>992</v>
      </c>
      <c r="M753"/>
      <c r="N753"/>
      <c r="O753"/>
      <c r="P753"/>
      <c r="Q753" s="151"/>
      <c r="R753"/>
      <c r="S753"/>
      <c r="T753"/>
      <c r="U753"/>
      <c r="V753"/>
    </row>
    <row r="754" spans="1:22" x14ac:dyDescent="0.2">
      <c r="A754" s="267" t="s">
        <v>226</v>
      </c>
      <c r="B754" s="267" t="s">
        <v>235</v>
      </c>
      <c r="C754" s="268">
        <v>358</v>
      </c>
      <c r="D754" s="268">
        <v>483</v>
      </c>
      <c r="E754" s="268">
        <v>841</v>
      </c>
      <c r="F754" s="268">
        <v>3432596.6789580998</v>
      </c>
      <c r="G754" s="268">
        <v>6186148.8180841301</v>
      </c>
      <c r="H754" s="268">
        <v>9618745.4970422294</v>
      </c>
      <c r="I754" s="267" t="s">
        <v>633</v>
      </c>
      <c r="J754" s="267" t="s">
        <v>121</v>
      </c>
      <c r="K754" s="267">
        <v>920439</v>
      </c>
      <c r="L754" s="267" t="s">
        <v>126</v>
      </c>
      <c r="M754"/>
      <c r="N754"/>
      <c r="O754"/>
      <c r="P754"/>
      <c r="Q754" s="151"/>
      <c r="R754"/>
      <c r="S754"/>
      <c r="T754"/>
      <c r="U754"/>
      <c r="V754"/>
    </row>
    <row r="755" spans="1:22" x14ac:dyDescent="0.2">
      <c r="A755" s="267" t="s">
        <v>145</v>
      </c>
      <c r="B755" s="267" t="s">
        <v>194</v>
      </c>
      <c r="C755" s="268">
        <v>257</v>
      </c>
      <c r="D755" s="268">
        <v>372</v>
      </c>
      <c r="E755" s="268">
        <v>629</v>
      </c>
      <c r="F755" s="268">
        <v>5390697.1947636604</v>
      </c>
      <c r="G755" s="268">
        <v>9496192.5505710896</v>
      </c>
      <c r="H755" s="268">
        <v>14886889.7453348</v>
      </c>
      <c r="I755" s="267" t="s">
        <v>633</v>
      </c>
      <c r="J755" s="267" t="s">
        <v>121</v>
      </c>
      <c r="K755" s="267">
        <v>923383</v>
      </c>
      <c r="L755" s="267" t="s">
        <v>423</v>
      </c>
      <c r="M755"/>
      <c r="N755"/>
      <c r="O755"/>
      <c r="P755"/>
      <c r="Q755" s="151"/>
      <c r="R755"/>
      <c r="S755"/>
      <c r="T755"/>
      <c r="U755"/>
      <c r="V755"/>
    </row>
    <row r="756" spans="1:22" x14ac:dyDescent="0.2">
      <c r="A756" s="267" t="s">
        <v>301</v>
      </c>
      <c r="B756" s="267" t="s">
        <v>934</v>
      </c>
      <c r="C756" s="268">
        <v>42</v>
      </c>
      <c r="D756" s="268">
        <v>21</v>
      </c>
      <c r="E756" s="268">
        <v>63</v>
      </c>
      <c r="F756" s="268">
        <v>2534441.3067455199</v>
      </c>
      <c r="G756" s="268">
        <v>1572924.1349921999</v>
      </c>
      <c r="H756" s="268">
        <v>4107365.4417377198</v>
      </c>
      <c r="I756" s="267" t="s">
        <v>753</v>
      </c>
      <c r="J756" s="267" t="s">
        <v>123</v>
      </c>
      <c r="K756" s="267">
        <v>925032</v>
      </c>
      <c r="L756" s="267" t="s">
        <v>905</v>
      </c>
      <c r="M756"/>
      <c r="N756"/>
      <c r="O756"/>
      <c r="P756"/>
      <c r="Q756" s="151"/>
      <c r="R756"/>
      <c r="S756"/>
      <c r="T756"/>
      <c r="U756"/>
      <c r="V756"/>
    </row>
    <row r="757" spans="1:22" x14ac:dyDescent="0.2">
      <c r="A757" s="267" t="s">
        <v>368</v>
      </c>
      <c r="B757" s="267" t="s">
        <v>204</v>
      </c>
      <c r="C757" s="268">
        <v>385</v>
      </c>
      <c r="D757" s="268">
        <v>689</v>
      </c>
      <c r="E757" s="268">
        <v>1074</v>
      </c>
      <c r="F757" s="268">
        <v>8841504.4760707188</v>
      </c>
      <c r="G757" s="268">
        <v>20505441.384898599</v>
      </c>
      <c r="H757" s="268">
        <v>29346945.860969301</v>
      </c>
      <c r="I757" s="267" t="s">
        <v>633</v>
      </c>
      <c r="J757" s="267" t="s">
        <v>121</v>
      </c>
      <c r="K757" s="267">
        <v>925099</v>
      </c>
      <c r="L757" s="267" t="s">
        <v>423</v>
      </c>
      <c r="M757"/>
      <c r="N757"/>
      <c r="O757"/>
      <c r="P757"/>
      <c r="Q757" s="151"/>
      <c r="R757"/>
      <c r="S757"/>
      <c r="T757"/>
      <c r="U757"/>
      <c r="V757"/>
    </row>
    <row r="758" spans="1:22" x14ac:dyDescent="0.2">
      <c r="A758" s="267" t="s">
        <v>626</v>
      </c>
      <c r="B758" s="267" t="s">
        <v>1039</v>
      </c>
      <c r="C758" s="268">
        <v>1495</v>
      </c>
      <c r="D758" s="268">
        <v>4039</v>
      </c>
      <c r="E758" s="268">
        <v>5534</v>
      </c>
      <c r="F758" s="268">
        <v>86130950.48890239</v>
      </c>
      <c r="G758" s="268">
        <v>246558856.85194802</v>
      </c>
      <c r="H758" s="268">
        <v>332689807.34085</v>
      </c>
      <c r="I758" s="267" t="s">
        <v>753</v>
      </c>
      <c r="J758" s="267" t="s">
        <v>122</v>
      </c>
      <c r="K758" s="267">
        <v>925628</v>
      </c>
      <c r="L758" s="267" t="s">
        <v>1040</v>
      </c>
      <c r="M758"/>
      <c r="N758"/>
      <c r="O758"/>
      <c r="P758"/>
      <c r="Q758" s="151"/>
      <c r="R758"/>
      <c r="S758"/>
      <c r="T758"/>
      <c r="U758"/>
      <c r="V758"/>
    </row>
    <row r="759" spans="1:22" x14ac:dyDescent="0.2">
      <c r="A759" s="267" t="s">
        <v>293</v>
      </c>
      <c r="B759" s="267" t="s">
        <v>1120</v>
      </c>
      <c r="C759" s="268">
        <v>801</v>
      </c>
      <c r="D759" s="268">
        <v>677</v>
      </c>
      <c r="E759" s="268">
        <v>1478</v>
      </c>
      <c r="F759" s="268">
        <v>37307701.694364503</v>
      </c>
      <c r="G759" s="268">
        <v>33436027.239948001</v>
      </c>
      <c r="H759" s="268">
        <v>70743728.934312493</v>
      </c>
      <c r="I759" s="267" t="s">
        <v>753</v>
      </c>
      <c r="J759" s="267" t="s">
        <v>123</v>
      </c>
      <c r="K759" s="267">
        <v>927632</v>
      </c>
      <c r="L759" s="267" t="s">
        <v>433</v>
      </c>
      <c r="M759"/>
      <c r="N759"/>
      <c r="O759"/>
      <c r="P759"/>
      <c r="Q759" s="151"/>
      <c r="R759"/>
      <c r="S759"/>
      <c r="T759"/>
      <c r="U759"/>
      <c r="V759"/>
    </row>
    <row r="760" spans="1:22" x14ac:dyDescent="0.2">
      <c r="A760" s="267" t="s">
        <v>270</v>
      </c>
      <c r="B760" s="267" t="s">
        <v>539</v>
      </c>
      <c r="C760" s="268">
        <v>68705</v>
      </c>
      <c r="D760" s="268">
        <v>63814</v>
      </c>
      <c r="E760" s="268">
        <v>132519</v>
      </c>
      <c r="F760" s="268">
        <v>1129570012.37412</v>
      </c>
      <c r="G760" s="268">
        <v>1354331822.5509799</v>
      </c>
      <c r="H760" s="268">
        <v>2483901834.9251099</v>
      </c>
      <c r="I760" s="267" t="s">
        <v>753</v>
      </c>
      <c r="J760" s="267" t="s">
        <v>121</v>
      </c>
      <c r="K760" s="267">
        <v>928341</v>
      </c>
      <c r="L760" s="267" t="s">
        <v>174</v>
      </c>
      <c r="M760"/>
      <c r="N760"/>
      <c r="O760"/>
      <c r="P760"/>
      <c r="Q760" s="151"/>
      <c r="R760"/>
      <c r="S760"/>
      <c r="T760"/>
      <c r="U760"/>
      <c r="V760"/>
    </row>
    <row r="761" spans="1:22" x14ac:dyDescent="0.2">
      <c r="A761" s="267" t="s">
        <v>671</v>
      </c>
      <c r="B761" s="267" t="s">
        <v>685</v>
      </c>
      <c r="C761" s="268">
        <v>2270</v>
      </c>
      <c r="D761" s="268">
        <v>2200</v>
      </c>
      <c r="E761" s="268">
        <v>4470</v>
      </c>
      <c r="F761" s="268">
        <v>57436198.658622898</v>
      </c>
      <c r="G761" s="268">
        <v>64250841.415335804</v>
      </c>
      <c r="H761" s="268">
        <v>121687040.07395899</v>
      </c>
      <c r="I761" s="267" t="s">
        <v>753</v>
      </c>
      <c r="J761" s="267" t="s">
        <v>121</v>
      </c>
      <c r="K761" s="267">
        <v>928937</v>
      </c>
      <c r="L761" s="267" t="s">
        <v>684</v>
      </c>
      <c r="M761"/>
      <c r="N761"/>
      <c r="O761"/>
      <c r="P761"/>
      <c r="Q761" s="151"/>
      <c r="R761"/>
      <c r="S761"/>
      <c r="T761"/>
      <c r="U761"/>
      <c r="V761"/>
    </row>
    <row r="762" spans="1:22" x14ac:dyDescent="0.2">
      <c r="A762" s="267" t="s">
        <v>615</v>
      </c>
      <c r="B762" s="267" t="s">
        <v>882</v>
      </c>
      <c r="C762" s="268">
        <v>145</v>
      </c>
      <c r="D762" s="268">
        <v>196</v>
      </c>
      <c r="E762" s="268">
        <v>341</v>
      </c>
      <c r="F762" s="268">
        <v>3758119.1469134199</v>
      </c>
      <c r="G762" s="268">
        <v>5552992.95700025</v>
      </c>
      <c r="H762" s="268">
        <v>9311112.1039136592</v>
      </c>
      <c r="I762" s="267" t="s">
        <v>633</v>
      </c>
      <c r="J762" s="267" t="s">
        <v>122</v>
      </c>
      <c r="K762" s="267">
        <v>930768</v>
      </c>
      <c r="L762" s="267" t="s">
        <v>358</v>
      </c>
      <c r="M762"/>
      <c r="N762"/>
      <c r="O762"/>
      <c r="P762"/>
      <c r="Q762" s="151"/>
      <c r="R762"/>
      <c r="S762"/>
      <c r="T762"/>
      <c r="U762"/>
      <c r="V762"/>
    </row>
    <row r="763" spans="1:22" x14ac:dyDescent="0.2">
      <c r="A763" s="267" t="s">
        <v>301</v>
      </c>
      <c r="B763" s="267" t="s">
        <v>1049</v>
      </c>
      <c r="C763" s="268">
        <v>155</v>
      </c>
      <c r="D763" s="268">
        <v>214</v>
      </c>
      <c r="E763" s="268">
        <v>369</v>
      </c>
      <c r="F763" s="268">
        <v>3565211.2162211998</v>
      </c>
      <c r="G763" s="268">
        <v>5211167.8056984004</v>
      </c>
      <c r="H763" s="268">
        <v>8776379.0219196007</v>
      </c>
      <c r="I763" s="267" t="s">
        <v>633</v>
      </c>
      <c r="J763" s="267" t="s">
        <v>123</v>
      </c>
      <c r="K763" s="267">
        <v>934893</v>
      </c>
      <c r="L763" s="267" t="s">
        <v>764</v>
      </c>
      <c r="M763"/>
      <c r="N763"/>
      <c r="O763"/>
      <c r="P763"/>
      <c r="Q763" s="151"/>
      <c r="R763"/>
      <c r="S763"/>
      <c r="T763"/>
      <c r="U763"/>
      <c r="V763"/>
    </row>
    <row r="764" spans="1:22" x14ac:dyDescent="0.2">
      <c r="A764" s="267" t="s">
        <v>145</v>
      </c>
      <c r="B764" s="267" t="s">
        <v>924</v>
      </c>
      <c r="C764" s="268">
        <v>151</v>
      </c>
      <c r="D764" s="268">
        <v>111</v>
      </c>
      <c r="E764" s="268">
        <v>262</v>
      </c>
      <c r="F764" s="268">
        <v>3859414.6486631399</v>
      </c>
      <c r="G764" s="268">
        <v>3077231.89188996</v>
      </c>
      <c r="H764" s="268">
        <v>6936646.5405531004</v>
      </c>
      <c r="I764" s="267" t="s">
        <v>753</v>
      </c>
      <c r="J764" s="267" t="s">
        <v>121</v>
      </c>
      <c r="K764" s="267">
        <v>936781</v>
      </c>
      <c r="L764" s="267" t="s">
        <v>763</v>
      </c>
      <c r="M764"/>
      <c r="N764"/>
      <c r="O764"/>
      <c r="P764"/>
      <c r="Q764" s="151"/>
      <c r="R764"/>
      <c r="S764"/>
      <c r="T764"/>
      <c r="U764"/>
      <c r="V764"/>
    </row>
    <row r="765" spans="1:22" x14ac:dyDescent="0.2">
      <c r="A765" s="267" t="s">
        <v>730</v>
      </c>
      <c r="B765" s="267" t="s">
        <v>804</v>
      </c>
      <c r="C765" s="268">
        <v>3748</v>
      </c>
      <c r="D765" s="268">
        <v>3707</v>
      </c>
      <c r="E765" s="268">
        <v>7455</v>
      </c>
      <c r="F765" s="268">
        <v>121602605.055756</v>
      </c>
      <c r="G765" s="268">
        <v>144438913.970162</v>
      </c>
      <c r="H765" s="268">
        <v>266041519.02591801</v>
      </c>
      <c r="I765" s="267" t="s">
        <v>753</v>
      </c>
      <c r="J765" s="267" t="s">
        <v>121</v>
      </c>
      <c r="K765" s="267">
        <v>937433</v>
      </c>
      <c r="L765" s="267" t="s">
        <v>433</v>
      </c>
      <c r="M765"/>
      <c r="N765"/>
      <c r="O765"/>
      <c r="P765"/>
      <c r="Q765" s="151"/>
      <c r="R765"/>
      <c r="S765"/>
      <c r="T765"/>
      <c r="U765"/>
      <c r="V765"/>
    </row>
    <row r="766" spans="1:22" x14ac:dyDescent="0.2">
      <c r="A766" s="267" t="s">
        <v>279</v>
      </c>
      <c r="B766" s="267" t="s">
        <v>222</v>
      </c>
      <c r="C766" s="268">
        <v>1485</v>
      </c>
      <c r="D766" s="268">
        <v>2118</v>
      </c>
      <c r="E766" s="268">
        <v>3603</v>
      </c>
      <c r="F766" s="268">
        <v>23395174.159896098</v>
      </c>
      <c r="G766" s="268">
        <v>41676369.947805002</v>
      </c>
      <c r="H766" s="268">
        <v>65071544.107701205</v>
      </c>
      <c r="I766" s="267" t="s">
        <v>633</v>
      </c>
      <c r="J766" s="267" t="s">
        <v>121</v>
      </c>
      <c r="K766" s="267">
        <v>938498</v>
      </c>
      <c r="L766" s="267" t="s">
        <v>782</v>
      </c>
      <c r="M766"/>
      <c r="N766"/>
      <c r="O766"/>
      <c r="P766"/>
      <c r="Q766" s="151"/>
      <c r="R766"/>
      <c r="S766"/>
      <c r="T766"/>
      <c r="U766"/>
      <c r="V766"/>
    </row>
    <row r="767" spans="1:22" x14ac:dyDescent="0.2">
      <c r="A767" s="267" t="s">
        <v>261</v>
      </c>
      <c r="B767" s="267" t="s">
        <v>857</v>
      </c>
      <c r="C767" s="268">
        <v>0</v>
      </c>
      <c r="D767" s="268">
        <v>2</v>
      </c>
      <c r="E767" s="268">
        <v>2</v>
      </c>
      <c r="F767" s="268">
        <v>0</v>
      </c>
      <c r="G767" s="268">
        <v>61219.309713586001</v>
      </c>
      <c r="H767" s="268">
        <v>61219.309713586001</v>
      </c>
      <c r="I767" s="267" t="s">
        <v>753</v>
      </c>
      <c r="J767" s="267" t="s">
        <v>121</v>
      </c>
      <c r="K767" s="267">
        <v>939264</v>
      </c>
      <c r="L767" s="267" t="s">
        <v>836</v>
      </c>
      <c r="M767"/>
      <c r="N767"/>
      <c r="O767"/>
      <c r="P767"/>
      <c r="Q767" s="151"/>
      <c r="R767"/>
      <c r="S767"/>
      <c r="T767"/>
      <c r="U767"/>
      <c r="V767"/>
    </row>
    <row r="768" spans="1:22" x14ac:dyDescent="0.2">
      <c r="A768" s="267" t="s">
        <v>671</v>
      </c>
      <c r="B768" s="267" t="s">
        <v>540</v>
      </c>
      <c r="C768" s="268">
        <v>7189</v>
      </c>
      <c r="D768" s="268">
        <v>8475</v>
      </c>
      <c r="E768" s="268">
        <v>15664</v>
      </c>
      <c r="F768" s="268">
        <v>158149846.78049102</v>
      </c>
      <c r="G768" s="268">
        <v>236180285.18794799</v>
      </c>
      <c r="H768" s="268">
        <v>394330131.96843898</v>
      </c>
      <c r="I768" s="267" t="s">
        <v>753</v>
      </c>
      <c r="J768" s="267" t="s">
        <v>121</v>
      </c>
      <c r="K768" s="267">
        <v>939850</v>
      </c>
      <c r="L768" s="267" t="s">
        <v>174</v>
      </c>
      <c r="M768"/>
      <c r="N768"/>
      <c r="O768"/>
      <c r="P768"/>
      <c r="Q768" s="151"/>
      <c r="R768"/>
      <c r="S768"/>
      <c r="T768"/>
      <c r="U768"/>
      <c r="V768"/>
    </row>
    <row r="769" spans="1:22" x14ac:dyDescent="0.2">
      <c r="A769" s="267" t="s">
        <v>145</v>
      </c>
      <c r="B769" s="267" t="s">
        <v>154</v>
      </c>
      <c r="C769" s="268">
        <v>43828</v>
      </c>
      <c r="D769" s="268">
        <v>42622</v>
      </c>
      <c r="E769" s="268">
        <v>86450</v>
      </c>
      <c r="F769" s="268">
        <v>1022163569.82304</v>
      </c>
      <c r="G769" s="268">
        <v>1240684043.4175999</v>
      </c>
      <c r="H769" s="268">
        <v>2262847613.2406402</v>
      </c>
      <c r="I769" s="267" t="s">
        <v>753</v>
      </c>
      <c r="J769" s="267" t="s">
        <v>121</v>
      </c>
      <c r="K769" s="267">
        <v>941096</v>
      </c>
      <c r="L769" s="267" t="s">
        <v>174</v>
      </c>
      <c r="M769"/>
      <c r="N769"/>
      <c r="O769"/>
      <c r="P769"/>
      <c r="Q769" s="151"/>
      <c r="R769"/>
      <c r="S769"/>
      <c r="T769"/>
      <c r="U769"/>
      <c r="V769"/>
    </row>
    <row r="770" spans="1:22" x14ac:dyDescent="0.2">
      <c r="A770" s="267" t="s">
        <v>279</v>
      </c>
      <c r="B770" s="267" t="s">
        <v>456</v>
      </c>
      <c r="C770" s="268">
        <v>98</v>
      </c>
      <c r="D770" s="268">
        <v>251</v>
      </c>
      <c r="E770" s="268">
        <v>349</v>
      </c>
      <c r="F770" s="268">
        <v>1343969.1561894901</v>
      </c>
      <c r="G770" s="268">
        <v>4363302.3906448502</v>
      </c>
      <c r="H770" s="268">
        <v>5707271.5468343301</v>
      </c>
      <c r="I770" s="267" t="s">
        <v>633</v>
      </c>
      <c r="J770" s="267" t="s">
        <v>121</v>
      </c>
      <c r="K770" s="267">
        <v>942094</v>
      </c>
      <c r="L770" s="267" t="s">
        <v>263</v>
      </c>
      <c r="M770"/>
      <c r="N770"/>
      <c r="O770"/>
      <c r="P770"/>
      <c r="Q770" s="151"/>
      <c r="R770"/>
      <c r="S770"/>
      <c r="T770"/>
      <c r="U770"/>
      <c r="V770"/>
    </row>
    <row r="771" spans="1:22" x14ac:dyDescent="0.2">
      <c r="A771" s="267" t="s">
        <v>44</v>
      </c>
      <c r="B771" s="267" t="s">
        <v>1087</v>
      </c>
      <c r="C771" s="268">
        <v>8</v>
      </c>
      <c r="D771" s="268">
        <v>18</v>
      </c>
      <c r="E771" s="268">
        <v>26</v>
      </c>
      <c r="F771" s="268">
        <v>167526.27918280501</v>
      </c>
      <c r="G771" s="268">
        <v>394481.20322121499</v>
      </c>
      <c r="H771" s="268">
        <v>562007.48240401992</v>
      </c>
      <c r="I771" s="267" t="s">
        <v>633</v>
      </c>
      <c r="J771" s="267" t="s">
        <v>121</v>
      </c>
      <c r="K771" s="267">
        <v>942623</v>
      </c>
      <c r="L771" s="267" t="s">
        <v>1067</v>
      </c>
      <c r="M771"/>
      <c r="N771"/>
      <c r="O771"/>
      <c r="P771"/>
      <c r="Q771" s="151"/>
      <c r="R771"/>
      <c r="S771"/>
      <c r="T771"/>
      <c r="U771"/>
      <c r="V771"/>
    </row>
    <row r="772" spans="1:22" x14ac:dyDescent="0.2">
      <c r="A772" s="267" t="s">
        <v>226</v>
      </c>
      <c r="B772" s="267" t="s">
        <v>364</v>
      </c>
      <c r="C772" s="268">
        <v>265</v>
      </c>
      <c r="D772" s="268">
        <v>443</v>
      </c>
      <c r="E772" s="268">
        <v>708</v>
      </c>
      <c r="F772" s="268">
        <v>4356828.5974902604</v>
      </c>
      <c r="G772" s="268">
        <v>9184106.9367903993</v>
      </c>
      <c r="H772" s="268">
        <v>13540935.534280699</v>
      </c>
      <c r="I772" s="267" t="s">
        <v>633</v>
      </c>
      <c r="J772" s="267" t="s">
        <v>121</v>
      </c>
      <c r="K772" s="267">
        <v>944637</v>
      </c>
      <c r="L772" s="267" t="s">
        <v>88</v>
      </c>
      <c r="M772"/>
      <c r="N772"/>
      <c r="O772"/>
      <c r="P772"/>
      <c r="Q772" s="151"/>
      <c r="R772"/>
      <c r="S772"/>
      <c r="T772"/>
      <c r="U772"/>
      <c r="V772"/>
    </row>
    <row r="773" spans="1:22" x14ac:dyDescent="0.2">
      <c r="A773" s="267" t="s">
        <v>626</v>
      </c>
      <c r="B773" s="267" t="s">
        <v>771</v>
      </c>
      <c r="C773" s="268">
        <v>64</v>
      </c>
      <c r="D773" s="268">
        <v>72</v>
      </c>
      <c r="E773" s="268">
        <v>136</v>
      </c>
      <c r="F773" s="268">
        <v>1186541.2862094899</v>
      </c>
      <c r="G773" s="268">
        <v>1773193.4606590499</v>
      </c>
      <c r="H773" s="268">
        <v>2959734.7468685401</v>
      </c>
      <c r="I773" s="267" t="s">
        <v>633</v>
      </c>
      <c r="J773" s="267" t="s">
        <v>122</v>
      </c>
      <c r="K773" s="267">
        <v>945162</v>
      </c>
      <c r="L773" s="267" t="s">
        <v>767</v>
      </c>
      <c r="M773"/>
      <c r="N773"/>
      <c r="O773"/>
      <c r="P773"/>
      <c r="Q773" s="151"/>
      <c r="R773"/>
      <c r="S773"/>
      <c r="T773"/>
      <c r="U773"/>
      <c r="V773"/>
    </row>
    <row r="774" spans="1:22" x14ac:dyDescent="0.2">
      <c r="A774" s="267" t="s">
        <v>301</v>
      </c>
      <c r="B774" s="267" t="s">
        <v>985</v>
      </c>
      <c r="C774" s="268">
        <v>3171</v>
      </c>
      <c r="D774" s="268">
        <v>5964</v>
      </c>
      <c r="E774" s="268">
        <v>9135</v>
      </c>
      <c r="F774" s="268">
        <v>309397294.046987</v>
      </c>
      <c r="G774" s="268">
        <v>704906969.660236</v>
      </c>
      <c r="H774" s="268">
        <v>1014304263.70722</v>
      </c>
      <c r="I774" s="267" t="s">
        <v>633</v>
      </c>
      <c r="J774" s="267" t="s">
        <v>123</v>
      </c>
      <c r="K774" s="267">
        <v>946285</v>
      </c>
      <c r="L774" s="267" t="s">
        <v>983</v>
      </c>
      <c r="M774"/>
      <c r="N774"/>
      <c r="O774"/>
      <c r="P774"/>
      <c r="Q774" s="151"/>
      <c r="R774"/>
      <c r="S774"/>
      <c r="T774"/>
      <c r="U774"/>
      <c r="V774"/>
    </row>
    <row r="775" spans="1:22" x14ac:dyDescent="0.2">
      <c r="A775" s="267" t="s">
        <v>301</v>
      </c>
      <c r="B775" s="267" t="s">
        <v>908</v>
      </c>
      <c r="C775" s="268">
        <v>2427</v>
      </c>
      <c r="D775" s="268">
        <v>4439</v>
      </c>
      <c r="E775" s="268">
        <v>6866</v>
      </c>
      <c r="F775" s="268">
        <v>139954506.476284</v>
      </c>
      <c r="G775" s="268">
        <v>334026648.45546502</v>
      </c>
      <c r="H775" s="268">
        <v>473981154.93175</v>
      </c>
      <c r="I775" s="267" t="s">
        <v>633</v>
      </c>
      <c r="J775" s="267" t="s">
        <v>123</v>
      </c>
      <c r="K775" s="267">
        <v>948117</v>
      </c>
      <c r="L775" s="267" t="s">
        <v>397</v>
      </c>
      <c r="M775"/>
      <c r="N775"/>
      <c r="O775"/>
      <c r="P775"/>
      <c r="Q775" s="151"/>
      <c r="R775"/>
      <c r="S775"/>
      <c r="T775"/>
      <c r="U775"/>
      <c r="V775"/>
    </row>
    <row r="776" spans="1:22" x14ac:dyDescent="0.2">
      <c r="A776" s="267" t="s">
        <v>208</v>
      </c>
      <c r="B776" s="267" t="s">
        <v>1132</v>
      </c>
      <c r="C776" s="268">
        <v>8</v>
      </c>
      <c r="D776" s="268">
        <v>12</v>
      </c>
      <c r="E776" s="268">
        <v>20</v>
      </c>
      <c r="F776" s="268">
        <v>113774.57583662901</v>
      </c>
      <c r="G776" s="268">
        <v>338727.95372789603</v>
      </c>
      <c r="H776" s="268">
        <v>452502.529564525</v>
      </c>
      <c r="I776" s="267" t="s">
        <v>633</v>
      </c>
      <c r="J776" s="267" t="s">
        <v>121</v>
      </c>
      <c r="K776" s="267">
        <v>949941</v>
      </c>
      <c r="L776" s="267" t="s">
        <v>466</v>
      </c>
      <c r="M776"/>
      <c r="N776"/>
      <c r="O776"/>
      <c r="P776"/>
      <c r="Q776" s="151"/>
      <c r="R776"/>
      <c r="S776"/>
      <c r="T776"/>
      <c r="U776"/>
      <c r="V776"/>
    </row>
    <row r="777" spans="1:22" x14ac:dyDescent="0.2">
      <c r="A777" s="267" t="s">
        <v>161</v>
      </c>
      <c r="B777" s="267" t="s">
        <v>967</v>
      </c>
      <c r="C777" s="268">
        <v>7310</v>
      </c>
      <c r="D777" s="268">
        <v>8669</v>
      </c>
      <c r="E777" s="268">
        <v>15979</v>
      </c>
      <c r="F777" s="268">
        <v>134055362.080907</v>
      </c>
      <c r="G777" s="268">
        <v>216540157.64205801</v>
      </c>
      <c r="H777" s="268">
        <v>350595519.72296399</v>
      </c>
      <c r="I777" s="267" t="s">
        <v>753</v>
      </c>
      <c r="J777" s="267" t="s">
        <v>121</v>
      </c>
      <c r="K777" s="267">
        <v>950774</v>
      </c>
      <c r="L777" s="267" t="s">
        <v>790</v>
      </c>
      <c r="M777"/>
      <c r="N777"/>
      <c r="O777"/>
      <c r="P777"/>
      <c r="Q777" s="151"/>
      <c r="R777"/>
      <c r="S777"/>
      <c r="T777"/>
      <c r="U777"/>
      <c r="V777"/>
    </row>
    <row r="778" spans="1:22" x14ac:dyDescent="0.2">
      <c r="A778" s="267" t="s">
        <v>92</v>
      </c>
      <c r="B778" s="267" t="s">
        <v>190</v>
      </c>
      <c r="C778" s="268">
        <v>48</v>
      </c>
      <c r="D778" s="268">
        <v>63</v>
      </c>
      <c r="E778" s="268">
        <v>111</v>
      </c>
      <c r="F778" s="268">
        <v>826414.71454106993</v>
      </c>
      <c r="G778" s="268">
        <v>1351784.99371567</v>
      </c>
      <c r="H778" s="268">
        <v>2178199.7082567401</v>
      </c>
      <c r="I778" s="267" t="s">
        <v>633</v>
      </c>
      <c r="J778" s="267" t="s">
        <v>121</v>
      </c>
      <c r="K778" s="267">
        <v>951954</v>
      </c>
      <c r="L778" s="267" t="s">
        <v>760</v>
      </c>
      <c r="M778"/>
      <c r="N778"/>
      <c r="O778"/>
      <c r="P778"/>
      <c r="Q778" s="151"/>
      <c r="R778"/>
      <c r="S778"/>
      <c r="T778"/>
      <c r="U778"/>
      <c r="V778"/>
    </row>
    <row r="779" spans="1:22" x14ac:dyDescent="0.2">
      <c r="A779" s="267" t="s">
        <v>724</v>
      </c>
      <c r="B779" s="267" t="s">
        <v>694</v>
      </c>
      <c r="C779" s="268">
        <v>20272</v>
      </c>
      <c r="D779" s="268">
        <v>23757</v>
      </c>
      <c r="E779" s="268">
        <v>44029</v>
      </c>
      <c r="F779" s="268">
        <v>595026320.69481492</v>
      </c>
      <c r="G779" s="268">
        <v>856077475.30349803</v>
      </c>
      <c r="H779" s="268">
        <v>1451103795.9983101</v>
      </c>
      <c r="I779" s="267" t="s">
        <v>753</v>
      </c>
      <c r="J779" s="267" t="s">
        <v>121</v>
      </c>
      <c r="K779" s="267">
        <v>952010</v>
      </c>
      <c r="L779" s="267" t="s">
        <v>677</v>
      </c>
      <c r="M779"/>
      <c r="N779"/>
      <c r="O779"/>
      <c r="P779"/>
      <c r="Q779" s="151"/>
      <c r="R779"/>
      <c r="S779"/>
      <c r="T779"/>
      <c r="U779"/>
      <c r="V779"/>
    </row>
    <row r="780" spans="1:22" x14ac:dyDescent="0.2">
      <c r="A780" s="267" t="s">
        <v>44</v>
      </c>
      <c r="B780" s="267" t="s">
        <v>339</v>
      </c>
      <c r="C780" s="268">
        <v>373</v>
      </c>
      <c r="D780" s="268">
        <v>385</v>
      </c>
      <c r="E780" s="268">
        <v>758</v>
      </c>
      <c r="F780" s="268">
        <v>3905328.81994448</v>
      </c>
      <c r="G780" s="268">
        <v>5066792.2251177002</v>
      </c>
      <c r="H780" s="268">
        <v>8972121.0450621899</v>
      </c>
      <c r="I780" s="267" t="s">
        <v>633</v>
      </c>
      <c r="J780" s="267" t="s">
        <v>121</v>
      </c>
      <c r="K780" s="267">
        <v>954198</v>
      </c>
      <c r="L780" s="267" t="s">
        <v>812</v>
      </c>
      <c r="M780"/>
      <c r="N780"/>
      <c r="O780"/>
      <c r="P780"/>
      <c r="Q780" s="151"/>
      <c r="R780"/>
      <c r="S780"/>
      <c r="T780"/>
      <c r="U780"/>
      <c r="V780"/>
    </row>
    <row r="781" spans="1:22" x14ac:dyDescent="0.2">
      <c r="A781" s="267" t="s">
        <v>615</v>
      </c>
      <c r="B781" s="267" t="s">
        <v>313</v>
      </c>
      <c r="C781" s="268">
        <v>672</v>
      </c>
      <c r="D781" s="268">
        <v>866</v>
      </c>
      <c r="E781" s="268">
        <v>1538</v>
      </c>
      <c r="F781" s="268">
        <v>16969437.2026839</v>
      </c>
      <c r="G781" s="268">
        <v>29049853.979537699</v>
      </c>
      <c r="H781" s="268">
        <v>46019291.182221599</v>
      </c>
      <c r="I781" s="267" t="s">
        <v>633</v>
      </c>
      <c r="J781" s="267" t="s">
        <v>122</v>
      </c>
      <c r="K781" s="267">
        <v>955435</v>
      </c>
      <c r="L781" s="267" t="s">
        <v>303</v>
      </c>
      <c r="M781"/>
      <c r="N781"/>
      <c r="O781"/>
      <c r="P781"/>
      <c r="Q781" s="151"/>
      <c r="R781"/>
      <c r="S781"/>
      <c r="T781"/>
      <c r="U781"/>
      <c r="V781"/>
    </row>
    <row r="782" spans="1:22" x14ac:dyDescent="0.2">
      <c r="A782" s="267" t="s">
        <v>369</v>
      </c>
      <c r="B782" s="267" t="s">
        <v>167</v>
      </c>
      <c r="C782" s="268">
        <v>2493</v>
      </c>
      <c r="D782" s="268">
        <v>4375</v>
      </c>
      <c r="E782" s="268">
        <v>6868</v>
      </c>
      <c r="F782" s="268">
        <v>58703017.555744894</v>
      </c>
      <c r="G782" s="268">
        <v>127296266.940658</v>
      </c>
      <c r="H782" s="268">
        <v>185999284.49640301</v>
      </c>
      <c r="I782" s="267" t="s">
        <v>633</v>
      </c>
      <c r="J782" s="267" t="s">
        <v>121</v>
      </c>
      <c r="K782" s="267">
        <v>956268</v>
      </c>
      <c r="L782" s="267" t="s">
        <v>126</v>
      </c>
      <c r="M782"/>
      <c r="N782"/>
      <c r="O782"/>
      <c r="P782"/>
      <c r="Q782" s="151"/>
      <c r="R782"/>
      <c r="S782"/>
      <c r="T782"/>
      <c r="U782"/>
      <c r="V782"/>
    </row>
    <row r="783" spans="1:22" x14ac:dyDescent="0.2">
      <c r="A783" s="267" t="s">
        <v>145</v>
      </c>
      <c r="B783" s="267" t="s">
        <v>1044</v>
      </c>
      <c r="C783" s="268">
        <v>19788</v>
      </c>
      <c r="D783" s="268">
        <v>18678</v>
      </c>
      <c r="E783" s="268">
        <v>38466</v>
      </c>
      <c r="F783" s="268">
        <v>1319178452.03597</v>
      </c>
      <c r="G783" s="268">
        <v>1564294055.5491898</v>
      </c>
      <c r="H783" s="268">
        <v>2883472507.5851598</v>
      </c>
      <c r="I783" s="267" t="s">
        <v>633</v>
      </c>
      <c r="J783" s="267" t="s">
        <v>121</v>
      </c>
      <c r="K783" s="267">
        <v>961458</v>
      </c>
      <c r="L783" s="267" t="s">
        <v>1043</v>
      </c>
      <c r="M783"/>
      <c r="N783"/>
      <c r="O783"/>
      <c r="P783"/>
      <c r="Q783" s="151"/>
      <c r="R783"/>
      <c r="S783"/>
      <c r="T783"/>
      <c r="U783"/>
      <c r="V783"/>
    </row>
    <row r="784" spans="1:22" x14ac:dyDescent="0.2">
      <c r="A784" s="267" t="s">
        <v>293</v>
      </c>
      <c r="B784" s="267" t="s">
        <v>1116</v>
      </c>
      <c r="C784" s="268">
        <v>342</v>
      </c>
      <c r="D784" s="268">
        <v>408</v>
      </c>
      <c r="E784" s="268">
        <v>750</v>
      </c>
      <c r="F784" s="268">
        <v>12295456.7066637</v>
      </c>
      <c r="G784" s="268">
        <v>16593810.947098</v>
      </c>
      <c r="H784" s="268">
        <v>28889267.6537617</v>
      </c>
      <c r="I784" s="267" t="s">
        <v>753</v>
      </c>
      <c r="J784" s="267" t="s">
        <v>123</v>
      </c>
      <c r="K784" s="267">
        <v>963462</v>
      </c>
      <c r="L784" s="267" t="s">
        <v>433</v>
      </c>
      <c r="M784"/>
      <c r="N784"/>
      <c r="O784"/>
      <c r="P784"/>
      <c r="Q784" s="151"/>
      <c r="R784"/>
      <c r="S784"/>
      <c r="T784"/>
      <c r="U784"/>
      <c r="V784"/>
    </row>
    <row r="785" spans="1:22" x14ac:dyDescent="0.2">
      <c r="A785" s="267" t="s">
        <v>44</v>
      </c>
      <c r="B785" s="267" t="s">
        <v>541</v>
      </c>
      <c r="C785" s="268">
        <v>32804</v>
      </c>
      <c r="D785" s="268">
        <v>28882</v>
      </c>
      <c r="E785" s="268">
        <v>61686</v>
      </c>
      <c r="F785" s="268">
        <v>529815838.73708397</v>
      </c>
      <c r="G785" s="268">
        <v>570856421.47970295</v>
      </c>
      <c r="H785" s="268">
        <v>1100672260.21679</v>
      </c>
      <c r="I785" s="267" t="s">
        <v>753</v>
      </c>
      <c r="J785" s="267" t="s">
        <v>121</v>
      </c>
      <c r="K785" s="267">
        <v>964171</v>
      </c>
      <c r="L785" s="267" t="s">
        <v>174</v>
      </c>
      <c r="M785"/>
      <c r="N785"/>
      <c r="O785"/>
      <c r="P785"/>
      <c r="Q785" s="151"/>
      <c r="R785"/>
      <c r="S785"/>
      <c r="T785"/>
      <c r="U785"/>
      <c r="V785"/>
    </row>
    <row r="786" spans="1:22" x14ac:dyDescent="0.2">
      <c r="A786" s="267" t="s">
        <v>145</v>
      </c>
      <c r="B786" s="267" t="s">
        <v>148</v>
      </c>
      <c r="C786" s="268">
        <v>2185</v>
      </c>
      <c r="D786" s="268">
        <v>2074</v>
      </c>
      <c r="E786" s="268">
        <v>4259</v>
      </c>
      <c r="F786" s="268">
        <v>43015197.433949001</v>
      </c>
      <c r="G786" s="268">
        <v>47843669.142609902</v>
      </c>
      <c r="H786" s="268">
        <v>90858866.576558888</v>
      </c>
      <c r="I786" s="267" t="s">
        <v>753</v>
      </c>
      <c r="J786" s="267" t="s">
        <v>121</v>
      </c>
      <c r="K786" s="267">
        <v>964767</v>
      </c>
      <c r="L786" s="267" t="s">
        <v>684</v>
      </c>
      <c r="M786"/>
      <c r="N786"/>
      <c r="O786"/>
      <c r="P786"/>
      <c r="Q786" s="151"/>
      <c r="R786"/>
      <c r="S786"/>
      <c r="T786"/>
      <c r="U786"/>
      <c r="V786"/>
    </row>
    <row r="787" spans="1:22" x14ac:dyDescent="0.2">
      <c r="A787" s="267" t="s">
        <v>615</v>
      </c>
      <c r="B787" s="267" t="s">
        <v>29</v>
      </c>
      <c r="C787" s="268">
        <v>140</v>
      </c>
      <c r="D787" s="268">
        <v>127</v>
      </c>
      <c r="E787" s="268">
        <v>267</v>
      </c>
      <c r="F787" s="268">
        <v>1996649.56209787</v>
      </c>
      <c r="G787" s="268">
        <v>2377781.2523898599</v>
      </c>
      <c r="H787" s="268">
        <v>4374430.8144877302</v>
      </c>
      <c r="I787" s="267" t="s">
        <v>633</v>
      </c>
      <c r="J787" s="267" t="s">
        <v>122</v>
      </c>
      <c r="K787" s="267">
        <v>966598</v>
      </c>
      <c r="L787" s="267" t="s">
        <v>358</v>
      </c>
      <c r="M787"/>
      <c r="N787"/>
      <c r="O787"/>
      <c r="P787"/>
      <c r="Q787" s="151"/>
      <c r="R787"/>
      <c r="S787"/>
      <c r="T787"/>
      <c r="U787"/>
      <c r="V787"/>
    </row>
    <row r="788" spans="1:22" x14ac:dyDescent="0.2">
      <c r="A788" s="267" t="s">
        <v>279</v>
      </c>
      <c r="B788" s="267" t="s">
        <v>542</v>
      </c>
      <c r="C788" s="268">
        <v>10797</v>
      </c>
      <c r="D788" s="268">
        <v>10969</v>
      </c>
      <c r="E788" s="268">
        <v>21766</v>
      </c>
      <c r="F788" s="268">
        <v>272265479.25180602</v>
      </c>
      <c r="G788" s="268">
        <v>341408185.39123499</v>
      </c>
      <c r="H788" s="268">
        <v>613673664.6430409</v>
      </c>
      <c r="I788" s="267" t="s">
        <v>753</v>
      </c>
      <c r="J788" s="267" t="s">
        <v>121</v>
      </c>
      <c r="K788" s="267">
        <v>968420</v>
      </c>
      <c r="L788" s="267" t="s">
        <v>174</v>
      </c>
      <c r="M788"/>
      <c r="N788"/>
      <c r="O788"/>
      <c r="P788"/>
      <c r="Q788" s="151"/>
      <c r="R788"/>
      <c r="S788"/>
      <c r="T788"/>
      <c r="U788"/>
      <c r="V788"/>
    </row>
    <row r="789" spans="1:22" x14ac:dyDescent="0.2">
      <c r="A789" s="267" t="s">
        <v>279</v>
      </c>
      <c r="B789" s="267" t="s">
        <v>201</v>
      </c>
      <c r="C789" s="268">
        <v>47</v>
      </c>
      <c r="D789" s="268">
        <v>82</v>
      </c>
      <c r="E789" s="268">
        <v>129</v>
      </c>
      <c r="F789" s="268">
        <v>867626.85326302901</v>
      </c>
      <c r="G789" s="268">
        <v>1960408.81589004</v>
      </c>
      <c r="H789" s="268">
        <v>2828035.6691530701</v>
      </c>
      <c r="I789" s="267" t="s">
        <v>633</v>
      </c>
      <c r="J789" s="267" t="s">
        <v>121</v>
      </c>
      <c r="K789" s="267">
        <v>968891</v>
      </c>
      <c r="L789" s="267" t="s">
        <v>423</v>
      </c>
      <c r="M789" s="18"/>
      <c r="N789" s="18"/>
      <c r="O789" s="18"/>
    </row>
    <row r="790" spans="1:22" x14ac:dyDescent="0.2">
      <c r="A790" s="267" t="s">
        <v>491</v>
      </c>
      <c r="B790" s="267" t="s">
        <v>590</v>
      </c>
      <c r="C790" s="268">
        <v>4596</v>
      </c>
      <c r="D790" s="268">
        <v>5800</v>
      </c>
      <c r="E790" s="268">
        <v>10396</v>
      </c>
      <c r="F790" s="268">
        <v>168654271.798132</v>
      </c>
      <c r="G790" s="268">
        <v>263191399.01033601</v>
      </c>
      <c r="H790" s="268">
        <v>431845670.808469</v>
      </c>
      <c r="I790" s="267" t="s">
        <v>753</v>
      </c>
      <c r="J790" s="267" t="s">
        <v>122</v>
      </c>
      <c r="K790" s="267">
        <v>972497</v>
      </c>
      <c r="L790" s="267" t="s">
        <v>619</v>
      </c>
      <c r="M790" s="18"/>
      <c r="N790" s="18"/>
      <c r="O790" s="18"/>
    </row>
    <row r="791" spans="1:22" x14ac:dyDescent="0.2">
      <c r="A791" s="267" t="s">
        <v>348</v>
      </c>
      <c r="B791" s="267" t="s">
        <v>472</v>
      </c>
      <c r="C791" s="268">
        <v>8135</v>
      </c>
      <c r="D791" s="268">
        <v>7127</v>
      </c>
      <c r="E791" s="268">
        <v>15262</v>
      </c>
      <c r="F791" s="268">
        <v>315189564.25349402</v>
      </c>
      <c r="G791" s="268">
        <v>325789592.15903902</v>
      </c>
      <c r="H791" s="268">
        <v>640979156.41253304</v>
      </c>
      <c r="I791" s="267" t="s">
        <v>753</v>
      </c>
      <c r="J791" s="267" t="s">
        <v>125</v>
      </c>
      <c r="K791" s="267">
        <v>972679</v>
      </c>
      <c r="L791" s="267" t="s">
        <v>790</v>
      </c>
      <c r="M791" s="18"/>
      <c r="N791" s="18"/>
      <c r="O791" s="18"/>
    </row>
    <row r="792" spans="1:22" x14ac:dyDescent="0.2">
      <c r="A792" s="267" t="s">
        <v>671</v>
      </c>
      <c r="B792" s="267" t="s">
        <v>802</v>
      </c>
      <c r="C792" s="268">
        <v>2087</v>
      </c>
      <c r="D792" s="268">
        <v>2305</v>
      </c>
      <c r="E792" s="268">
        <v>4392</v>
      </c>
      <c r="F792" s="268">
        <v>57605908.032984599</v>
      </c>
      <c r="G792" s="268">
        <v>78446044.601256311</v>
      </c>
      <c r="H792" s="268">
        <v>136051952.63424101</v>
      </c>
      <c r="I792" s="267" t="s">
        <v>753</v>
      </c>
      <c r="J792" s="267" t="s">
        <v>121</v>
      </c>
      <c r="K792" s="267">
        <v>973263</v>
      </c>
      <c r="L792" s="267" t="s">
        <v>433</v>
      </c>
      <c r="M792" s="18"/>
      <c r="N792" s="18"/>
      <c r="O792" s="18"/>
    </row>
    <row r="793" spans="1:22" x14ac:dyDescent="0.2">
      <c r="A793" s="267" t="s">
        <v>671</v>
      </c>
      <c r="B793" s="267" t="s">
        <v>709</v>
      </c>
      <c r="C793" s="268">
        <v>43934</v>
      </c>
      <c r="D793" s="268">
        <v>44836</v>
      </c>
      <c r="E793" s="268">
        <v>88770</v>
      </c>
      <c r="F793" s="268">
        <v>1449187439.8991199</v>
      </c>
      <c r="G793" s="268">
        <v>1865322297.6665399</v>
      </c>
      <c r="H793" s="268">
        <v>3314509737.56566</v>
      </c>
      <c r="I793" s="267" t="s">
        <v>753</v>
      </c>
      <c r="J793" s="267" t="s">
        <v>121</v>
      </c>
      <c r="K793" s="267">
        <v>976928</v>
      </c>
      <c r="L793" s="267" t="s">
        <v>174</v>
      </c>
      <c r="M793" s="18"/>
      <c r="N793" s="18"/>
      <c r="O793" s="18"/>
    </row>
    <row r="794" spans="1:22" x14ac:dyDescent="0.2">
      <c r="A794" s="267" t="s">
        <v>161</v>
      </c>
      <c r="B794" s="267" t="s">
        <v>1085</v>
      </c>
      <c r="C794" s="268">
        <v>13</v>
      </c>
      <c r="D794" s="268">
        <v>10</v>
      </c>
      <c r="E794" s="268">
        <v>23</v>
      </c>
      <c r="F794" s="268">
        <v>368661.58539014205</v>
      </c>
      <c r="G794" s="268">
        <v>244772.400232863</v>
      </c>
      <c r="H794" s="268">
        <v>613433.98562300496</v>
      </c>
      <c r="I794" s="267" t="s">
        <v>633</v>
      </c>
      <c r="J794" s="267" t="s">
        <v>121</v>
      </c>
      <c r="K794" s="267">
        <v>978452</v>
      </c>
      <c r="L794" s="267" t="s">
        <v>1067</v>
      </c>
      <c r="M794" s="18"/>
      <c r="N794" s="18"/>
      <c r="O794" s="18"/>
    </row>
    <row r="795" spans="1:22" x14ac:dyDescent="0.2">
      <c r="A795" s="267" t="s">
        <v>626</v>
      </c>
      <c r="B795" s="267" t="s">
        <v>1017</v>
      </c>
      <c r="C795" s="268">
        <v>13</v>
      </c>
      <c r="D795" s="268">
        <v>25</v>
      </c>
      <c r="E795" s="268">
        <v>38</v>
      </c>
      <c r="F795" s="268">
        <v>238126.89571200401</v>
      </c>
      <c r="G795" s="268">
        <v>824010.06667020405</v>
      </c>
      <c r="H795" s="268">
        <v>1062136.96238221</v>
      </c>
      <c r="I795" s="267" t="s">
        <v>633</v>
      </c>
      <c r="J795" s="267" t="s">
        <v>122</v>
      </c>
      <c r="K795" s="267">
        <v>980284</v>
      </c>
      <c r="L795" s="267" t="s">
        <v>522</v>
      </c>
      <c r="M795" s="18"/>
      <c r="N795" s="18"/>
      <c r="O795" s="18"/>
    </row>
    <row r="796" spans="1:22" x14ac:dyDescent="0.2">
      <c r="A796" s="267" t="s">
        <v>161</v>
      </c>
      <c r="B796" s="267" t="s">
        <v>797</v>
      </c>
      <c r="C796" s="268">
        <v>62</v>
      </c>
      <c r="D796" s="268">
        <v>110</v>
      </c>
      <c r="E796" s="268">
        <v>172</v>
      </c>
      <c r="F796" s="268">
        <v>838860.34427891695</v>
      </c>
      <c r="G796" s="268">
        <v>1740049.89216233</v>
      </c>
      <c r="H796" s="268">
        <v>2578910.23644125</v>
      </c>
      <c r="I796" s="267" t="s">
        <v>633</v>
      </c>
      <c r="J796" s="267" t="s">
        <v>121</v>
      </c>
      <c r="K796" s="267">
        <v>980466</v>
      </c>
      <c r="L796" s="267" t="s">
        <v>88</v>
      </c>
      <c r="M796" s="18"/>
      <c r="N796" s="18"/>
      <c r="O796" s="18"/>
    </row>
    <row r="797" spans="1:22" x14ac:dyDescent="0.2">
      <c r="A797" s="267" t="s">
        <v>293</v>
      </c>
      <c r="B797" s="267" t="s">
        <v>294</v>
      </c>
      <c r="C797" s="268">
        <v>3191</v>
      </c>
      <c r="D797" s="268">
        <v>1599</v>
      </c>
      <c r="E797" s="268">
        <v>4790</v>
      </c>
      <c r="F797" s="268">
        <v>55835563.817681096</v>
      </c>
      <c r="G797" s="268">
        <v>30404990.304491598</v>
      </c>
      <c r="H797" s="268">
        <v>86240554.122172698</v>
      </c>
      <c r="I797" s="267" t="s">
        <v>753</v>
      </c>
      <c r="J797" s="267" t="s">
        <v>123</v>
      </c>
      <c r="K797" s="267">
        <v>981175</v>
      </c>
      <c r="L797" s="267" t="s">
        <v>746</v>
      </c>
      <c r="M797" s="18"/>
      <c r="N797" s="18"/>
      <c r="O797" s="18"/>
    </row>
    <row r="798" spans="1:22" x14ac:dyDescent="0.2">
      <c r="A798" s="267" t="s">
        <v>301</v>
      </c>
      <c r="B798" s="267" t="s">
        <v>984</v>
      </c>
      <c r="C798" s="268">
        <v>14572</v>
      </c>
      <c r="D798" s="268">
        <v>13957</v>
      </c>
      <c r="E798" s="268">
        <v>28529</v>
      </c>
      <c r="F798" s="268">
        <v>1269807628.8367701</v>
      </c>
      <c r="G798" s="268">
        <v>1504763861.25422</v>
      </c>
      <c r="H798" s="268">
        <v>2774571490.0909996</v>
      </c>
      <c r="I798" s="267" t="s">
        <v>633</v>
      </c>
      <c r="J798" s="267" t="s">
        <v>123</v>
      </c>
      <c r="K798" s="267">
        <v>982116</v>
      </c>
      <c r="L798" s="267" t="s">
        <v>983</v>
      </c>
      <c r="M798" s="18"/>
      <c r="N798" s="18"/>
      <c r="O798" s="18"/>
    </row>
    <row r="799" spans="1:22" x14ac:dyDescent="0.2">
      <c r="A799" s="267" t="s">
        <v>208</v>
      </c>
      <c r="B799" s="267" t="s">
        <v>209</v>
      </c>
      <c r="C799" s="268">
        <v>4773</v>
      </c>
      <c r="D799" s="268">
        <v>7353</v>
      </c>
      <c r="E799" s="268">
        <v>12126</v>
      </c>
      <c r="F799" s="268">
        <v>105985221.204007</v>
      </c>
      <c r="G799" s="268">
        <v>213818592.12887999</v>
      </c>
      <c r="H799" s="268">
        <v>319803813.33288801</v>
      </c>
      <c r="I799" s="267" t="s">
        <v>633</v>
      </c>
      <c r="J799" s="267" t="s">
        <v>121</v>
      </c>
      <c r="K799" s="267">
        <v>983593</v>
      </c>
      <c r="L799" s="267" t="s">
        <v>354</v>
      </c>
      <c r="M799" s="18"/>
      <c r="N799" s="18"/>
      <c r="O799" s="18"/>
    </row>
    <row r="800" spans="1:22" x14ac:dyDescent="0.2">
      <c r="A800" s="267" t="s">
        <v>301</v>
      </c>
      <c r="B800" s="267" t="s">
        <v>906</v>
      </c>
      <c r="C800" s="268">
        <v>12480</v>
      </c>
      <c r="D800" s="268">
        <v>10376</v>
      </c>
      <c r="E800" s="268">
        <v>22856</v>
      </c>
      <c r="F800" s="268">
        <v>987886006.14941895</v>
      </c>
      <c r="G800" s="268">
        <v>1030488217.58679</v>
      </c>
      <c r="H800" s="268">
        <v>2018374223.7362101</v>
      </c>
      <c r="I800" s="267" t="s">
        <v>633</v>
      </c>
      <c r="J800" s="267" t="s">
        <v>123</v>
      </c>
      <c r="K800" s="267">
        <v>983940</v>
      </c>
      <c r="L800" s="267" t="s">
        <v>397</v>
      </c>
      <c r="M800" s="18"/>
      <c r="N800" s="18"/>
      <c r="O800" s="18"/>
    </row>
    <row r="801" spans="1:18" x14ac:dyDescent="0.2">
      <c r="A801" s="267" t="s">
        <v>145</v>
      </c>
      <c r="B801" s="267" t="s">
        <v>152</v>
      </c>
      <c r="C801" s="268">
        <v>46692</v>
      </c>
      <c r="D801" s="268">
        <v>53454</v>
      </c>
      <c r="E801" s="268">
        <v>100146</v>
      </c>
      <c r="F801" s="268">
        <v>1145875505.91132</v>
      </c>
      <c r="G801" s="268">
        <v>1600599167.1974301</v>
      </c>
      <c r="H801" s="268">
        <v>2746474673.1087403</v>
      </c>
      <c r="I801" s="267" t="s">
        <v>633</v>
      </c>
      <c r="J801" s="267" t="s">
        <v>121</v>
      </c>
      <c r="K801" s="267">
        <v>984187</v>
      </c>
      <c r="L801" s="267" t="s">
        <v>795</v>
      </c>
      <c r="M801" s="18"/>
      <c r="N801" s="18"/>
      <c r="O801" s="18"/>
    </row>
    <row r="802" spans="1:18" x14ac:dyDescent="0.2">
      <c r="A802" s="267" t="s">
        <v>368</v>
      </c>
      <c r="B802" s="267" t="s">
        <v>1131</v>
      </c>
      <c r="C802" s="268">
        <v>35</v>
      </c>
      <c r="D802" s="268">
        <v>70</v>
      </c>
      <c r="E802" s="268">
        <v>105</v>
      </c>
      <c r="F802" s="268">
        <v>619594.68655194796</v>
      </c>
      <c r="G802" s="268">
        <v>1495816.75229443</v>
      </c>
      <c r="H802" s="268">
        <v>2115411.4388463702</v>
      </c>
      <c r="I802" s="267" t="s">
        <v>633</v>
      </c>
      <c r="J802" s="267" t="s">
        <v>121</v>
      </c>
      <c r="K802" s="267">
        <v>985770</v>
      </c>
      <c r="L802" s="267" t="s">
        <v>466</v>
      </c>
      <c r="M802" s="18"/>
      <c r="N802" s="18"/>
      <c r="O802" s="18"/>
    </row>
    <row r="803" spans="1:18" x14ac:dyDescent="0.2">
      <c r="A803" s="267" t="s">
        <v>145</v>
      </c>
      <c r="B803" s="267" t="s">
        <v>759</v>
      </c>
      <c r="C803" s="268">
        <v>1038</v>
      </c>
      <c r="D803" s="268">
        <v>1241</v>
      </c>
      <c r="E803" s="268">
        <v>2279</v>
      </c>
      <c r="F803" s="268">
        <v>18076477.470387399</v>
      </c>
      <c r="G803" s="268">
        <v>25897578.0014982</v>
      </c>
      <c r="H803" s="268">
        <v>43974055.471885696</v>
      </c>
      <c r="I803" s="267" t="s">
        <v>633</v>
      </c>
      <c r="J803" s="267" t="s">
        <v>121</v>
      </c>
      <c r="K803" s="267">
        <v>985895</v>
      </c>
      <c r="L803" s="267" t="s">
        <v>58</v>
      </c>
      <c r="M803" s="18"/>
      <c r="N803" s="18"/>
      <c r="O803" s="18"/>
    </row>
    <row r="804" spans="1:18" x14ac:dyDescent="0.2">
      <c r="A804" s="267" t="s">
        <v>293</v>
      </c>
      <c r="B804" s="267" t="s">
        <v>1058</v>
      </c>
      <c r="C804" s="268">
        <v>4261</v>
      </c>
      <c r="D804" s="268">
        <v>2010</v>
      </c>
      <c r="E804" s="268">
        <v>6271</v>
      </c>
      <c r="F804" s="268">
        <v>278895425.63859004</v>
      </c>
      <c r="G804" s="268">
        <v>144907374.81400201</v>
      </c>
      <c r="H804" s="268">
        <v>423802800.45259202</v>
      </c>
      <c r="I804" s="267" t="s">
        <v>753</v>
      </c>
      <c r="J804" s="267" t="s">
        <v>123</v>
      </c>
      <c r="K804" s="267">
        <v>985952</v>
      </c>
      <c r="L804" s="267" t="s">
        <v>174</v>
      </c>
      <c r="M804" s="18"/>
      <c r="N804" s="18"/>
      <c r="O804" s="18"/>
    </row>
    <row r="805" spans="1:18" x14ac:dyDescent="0.2">
      <c r="A805" s="267" t="s">
        <v>102</v>
      </c>
      <c r="B805" s="267" t="s">
        <v>829</v>
      </c>
      <c r="C805" s="268">
        <v>2613</v>
      </c>
      <c r="D805" s="268">
        <v>2907</v>
      </c>
      <c r="E805" s="268">
        <v>5520</v>
      </c>
      <c r="F805" s="268">
        <v>42167422.631435506</v>
      </c>
      <c r="G805" s="268">
        <v>60947402.215085305</v>
      </c>
      <c r="H805" s="268">
        <v>103114824.84652101</v>
      </c>
      <c r="I805" s="267" t="s">
        <v>753</v>
      </c>
      <c r="J805" s="267" t="s">
        <v>121</v>
      </c>
      <c r="K805" s="267">
        <v>986604</v>
      </c>
      <c r="L805" s="267" t="s">
        <v>790</v>
      </c>
      <c r="M805" s="18"/>
      <c r="N805" s="18"/>
      <c r="O805" s="18"/>
    </row>
    <row r="806" spans="1:18" x14ac:dyDescent="0.2">
      <c r="A806" s="267" t="s">
        <v>145</v>
      </c>
      <c r="B806" s="267" t="s">
        <v>402</v>
      </c>
      <c r="C806" s="268">
        <v>1890</v>
      </c>
      <c r="D806" s="268">
        <v>1626</v>
      </c>
      <c r="E806" s="268">
        <v>3516</v>
      </c>
      <c r="F806" s="268">
        <v>136458164.75176099</v>
      </c>
      <c r="G806" s="268">
        <v>144548637.344336</v>
      </c>
      <c r="H806" s="268">
        <v>281006802.09609699</v>
      </c>
      <c r="I806" s="267" t="s">
        <v>633</v>
      </c>
      <c r="J806" s="267" t="s">
        <v>121</v>
      </c>
      <c r="K806" s="267">
        <v>987602</v>
      </c>
      <c r="L806" s="267" t="s">
        <v>397</v>
      </c>
      <c r="M806" s="18"/>
      <c r="N806" s="18"/>
      <c r="O806" s="18"/>
    </row>
    <row r="807" spans="1:18" x14ac:dyDescent="0.2">
      <c r="A807" s="267" t="s">
        <v>208</v>
      </c>
      <c r="B807" s="267" t="s">
        <v>591</v>
      </c>
      <c r="C807" s="268">
        <v>827</v>
      </c>
      <c r="D807" s="268">
        <v>1117</v>
      </c>
      <c r="E807" s="268">
        <v>1944</v>
      </c>
      <c r="F807" s="268">
        <v>15022954.180753499</v>
      </c>
      <c r="G807" s="268">
        <v>25883964.378421903</v>
      </c>
      <c r="H807" s="268">
        <v>40906918.559175499</v>
      </c>
      <c r="I807" s="267" t="s">
        <v>633</v>
      </c>
      <c r="J807" s="267" t="s">
        <v>121</v>
      </c>
      <c r="K807" s="267">
        <v>987784</v>
      </c>
      <c r="L807" s="267" t="s">
        <v>760</v>
      </c>
      <c r="M807" s="18"/>
      <c r="N807" s="18"/>
      <c r="O807" s="18"/>
    </row>
    <row r="808" spans="1:18" x14ac:dyDescent="0.2">
      <c r="A808" s="267" t="s">
        <v>161</v>
      </c>
      <c r="B808" s="267" t="s">
        <v>363</v>
      </c>
      <c r="C808" s="268">
        <v>18587</v>
      </c>
      <c r="D808" s="268">
        <v>20737</v>
      </c>
      <c r="E808" s="268">
        <v>39324</v>
      </c>
      <c r="F808" s="268">
        <v>405570008.244389</v>
      </c>
      <c r="G808" s="268">
        <v>577788131.86310005</v>
      </c>
      <c r="H808" s="268">
        <v>983358140.10748994</v>
      </c>
      <c r="I808" s="267" t="s">
        <v>753</v>
      </c>
      <c r="J808" s="267" t="s">
        <v>121</v>
      </c>
      <c r="K808" s="267">
        <v>987842</v>
      </c>
      <c r="L808" s="267" t="s">
        <v>677</v>
      </c>
      <c r="M808" s="18"/>
      <c r="N808" s="18"/>
      <c r="O808" s="18"/>
    </row>
    <row r="809" spans="1:18" x14ac:dyDescent="0.2">
      <c r="A809" s="267" t="s">
        <v>145</v>
      </c>
      <c r="B809" s="267" t="s">
        <v>581</v>
      </c>
      <c r="C809" s="268">
        <v>2020</v>
      </c>
      <c r="D809" s="268">
        <v>2295</v>
      </c>
      <c r="E809" s="268">
        <v>4315</v>
      </c>
      <c r="F809" s="268">
        <v>18232530.596292097</v>
      </c>
      <c r="G809" s="268">
        <v>27498966.5167083</v>
      </c>
      <c r="H809" s="268">
        <v>45731497.113000505</v>
      </c>
      <c r="I809" s="267" t="s">
        <v>753</v>
      </c>
      <c r="J809" s="267" t="s">
        <v>121</v>
      </c>
      <c r="K809" s="267">
        <v>989434</v>
      </c>
      <c r="L809" s="267" t="s">
        <v>358</v>
      </c>
      <c r="M809"/>
      <c r="N809" s="20"/>
      <c r="O809" s="18"/>
      <c r="P809" s="151"/>
      <c r="Q809" s="151"/>
    </row>
    <row r="810" spans="1:18" x14ac:dyDescent="0.2">
      <c r="A810" s="267" t="s">
        <v>145</v>
      </c>
      <c r="B810" s="267" t="s">
        <v>1048</v>
      </c>
      <c r="C810" s="268">
        <v>74</v>
      </c>
      <c r="D810" s="268">
        <v>73</v>
      </c>
      <c r="E810" s="268">
        <v>147</v>
      </c>
      <c r="F810" s="268">
        <v>1251148.3207377701</v>
      </c>
      <c r="G810" s="268">
        <v>1474591.8742619599</v>
      </c>
      <c r="H810" s="268">
        <v>2725740.1949997297</v>
      </c>
      <c r="I810" s="267" t="s">
        <v>633</v>
      </c>
      <c r="J810" s="267" t="s">
        <v>121</v>
      </c>
      <c r="K810" s="267">
        <v>989491</v>
      </c>
      <c r="L810" s="267" t="s">
        <v>449</v>
      </c>
      <c r="M810"/>
      <c r="N810" s="20"/>
      <c r="O810" s="18"/>
      <c r="P810" s="151"/>
      <c r="Q810" s="151"/>
    </row>
    <row r="811" spans="1:18" x14ac:dyDescent="0.2">
      <c r="A811" s="267" t="s">
        <v>208</v>
      </c>
      <c r="B811" s="267" t="s">
        <v>980</v>
      </c>
      <c r="C811" s="268">
        <v>609</v>
      </c>
      <c r="D811" s="268">
        <v>831</v>
      </c>
      <c r="E811" s="268">
        <v>1440</v>
      </c>
      <c r="F811" s="268">
        <v>11078087.2238627</v>
      </c>
      <c r="G811" s="268">
        <v>18780798.487531099</v>
      </c>
      <c r="H811" s="268">
        <v>29858885.7113939</v>
      </c>
      <c r="I811" s="267" t="s">
        <v>633</v>
      </c>
      <c r="J811" s="267" t="s">
        <v>121</v>
      </c>
      <c r="K811" s="267">
        <v>990028</v>
      </c>
      <c r="L811" s="267" t="s">
        <v>812</v>
      </c>
      <c r="M811"/>
      <c r="N811" s="20"/>
      <c r="O811" s="23"/>
      <c r="P811" s="151"/>
      <c r="Q811" s="151"/>
      <c r="R811" s="23"/>
    </row>
    <row r="812" spans="1:18" x14ac:dyDescent="0.2">
      <c r="A812" s="267" t="s">
        <v>131</v>
      </c>
      <c r="B812" s="267" t="s">
        <v>1012</v>
      </c>
      <c r="C812" s="268">
        <v>774</v>
      </c>
      <c r="D812" s="268">
        <v>1070</v>
      </c>
      <c r="E812" s="268">
        <v>1844</v>
      </c>
      <c r="F812" s="268">
        <v>15911136.2994378</v>
      </c>
      <c r="G812" s="268">
        <v>27665352.4408012</v>
      </c>
      <c r="H812" s="268">
        <v>43576488.740239002</v>
      </c>
      <c r="I812" s="267" t="s">
        <v>633</v>
      </c>
      <c r="J812" s="267" t="s">
        <v>121</v>
      </c>
      <c r="K812" s="267">
        <v>992099</v>
      </c>
      <c r="L812" s="267" t="s">
        <v>126</v>
      </c>
      <c r="M812"/>
      <c r="N812" s="20"/>
      <c r="O812" s="23"/>
      <c r="P812" s="151"/>
      <c r="Q812" s="151"/>
      <c r="R812" s="23"/>
    </row>
    <row r="813" spans="1:18" x14ac:dyDescent="0.2">
      <c r="A813" s="267" t="s">
        <v>145</v>
      </c>
      <c r="B813" s="267" t="s">
        <v>743</v>
      </c>
      <c r="C813" s="268">
        <v>652</v>
      </c>
      <c r="D813" s="268">
        <v>622</v>
      </c>
      <c r="E813" s="268">
        <v>1274</v>
      </c>
      <c r="F813" s="268">
        <v>27145156.418435998</v>
      </c>
      <c r="G813" s="268">
        <v>31179351.172054797</v>
      </c>
      <c r="H813" s="268">
        <v>58324507.590490803</v>
      </c>
      <c r="I813" s="267" t="s">
        <v>753</v>
      </c>
      <c r="J813" s="267" t="s">
        <v>121</v>
      </c>
      <c r="K813" s="267">
        <v>993097</v>
      </c>
      <c r="L813" s="267" t="s">
        <v>1128</v>
      </c>
      <c r="M813"/>
      <c r="N813" s="20"/>
      <c r="O813" s="23"/>
      <c r="P813" s="151"/>
      <c r="Q813" s="151"/>
      <c r="R813" s="23"/>
    </row>
    <row r="814" spans="1:18" x14ac:dyDescent="0.2">
      <c r="A814" s="267" t="s">
        <v>161</v>
      </c>
      <c r="B814" s="267" t="s">
        <v>592</v>
      </c>
      <c r="C814" s="268">
        <v>9490</v>
      </c>
      <c r="D814" s="268">
        <v>9412</v>
      </c>
      <c r="E814" s="268">
        <v>18902</v>
      </c>
      <c r="F814" s="268">
        <v>140374668.64745802</v>
      </c>
      <c r="G814" s="268">
        <v>177661749.45567501</v>
      </c>
      <c r="H814" s="268">
        <v>318036418.10313302</v>
      </c>
      <c r="I814" s="267" t="s">
        <v>633</v>
      </c>
      <c r="J814" s="267" t="s">
        <v>121</v>
      </c>
      <c r="K814" s="267">
        <v>995571</v>
      </c>
      <c r="L814" s="267" t="s">
        <v>505</v>
      </c>
      <c r="M814"/>
      <c r="N814" s="20"/>
      <c r="O814" s="23"/>
      <c r="P814" s="151"/>
      <c r="Q814" s="151"/>
      <c r="R814" s="23"/>
    </row>
    <row r="815" spans="1:18" x14ac:dyDescent="0.2">
      <c r="A815" s="267" t="s">
        <v>301</v>
      </c>
      <c r="B815" s="267" t="s">
        <v>783</v>
      </c>
      <c r="C815" s="268">
        <v>1254</v>
      </c>
      <c r="D815" s="268">
        <v>1158</v>
      </c>
      <c r="E815" s="268">
        <v>2412</v>
      </c>
      <c r="F815" s="268">
        <v>19935996.040059198</v>
      </c>
      <c r="G815" s="268">
        <v>22006334.680428497</v>
      </c>
      <c r="H815" s="268">
        <v>41942330.720487602</v>
      </c>
      <c r="I815" s="267" t="s">
        <v>633</v>
      </c>
      <c r="J815" s="267" t="s">
        <v>123</v>
      </c>
      <c r="K815" s="267">
        <v>996348</v>
      </c>
      <c r="L815" s="267" t="s">
        <v>782</v>
      </c>
      <c r="M815"/>
      <c r="N815" s="20"/>
      <c r="O815" s="23"/>
      <c r="P815" s="151"/>
      <c r="Q815" s="151"/>
      <c r="R815" s="23"/>
    </row>
    <row r="816" spans="1:18" x14ac:dyDescent="0.2">
      <c r="A816" s="267" t="s">
        <v>301</v>
      </c>
      <c r="B816" s="267" t="s">
        <v>1042</v>
      </c>
      <c r="C816" s="268">
        <v>20187</v>
      </c>
      <c r="D816" s="268">
        <v>18943</v>
      </c>
      <c r="E816" s="268">
        <v>39130</v>
      </c>
      <c r="F816" s="268">
        <v>288543882.82198</v>
      </c>
      <c r="G816" s="268">
        <v>301962691.05648398</v>
      </c>
      <c r="H816" s="268">
        <v>590506573.87846398</v>
      </c>
      <c r="I816" s="267" t="s">
        <v>633</v>
      </c>
      <c r="J816" s="267" t="s">
        <v>123</v>
      </c>
      <c r="K816" s="267">
        <v>997288</v>
      </c>
      <c r="L816" s="267" t="s">
        <v>1043</v>
      </c>
      <c r="M816"/>
      <c r="N816" s="20"/>
      <c r="O816" s="23"/>
      <c r="P816" s="151"/>
      <c r="Q816" s="151"/>
      <c r="R816" s="23"/>
    </row>
    <row r="817" spans="1:18" x14ac:dyDescent="0.2">
      <c r="A817" s="267" t="s">
        <v>131</v>
      </c>
      <c r="B817" s="267" t="s">
        <v>442</v>
      </c>
      <c r="C817" s="268">
        <v>68</v>
      </c>
      <c r="D817" s="268">
        <v>94</v>
      </c>
      <c r="E817" s="268">
        <v>162</v>
      </c>
      <c r="F817" s="268">
        <v>947393.26439779392</v>
      </c>
      <c r="G817" s="268">
        <v>1891221.37691809</v>
      </c>
      <c r="H817" s="268">
        <v>2838614.64131589</v>
      </c>
      <c r="I817" s="267" t="s">
        <v>633</v>
      </c>
      <c r="J817" s="267" t="s">
        <v>121</v>
      </c>
      <c r="K817" s="267">
        <v>997460</v>
      </c>
      <c r="L817" s="267" t="s">
        <v>100</v>
      </c>
      <c r="M817"/>
      <c r="N817" s="20"/>
      <c r="O817" s="23"/>
      <c r="P817" s="151"/>
      <c r="Q817" s="151"/>
      <c r="R817" s="23"/>
    </row>
    <row r="818" spans="1:18" x14ac:dyDescent="0.2">
      <c r="A818" s="267" t="s">
        <v>301</v>
      </c>
      <c r="B818" s="267" t="s">
        <v>1008</v>
      </c>
      <c r="C818" s="268">
        <v>1379</v>
      </c>
      <c r="D818" s="268">
        <v>1755</v>
      </c>
      <c r="E818" s="268">
        <v>3134</v>
      </c>
      <c r="F818" s="268">
        <v>128684715.287249</v>
      </c>
      <c r="G818" s="268">
        <v>195881623.25873399</v>
      </c>
      <c r="H818" s="268">
        <v>324566338.54598302</v>
      </c>
      <c r="I818" s="267" t="s">
        <v>633</v>
      </c>
      <c r="J818" s="267" t="s">
        <v>123</v>
      </c>
      <c r="K818" s="267">
        <v>999110</v>
      </c>
      <c r="L818" s="267" t="s">
        <v>397</v>
      </c>
      <c r="N818" s="20"/>
      <c r="O818" s="23"/>
      <c r="P818" s="151"/>
      <c r="Q818" s="151"/>
      <c r="R818" s="23"/>
    </row>
    <row r="819" spans="1:18" x14ac:dyDescent="0.2">
      <c r="A819" s="267" t="s">
        <v>208</v>
      </c>
      <c r="B819" s="267" t="s">
        <v>211</v>
      </c>
      <c r="C819" s="268">
        <v>137</v>
      </c>
      <c r="D819" s="268">
        <v>202</v>
      </c>
      <c r="E819" s="268">
        <v>339</v>
      </c>
      <c r="F819" s="268">
        <v>2524883.4151232098</v>
      </c>
      <c r="G819" s="268">
        <v>4854755.0564060602</v>
      </c>
      <c r="H819" s="268">
        <v>7379638.4715292696</v>
      </c>
      <c r="I819" s="267" t="s">
        <v>633</v>
      </c>
      <c r="J819" s="267" t="s">
        <v>121</v>
      </c>
      <c r="K819" s="267">
        <v>999292</v>
      </c>
      <c r="L819" s="267" t="s">
        <v>449</v>
      </c>
      <c r="N819" s="20"/>
      <c r="O819" s="23"/>
      <c r="P819" s="151"/>
      <c r="Q819" s="151"/>
      <c r="R819" s="23"/>
    </row>
    <row r="820" spans="1:18" x14ac:dyDescent="0.2">
      <c r="A820" s="267" t="s">
        <v>301</v>
      </c>
      <c r="B820" s="267" t="s">
        <v>258</v>
      </c>
      <c r="C820" s="268">
        <v>127</v>
      </c>
      <c r="D820" s="268">
        <v>142</v>
      </c>
      <c r="E820" s="268">
        <v>269</v>
      </c>
      <c r="F820" s="268">
        <v>2082133.2335558201</v>
      </c>
      <c r="G820" s="268">
        <v>3040349.9293928202</v>
      </c>
      <c r="H820" s="268">
        <v>5122483.1629486503</v>
      </c>
      <c r="I820" s="267" t="s">
        <v>633</v>
      </c>
      <c r="J820" s="267" t="s">
        <v>123</v>
      </c>
      <c r="K820" s="267">
        <v>999359</v>
      </c>
      <c r="L820" s="267" t="s">
        <v>756</v>
      </c>
      <c r="N820" s="20"/>
      <c r="O820" s="23"/>
      <c r="P820" s="151"/>
      <c r="Q820" s="151"/>
      <c r="R820" s="23"/>
    </row>
    <row r="821" spans="1:18" x14ac:dyDescent="0.2">
      <c r="A821" s="264"/>
      <c r="B821" s="264"/>
      <c r="C821" s="265"/>
      <c r="D821" s="265"/>
      <c r="E821" s="265"/>
      <c r="F821" s="265"/>
      <c r="G821" s="265"/>
      <c r="H821" s="265"/>
      <c r="I821" s="264"/>
      <c r="J821" s="264"/>
      <c r="K821" s="264"/>
      <c r="L821" s="264"/>
      <c r="N821" s="20"/>
      <c r="O821" s="23"/>
      <c r="P821" s="151"/>
      <c r="Q821" s="151"/>
      <c r="R821" s="23"/>
    </row>
    <row r="822" spans="1:18" x14ac:dyDescent="0.2">
      <c r="A822" s="264"/>
      <c r="B822" s="264"/>
      <c r="C822" s="265"/>
      <c r="D822" s="265"/>
      <c r="E822" s="265"/>
      <c r="F822" s="265"/>
      <c r="G822" s="265"/>
      <c r="H822" s="265"/>
      <c r="I822" s="264"/>
      <c r="J822" s="264"/>
      <c r="K822" s="264"/>
      <c r="L822" s="264"/>
      <c r="N822" s="20"/>
      <c r="O822" s="23"/>
      <c r="P822" s="151"/>
      <c r="Q822" s="151"/>
      <c r="R822" s="23"/>
    </row>
    <row r="823" spans="1:18" x14ac:dyDescent="0.2">
      <c r="A823" s="264"/>
      <c r="B823" s="264"/>
      <c r="C823" s="265"/>
      <c r="D823" s="265"/>
      <c r="E823" s="265"/>
      <c r="F823" s="265"/>
      <c r="G823" s="265"/>
      <c r="H823" s="265"/>
      <c r="I823" s="264"/>
      <c r="J823" s="264"/>
      <c r="K823" s="264"/>
      <c r="L823" s="264"/>
      <c r="N823" s="20"/>
      <c r="O823" s="23"/>
      <c r="P823" s="151"/>
      <c r="Q823" s="151"/>
      <c r="R823" s="23"/>
    </row>
    <row r="824" spans="1:18" x14ac:dyDescent="0.2">
      <c r="A824" s="151"/>
      <c r="B824" s="151"/>
      <c r="C824" s="151"/>
      <c r="D824" s="151"/>
      <c r="E824" s="151"/>
      <c r="F824" s="151"/>
      <c r="G824"/>
      <c r="H824"/>
      <c r="I824"/>
      <c r="J824"/>
      <c r="K824" s="16"/>
      <c r="L824" s="16"/>
      <c r="M824" s="20"/>
      <c r="N824" s="23"/>
      <c r="O824" s="151"/>
      <c r="P824" s="151"/>
      <c r="Q824" s="23"/>
    </row>
    <row r="825" spans="1:18" x14ac:dyDescent="0.2">
      <c r="A825" s="151"/>
      <c r="B825" s="151"/>
      <c r="C825" s="151"/>
      <c r="D825" s="151"/>
      <c r="E825" s="151"/>
      <c r="F825" s="151"/>
      <c r="G825"/>
      <c r="H825"/>
      <c r="I825"/>
      <c r="J825"/>
      <c r="K825" s="16"/>
      <c r="L825" s="16"/>
      <c r="M825" s="20"/>
      <c r="N825" s="23"/>
      <c r="O825" s="151"/>
      <c r="P825" s="151"/>
      <c r="Q825" s="23"/>
    </row>
    <row r="826" spans="1:18" x14ac:dyDescent="0.2">
      <c r="A826" s="151"/>
      <c r="B826" s="151"/>
      <c r="C826" s="151"/>
      <c r="D826" s="151"/>
      <c r="E826" s="151"/>
      <c r="F826" s="151"/>
      <c r="G826"/>
      <c r="H826"/>
      <c r="I826"/>
      <c r="J826"/>
      <c r="K826" s="16"/>
      <c r="L826" s="16"/>
      <c r="M826" s="20"/>
      <c r="N826" s="23"/>
      <c r="O826" s="151"/>
      <c r="P826" s="25"/>
      <c r="Q826" s="23"/>
    </row>
    <row r="827" spans="1:18" x14ac:dyDescent="0.2">
      <c r="A827" s="151"/>
      <c r="B827" s="151"/>
      <c r="C827" s="151"/>
      <c r="D827" s="151"/>
      <c r="E827" s="151"/>
      <c r="F827" s="151"/>
      <c r="G827"/>
      <c r="H827"/>
      <c r="I827"/>
      <c r="J827"/>
      <c r="K827" s="16"/>
      <c r="L827" s="16"/>
      <c r="M827" s="20"/>
      <c r="N827" s="23"/>
      <c r="O827" s="151"/>
      <c r="P827" s="25"/>
      <c r="Q827" s="23"/>
    </row>
    <row r="828" spans="1:18" x14ac:dyDescent="0.2">
      <c r="A828" s="151"/>
      <c r="B828" s="151"/>
      <c r="C828" s="151"/>
      <c r="D828" s="151"/>
      <c r="E828" s="151"/>
      <c r="F828" s="151"/>
      <c r="G828"/>
      <c r="H828"/>
      <c r="I828"/>
      <c r="J828"/>
      <c r="K828" s="16"/>
      <c r="L828" s="16"/>
      <c r="M828" s="20"/>
      <c r="N828" s="23"/>
      <c r="O828" s="151"/>
      <c r="P828" s="25"/>
      <c r="Q828" s="23"/>
    </row>
    <row r="829" spans="1:18" x14ac:dyDescent="0.2">
      <c r="A829" s="151"/>
      <c r="B829" s="151"/>
      <c r="C829" s="151"/>
      <c r="D829" s="151"/>
      <c r="E829" s="151"/>
      <c r="F829" s="151"/>
      <c r="G829"/>
      <c r="H829"/>
      <c r="I829"/>
      <c r="J829"/>
      <c r="K829" s="16"/>
      <c r="L829" s="16"/>
      <c r="M829" s="20"/>
      <c r="N829" s="23"/>
      <c r="O829" s="151"/>
      <c r="P829" s="25"/>
      <c r="Q829" s="23"/>
    </row>
    <row r="830" spans="1:18" x14ac:dyDescent="0.2">
      <c r="A830" s="151"/>
      <c r="B830" s="151"/>
      <c r="C830" s="151"/>
      <c r="D830" s="151"/>
      <c r="E830" s="151"/>
      <c r="F830" s="151"/>
      <c r="G830"/>
      <c r="H830"/>
      <c r="I830"/>
      <c r="J830"/>
      <c r="K830" s="16"/>
      <c r="L830" s="16"/>
      <c r="M830" s="20"/>
      <c r="N830" s="23"/>
      <c r="O830" s="151"/>
      <c r="P830" s="25"/>
      <c r="Q830" s="23"/>
    </row>
    <row r="831" spans="1:18" x14ac:dyDescent="0.2">
      <c r="A831" s="151"/>
      <c r="B831" s="151"/>
      <c r="C831" s="151"/>
      <c r="D831" s="151"/>
      <c r="E831" s="151"/>
      <c r="F831" s="151"/>
      <c r="G831"/>
      <c r="H831"/>
      <c r="I831"/>
      <c r="J831"/>
      <c r="K831" s="16"/>
      <c r="L831" s="16"/>
      <c r="M831" s="20"/>
      <c r="N831" s="23"/>
      <c r="O831" s="151"/>
      <c r="P831" s="25"/>
      <c r="Q831" s="23"/>
    </row>
    <row r="832" spans="1:18" x14ac:dyDescent="0.2">
      <c r="A832" s="151"/>
      <c r="B832" s="151"/>
      <c r="C832" s="151"/>
      <c r="D832" s="151"/>
      <c r="E832" s="151"/>
      <c r="F832" s="151"/>
      <c r="G832"/>
      <c r="H832"/>
      <c r="I832"/>
      <c r="J832"/>
      <c r="K832" s="16"/>
      <c r="L832" s="16"/>
      <c r="M832" s="20"/>
      <c r="N832" s="23"/>
      <c r="O832" s="151"/>
      <c r="P832" s="25"/>
      <c r="Q832" s="23"/>
    </row>
    <row r="833" spans="1:17" x14ac:dyDescent="0.2">
      <c r="A833" s="151"/>
      <c r="B833" s="151"/>
      <c r="C833" s="151"/>
      <c r="D833" s="151"/>
      <c r="E833" s="151"/>
      <c r="F833" s="151"/>
      <c r="G833"/>
      <c r="H833"/>
      <c r="I833"/>
      <c r="J833"/>
      <c r="K833" s="16"/>
      <c r="L833" s="16"/>
      <c r="M833" s="20"/>
      <c r="N833" s="23"/>
      <c r="O833" s="151"/>
      <c r="P833" s="25"/>
      <c r="Q833" s="23"/>
    </row>
    <row r="834" spans="1:17" x14ac:dyDescent="0.2">
      <c r="A834" s="151"/>
      <c r="B834" s="151"/>
      <c r="C834" s="151"/>
      <c r="D834" s="151"/>
      <c r="E834" s="151"/>
      <c r="F834" s="151"/>
      <c r="G834"/>
      <c r="H834"/>
      <c r="I834"/>
      <c r="J834"/>
      <c r="K834" s="16"/>
      <c r="L834" s="16"/>
      <c r="M834" s="20"/>
      <c r="N834" s="23"/>
      <c r="O834" s="151"/>
      <c r="P834" s="25"/>
      <c r="Q834" s="23"/>
    </row>
    <row r="835" spans="1:17" x14ac:dyDescent="0.2">
      <c r="A835" s="151"/>
      <c r="B835" s="151"/>
      <c r="C835" s="151"/>
      <c r="D835" s="151"/>
      <c r="E835" s="151"/>
      <c r="F835" s="151"/>
      <c r="G835"/>
      <c r="H835"/>
      <c r="I835"/>
      <c r="J835"/>
      <c r="K835" s="16"/>
      <c r="L835" s="16"/>
      <c r="M835" s="20"/>
      <c r="N835" s="23"/>
      <c r="O835" s="151"/>
      <c r="P835" s="25"/>
      <c r="Q835" s="23"/>
    </row>
    <row r="836" spans="1:17" x14ac:dyDescent="0.2">
      <c r="A836" s="151"/>
      <c r="B836" s="151"/>
      <c r="C836" s="151"/>
      <c r="D836" s="151"/>
      <c r="E836" s="151"/>
      <c r="F836" s="151"/>
      <c r="G836"/>
      <c r="H836"/>
      <c r="I836"/>
      <c r="J836"/>
      <c r="K836" s="16"/>
      <c r="L836" s="16"/>
      <c r="M836" s="20"/>
      <c r="N836" s="23"/>
      <c r="O836" s="151"/>
      <c r="P836" s="25"/>
      <c r="Q836" s="23"/>
    </row>
    <row r="837" spans="1:17" x14ac:dyDescent="0.2">
      <c r="A837" s="151"/>
      <c r="B837" s="151"/>
      <c r="C837" s="151"/>
      <c r="D837" s="151"/>
      <c r="E837" s="151"/>
      <c r="F837" s="151"/>
      <c r="G837"/>
      <c r="H837"/>
      <c r="I837"/>
      <c r="J837"/>
      <c r="K837" s="16"/>
      <c r="L837" s="16"/>
      <c r="M837" s="20"/>
      <c r="N837" s="23"/>
      <c r="O837" s="151"/>
      <c r="P837" s="25"/>
      <c r="Q837" s="23"/>
    </row>
    <row r="838" spans="1:17" x14ac:dyDescent="0.2">
      <c r="A838" s="151"/>
      <c r="B838" s="151"/>
      <c r="C838" s="151"/>
      <c r="D838" s="151"/>
      <c r="E838" s="151"/>
      <c r="F838" s="151"/>
      <c r="G838"/>
      <c r="H838"/>
      <c r="I838"/>
      <c r="J838"/>
      <c r="K838" s="16"/>
      <c r="L838" s="16"/>
      <c r="M838" s="20"/>
      <c r="N838" s="23"/>
      <c r="O838" s="151"/>
      <c r="P838" s="25"/>
      <c r="Q838" s="23"/>
    </row>
    <row r="839" spans="1:17" x14ac:dyDescent="0.2">
      <c r="A839" s="151"/>
      <c r="B839" s="151"/>
      <c r="C839" s="151"/>
      <c r="D839" s="151"/>
      <c r="E839" s="151"/>
      <c r="F839" s="151"/>
      <c r="G839"/>
      <c r="H839"/>
      <c r="I839"/>
      <c r="J839"/>
      <c r="K839" s="16"/>
      <c r="L839" s="16"/>
      <c r="M839" s="20"/>
      <c r="N839" s="23"/>
      <c r="O839" s="151"/>
      <c r="P839" s="25"/>
      <c r="Q839" s="23"/>
    </row>
    <row r="840" spans="1:17" x14ac:dyDescent="0.2">
      <c r="A840" s="151"/>
      <c r="B840" s="151"/>
      <c r="C840" s="151"/>
      <c r="D840" s="151"/>
      <c r="E840" s="151"/>
      <c r="F840" s="151"/>
      <c r="G840"/>
      <c r="H840"/>
      <c r="I840"/>
      <c r="J840"/>
      <c r="K840" s="16"/>
      <c r="L840" s="16"/>
      <c r="M840" s="20"/>
      <c r="N840" s="23"/>
      <c r="O840" s="151"/>
      <c r="P840" s="25"/>
      <c r="Q840" s="23"/>
    </row>
    <row r="841" spans="1:17" x14ac:dyDescent="0.2">
      <c r="A841" s="151"/>
      <c r="B841" s="151"/>
      <c r="C841" s="151"/>
      <c r="D841" s="151"/>
      <c r="E841" s="151"/>
      <c r="F841" s="151"/>
      <c r="G841"/>
      <c r="H841"/>
      <c r="I841"/>
      <c r="J841"/>
      <c r="K841" s="16"/>
      <c r="L841" s="16"/>
      <c r="M841" s="20"/>
      <c r="N841" s="23"/>
      <c r="O841" s="151"/>
      <c r="P841" s="25"/>
      <c r="Q841" s="23"/>
    </row>
    <row r="842" spans="1:17" x14ac:dyDescent="0.2">
      <c r="A842" s="151"/>
      <c r="B842" s="151"/>
      <c r="C842" s="151"/>
      <c r="D842" s="151"/>
      <c r="E842" s="151"/>
      <c r="F842" s="151"/>
      <c r="G842"/>
      <c r="H842"/>
      <c r="I842"/>
      <c r="J842"/>
      <c r="K842" s="16"/>
      <c r="L842" s="16"/>
      <c r="M842" s="20"/>
      <c r="N842" s="23"/>
      <c r="O842" s="151"/>
      <c r="P842" s="25"/>
      <c r="Q842" s="23"/>
    </row>
    <row r="843" spans="1:17" x14ac:dyDescent="0.2">
      <c r="A843" s="151"/>
      <c r="B843" s="151"/>
      <c r="C843" s="151"/>
      <c r="D843" s="151"/>
      <c r="E843" s="151"/>
      <c r="F843" s="151"/>
      <c r="G843"/>
      <c r="H843"/>
      <c r="I843"/>
      <c r="J843"/>
      <c r="K843" s="16"/>
      <c r="L843" s="16"/>
      <c r="M843" s="20"/>
      <c r="N843" s="23"/>
      <c r="O843" s="151"/>
      <c r="P843" s="25"/>
      <c r="Q843" s="23"/>
    </row>
    <row r="844" spans="1:17" x14ac:dyDescent="0.2">
      <c r="A844" s="151"/>
      <c r="B844" s="151"/>
      <c r="C844" s="151"/>
      <c r="D844" s="151"/>
      <c r="E844" s="151"/>
      <c r="F844" s="151"/>
      <c r="G844"/>
      <c r="H844"/>
      <c r="I844"/>
      <c r="J844"/>
      <c r="K844" s="16"/>
      <c r="L844" s="16"/>
      <c r="M844" s="20"/>
      <c r="N844" s="23"/>
      <c r="O844" s="151"/>
      <c r="P844" s="25"/>
      <c r="Q844" s="23"/>
    </row>
    <row r="845" spans="1:17" x14ac:dyDescent="0.2">
      <c r="A845" s="151"/>
      <c r="B845" s="151"/>
      <c r="C845" s="151"/>
      <c r="D845" s="151"/>
      <c r="E845" s="151"/>
      <c r="F845" s="151"/>
      <c r="G845"/>
      <c r="H845"/>
      <c r="I845"/>
      <c r="J845"/>
      <c r="K845" s="16"/>
      <c r="L845" s="16"/>
      <c r="M845" s="20"/>
      <c r="N845" s="23"/>
      <c r="O845" s="151"/>
      <c r="P845" s="25"/>
      <c r="Q845" s="23"/>
    </row>
    <row r="846" spans="1:17" x14ac:dyDescent="0.2">
      <c r="A846" s="151"/>
      <c r="B846" s="151"/>
      <c r="C846" s="151"/>
      <c r="D846" s="151"/>
      <c r="E846" s="151"/>
      <c r="F846" s="151"/>
      <c r="G846"/>
      <c r="H846"/>
      <c r="I846"/>
      <c r="J846"/>
      <c r="K846" s="16"/>
      <c r="L846" s="16"/>
      <c r="M846" s="20"/>
      <c r="N846" s="23"/>
      <c r="O846" s="151"/>
      <c r="P846" s="25"/>
      <c r="Q846" s="23"/>
    </row>
    <row r="847" spans="1:17" x14ac:dyDescent="0.2">
      <c r="A847" s="151"/>
      <c r="B847" s="151"/>
      <c r="C847" s="151"/>
      <c r="D847" s="151"/>
      <c r="E847" s="151"/>
      <c r="F847" s="151"/>
      <c r="G847"/>
      <c r="H847"/>
      <c r="I847"/>
      <c r="J847"/>
      <c r="K847" s="16"/>
      <c r="L847" s="16"/>
      <c r="M847" s="20"/>
      <c r="N847" s="23"/>
      <c r="O847" s="151"/>
      <c r="P847" s="25"/>
      <c r="Q847" s="23"/>
    </row>
    <row r="848" spans="1:17" x14ac:dyDescent="0.2">
      <c r="A848" s="151"/>
      <c r="B848" s="151"/>
      <c r="C848" s="151"/>
      <c r="D848" s="151"/>
      <c r="E848" s="151"/>
      <c r="F848" s="151"/>
      <c r="G848"/>
      <c r="H848"/>
      <c r="I848"/>
      <c r="J848"/>
      <c r="K848" s="16"/>
      <c r="L848" s="16"/>
      <c r="M848" s="20"/>
      <c r="N848" s="23"/>
      <c r="O848" s="151"/>
      <c r="P848" s="25"/>
      <c r="Q848" s="23"/>
    </row>
    <row r="849" spans="1:17" x14ac:dyDescent="0.2">
      <c r="A849" s="151"/>
      <c r="B849" s="151"/>
      <c r="C849" s="151"/>
      <c r="D849" s="151"/>
      <c r="E849" s="151"/>
      <c r="F849" s="151"/>
      <c r="G849" s="151"/>
      <c r="H849"/>
      <c r="I849"/>
      <c r="J849"/>
      <c r="K849"/>
      <c r="L849" s="16"/>
      <c r="M849" s="20"/>
      <c r="N849" s="23"/>
      <c r="O849" s="151"/>
      <c r="P849" s="25"/>
      <c r="Q849" s="23"/>
    </row>
    <row r="850" spans="1:17" x14ac:dyDescent="0.2">
      <c r="A850" s="151"/>
      <c r="B850" s="151"/>
      <c r="C850" s="151"/>
      <c r="D850" s="151"/>
      <c r="E850" s="151"/>
      <c r="F850" s="151"/>
      <c r="G850" s="151"/>
      <c r="H850"/>
      <c r="I850"/>
      <c r="J850"/>
      <c r="K850"/>
      <c r="L850" s="16"/>
      <c r="M850" s="20"/>
      <c r="N850" s="23"/>
      <c r="O850" s="151"/>
      <c r="P850" s="25"/>
      <c r="Q850" s="23"/>
    </row>
    <row r="851" spans="1:17" x14ac:dyDescent="0.2">
      <c r="A851" s="151"/>
      <c r="B851" s="151"/>
      <c r="C851" s="151"/>
      <c r="D851" s="151"/>
      <c r="E851" s="151"/>
      <c r="F851" s="151"/>
      <c r="G851" s="151"/>
      <c r="H851"/>
      <c r="I851"/>
      <c r="J851"/>
      <c r="K851"/>
      <c r="L851" s="16"/>
      <c r="M851" s="20"/>
      <c r="N851" s="23"/>
      <c r="O851" s="151"/>
      <c r="P851" s="25"/>
      <c r="Q851" s="23"/>
    </row>
    <row r="852" spans="1:17" x14ac:dyDescent="0.2">
      <c r="A852" s="151"/>
      <c r="B852" s="151"/>
      <c r="C852" s="151"/>
      <c r="D852" s="151"/>
      <c r="E852" s="151"/>
      <c r="F852" s="151"/>
      <c r="G852" s="151"/>
      <c r="H852"/>
      <c r="I852"/>
      <c r="J852"/>
      <c r="K852"/>
      <c r="L852" s="16"/>
      <c r="M852" s="20"/>
      <c r="N852" s="23"/>
      <c r="O852" s="151"/>
      <c r="P852" s="25"/>
      <c r="Q852" s="23"/>
    </row>
    <row r="853" spans="1:17" x14ac:dyDescent="0.2">
      <c r="A853" s="151"/>
      <c r="B853" s="151"/>
      <c r="C853" s="151"/>
      <c r="D853" s="151"/>
      <c r="E853" s="151"/>
      <c r="F853" s="151"/>
      <c r="G853" s="151"/>
      <c r="H853"/>
      <c r="I853"/>
      <c r="J853"/>
      <c r="K853"/>
      <c r="L853" s="16"/>
      <c r="M853" s="20"/>
      <c r="N853" s="23"/>
      <c r="O853" s="151"/>
      <c r="P853" s="25"/>
      <c r="Q853" s="23"/>
    </row>
    <row r="854" spans="1:17" x14ac:dyDescent="0.2">
      <c r="A854" s="151"/>
      <c r="B854" s="151"/>
      <c r="C854" s="151"/>
      <c r="D854" s="151"/>
      <c r="E854" s="151"/>
      <c r="F854" s="151"/>
      <c r="G854" s="151"/>
      <c r="H854"/>
      <c r="I854"/>
      <c r="J854"/>
      <c r="K854"/>
      <c r="L854" s="16"/>
      <c r="M854" s="20"/>
      <c r="N854" s="23"/>
      <c r="O854" s="151"/>
      <c r="P854" s="25"/>
      <c r="Q854" s="23"/>
    </row>
    <row r="855" spans="1:17" x14ac:dyDescent="0.2">
      <c r="A855" s="151"/>
      <c r="B855" s="151"/>
      <c r="C855" s="151"/>
      <c r="D855" s="151"/>
      <c r="E855" s="151"/>
      <c r="F855" s="151"/>
      <c r="G855" s="151"/>
      <c r="H855"/>
      <c r="I855"/>
      <c r="J855"/>
      <c r="K855"/>
      <c r="L855" s="16"/>
      <c r="M855" s="20"/>
      <c r="N855" s="23"/>
      <c r="O855" s="151"/>
      <c r="P855" s="25"/>
      <c r="Q855" s="23"/>
    </row>
    <row r="856" spans="1:17" x14ac:dyDescent="0.2">
      <c r="A856" s="151"/>
      <c r="B856" s="151"/>
      <c r="C856" s="151"/>
      <c r="D856" s="151"/>
      <c r="E856" s="151"/>
      <c r="F856" s="151"/>
      <c r="G856" s="151"/>
      <c r="H856"/>
      <c r="I856"/>
      <c r="J856"/>
      <c r="K856"/>
      <c r="L856" s="16"/>
      <c r="M856" s="20"/>
      <c r="N856" s="23"/>
      <c r="O856" s="151"/>
      <c r="P856" s="25"/>
      <c r="Q856" s="23"/>
    </row>
    <row r="857" spans="1:17" x14ac:dyDescent="0.2">
      <c r="A857" s="151"/>
      <c r="B857" s="151"/>
      <c r="C857" s="151"/>
      <c r="D857" s="151"/>
      <c r="E857" s="151"/>
      <c r="F857" s="151"/>
      <c r="G857" s="151"/>
      <c r="H857"/>
      <c r="I857"/>
      <c r="J857"/>
      <c r="K857"/>
      <c r="L857" s="16"/>
      <c r="M857" s="20"/>
      <c r="N857" s="23"/>
      <c r="O857" s="151"/>
      <c r="P857" s="25"/>
      <c r="Q857" s="23"/>
    </row>
    <row r="858" spans="1:17" x14ac:dyDescent="0.2">
      <c r="A858" s="151"/>
      <c r="B858" s="151"/>
      <c r="C858" s="151"/>
      <c r="D858" s="151"/>
      <c r="E858" s="151"/>
      <c r="F858" s="151"/>
      <c r="G858" s="151"/>
      <c r="H858"/>
      <c r="I858"/>
      <c r="J858"/>
      <c r="K858"/>
      <c r="L858" s="16"/>
      <c r="M858" s="20"/>
      <c r="N858" s="23"/>
      <c r="O858" s="151"/>
      <c r="P858" s="25"/>
      <c r="Q858" s="23"/>
    </row>
    <row r="859" spans="1:17" x14ac:dyDescent="0.2">
      <c r="A859" s="151"/>
      <c r="B859" s="151"/>
      <c r="C859" s="151"/>
      <c r="D859" s="151"/>
      <c r="E859" s="151"/>
      <c r="F859" s="151"/>
      <c r="G859" s="151"/>
      <c r="H859"/>
      <c r="I859"/>
      <c r="J859"/>
      <c r="K859"/>
      <c r="L859" s="16"/>
      <c r="M859" s="20"/>
      <c r="N859" s="23"/>
      <c r="O859" s="151"/>
      <c r="P859" s="25"/>
      <c r="Q859" s="23"/>
    </row>
    <row r="860" spans="1:17" x14ac:dyDescent="0.2">
      <c r="A860" s="151"/>
      <c r="B860" s="151"/>
      <c r="C860" s="151"/>
      <c r="D860" s="151"/>
      <c r="E860" s="151"/>
      <c r="F860" s="151"/>
      <c r="G860" s="151"/>
      <c r="H860"/>
      <c r="I860"/>
      <c r="J860"/>
      <c r="K860"/>
      <c r="L860" s="16"/>
      <c r="M860" s="20"/>
      <c r="N860" s="23"/>
      <c r="O860" s="151"/>
      <c r="P860" s="25"/>
      <c r="Q860" s="23"/>
    </row>
    <row r="861" spans="1:17" x14ac:dyDescent="0.2">
      <c r="A861" s="151"/>
      <c r="B861" s="151"/>
      <c r="C861" s="151"/>
      <c r="D861" s="151"/>
      <c r="E861" s="151"/>
      <c r="F861" s="151"/>
      <c r="G861" s="151"/>
      <c r="H861"/>
      <c r="I861"/>
      <c r="J861"/>
      <c r="K861"/>
      <c r="L861" s="16"/>
      <c r="M861" s="20"/>
      <c r="N861" s="23"/>
      <c r="O861" s="151"/>
      <c r="P861" s="25"/>
      <c r="Q861" s="23"/>
    </row>
    <row r="862" spans="1:17" x14ac:dyDescent="0.2">
      <c r="A862" s="151"/>
      <c r="B862" s="151"/>
      <c r="C862" s="151"/>
      <c r="D862" s="151"/>
      <c r="E862" s="151"/>
      <c r="F862" s="151"/>
      <c r="G862" s="151"/>
      <c r="H862"/>
      <c r="I862"/>
      <c r="J862"/>
      <c r="K862"/>
      <c r="L862" s="16"/>
      <c r="M862" s="20"/>
      <c r="N862" s="23"/>
      <c r="O862" s="151"/>
      <c r="P862" s="25"/>
      <c r="Q862" s="23"/>
    </row>
    <row r="863" spans="1:17" x14ac:dyDescent="0.2">
      <c r="A863" s="151"/>
      <c r="B863" s="151"/>
      <c r="C863" s="151"/>
      <c r="D863" s="151"/>
      <c r="E863" s="151"/>
      <c r="F863" s="151"/>
      <c r="G863" s="151"/>
      <c r="H863"/>
      <c r="I863"/>
      <c r="J863"/>
      <c r="K863"/>
      <c r="L863" s="16"/>
      <c r="M863" s="20"/>
      <c r="N863" s="23"/>
      <c r="O863" s="151"/>
      <c r="P863" s="25"/>
      <c r="Q863" s="23"/>
    </row>
    <row r="864" spans="1:17" x14ac:dyDescent="0.2">
      <c r="A864" s="151"/>
      <c r="B864" s="151"/>
      <c r="C864" s="151"/>
      <c r="D864" s="151"/>
      <c r="E864" s="151"/>
      <c r="F864" s="151"/>
      <c r="G864" s="151"/>
      <c r="H864"/>
      <c r="I864"/>
      <c r="J864"/>
      <c r="K864"/>
      <c r="L864" s="16"/>
      <c r="M864" s="20"/>
      <c r="N864" s="23"/>
      <c r="O864" s="23"/>
      <c r="P864" s="25"/>
      <c r="Q864" s="23"/>
    </row>
    <row r="865" spans="1:17" x14ac:dyDescent="0.2">
      <c r="A865" s="151"/>
      <c r="B865" s="151"/>
      <c r="C865" s="151"/>
      <c r="D865" s="151"/>
      <c r="E865" s="151"/>
      <c r="F865" s="151"/>
      <c r="G865" s="151"/>
      <c r="H865"/>
      <c r="I865"/>
      <c r="J865"/>
      <c r="K865"/>
      <c r="L865" s="16"/>
      <c r="M865" s="20"/>
      <c r="N865" s="23"/>
      <c r="O865" s="23"/>
      <c r="P865" s="25"/>
      <c r="Q865" s="23"/>
    </row>
    <row r="866" spans="1:17" x14ac:dyDescent="0.2">
      <c r="A866" s="151"/>
      <c r="B866" s="151"/>
      <c r="C866" s="151"/>
      <c r="D866" s="151"/>
      <c r="E866" s="151"/>
      <c r="F866" s="151"/>
      <c r="G866" s="151"/>
      <c r="H866"/>
      <c r="I866"/>
      <c r="J866"/>
      <c r="K866"/>
      <c r="L866" s="16"/>
      <c r="M866" s="20"/>
      <c r="N866" s="23"/>
      <c r="O866" s="23"/>
      <c r="P866" s="25"/>
      <c r="Q866" s="23"/>
    </row>
    <row r="867" spans="1:17" x14ac:dyDescent="0.2">
      <c r="A867" s="151"/>
      <c r="B867" s="151"/>
      <c r="C867" s="151"/>
      <c r="D867" s="151"/>
      <c r="E867" s="151"/>
      <c r="F867" s="151"/>
      <c r="G867" s="151"/>
      <c r="H867"/>
      <c r="I867"/>
      <c r="J867"/>
      <c r="K867"/>
      <c r="L867" s="16"/>
      <c r="M867" s="20"/>
      <c r="N867" s="23"/>
      <c r="O867" s="23"/>
      <c r="P867" s="25"/>
      <c r="Q867" s="23"/>
    </row>
    <row r="868" spans="1:17" x14ac:dyDescent="0.2">
      <c r="A868" s="151"/>
      <c r="B868" s="151"/>
      <c r="C868" s="151"/>
      <c r="D868" s="151"/>
      <c r="E868" s="151"/>
      <c r="F868" s="151"/>
      <c r="G868" s="151"/>
      <c r="H868"/>
      <c r="I868"/>
      <c r="J868"/>
      <c r="K868"/>
      <c r="L868" s="16"/>
      <c r="M868" s="20"/>
      <c r="N868" s="23"/>
      <c r="O868" s="23"/>
      <c r="P868" s="25"/>
      <c r="Q868" s="23"/>
    </row>
    <row r="869" spans="1:17" x14ac:dyDescent="0.2">
      <c r="A869" s="151"/>
      <c r="B869" s="151"/>
      <c r="C869" s="151"/>
      <c r="D869" s="151"/>
      <c r="E869" s="151"/>
      <c r="F869" s="151"/>
      <c r="G869" s="151"/>
      <c r="H869"/>
      <c r="I869"/>
      <c r="J869"/>
      <c r="K869"/>
      <c r="L869" s="16"/>
      <c r="M869" s="20"/>
      <c r="N869" s="23"/>
      <c r="O869" s="23"/>
      <c r="P869" s="25"/>
      <c r="Q869" s="23"/>
    </row>
    <row r="870" spans="1:17" x14ac:dyDescent="0.2">
      <c r="A870" s="151"/>
      <c r="B870" s="151"/>
      <c r="C870" s="151"/>
      <c r="D870" s="151"/>
      <c r="E870" s="151"/>
      <c r="F870" s="151"/>
      <c r="G870" s="151"/>
      <c r="H870"/>
      <c r="I870"/>
      <c r="J870"/>
      <c r="K870"/>
      <c r="L870" s="16"/>
      <c r="M870" s="20"/>
      <c r="N870" s="23"/>
      <c r="O870" s="23"/>
      <c r="P870" s="25"/>
      <c r="Q870" s="23"/>
    </row>
    <row r="871" spans="1:17" x14ac:dyDescent="0.2">
      <c r="A871" s="151"/>
      <c r="B871" s="151"/>
      <c r="C871" s="151"/>
      <c r="D871" s="151"/>
      <c r="E871" s="151"/>
      <c r="F871" s="151"/>
      <c r="G871" s="151"/>
      <c r="H871"/>
      <c r="I871"/>
      <c r="J871"/>
      <c r="K871"/>
      <c r="L871" s="16"/>
      <c r="M871" s="20"/>
      <c r="N871" s="23"/>
      <c r="O871" s="23"/>
      <c r="P871" s="25"/>
      <c r="Q871" s="23"/>
    </row>
    <row r="872" spans="1:17" x14ac:dyDescent="0.2">
      <c r="A872" s="151"/>
      <c r="B872" s="151"/>
      <c r="C872" s="151"/>
      <c r="D872" s="151"/>
      <c r="E872" s="151"/>
      <c r="F872" s="151"/>
      <c r="G872" s="151"/>
      <c r="H872"/>
      <c r="I872"/>
      <c r="J872"/>
      <c r="K872"/>
      <c r="L872" s="16"/>
      <c r="M872" s="20"/>
      <c r="N872" s="23"/>
      <c r="O872" s="23"/>
      <c r="P872" s="25"/>
      <c r="Q872" s="23"/>
    </row>
    <row r="873" spans="1:17" x14ac:dyDescent="0.2">
      <c r="A873" s="151"/>
      <c r="B873" s="151"/>
      <c r="C873" s="151"/>
      <c r="D873" s="151"/>
      <c r="E873" s="151"/>
      <c r="F873" s="151"/>
      <c r="G873" s="151"/>
      <c r="H873"/>
      <c r="I873"/>
      <c r="J873"/>
      <c r="K873"/>
      <c r="L873" s="16"/>
      <c r="M873" s="20"/>
      <c r="N873" s="23"/>
      <c r="O873" s="23"/>
      <c r="P873" s="25"/>
      <c r="Q873" s="23"/>
    </row>
    <row r="874" spans="1:17" x14ac:dyDescent="0.2">
      <c r="A874" s="151"/>
      <c r="B874" s="151"/>
      <c r="C874" s="151"/>
      <c r="D874" s="151"/>
      <c r="E874" s="151"/>
      <c r="F874" s="151"/>
      <c r="G874" s="151"/>
      <c r="H874"/>
      <c r="I874"/>
      <c r="J874"/>
      <c r="K874"/>
      <c r="L874" s="16"/>
      <c r="M874" s="20"/>
      <c r="N874" s="23"/>
      <c r="O874" s="23"/>
      <c r="P874" s="25"/>
      <c r="Q874" s="23"/>
    </row>
    <row r="875" spans="1:17" x14ac:dyDescent="0.2">
      <c r="A875" s="151"/>
      <c r="B875" s="151"/>
      <c r="C875" s="151"/>
      <c r="D875" s="151"/>
      <c r="E875" s="151"/>
      <c r="F875" s="151"/>
      <c r="G875" s="151"/>
      <c r="H875"/>
      <c r="I875"/>
      <c r="J875"/>
      <c r="K875"/>
      <c r="L875" s="16"/>
      <c r="M875" s="20"/>
      <c r="N875" s="23"/>
      <c r="O875" s="23"/>
      <c r="P875" s="25"/>
      <c r="Q875" s="23"/>
    </row>
    <row r="876" spans="1:17" x14ac:dyDescent="0.2">
      <c r="A876" s="151"/>
      <c r="B876" s="151"/>
      <c r="C876" s="151"/>
      <c r="D876" s="151"/>
      <c r="E876" s="151"/>
      <c r="F876" s="151"/>
      <c r="G876" s="151"/>
      <c r="H876"/>
      <c r="I876"/>
      <c r="J876"/>
      <c r="K876"/>
      <c r="L876" s="16"/>
      <c r="M876" s="20"/>
      <c r="N876" s="23"/>
      <c r="O876" s="23"/>
      <c r="P876" s="25"/>
      <c r="Q876" s="23"/>
    </row>
    <row r="877" spans="1:17" x14ac:dyDescent="0.2">
      <c r="A877" s="151"/>
      <c r="B877" s="151"/>
      <c r="C877" s="151"/>
      <c r="D877" s="151"/>
      <c r="E877" s="151"/>
      <c r="F877" s="151"/>
      <c r="G877" s="151"/>
      <c r="H877"/>
      <c r="I877"/>
      <c r="J877"/>
      <c r="K877"/>
      <c r="L877" s="16"/>
      <c r="M877" s="20"/>
      <c r="N877" s="23"/>
      <c r="O877" s="23"/>
      <c r="P877" s="25"/>
      <c r="Q877" s="23"/>
    </row>
    <row r="878" spans="1:17" x14ac:dyDescent="0.2">
      <c r="A878" s="151"/>
      <c r="B878" s="151"/>
      <c r="C878" s="151"/>
      <c r="D878" s="151"/>
      <c r="E878" s="151"/>
      <c r="F878" s="151"/>
      <c r="G878" s="151"/>
      <c r="H878"/>
      <c r="I878"/>
      <c r="J878"/>
      <c r="K878"/>
      <c r="L878" s="16"/>
      <c r="M878" s="20"/>
      <c r="N878" s="23"/>
      <c r="O878" s="23"/>
      <c r="P878" s="25"/>
      <c r="Q878" s="23"/>
    </row>
    <row r="879" spans="1:17" x14ac:dyDescent="0.2">
      <c r="A879" s="151"/>
      <c r="B879" s="151"/>
      <c r="C879" s="151"/>
      <c r="D879" s="151"/>
      <c r="E879" s="151"/>
      <c r="F879" s="151"/>
      <c r="G879" s="151"/>
      <c r="H879"/>
      <c r="I879"/>
      <c r="J879"/>
      <c r="K879"/>
      <c r="L879" s="16"/>
      <c r="M879" s="20"/>
      <c r="N879" s="23"/>
      <c r="O879" s="23"/>
      <c r="P879" s="25"/>
      <c r="Q879" s="23"/>
    </row>
    <row r="880" spans="1:17" x14ac:dyDescent="0.2">
      <c r="A880" s="151"/>
      <c r="B880" s="151"/>
      <c r="C880" s="151"/>
      <c r="D880" s="151"/>
      <c r="E880" s="151"/>
      <c r="F880" s="151"/>
      <c r="G880" s="151"/>
      <c r="H880"/>
      <c r="I880"/>
      <c r="J880"/>
      <c r="K880"/>
      <c r="L880" s="16"/>
      <c r="M880" s="20"/>
      <c r="N880" s="23"/>
      <c r="O880" s="23"/>
      <c r="P880" s="25"/>
      <c r="Q880" s="23"/>
    </row>
    <row r="881" spans="1:17" x14ac:dyDescent="0.2">
      <c r="A881" s="151"/>
      <c r="B881" s="151"/>
      <c r="C881" s="151"/>
      <c r="D881" s="151"/>
      <c r="E881" s="151"/>
      <c r="F881" s="151"/>
      <c r="G881" s="151"/>
      <c r="H881"/>
      <c r="I881"/>
      <c r="J881"/>
      <c r="K881"/>
      <c r="L881" s="16"/>
      <c r="M881" s="20"/>
      <c r="N881" s="23"/>
      <c r="O881" s="23"/>
      <c r="P881" s="25"/>
      <c r="Q881" s="23"/>
    </row>
    <row r="882" spans="1:17" x14ac:dyDescent="0.2">
      <c r="A882" s="151"/>
      <c r="B882" s="151"/>
      <c r="C882" s="151"/>
      <c r="D882" s="151"/>
      <c r="E882" s="151"/>
      <c r="F882" s="151"/>
      <c r="G882" s="151"/>
      <c r="H882"/>
      <c r="I882"/>
      <c r="J882"/>
      <c r="K882"/>
      <c r="L882" s="16"/>
      <c r="M882" s="20"/>
      <c r="N882" s="23"/>
      <c r="O882" s="23"/>
      <c r="P882" s="25"/>
      <c r="Q882" s="23"/>
    </row>
    <row r="883" spans="1:17" x14ac:dyDescent="0.2">
      <c r="A883" s="151"/>
      <c r="B883" s="151"/>
      <c r="C883" s="151"/>
      <c r="D883" s="151"/>
      <c r="E883" s="151"/>
      <c r="F883" s="151"/>
      <c r="G883" s="151"/>
      <c r="H883"/>
      <c r="I883"/>
      <c r="J883"/>
      <c r="K883"/>
      <c r="L883" s="16"/>
      <c r="M883" s="20"/>
      <c r="N883" s="23"/>
      <c r="O883" s="23"/>
      <c r="P883" s="25"/>
      <c r="Q883" s="23"/>
    </row>
    <row r="884" spans="1:17" x14ac:dyDescent="0.2">
      <c r="A884" s="151"/>
      <c r="B884" s="151"/>
      <c r="C884" s="151"/>
      <c r="D884" s="151"/>
      <c r="E884" s="151"/>
      <c r="F884" s="151"/>
      <c r="G884" s="151"/>
      <c r="H884"/>
      <c r="I884"/>
      <c r="J884"/>
      <c r="K884"/>
      <c r="L884" s="16"/>
      <c r="M884" s="20"/>
      <c r="N884" s="23"/>
      <c r="O884" s="23"/>
      <c r="P884" s="25"/>
      <c r="Q884" s="23"/>
    </row>
    <row r="885" spans="1:17" x14ac:dyDescent="0.2">
      <c r="A885" s="151"/>
      <c r="B885" s="151"/>
      <c r="C885" s="151"/>
      <c r="D885" s="151"/>
      <c r="E885" s="151"/>
      <c r="F885" s="151"/>
      <c r="G885" s="151"/>
      <c r="H885"/>
      <c r="I885"/>
      <c r="J885"/>
      <c r="K885"/>
      <c r="L885" s="16"/>
      <c r="M885" s="20"/>
      <c r="N885" s="23"/>
      <c r="O885" s="23"/>
      <c r="P885" s="25"/>
      <c r="Q885" s="23"/>
    </row>
    <row r="886" spans="1:17" x14ac:dyDescent="0.2">
      <c r="A886" s="151"/>
      <c r="B886" s="151"/>
      <c r="C886" s="151"/>
      <c r="D886" s="151"/>
      <c r="E886" s="151"/>
      <c r="F886" s="151"/>
      <c r="G886" s="151"/>
      <c r="H886" s="151"/>
      <c r="I886" s="151"/>
      <c r="J886"/>
      <c r="K886"/>
      <c r="L886" s="16"/>
      <c r="M886" s="20"/>
      <c r="N886" s="23"/>
      <c r="O886" s="23"/>
      <c r="P886" s="25"/>
      <c r="Q886" s="23"/>
    </row>
    <row r="887" spans="1:17" x14ac:dyDescent="0.2">
      <c r="A887" s="151"/>
      <c r="B887" s="151"/>
      <c r="C887" s="151"/>
      <c r="D887" s="151"/>
      <c r="E887" s="151"/>
      <c r="F887" s="151"/>
      <c r="G887" s="151"/>
      <c r="H887" s="151"/>
      <c r="I887" s="151"/>
      <c r="J887"/>
      <c r="K887"/>
      <c r="L887" s="16"/>
      <c r="M887" s="20"/>
      <c r="N887" s="23"/>
      <c r="O887" s="23"/>
      <c r="P887" s="25"/>
      <c r="Q887" s="23"/>
    </row>
    <row r="888" spans="1:17" x14ac:dyDescent="0.2">
      <c r="A888" s="151"/>
      <c r="B888" s="151"/>
      <c r="C888" s="151"/>
      <c r="D888" s="151"/>
      <c r="E888" s="151"/>
      <c r="F888" s="151"/>
      <c r="G888" s="151"/>
      <c r="H888" s="151"/>
      <c r="I888" s="151"/>
      <c r="J888"/>
      <c r="K888"/>
      <c r="L888" s="16"/>
      <c r="M888" s="20"/>
      <c r="N888" s="23"/>
      <c r="O888" s="23"/>
      <c r="P888" s="25"/>
      <c r="Q888" s="23"/>
    </row>
    <row r="889" spans="1:17" x14ac:dyDescent="0.2">
      <c r="A889"/>
      <c r="B889" s="151"/>
      <c r="C889" s="151"/>
      <c r="D889" s="151"/>
      <c r="E889" s="151"/>
      <c r="F889" s="151"/>
      <c r="G889" s="151"/>
      <c r="H889" s="151"/>
      <c r="I889" s="151"/>
      <c r="J889" s="151"/>
      <c r="K889"/>
      <c r="L889" s="16"/>
      <c r="M889" s="20"/>
      <c r="N889" s="23"/>
      <c r="O889" s="23"/>
      <c r="P889" s="25"/>
      <c r="Q889" s="23"/>
    </row>
    <row r="890" spans="1:17" x14ac:dyDescent="0.2">
      <c r="A890"/>
      <c r="B890" s="151"/>
      <c r="C890" s="151"/>
      <c r="D890" s="151"/>
      <c r="E890" s="151"/>
      <c r="F890" s="151"/>
      <c r="G890" s="151"/>
      <c r="H890" s="151"/>
      <c r="I890" s="151"/>
      <c r="J890" s="151"/>
      <c r="K890"/>
      <c r="L890" s="16"/>
      <c r="M890" s="20"/>
      <c r="N890" s="23"/>
      <c r="O890" s="23"/>
      <c r="P890" s="25"/>
      <c r="Q890" s="23"/>
    </row>
    <row r="891" spans="1:17" x14ac:dyDescent="0.2">
      <c r="A891"/>
      <c r="B891" s="151"/>
      <c r="C891" s="151"/>
      <c r="D891" s="151"/>
      <c r="E891" s="151"/>
      <c r="F891" s="151"/>
      <c r="G891" s="151"/>
      <c r="H891" s="151"/>
      <c r="I891" s="151"/>
      <c r="J891" s="151"/>
      <c r="K891"/>
      <c r="L891" s="16"/>
      <c r="M891" s="20"/>
      <c r="N891" s="23"/>
      <c r="O891" s="23"/>
      <c r="P891" s="25"/>
      <c r="Q891" s="23"/>
    </row>
    <row r="892" spans="1:17" x14ac:dyDescent="0.2">
      <c r="A892"/>
      <c r="B892" s="151"/>
      <c r="C892" s="151"/>
      <c r="D892" s="151"/>
      <c r="E892" s="151"/>
      <c r="F892" s="151"/>
      <c r="G892" s="151"/>
      <c r="H892" s="151"/>
      <c r="I892" s="151"/>
      <c r="J892" s="151"/>
      <c r="K892"/>
      <c r="L892" s="16"/>
      <c r="M892" s="20"/>
      <c r="N892" s="23"/>
      <c r="O892" s="23"/>
      <c r="P892" s="25"/>
      <c r="Q892" s="23"/>
    </row>
    <row r="893" spans="1:17" x14ac:dyDescent="0.2">
      <c r="A893"/>
      <c r="B893" s="151"/>
      <c r="C893" s="151"/>
      <c r="D893" s="151"/>
      <c r="E893" s="151"/>
      <c r="F893" s="151"/>
      <c r="G893" s="151"/>
      <c r="H893" s="151"/>
      <c r="I893" s="151"/>
      <c r="J893" s="151"/>
      <c r="K893"/>
      <c r="L893" s="16"/>
      <c r="M893" s="20"/>
      <c r="N893" s="23"/>
      <c r="O893" s="23"/>
      <c r="P893" s="25"/>
      <c r="Q893" s="23"/>
    </row>
    <row r="894" spans="1:17" x14ac:dyDescent="0.2">
      <c r="A894"/>
      <c r="B894" s="151"/>
      <c r="C894" s="151"/>
      <c r="D894" s="151"/>
      <c r="E894" s="151"/>
      <c r="F894" s="151"/>
      <c r="G894" s="151"/>
      <c r="H894" s="151"/>
      <c r="I894" s="151"/>
      <c r="J894" s="151"/>
      <c r="K894"/>
      <c r="L894" s="16"/>
      <c r="M894" s="20"/>
      <c r="N894" s="23"/>
      <c r="O894" s="23"/>
      <c r="P894" s="25"/>
      <c r="Q894" s="23"/>
    </row>
    <row r="895" spans="1:17" x14ac:dyDescent="0.2">
      <c r="A895"/>
      <c r="B895" s="151"/>
      <c r="C895" s="151"/>
      <c r="D895" s="151"/>
      <c r="E895" s="151"/>
      <c r="F895" s="151"/>
      <c r="G895" s="151"/>
      <c r="H895" s="151"/>
      <c r="I895" s="151"/>
      <c r="J895" s="151"/>
      <c r="K895"/>
      <c r="L895" s="16"/>
      <c r="M895" s="20"/>
      <c r="N895" s="23"/>
      <c r="O895" s="23"/>
      <c r="P895" s="25"/>
      <c r="Q895" s="23"/>
    </row>
    <row r="896" spans="1:17" x14ac:dyDescent="0.2">
      <c r="A896"/>
      <c r="B896" s="151"/>
      <c r="C896" s="151"/>
      <c r="D896" s="151"/>
      <c r="E896" s="151"/>
      <c r="F896" s="151"/>
      <c r="G896" s="151"/>
      <c r="H896" s="151"/>
      <c r="I896" s="151"/>
      <c r="J896" s="151"/>
      <c r="K896"/>
      <c r="L896" s="16"/>
      <c r="M896" s="20"/>
      <c r="N896" s="23"/>
      <c r="O896" s="23"/>
      <c r="P896" s="25"/>
      <c r="Q896" s="23"/>
    </row>
    <row r="897" spans="1:17" x14ac:dyDescent="0.2">
      <c r="A897"/>
      <c r="B897" s="151"/>
      <c r="C897" s="151"/>
      <c r="D897" s="151"/>
      <c r="E897" s="151"/>
      <c r="F897" s="151"/>
      <c r="G897" s="151"/>
      <c r="H897" s="151"/>
      <c r="I897" s="151"/>
      <c r="J897" s="151"/>
      <c r="K897"/>
      <c r="L897" s="16"/>
      <c r="M897" s="20"/>
      <c r="N897" s="23"/>
      <c r="O897" s="23"/>
      <c r="P897" s="25"/>
      <c r="Q897" s="23"/>
    </row>
    <row r="898" spans="1:17" x14ac:dyDescent="0.2">
      <c r="A898"/>
      <c r="B898" s="151"/>
      <c r="C898" s="151"/>
      <c r="D898" s="151"/>
      <c r="E898" s="151"/>
      <c r="F898" s="151"/>
      <c r="G898" s="151"/>
      <c r="H898" s="151"/>
      <c r="I898" s="151"/>
      <c r="J898" s="151"/>
      <c r="K898"/>
      <c r="L898" s="16"/>
      <c r="M898" s="20"/>
      <c r="N898" s="23"/>
      <c r="O898" s="23"/>
      <c r="P898" s="25"/>
      <c r="Q898" s="23"/>
    </row>
    <row r="899" spans="1:17" x14ac:dyDescent="0.2">
      <c r="A899"/>
      <c r="B899" s="151"/>
      <c r="C899" s="151"/>
      <c r="D899" s="151"/>
      <c r="E899" s="151"/>
      <c r="F899" s="151"/>
      <c r="G899" s="151"/>
      <c r="H899" s="151"/>
      <c r="I899" s="151"/>
      <c r="J899" s="151"/>
      <c r="K899"/>
      <c r="L899" s="16"/>
      <c r="M899" s="20"/>
      <c r="N899" s="23"/>
      <c r="O899" s="23"/>
      <c r="P899" s="25"/>
      <c r="Q899" s="23"/>
    </row>
    <row r="900" spans="1:17" x14ac:dyDescent="0.2">
      <c r="A900"/>
      <c r="B900" s="151"/>
      <c r="C900" s="151"/>
      <c r="D900" s="151"/>
      <c r="E900" s="151"/>
      <c r="F900" s="151"/>
      <c r="G900" s="151"/>
      <c r="H900" s="151"/>
      <c r="I900" s="151"/>
      <c r="J900" s="151"/>
      <c r="K900"/>
      <c r="L900" s="16"/>
      <c r="M900" s="20"/>
      <c r="N900" s="23"/>
      <c r="O900" s="23"/>
      <c r="P900" s="25"/>
      <c r="Q900" s="23"/>
    </row>
    <row r="901" spans="1:17" x14ac:dyDescent="0.2">
      <c r="A901" s="19"/>
      <c r="B901" s="22"/>
      <c r="C901" s="22"/>
      <c r="D901" s="22"/>
      <c r="E901" s="13"/>
      <c r="F901" s="14"/>
      <c r="G901" s="22"/>
      <c r="H901" s="22"/>
      <c r="I901" s="22"/>
      <c r="J901" s="17"/>
      <c r="K901" s="20"/>
      <c r="L901" s="16"/>
      <c r="M901" s="20"/>
      <c r="N901" s="23"/>
      <c r="O901" s="23"/>
      <c r="P901" s="25"/>
      <c r="Q901" s="23"/>
    </row>
    <row r="902" spans="1:17" x14ac:dyDescent="0.2">
      <c r="A902" s="19"/>
      <c r="B902" s="22"/>
      <c r="C902" s="22"/>
      <c r="D902" s="22"/>
      <c r="E902" s="13"/>
      <c r="F902" s="14"/>
      <c r="G902" s="22"/>
      <c r="H902" s="22"/>
      <c r="I902" s="22"/>
      <c r="J902" s="17"/>
      <c r="K902" s="20"/>
      <c r="L902" s="16"/>
      <c r="M902" s="20"/>
      <c r="N902" s="23"/>
      <c r="O902" s="23"/>
      <c r="P902" s="25"/>
      <c r="Q902" s="23"/>
    </row>
    <row r="903" spans="1:17" x14ac:dyDescent="0.2">
      <c r="A903" s="19"/>
      <c r="B903" s="22"/>
      <c r="C903" s="22"/>
      <c r="D903" s="22"/>
      <c r="E903" s="13"/>
      <c r="F903" s="14"/>
      <c r="G903" s="22"/>
      <c r="H903" s="22"/>
      <c r="I903" s="22"/>
      <c r="J903" s="17"/>
      <c r="K903" s="20"/>
      <c r="L903" s="16"/>
      <c r="M903" s="20"/>
      <c r="N903" s="23"/>
      <c r="O903" s="23"/>
      <c r="P903" s="25"/>
      <c r="Q903" s="23"/>
    </row>
    <row r="904" spans="1:17" x14ac:dyDescent="0.2">
      <c r="A904" s="19"/>
      <c r="B904" s="22"/>
      <c r="C904" s="22"/>
      <c r="D904" s="22"/>
      <c r="E904" s="13"/>
      <c r="F904" s="14"/>
      <c r="G904" s="22"/>
      <c r="H904" s="22"/>
      <c r="I904" s="22"/>
      <c r="J904" s="17"/>
      <c r="K904" s="20"/>
      <c r="L904" s="16"/>
      <c r="M904" s="20"/>
      <c r="N904" s="23"/>
      <c r="O904" s="23"/>
      <c r="P904" s="25"/>
      <c r="Q904" s="23"/>
    </row>
    <row r="905" spans="1:17" x14ac:dyDescent="0.2">
      <c r="A905" s="19"/>
      <c r="B905" s="22"/>
      <c r="C905" s="22"/>
      <c r="D905" s="22"/>
      <c r="E905" s="13"/>
      <c r="F905" s="14"/>
      <c r="G905" s="22"/>
      <c r="H905" s="22"/>
      <c r="I905" s="22"/>
      <c r="J905" s="17"/>
      <c r="K905" s="20"/>
      <c r="L905" s="16"/>
      <c r="M905" s="20"/>
      <c r="N905" s="23"/>
      <c r="O905" s="23"/>
      <c r="P905" s="25"/>
      <c r="Q905" s="23"/>
    </row>
    <row r="906" spans="1:17" x14ac:dyDescent="0.2">
      <c r="A906" s="19"/>
      <c r="B906" s="22"/>
      <c r="C906" s="22"/>
      <c r="D906" s="22"/>
      <c r="E906" s="13"/>
      <c r="F906" s="14"/>
      <c r="G906" s="22"/>
      <c r="H906" s="22"/>
      <c r="I906" s="22"/>
      <c r="J906" s="17"/>
      <c r="K906" s="20"/>
      <c r="L906" s="16"/>
      <c r="M906" s="20"/>
      <c r="N906" s="23"/>
      <c r="O906" s="23"/>
      <c r="P906" s="25"/>
      <c r="Q906" s="23"/>
    </row>
    <row r="907" spans="1:17" x14ac:dyDescent="0.2">
      <c r="A907" s="19"/>
      <c r="B907" s="22"/>
      <c r="C907" s="22"/>
      <c r="D907" s="22"/>
      <c r="E907" s="13"/>
      <c r="F907" s="14"/>
      <c r="G907" s="22"/>
      <c r="H907" s="22"/>
      <c r="I907" s="22"/>
      <c r="J907" s="17"/>
      <c r="K907" s="20"/>
      <c r="L907" s="16"/>
      <c r="M907" s="20"/>
      <c r="N907" s="23"/>
      <c r="O907" s="23"/>
      <c r="P907" s="25"/>
      <c r="Q907" s="23"/>
    </row>
    <row r="908" spans="1:17" x14ac:dyDescent="0.2">
      <c r="A908" s="19"/>
      <c r="B908" s="22"/>
      <c r="C908" s="22"/>
      <c r="D908" s="22"/>
      <c r="E908" s="13"/>
      <c r="F908" s="14"/>
      <c r="G908" s="22"/>
      <c r="H908" s="22"/>
      <c r="I908" s="22"/>
      <c r="J908" s="17"/>
      <c r="K908" s="20"/>
      <c r="L908" s="16"/>
      <c r="M908" s="20"/>
      <c r="N908" s="23"/>
      <c r="O908" s="23"/>
      <c r="P908" s="25"/>
      <c r="Q908" s="23"/>
    </row>
    <row r="909" spans="1:17" x14ac:dyDescent="0.2">
      <c r="A909" s="19"/>
      <c r="B909" s="22"/>
      <c r="C909" s="22"/>
      <c r="D909" s="22"/>
      <c r="E909" s="13"/>
      <c r="F909" s="14"/>
      <c r="G909" s="22"/>
      <c r="H909" s="22"/>
      <c r="I909" s="22"/>
      <c r="J909" s="17"/>
      <c r="K909" s="20"/>
      <c r="L909" s="16"/>
      <c r="M909" s="20"/>
      <c r="N909" s="23"/>
      <c r="O909" s="23"/>
      <c r="P909" s="25"/>
      <c r="Q909" s="23"/>
    </row>
    <row r="910" spans="1:17" x14ac:dyDescent="0.2">
      <c r="A910" s="19"/>
      <c r="B910" s="22"/>
      <c r="C910" s="22"/>
      <c r="D910" s="22"/>
      <c r="E910" s="13"/>
      <c r="F910" s="14"/>
      <c r="G910" s="22"/>
      <c r="H910" s="22"/>
      <c r="I910" s="22"/>
      <c r="J910" s="17"/>
      <c r="K910" s="20"/>
      <c r="L910" s="16"/>
      <c r="M910" s="20"/>
      <c r="N910" s="23"/>
      <c r="O910" s="23"/>
      <c r="P910" s="25"/>
      <c r="Q910" s="23"/>
    </row>
    <row r="911" spans="1:17" x14ac:dyDescent="0.2">
      <c r="A911" s="19"/>
      <c r="B911" s="22"/>
      <c r="C911" s="22"/>
      <c r="D911" s="22"/>
      <c r="E911" s="13"/>
      <c r="F911" s="14"/>
      <c r="G911" s="22"/>
      <c r="H911" s="22"/>
      <c r="I911" s="22"/>
      <c r="J911" s="17"/>
      <c r="K911" s="20"/>
      <c r="L911" s="16"/>
      <c r="M911" s="20"/>
      <c r="N911" s="23"/>
      <c r="O911" s="23"/>
      <c r="P911" s="25"/>
      <c r="Q911" s="23"/>
    </row>
    <row r="912" spans="1:17" x14ac:dyDescent="0.2">
      <c r="A912" s="19"/>
      <c r="B912" s="22"/>
      <c r="C912" s="22"/>
      <c r="D912" s="22"/>
      <c r="E912" s="13"/>
      <c r="F912" s="14"/>
      <c r="G912" s="22"/>
      <c r="H912" s="22"/>
      <c r="I912" s="22"/>
      <c r="J912" s="17"/>
      <c r="K912" s="20"/>
      <c r="L912" s="16"/>
      <c r="M912" s="20"/>
      <c r="N912" s="23"/>
      <c r="O912" s="23"/>
      <c r="P912" s="25"/>
      <c r="Q912" s="23"/>
    </row>
    <row r="913" spans="1:18" x14ac:dyDescent="0.2">
      <c r="A913" s="19"/>
      <c r="B913" s="22"/>
      <c r="C913" s="22"/>
      <c r="D913" s="22"/>
      <c r="E913" s="13"/>
      <c r="F913" s="14"/>
      <c r="G913" s="22"/>
      <c r="H913" s="22"/>
      <c r="I913" s="22"/>
      <c r="J913" s="17"/>
      <c r="K913" s="20"/>
      <c r="L913" s="16"/>
      <c r="M913" s="20"/>
      <c r="N913" s="23"/>
      <c r="O913" s="23"/>
      <c r="P913" s="25"/>
      <c r="Q913" s="23"/>
    </row>
    <row r="914" spans="1:18" x14ac:dyDescent="0.2">
      <c r="A914" s="19"/>
      <c r="B914" s="22"/>
      <c r="C914" s="22"/>
      <c r="D914" s="22"/>
      <c r="E914" s="13"/>
      <c r="F914" s="14"/>
      <c r="G914" s="22"/>
      <c r="H914" s="22"/>
      <c r="I914" s="22"/>
      <c r="J914" s="17"/>
      <c r="K914" s="20"/>
      <c r="L914" s="16"/>
      <c r="M914" s="20"/>
      <c r="N914" s="18"/>
      <c r="O914" s="23"/>
      <c r="P914" s="23"/>
      <c r="Q914" s="25"/>
      <c r="R914" s="23"/>
    </row>
    <row r="915" spans="1:18" x14ac:dyDescent="0.2">
      <c r="A915" s="19"/>
      <c r="B915" s="22"/>
      <c r="C915" s="22"/>
      <c r="D915" s="22"/>
      <c r="E915" s="13"/>
      <c r="F915" s="14"/>
      <c r="G915" s="22"/>
      <c r="H915" s="22"/>
      <c r="I915" s="22"/>
      <c r="J915" s="17"/>
      <c r="K915" s="20"/>
      <c r="L915" s="16"/>
      <c r="M915" s="20"/>
      <c r="N915" s="18"/>
      <c r="O915" s="23"/>
      <c r="P915" s="23"/>
      <c r="Q915" s="25"/>
      <c r="R915" s="23"/>
    </row>
    <row r="916" spans="1:18" x14ac:dyDescent="0.2">
      <c r="A916" s="19"/>
      <c r="B916" s="22"/>
      <c r="C916" s="22"/>
      <c r="D916" s="22"/>
      <c r="E916" s="13"/>
      <c r="F916" s="14"/>
      <c r="G916" s="22"/>
      <c r="H916" s="22"/>
      <c r="I916" s="22"/>
      <c r="J916" s="17"/>
      <c r="K916" s="20"/>
      <c r="L916" s="16"/>
      <c r="M916" s="20"/>
      <c r="N916" s="18"/>
      <c r="O916" s="23"/>
      <c r="P916" s="23"/>
      <c r="Q916" s="25"/>
      <c r="R916" s="23"/>
    </row>
    <row r="917" spans="1:18" x14ac:dyDescent="0.2">
      <c r="A917" s="19"/>
      <c r="B917" s="22"/>
      <c r="C917" s="22"/>
      <c r="D917" s="22"/>
      <c r="E917" s="13"/>
      <c r="F917" s="14"/>
      <c r="G917" s="22"/>
      <c r="H917" s="22"/>
      <c r="I917" s="22"/>
      <c r="J917" s="17"/>
      <c r="K917" s="20"/>
      <c r="L917" s="16"/>
      <c r="M917" s="20"/>
      <c r="N917" s="18"/>
      <c r="O917" s="23"/>
      <c r="P917" s="23"/>
      <c r="Q917" s="25"/>
      <c r="R917" s="23"/>
    </row>
    <row r="918" spans="1:18" x14ac:dyDescent="0.2">
      <c r="A918" s="19"/>
      <c r="B918" s="22"/>
      <c r="C918" s="22"/>
      <c r="D918" s="22"/>
      <c r="E918" s="13"/>
      <c r="F918" s="14"/>
      <c r="G918" s="22"/>
      <c r="H918" s="22"/>
      <c r="I918" s="22"/>
      <c r="J918" s="17"/>
      <c r="K918" s="20"/>
      <c r="L918" s="16"/>
      <c r="M918" s="20"/>
      <c r="N918" s="18"/>
      <c r="O918" s="23"/>
      <c r="P918" s="23"/>
      <c r="Q918" s="25"/>
      <c r="R918" s="23"/>
    </row>
    <row r="919" spans="1:18" x14ac:dyDescent="0.2">
      <c r="A919" s="19"/>
      <c r="B919" s="22"/>
      <c r="C919" s="22"/>
      <c r="D919" s="22"/>
      <c r="E919" s="13"/>
      <c r="F919" s="14"/>
      <c r="G919" s="22"/>
      <c r="H919" s="22"/>
      <c r="I919" s="22"/>
      <c r="J919" s="17"/>
      <c r="K919" s="20"/>
      <c r="L919" s="16"/>
      <c r="M919" s="20"/>
      <c r="N919" s="18"/>
      <c r="O919" s="23"/>
      <c r="P919" s="23"/>
      <c r="Q919" s="25"/>
      <c r="R919" s="23"/>
    </row>
    <row r="920" spans="1:18" x14ac:dyDescent="0.2">
      <c r="A920" s="19"/>
      <c r="B920" s="22"/>
      <c r="C920" s="22"/>
      <c r="D920" s="22"/>
      <c r="E920" s="13"/>
      <c r="F920" s="14"/>
      <c r="G920" s="22"/>
      <c r="H920" s="22"/>
      <c r="I920" s="22"/>
      <c r="J920" s="17"/>
      <c r="K920" s="20"/>
      <c r="L920" s="16"/>
      <c r="M920" s="20"/>
      <c r="N920" s="18"/>
      <c r="O920" s="23"/>
      <c r="P920" s="23"/>
      <c r="Q920" s="25"/>
      <c r="R920" s="23"/>
    </row>
    <row r="921" spans="1:18" x14ac:dyDescent="0.2">
      <c r="A921" s="19"/>
      <c r="B921" s="22"/>
      <c r="C921" s="22"/>
      <c r="D921" s="22"/>
      <c r="E921" s="13"/>
      <c r="F921" s="14"/>
      <c r="G921" s="22"/>
      <c r="H921" s="22"/>
      <c r="I921" s="22"/>
      <c r="J921" s="17"/>
      <c r="K921" s="20"/>
      <c r="L921" s="16"/>
      <c r="M921" s="20"/>
      <c r="N921" s="18"/>
      <c r="O921" s="23"/>
      <c r="P921" s="23"/>
      <c r="Q921" s="25"/>
      <c r="R921" s="23"/>
    </row>
    <row r="922" spans="1:18" x14ac:dyDescent="0.2">
      <c r="A922" s="19"/>
      <c r="B922" s="22"/>
      <c r="C922" s="22"/>
      <c r="D922" s="22"/>
      <c r="E922" s="13"/>
      <c r="F922" s="14"/>
      <c r="G922" s="22"/>
      <c r="H922" s="22"/>
      <c r="I922" s="22"/>
      <c r="J922" s="17"/>
      <c r="K922" s="20"/>
      <c r="L922" s="16"/>
      <c r="M922" s="20"/>
      <c r="N922" s="18"/>
      <c r="O922" s="23"/>
      <c r="P922" s="23"/>
      <c r="Q922" s="25"/>
      <c r="R922" s="23"/>
    </row>
    <row r="923" spans="1:18" x14ac:dyDescent="0.2">
      <c r="A923" s="19"/>
      <c r="B923" s="22"/>
      <c r="C923" s="22"/>
      <c r="D923" s="22"/>
      <c r="E923" s="13"/>
      <c r="F923" s="14"/>
      <c r="G923" s="22"/>
      <c r="H923" s="22"/>
      <c r="I923" s="22"/>
      <c r="J923" s="17"/>
      <c r="K923" s="20"/>
      <c r="L923" s="16"/>
      <c r="M923" s="20"/>
      <c r="N923" s="18"/>
      <c r="O923" s="23"/>
      <c r="P923" s="23"/>
      <c r="Q923" s="25"/>
      <c r="R923" s="23"/>
    </row>
    <row r="924" spans="1:18" x14ac:dyDescent="0.2">
      <c r="A924" s="19"/>
      <c r="B924" s="22"/>
      <c r="C924" s="22"/>
      <c r="D924" s="22"/>
      <c r="E924" s="13"/>
      <c r="F924" s="14"/>
      <c r="G924" s="22"/>
      <c r="H924" s="22"/>
      <c r="I924" s="22"/>
      <c r="J924" s="17"/>
      <c r="K924" s="20"/>
      <c r="L924" s="16"/>
      <c r="M924" s="20"/>
      <c r="N924" s="18"/>
      <c r="O924" s="23"/>
      <c r="P924" s="23"/>
      <c r="Q924" s="25"/>
      <c r="R924" s="23"/>
    </row>
    <row r="925" spans="1:18" x14ac:dyDescent="0.2">
      <c r="A925" s="19"/>
      <c r="B925" s="22"/>
      <c r="C925" s="22"/>
      <c r="D925" s="22"/>
      <c r="E925" s="13"/>
      <c r="F925" s="14"/>
      <c r="G925" s="22"/>
      <c r="H925" s="22"/>
      <c r="I925" s="22"/>
      <c r="J925" s="17"/>
      <c r="K925" s="20"/>
      <c r="L925" s="16"/>
      <c r="M925" s="20"/>
      <c r="N925" s="18"/>
      <c r="O925" s="18"/>
    </row>
    <row r="926" spans="1:18" x14ac:dyDescent="0.2">
      <c r="A926" s="19"/>
      <c r="B926" s="22"/>
      <c r="C926" s="22"/>
      <c r="D926" s="22"/>
      <c r="E926" s="13"/>
      <c r="F926" s="14"/>
      <c r="G926" s="22"/>
      <c r="H926" s="22"/>
      <c r="I926" s="22"/>
      <c r="J926" s="17"/>
      <c r="K926" s="20"/>
      <c r="L926" s="16"/>
      <c r="M926" s="20"/>
      <c r="N926" s="18"/>
      <c r="O926" s="18"/>
    </row>
    <row r="927" spans="1:18" x14ac:dyDescent="0.2">
      <c r="A927" s="19"/>
      <c r="B927" s="22"/>
      <c r="C927" s="22"/>
      <c r="D927" s="22"/>
      <c r="E927" s="13"/>
      <c r="F927" s="14"/>
      <c r="G927" s="22"/>
      <c r="H927" s="22"/>
      <c r="I927" s="22"/>
      <c r="J927" s="17"/>
      <c r="K927" s="20"/>
      <c r="L927" s="16"/>
      <c r="M927" s="20"/>
      <c r="N927" s="18"/>
      <c r="O927" s="18"/>
    </row>
    <row r="928" spans="1:18" x14ac:dyDescent="0.2">
      <c r="A928" s="19"/>
      <c r="B928" s="22"/>
      <c r="C928" s="22"/>
      <c r="D928" s="22"/>
      <c r="E928" s="13"/>
      <c r="F928" s="14"/>
      <c r="G928" s="22"/>
      <c r="H928" s="22"/>
      <c r="I928" s="22"/>
      <c r="J928" s="17"/>
      <c r="K928" s="20"/>
      <c r="L928" s="16"/>
      <c r="M928" s="20"/>
      <c r="N928" s="18"/>
      <c r="O928" s="18"/>
    </row>
    <row r="929" spans="1:15" x14ac:dyDescent="0.2">
      <c r="A929" s="19"/>
      <c r="B929" s="22"/>
      <c r="C929" s="22"/>
      <c r="D929" s="22"/>
      <c r="E929" s="13"/>
      <c r="F929" s="14"/>
      <c r="G929" s="22"/>
      <c r="H929" s="22"/>
      <c r="I929" s="22"/>
      <c r="J929" s="17"/>
      <c r="K929" s="20"/>
      <c r="L929" s="16"/>
      <c r="M929" s="20"/>
      <c r="N929" s="18"/>
      <c r="O929" s="18"/>
    </row>
    <row r="930" spans="1:15" x14ac:dyDescent="0.2">
      <c r="A930" s="19"/>
      <c r="B930" s="22"/>
      <c r="C930" s="22"/>
      <c r="D930" s="22"/>
      <c r="E930" s="13"/>
      <c r="F930" s="14"/>
      <c r="G930" s="22"/>
      <c r="H930" s="22"/>
      <c r="I930" s="22"/>
      <c r="J930" s="17"/>
      <c r="K930" s="20"/>
      <c r="L930" s="16"/>
      <c r="M930" s="20"/>
      <c r="N930" s="18"/>
      <c r="O930" s="18"/>
    </row>
    <row r="931" spans="1:15" x14ac:dyDescent="0.2">
      <c r="A931" s="19"/>
      <c r="B931" s="22"/>
      <c r="C931" s="22"/>
      <c r="D931" s="22"/>
      <c r="E931" s="13"/>
      <c r="F931" s="14"/>
      <c r="G931" s="22"/>
      <c r="H931" s="22"/>
      <c r="I931" s="22"/>
      <c r="J931" s="17"/>
      <c r="K931" s="20"/>
      <c r="L931" s="16"/>
      <c r="M931" s="20"/>
      <c r="N931" s="18"/>
      <c r="O931" s="18"/>
    </row>
    <row r="932" spans="1:15" x14ac:dyDescent="0.2">
      <c r="A932" s="19"/>
      <c r="B932" s="22"/>
      <c r="C932" s="22"/>
      <c r="D932" s="22"/>
      <c r="E932" s="13"/>
      <c r="F932" s="14"/>
      <c r="G932" s="22"/>
      <c r="H932" s="22"/>
      <c r="I932" s="22"/>
      <c r="J932" s="17"/>
      <c r="K932" s="20"/>
      <c r="L932" s="16"/>
      <c r="M932" s="20"/>
      <c r="N932" s="18"/>
      <c r="O932" s="18"/>
    </row>
    <row r="933" spans="1:15" x14ac:dyDescent="0.2">
      <c r="A933" s="19"/>
      <c r="B933" s="22"/>
      <c r="C933" s="22"/>
      <c r="D933" s="22"/>
      <c r="E933" s="13"/>
      <c r="F933" s="14"/>
      <c r="G933" s="22"/>
      <c r="H933" s="22"/>
      <c r="I933" s="22"/>
      <c r="J933" s="17"/>
      <c r="K933" s="20"/>
      <c r="L933" s="16"/>
      <c r="M933" s="20"/>
      <c r="N933" s="18"/>
      <c r="O933" s="18"/>
    </row>
    <row r="934" spans="1:15" x14ac:dyDescent="0.2">
      <c r="A934" s="19"/>
      <c r="B934" s="22"/>
      <c r="C934" s="22"/>
      <c r="D934" s="22"/>
      <c r="E934" s="13"/>
      <c r="F934" s="14"/>
      <c r="G934" s="22"/>
      <c r="H934" s="22"/>
      <c r="I934" s="22"/>
      <c r="J934" s="17"/>
      <c r="K934" s="20"/>
      <c r="L934" s="16"/>
      <c r="M934" s="20"/>
      <c r="N934" s="18"/>
      <c r="O934" s="18"/>
    </row>
    <row r="935" spans="1:15" x14ac:dyDescent="0.2">
      <c r="A935" s="19"/>
      <c r="B935" s="22"/>
      <c r="C935" s="22"/>
      <c r="D935" s="22"/>
      <c r="E935" s="13"/>
      <c r="F935" s="14"/>
      <c r="G935" s="22"/>
      <c r="H935" s="22"/>
      <c r="I935" s="22"/>
      <c r="J935" s="17"/>
      <c r="K935" s="20"/>
      <c r="L935" s="16"/>
      <c r="M935" s="20"/>
      <c r="N935" s="18"/>
      <c r="O935" s="18"/>
    </row>
    <row r="936" spans="1:15" x14ac:dyDescent="0.2">
      <c r="A936" s="19"/>
      <c r="B936" s="22"/>
      <c r="C936" s="22"/>
      <c r="D936" s="22"/>
      <c r="E936" s="13"/>
      <c r="F936" s="14"/>
      <c r="G936" s="22"/>
      <c r="H936" s="22"/>
      <c r="I936" s="22"/>
      <c r="J936" s="17"/>
      <c r="K936" s="20"/>
      <c r="L936" s="16"/>
      <c r="M936" s="20"/>
      <c r="N936" s="18"/>
      <c r="O936" s="18"/>
    </row>
    <row r="937" spans="1:15" x14ac:dyDescent="0.2">
      <c r="A937" s="19"/>
      <c r="B937" s="22"/>
      <c r="C937" s="22"/>
      <c r="D937" s="22"/>
      <c r="E937" s="13"/>
      <c r="F937" s="14"/>
      <c r="G937" s="22"/>
      <c r="H937" s="22"/>
      <c r="I937" s="22"/>
      <c r="J937" s="17"/>
      <c r="K937" s="20"/>
      <c r="L937" s="16"/>
      <c r="M937" s="20"/>
      <c r="N937" s="18"/>
      <c r="O937" s="18"/>
    </row>
    <row r="938" spans="1:15" x14ac:dyDescent="0.2">
      <c r="A938" s="19"/>
      <c r="B938" s="22"/>
      <c r="C938" s="22"/>
      <c r="D938" s="22"/>
      <c r="E938" s="13"/>
      <c r="F938" s="14"/>
      <c r="G938" s="22"/>
      <c r="H938" s="22"/>
      <c r="I938" s="22"/>
      <c r="J938" s="17"/>
      <c r="K938" s="20"/>
      <c r="L938" s="16"/>
      <c r="M938" s="20"/>
      <c r="N938" s="18"/>
      <c r="O938" s="18"/>
    </row>
    <row r="939" spans="1:15" x14ac:dyDescent="0.2">
      <c r="A939" s="19"/>
      <c r="B939" s="22"/>
      <c r="C939" s="22"/>
      <c r="D939" s="22"/>
      <c r="E939" s="13"/>
      <c r="F939" s="14"/>
      <c r="G939" s="22"/>
      <c r="H939" s="22"/>
      <c r="I939" s="22"/>
      <c r="J939" s="17"/>
      <c r="K939" s="20"/>
      <c r="L939" s="16"/>
      <c r="M939" s="20"/>
      <c r="N939" s="18"/>
      <c r="O939" s="18"/>
    </row>
    <row r="940" spans="1:15" x14ac:dyDescent="0.2">
      <c r="A940" s="19"/>
      <c r="B940" s="22"/>
      <c r="C940" s="22"/>
      <c r="D940" s="22"/>
      <c r="E940" s="13"/>
      <c r="F940" s="14"/>
      <c r="G940" s="22"/>
      <c r="H940" s="22"/>
      <c r="I940" s="22"/>
      <c r="J940" s="17"/>
      <c r="K940" s="20"/>
      <c r="L940" s="16"/>
      <c r="M940" s="20"/>
      <c r="N940" s="18"/>
      <c r="O940" s="18"/>
    </row>
    <row r="941" spans="1:15" x14ac:dyDescent="0.2">
      <c r="A941" s="19"/>
      <c r="B941" s="22"/>
      <c r="C941" s="22"/>
      <c r="D941" s="22"/>
      <c r="E941" s="13"/>
      <c r="F941" s="14"/>
      <c r="G941" s="22"/>
      <c r="H941" s="22"/>
      <c r="I941" s="22"/>
      <c r="J941" s="17"/>
      <c r="K941" s="20"/>
      <c r="L941" s="16"/>
      <c r="M941" s="20"/>
      <c r="N941" s="18"/>
      <c r="O941" s="18"/>
    </row>
    <row r="942" spans="1:15" x14ac:dyDescent="0.2">
      <c r="A942" s="19"/>
      <c r="B942" s="22"/>
      <c r="C942" s="22"/>
      <c r="D942" s="22"/>
      <c r="E942" s="13"/>
      <c r="F942" s="14"/>
      <c r="G942" s="22"/>
      <c r="H942" s="22"/>
      <c r="I942" s="22"/>
      <c r="J942" s="17"/>
      <c r="K942" s="20"/>
      <c r="L942" s="16"/>
      <c r="M942" s="20"/>
      <c r="N942" s="18"/>
      <c r="O942" s="18"/>
    </row>
    <row r="943" spans="1:15" x14ac:dyDescent="0.2">
      <c r="A943" s="19"/>
      <c r="B943" s="22"/>
      <c r="C943" s="22"/>
      <c r="D943" s="22"/>
      <c r="E943" s="13"/>
      <c r="F943" s="14"/>
      <c r="G943" s="22"/>
      <c r="H943" s="22"/>
      <c r="I943" s="22"/>
      <c r="J943" s="17"/>
      <c r="K943" s="20"/>
      <c r="L943"/>
      <c r="M943"/>
      <c r="N943" s="18"/>
      <c r="O943" s="18"/>
    </row>
    <row r="944" spans="1:15" x14ac:dyDescent="0.2">
      <c r="A944" s="19"/>
      <c r="B944" s="22"/>
      <c r="C944" s="22"/>
      <c r="D944" s="22"/>
      <c r="E944" s="13"/>
      <c r="F944" s="14"/>
      <c r="G944" s="22"/>
      <c r="H944" s="22"/>
      <c r="I944" s="22"/>
      <c r="J944" s="17"/>
      <c r="K944" s="20"/>
      <c r="L944"/>
      <c r="M944"/>
      <c r="N944" s="18"/>
      <c r="O944" s="18"/>
    </row>
    <row r="945" spans="1:15" x14ac:dyDescent="0.2">
      <c r="A945" s="19"/>
      <c r="B945" s="22"/>
      <c r="C945" s="22"/>
      <c r="D945" s="22"/>
      <c r="E945" s="13"/>
      <c r="F945" s="14"/>
      <c r="G945" s="22"/>
      <c r="H945" s="22"/>
      <c r="I945" s="22"/>
      <c r="J945" s="17"/>
      <c r="K945" s="20"/>
      <c r="L945"/>
      <c r="M945"/>
      <c r="N945" s="18"/>
      <c r="O945" s="18"/>
    </row>
    <row r="946" spans="1:15" x14ac:dyDescent="0.2">
      <c r="A946" s="19"/>
      <c r="B946" s="22"/>
      <c r="C946" s="22"/>
      <c r="D946" s="22"/>
      <c r="E946" s="13"/>
      <c r="F946" s="14"/>
      <c r="G946" s="22"/>
      <c r="H946" s="22"/>
      <c r="I946" s="22"/>
      <c r="J946" s="17"/>
      <c r="K946" s="20"/>
      <c r="L946"/>
      <c r="M946"/>
      <c r="N946"/>
      <c r="O946" s="18"/>
    </row>
    <row r="947" spans="1:15" x14ac:dyDescent="0.2">
      <c r="A947" s="19"/>
      <c r="B947" s="22"/>
      <c r="C947" s="22"/>
      <c r="D947" s="22"/>
      <c r="E947" s="13"/>
      <c r="F947" s="14"/>
      <c r="G947" s="22"/>
      <c r="H947" s="22"/>
      <c r="I947" s="22"/>
      <c r="J947" s="17"/>
      <c r="K947" s="20"/>
      <c r="L947"/>
      <c r="M947"/>
      <c r="N947"/>
      <c r="O947" s="18"/>
    </row>
    <row r="948" spans="1:15" x14ac:dyDescent="0.2">
      <c r="A948" s="19"/>
      <c r="B948" s="22"/>
      <c r="C948" s="22"/>
      <c r="D948" s="22"/>
      <c r="E948" s="13"/>
      <c r="F948" s="14"/>
      <c r="G948" s="22"/>
      <c r="H948" s="22"/>
      <c r="I948" s="22"/>
      <c r="J948" s="17"/>
      <c r="K948" s="20"/>
      <c r="L948"/>
      <c r="M948"/>
      <c r="N948"/>
      <c r="O948" s="18"/>
    </row>
    <row r="949" spans="1:15" x14ac:dyDescent="0.2">
      <c r="A949" s="19"/>
      <c r="B949" s="22"/>
      <c r="C949" s="22"/>
      <c r="D949" s="22"/>
      <c r="E949" s="13"/>
      <c r="F949" s="14"/>
      <c r="G949" s="22"/>
      <c r="H949" s="22"/>
      <c r="I949" s="22"/>
      <c r="J949" s="17"/>
      <c r="K949" s="20"/>
      <c r="L949"/>
      <c r="M949"/>
      <c r="N949"/>
      <c r="O949" s="18"/>
    </row>
    <row r="950" spans="1:15" x14ac:dyDescent="0.2">
      <c r="A950" s="19"/>
      <c r="B950" s="22"/>
      <c r="C950" s="22"/>
      <c r="D950" s="22"/>
      <c r="E950" s="13"/>
      <c r="F950" s="14"/>
      <c r="G950" s="22"/>
      <c r="H950" s="22"/>
      <c r="I950" s="22"/>
      <c r="J950" s="17"/>
      <c r="K950" s="20"/>
      <c r="L950"/>
      <c r="M950"/>
      <c r="N950"/>
      <c r="O950" s="18"/>
    </row>
    <row r="951" spans="1:15" x14ac:dyDescent="0.2">
      <c r="A951" s="19"/>
      <c r="B951" s="22"/>
      <c r="C951" s="22"/>
      <c r="D951" s="22"/>
      <c r="E951" s="13"/>
      <c r="F951" s="14"/>
      <c r="G951" s="22"/>
      <c r="H951" s="22"/>
      <c r="I951" s="22"/>
      <c r="J951" s="17"/>
      <c r="K951" s="20"/>
      <c r="L951"/>
      <c r="M951"/>
      <c r="N951"/>
      <c r="O951" s="18"/>
    </row>
    <row r="952" spans="1:15" x14ac:dyDescent="0.2">
      <c r="A952" s="19"/>
      <c r="B952" s="22"/>
      <c r="C952" s="22"/>
      <c r="D952" s="22"/>
      <c r="E952" s="13"/>
      <c r="F952" s="14"/>
      <c r="G952" s="22"/>
      <c r="H952" s="22"/>
      <c r="I952" s="22"/>
      <c r="J952" s="17"/>
      <c r="K952" s="20"/>
      <c r="L952"/>
      <c r="M952"/>
      <c r="N952"/>
      <c r="O952" s="18"/>
    </row>
    <row r="953" spans="1:15" x14ac:dyDescent="0.2">
      <c r="A953" s="19"/>
      <c r="B953" s="22"/>
      <c r="C953" s="22"/>
      <c r="D953" s="22"/>
      <c r="E953" s="13"/>
      <c r="F953" s="14"/>
      <c r="G953" s="22"/>
      <c r="H953" s="22"/>
      <c r="I953" s="22"/>
      <c r="J953" s="17"/>
      <c r="K953" s="20"/>
      <c r="L953"/>
      <c r="M953"/>
      <c r="N953"/>
      <c r="O953" s="18"/>
    </row>
    <row r="954" spans="1:15" x14ac:dyDescent="0.2">
      <c r="A954" s="19"/>
      <c r="B954" s="22"/>
      <c r="C954" s="22"/>
      <c r="D954" s="22"/>
      <c r="E954" s="13"/>
      <c r="F954" s="14"/>
      <c r="G954" s="22"/>
      <c r="H954" s="22"/>
      <c r="I954" s="22"/>
      <c r="J954" s="17"/>
      <c r="K954" s="20"/>
      <c r="L954"/>
      <c r="M954"/>
      <c r="N954"/>
      <c r="O954" s="18"/>
    </row>
    <row r="955" spans="1:15" x14ac:dyDescent="0.2">
      <c r="A955" s="19"/>
      <c r="B955" s="22"/>
      <c r="C955" s="22"/>
      <c r="D955" s="22"/>
      <c r="E955" s="13"/>
      <c r="F955" s="14"/>
      <c r="G955" s="22"/>
      <c r="H955" s="22"/>
      <c r="I955" s="22"/>
      <c r="J955" s="17"/>
      <c r="K955" s="20"/>
      <c r="L955"/>
      <c r="M955"/>
      <c r="N955"/>
      <c r="O955" s="18"/>
    </row>
    <row r="956" spans="1:15" x14ac:dyDescent="0.2">
      <c r="A956" s="19"/>
      <c r="B956" s="22"/>
      <c r="C956" s="22"/>
      <c r="D956" s="22"/>
      <c r="E956" s="13"/>
      <c r="F956" s="14"/>
      <c r="G956" s="22"/>
      <c r="H956" s="22"/>
      <c r="I956" s="22"/>
      <c r="J956" s="17"/>
      <c r="K956" s="20"/>
      <c r="L956"/>
      <c r="M956"/>
      <c r="N956"/>
      <c r="O956" s="18"/>
    </row>
    <row r="957" spans="1:15" x14ac:dyDescent="0.2">
      <c r="A957" s="19"/>
      <c r="B957" s="22"/>
      <c r="C957" s="22"/>
      <c r="D957" s="22"/>
      <c r="E957" s="13"/>
      <c r="F957" s="14"/>
      <c r="G957" s="22"/>
      <c r="H957" s="22"/>
      <c r="I957" s="22"/>
      <c r="J957" s="17"/>
      <c r="K957" s="20"/>
      <c r="L957"/>
      <c r="M957"/>
      <c r="N957"/>
      <c r="O957" s="18"/>
    </row>
    <row r="958" spans="1:15" x14ac:dyDescent="0.2">
      <c r="A958" s="19"/>
      <c r="B958" s="22"/>
      <c r="C958" s="22"/>
      <c r="D958" s="22"/>
      <c r="E958" s="13"/>
      <c r="F958" s="14"/>
      <c r="G958" s="22"/>
      <c r="H958" s="22"/>
      <c r="I958" s="22"/>
      <c r="J958" s="17"/>
      <c r="K958" s="20"/>
      <c r="L958" s="19"/>
      <c r="M958" s="19"/>
      <c r="N958" s="19"/>
      <c r="O958" s="18"/>
    </row>
    <row r="959" spans="1:15" x14ac:dyDescent="0.2">
      <c r="A959" s="19"/>
      <c r="B959" s="22"/>
      <c r="C959" s="22"/>
      <c r="D959" s="22"/>
      <c r="E959" s="13"/>
      <c r="F959" s="14"/>
      <c r="G959" s="22"/>
      <c r="H959" s="22"/>
      <c r="I959" s="22"/>
      <c r="J959" s="17"/>
      <c r="K959" s="20"/>
      <c r="L959" s="19"/>
      <c r="M959" s="19"/>
      <c r="N959" s="19"/>
      <c r="O959" s="18"/>
    </row>
    <row r="960" spans="1:15" x14ac:dyDescent="0.2">
      <c r="A960" s="19"/>
      <c r="B960" s="22"/>
      <c r="C960" s="22"/>
      <c r="D960" s="22"/>
      <c r="E960" s="13"/>
      <c r="F960" s="14"/>
      <c r="G960" s="22"/>
      <c r="H960" s="22"/>
      <c r="I960" s="22"/>
      <c r="J960" s="17"/>
      <c r="K960" s="20"/>
      <c r="L960" s="19"/>
      <c r="M960" s="19"/>
      <c r="N960" s="19"/>
      <c r="O960" s="18"/>
    </row>
    <row r="961" spans="1:15" x14ac:dyDescent="0.2">
      <c r="A961" s="19"/>
      <c r="B961" s="22"/>
      <c r="C961" s="22"/>
      <c r="D961" s="22"/>
      <c r="E961" s="13"/>
      <c r="F961" s="14"/>
      <c r="G961" s="22"/>
      <c r="H961" s="22"/>
      <c r="I961" s="22"/>
      <c r="J961" s="17"/>
      <c r="K961" s="20"/>
      <c r="L961" s="19"/>
      <c r="M961" s="19"/>
      <c r="N961" s="19"/>
      <c r="O961" s="18"/>
    </row>
    <row r="962" spans="1:15" x14ac:dyDescent="0.2">
      <c r="A962" s="19"/>
      <c r="B962" s="22"/>
      <c r="C962" s="22"/>
      <c r="D962" s="22"/>
      <c r="E962" s="13"/>
      <c r="F962" s="14"/>
      <c r="G962" s="22"/>
      <c r="H962" s="22"/>
      <c r="I962" s="22"/>
      <c r="J962" s="17"/>
      <c r="K962" s="20"/>
      <c r="L962" s="19"/>
      <c r="M962" s="19"/>
      <c r="N962" s="19"/>
      <c r="O962" s="18"/>
    </row>
    <row r="963" spans="1:15" x14ac:dyDescent="0.2">
      <c r="A963" s="19"/>
      <c r="B963" s="22"/>
      <c r="C963" s="22"/>
      <c r="D963" s="22"/>
      <c r="E963" s="13"/>
      <c r="F963" s="14"/>
      <c r="G963" s="22"/>
      <c r="H963" s="22"/>
      <c r="I963" s="22"/>
      <c r="J963" s="17"/>
      <c r="K963" s="20"/>
      <c r="L963" s="19"/>
      <c r="M963" s="19"/>
      <c r="N963" s="19"/>
      <c r="O963" s="18"/>
    </row>
    <row r="964" spans="1:15" x14ac:dyDescent="0.2">
      <c r="A964" s="19"/>
      <c r="B964" s="22"/>
      <c r="C964" s="22"/>
      <c r="D964" s="22"/>
      <c r="E964" s="13"/>
      <c r="F964" s="14"/>
      <c r="G964" s="22"/>
      <c r="H964" s="22"/>
      <c r="I964" s="22"/>
      <c r="J964" s="17"/>
      <c r="K964" s="20"/>
      <c r="L964" s="19"/>
      <c r="M964" s="19"/>
      <c r="N964" s="19"/>
      <c r="O964" s="18"/>
    </row>
    <row r="965" spans="1:15" x14ac:dyDescent="0.2">
      <c r="A965" s="19"/>
      <c r="B965" s="22"/>
      <c r="C965" s="22"/>
      <c r="D965" s="22"/>
      <c r="E965" s="13"/>
      <c r="F965" s="14"/>
      <c r="G965" s="22"/>
      <c r="H965" s="22"/>
      <c r="I965" s="22"/>
      <c r="J965" s="17"/>
      <c r="K965" s="20"/>
      <c r="L965" s="19"/>
      <c r="M965" s="19"/>
      <c r="N965" s="19"/>
      <c r="O965" s="18"/>
    </row>
    <row r="966" spans="1:15" x14ac:dyDescent="0.2">
      <c r="A966" s="19"/>
      <c r="B966" s="22"/>
      <c r="C966" s="22"/>
      <c r="D966" s="22"/>
      <c r="E966" s="13"/>
      <c r="F966" s="14"/>
      <c r="G966" s="22"/>
      <c r="H966" s="22"/>
      <c r="I966" s="22"/>
      <c r="J966" s="17"/>
      <c r="K966" s="20"/>
      <c r="L966" s="19"/>
      <c r="M966" s="19"/>
      <c r="N966" s="19"/>
      <c r="O966" s="18"/>
    </row>
    <row r="967" spans="1:15" x14ac:dyDescent="0.2">
      <c r="A967" s="19"/>
      <c r="B967" s="22"/>
      <c r="C967" s="22"/>
      <c r="D967" s="22"/>
      <c r="E967" s="13"/>
      <c r="F967" s="14"/>
      <c r="G967" s="22"/>
      <c r="H967" s="22"/>
      <c r="I967" s="22"/>
      <c r="J967" s="17"/>
      <c r="K967" s="20"/>
      <c r="L967" s="19"/>
      <c r="M967" s="19"/>
      <c r="N967" s="19"/>
      <c r="O967" s="18"/>
    </row>
    <row r="968" spans="1:15" x14ac:dyDescent="0.2">
      <c r="A968" s="19"/>
      <c r="B968" s="22"/>
      <c r="C968" s="22"/>
      <c r="D968" s="22"/>
      <c r="E968" s="13"/>
      <c r="F968" s="14"/>
      <c r="G968" s="22"/>
      <c r="H968" s="22"/>
      <c r="I968" s="22"/>
      <c r="J968" s="17"/>
      <c r="K968" s="20"/>
      <c r="L968" s="19"/>
      <c r="M968" s="19"/>
      <c r="N968" s="19"/>
      <c r="O968" s="18"/>
    </row>
    <row r="969" spans="1:15" x14ac:dyDescent="0.2">
      <c r="A969" s="19"/>
      <c r="B969" s="22"/>
      <c r="C969" s="22"/>
      <c r="D969" s="22"/>
      <c r="E969" s="13"/>
      <c r="F969" s="14"/>
      <c r="G969" s="22"/>
      <c r="H969" s="22"/>
      <c r="I969" s="22"/>
      <c r="J969" s="17"/>
      <c r="K969" s="20"/>
      <c r="L969" s="19"/>
      <c r="M969" s="19"/>
      <c r="N969" s="19"/>
      <c r="O969" s="18"/>
    </row>
    <row r="970" spans="1:15" x14ac:dyDescent="0.2">
      <c r="A970" s="19"/>
      <c r="B970" s="22"/>
      <c r="C970" s="22"/>
      <c r="D970" s="22"/>
      <c r="E970" s="13"/>
      <c r="F970" s="14"/>
      <c r="G970" s="22"/>
      <c r="H970" s="22"/>
      <c r="I970" s="22"/>
      <c r="J970" s="17"/>
      <c r="K970" s="20"/>
      <c r="L970" s="19"/>
      <c r="M970" s="19"/>
      <c r="N970" s="19"/>
      <c r="O970" s="18"/>
    </row>
    <row r="971" spans="1:15" x14ac:dyDescent="0.2">
      <c r="A971" s="19"/>
      <c r="B971" s="22"/>
      <c r="C971" s="22"/>
      <c r="D971" s="22"/>
      <c r="E971" s="13"/>
      <c r="F971" s="14"/>
      <c r="G971" s="22"/>
      <c r="H971" s="22"/>
      <c r="I971" s="22"/>
      <c r="J971" s="17"/>
      <c r="K971" s="20"/>
      <c r="L971" s="19"/>
      <c r="M971" s="19"/>
      <c r="N971" s="19"/>
      <c r="O971" s="18"/>
    </row>
    <row r="972" spans="1:15" x14ac:dyDescent="0.2">
      <c r="A972" s="19"/>
      <c r="B972" s="22"/>
      <c r="C972" s="22"/>
      <c r="D972" s="22"/>
      <c r="E972" s="13"/>
      <c r="F972" s="14"/>
      <c r="G972" s="22"/>
      <c r="H972" s="22"/>
      <c r="I972" s="22"/>
      <c r="J972" s="17"/>
      <c r="K972" s="20"/>
      <c r="L972" s="19"/>
      <c r="M972" s="19"/>
      <c r="N972" s="19"/>
      <c r="O972" s="18"/>
    </row>
    <row r="973" spans="1:15" x14ac:dyDescent="0.2">
      <c r="A973" s="19"/>
      <c r="B973" s="22"/>
      <c r="C973" s="22"/>
      <c r="D973" s="22"/>
      <c r="E973" s="13"/>
      <c r="F973" s="14"/>
      <c r="G973" s="22"/>
      <c r="H973" s="22"/>
      <c r="I973" s="22"/>
      <c r="J973" s="17"/>
      <c r="K973" s="20"/>
      <c r="L973" s="19"/>
      <c r="M973" s="19"/>
      <c r="N973" s="19"/>
      <c r="O973" s="18"/>
    </row>
    <row r="974" spans="1:15" x14ac:dyDescent="0.2">
      <c r="A974" s="19"/>
      <c r="B974" s="22"/>
      <c r="C974" s="22"/>
      <c r="D974" s="22"/>
      <c r="E974" s="13"/>
      <c r="F974" s="14"/>
      <c r="G974" s="22"/>
      <c r="H974" s="22"/>
      <c r="I974" s="22"/>
      <c r="J974" s="17"/>
      <c r="K974" s="20"/>
      <c r="L974" s="19"/>
      <c r="M974" s="19"/>
      <c r="N974" s="19"/>
      <c r="O974" s="18"/>
    </row>
    <row r="975" spans="1:15" x14ac:dyDescent="0.2">
      <c r="A975" s="19"/>
      <c r="B975" s="22"/>
      <c r="C975" s="22"/>
      <c r="D975" s="22"/>
      <c r="E975" s="13"/>
      <c r="F975" s="14"/>
      <c r="G975" s="22"/>
      <c r="H975" s="22"/>
      <c r="I975" s="22"/>
      <c r="J975" s="17"/>
      <c r="K975" s="20"/>
      <c r="L975" s="19"/>
      <c r="M975" s="19"/>
      <c r="N975" s="19"/>
      <c r="O975" s="18"/>
    </row>
    <row r="976" spans="1:15" x14ac:dyDescent="0.2">
      <c r="A976" s="19"/>
      <c r="B976" s="22"/>
      <c r="C976" s="22"/>
      <c r="D976" s="22"/>
      <c r="E976" s="13"/>
      <c r="F976" s="14"/>
      <c r="G976" s="22"/>
      <c r="H976" s="22"/>
      <c r="I976" s="22"/>
      <c r="J976" s="17"/>
      <c r="K976" s="20"/>
      <c r="L976" s="19"/>
      <c r="M976" s="19"/>
      <c r="N976" s="19"/>
      <c r="O976" s="18"/>
    </row>
    <row r="977" spans="1:15" x14ac:dyDescent="0.2">
      <c r="A977" s="19"/>
      <c r="B977" s="22"/>
      <c r="C977" s="22"/>
      <c r="D977" s="22"/>
      <c r="E977" s="13"/>
      <c r="F977" s="14"/>
      <c r="G977" s="22"/>
      <c r="H977" s="22"/>
      <c r="I977" s="22"/>
      <c r="J977" s="17"/>
      <c r="K977" s="20"/>
      <c r="L977" s="19"/>
      <c r="M977" s="19"/>
      <c r="N977" s="19"/>
      <c r="O977" s="18"/>
    </row>
    <row r="978" spans="1:15" x14ac:dyDescent="0.2">
      <c r="A978" s="19"/>
      <c r="B978" s="22"/>
      <c r="C978" s="22"/>
      <c r="D978" s="22"/>
      <c r="E978" s="13"/>
      <c r="F978" s="14"/>
      <c r="G978" s="22"/>
      <c r="H978" s="22"/>
      <c r="I978" s="22"/>
      <c r="J978" s="17"/>
      <c r="K978" s="20"/>
      <c r="L978" s="19"/>
      <c r="M978" s="19"/>
      <c r="N978" s="19"/>
      <c r="O978" s="18"/>
    </row>
    <row r="979" spans="1:15" x14ac:dyDescent="0.2">
      <c r="A979" s="19"/>
      <c r="B979" s="22"/>
      <c r="C979" s="22"/>
      <c r="D979" s="22"/>
      <c r="E979" s="13"/>
      <c r="F979" s="14"/>
      <c r="G979" s="22"/>
      <c r="H979" s="22"/>
      <c r="I979" s="22"/>
      <c r="J979" s="17"/>
      <c r="K979" s="20"/>
      <c r="L979" s="19"/>
      <c r="M979" s="19"/>
      <c r="N979" s="19"/>
      <c r="O979" s="18"/>
    </row>
    <row r="980" spans="1:15" x14ac:dyDescent="0.2">
      <c r="A980" s="19"/>
      <c r="B980" s="22"/>
      <c r="C980" s="22"/>
      <c r="D980" s="22"/>
      <c r="E980" s="13"/>
      <c r="F980" s="14"/>
      <c r="G980" s="22"/>
      <c r="H980" s="22"/>
      <c r="I980" s="22"/>
      <c r="J980" s="17"/>
      <c r="K980" s="20"/>
      <c r="L980" s="19"/>
      <c r="M980" s="19"/>
      <c r="N980" s="19"/>
      <c r="O980" s="18"/>
    </row>
    <row r="981" spans="1:15" x14ac:dyDescent="0.2">
      <c r="A981" s="19"/>
      <c r="B981" s="22"/>
      <c r="C981" s="22"/>
      <c r="D981" s="22"/>
      <c r="E981" s="13"/>
      <c r="F981" s="14"/>
      <c r="G981" s="22"/>
      <c r="H981" s="22"/>
      <c r="I981" s="22"/>
      <c r="J981" s="17"/>
      <c r="K981" s="20"/>
      <c r="L981" s="19"/>
      <c r="M981" s="19"/>
      <c r="N981" s="19"/>
      <c r="O981" s="18"/>
    </row>
    <row r="982" spans="1:15" x14ac:dyDescent="0.2">
      <c r="A982" s="19"/>
      <c r="B982" s="22"/>
      <c r="C982" s="22"/>
      <c r="D982" s="22"/>
      <c r="E982" s="13"/>
      <c r="F982" s="14"/>
      <c r="G982" s="22"/>
      <c r="H982" s="22"/>
      <c r="I982" s="22"/>
      <c r="J982" s="17"/>
      <c r="K982" s="20"/>
      <c r="L982" s="19"/>
      <c r="M982" s="19"/>
      <c r="N982" s="19"/>
      <c r="O982" s="18"/>
    </row>
    <row r="983" spans="1:15" x14ac:dyDescent="0.2">
      <c r="A983" s="19"/>
      <c r="B983" s="22"/>
      <c r="C983" s="22"/>
      <c r="D983" s="22"/>
      <c r="E983" s="13"/>
      <c r="F983" s="14"/>
      <c r="G983" s="22"/>
      <c r="H983" s="22"/>
      <c r="I983" s="22"/>
      <c r="J983" s="17"/>
      <c r="K983" s="20"/>
      <c r="L983" s="19"/>
      <c r="M983" s="19"/>
      <c r="N983" s="19"/>
      <c r="O983" s="18"/>
    </row>
    <row r="984" spans="1:15" x14ac:dyDescent="0.2">
      <c r="A984" s="19"/>
      <c r="B984" s="22"/>
      <c r="C984" s="22"/>
      <c r="D984" s="22"/>
      <c r="E984" s="13"/>
      <c r="F984" s="14"/>
      <c r="G984" s="22"/>
      <c r="H984" s="22"/>
      <c r="I984" s="22"/>
      <c r="J984" s="17"/>
      <c r="K984" s="20"/>
      <c r="L984" s="19"/>
      <c r="M984" s="19"/>
      <c r="N984" s="19"/>
      <c r="O984" s="18"/>
    </row>
    <row r="985" spans="1:15" x14ac:dyDescent="0.2">
      <c r="A985" s="19"/>
      <c r="B985" s="22"/>
      <c r="C985" s="22"/>
      <c r="D985" s="22"/>
      <c r="E985" s="13"/>
      <c r="F985" s="14"/>
      <c r="G985" s="22"/>
      <c r="H985" s="22"/>
      <c r="I985" s="22"/>
      <c r="J985" s="17"/>
      <c r="K985" s="20"/>
      <c r="L985" s="19"/>
      <c r="M985" s="19"/>
      <c r="N985" s="19"/>
      <c r="O985" s="18"/>
    </row>
    <row r="986" spans="1:15" x14ac:dyDescent="0.2">
      <c r="A986" s="19"/>
      <c r="B986" s="22"/>
      <c r="C986" s="22"/>
      <c r="D986" s="22"/>
      <c r="E986" s="13"/>
      <c r="F986" s="14"/>
      <c r="G986" s="22"/>
      <c r="H986" s="22"/>
      <c r="I986" s="22"/>
      <c r="J986" s="17"/>
      <c r="K986" s="20"/>
      <c r="L986" s="19"/>
      <c r="M986" s="19"/>
      <c r="N986" s="19"/>
      <c r="O986" s="18"/>
    </row>
    <row r="987" spans="1:15" x14ac:dyDescent="0.2">
      <c r="A987" s="19"/>
      <c r="B987" s="22"/>
      <c r="C987" s="22"/>
      <c r="D987" s="22"/>
      <c r="E987" s="13"/>
      <c r="F987" s="14"/>
      <c r="G987" s="22"/>
      <c r="H987" s="22"/>
      <c r="I987" s="22"/>
      <c r="J987" s="17"/>
      <c r="K987" s="20"/>
      <c r="L987" s="19"/>
      <c r="M987" s="19"/>
      <c r="N987" s="19"/>
      <c r="O987" s="18"/>
    </row>
    <row r="988" spans="1:15" x14ac:dyDescent="0.2">
      <c r="A988" s="19"/>
      <c r="B988" s="22"/>
      <c r="C988" s="22"/>
      <c r="D988" s="22"/>
      <c r="E988" s="13"/>
      <c r="F988" s="14"/>
      <c r="G988" s="22"/>
      <c r="H988" s="22"/>
      <c r="I988" s="22"/>
      <c r="J988" s="17"/>
      <c r="K988" s="20"/>
      <c r="L988" s="19"/>
      <c r="M988" s="19"/>
      <c r="N988" s="19"/>
      <c r="O988" s="18"/>
    </row>
    <row r="989" spans="1:15" x14ac:dyDescent="0.2">
      <c r="A989" s="19"/>
      <c r="B989" s="22"/>
      <c r="C989" s="22"/>
      <c r="D989" s="22"/>
      <c r="E989" s="13"/>
      <c r="F989" s="14"/>
      <c r="G989" s="22"/>
      <c r="H989" s="22"/>
      <c r="I989" s="22"/>
      <c r="J989" s="17"/>
      <c r="K989" s="20"/>
      <c r="L989" s="19"/>
      <c r="M989" s="19"/>
      <c r="N989" s="19"/>
      <c r="O989" s="18"/>
    </row>
    <row r="990" spans="1:15" x14ac:dyDescent="0.2">
      <c r="A990" s="19"/>
      <c r="B990" s="22"/>
      <c r="C990" s="22"/>
      <c r="D990" s="22"/>
      <c r="E990" s="13"/>
      <c r="F990" s="14"/>
      <c r="G990" s="22"/>
      <c r="H990" s="22"/>
      <c r="I990" s="22"/>
      <c r="J990" s="17"/>
      <c r="K990" s="20"/>
      <c r="L990" s="19"/>
      <c r="M990" s="19"/>
      <c r="N990" s="19"/>
      <c r="O990" s="18"/>
    </row>
    <row r="991" spans="1:15" x14ac:dyDescent="0.2">
      <c r="A991" s="19"/>
      <c r="B991" s="22"/>
      <c r="C991" s="22"/>
      <c r="D991" s="22"/>
      <c r="E991" s="13"/>
      <c r="F991" s="14"/>
      <c r="G991" s="22"/>
      <c r="H991" s="22"/>
      <c r="I991" s="22"/>
      <c r="J991" s="17"/>
      <c r="K991" s="20"/>
      <c r="L991" s="19"/>
      <c r="M991" s="19"/>
      <c r="N991" s="19"/>
      <c r="O991" s="18"/>
    </row>
    <row r="992" spans="1:15" x14ac:dyDescent="0.2">
      <c r="A992" s="19"/>
      <c r="B992" s="22"/>
      <c r="C992" s="22"/>
      <c r="D992" s="22"/>
      <c r="E992" s="13"/>
      <c r="F992" s="14"/>
      <c r="G992" s="22"/>
      <c r="H992" s="22"/>
      <c r="I992" s="22"/>
      <c r="J992" s="17"/>
      <c r="K992" s="20"/>
      <c r="L992" s="19"/>
      <c r="M992" s="19"/>
      <c r="N992" s="19"/>
      <c r="O992" s="18"/>
    </row>
    <row r="993" spans="1:15" x14ac:dyDescent="0.2">
      <c r="A993" s="19"/>
      <c r="B993" s="22"/>
      <c r="C993" s="22"/>
      <c r="D993" s="22"/>
      <c r="E993" s="13"/>
      <c r="F993" s="14"/>
      <c r="G993" s="22"/>
      <c r="H993" s="22"/>
      <c r="I993" s="22"/>
      <c r="J993" s="17"/>
      <c r="K993" s="20"/>
      <c r="L993" s="19"/>
      <c r="M993" s="19"/>
      <c r="N993" s="19"/>
      <c r="O993" s="18"/>
    </row>
    <row r="994" spans="1:15" x14ac:dyDescent="0.2">
      <c r="A994" s="19"/>
      <c r="B994" s="22"/>
      <c r="C994" s="22"/>
      <c r="D994" s="22"/>
      <c r="E994" s="13"/>
      <c r="F994" s="14"/>
      <c r="G994" s="22"/>
      <c r="H994" s="22"/>
      <c r="I994" s="22"/>
      <c r="J994" s="17"/>
      <c r="K994" s="20"/>
      <c r="L994" s="19"/>
      <c r="M994" s="19"/>
      <c r="N994" s="19"/>
      <c r="O994" s="18"/>
    </row>
    <row r="995" spans="1:15" x14ac:dyDescent="0.2">
      <c r="A995" s="19"/>
      <c r="B995" s="22"/>
      <c r="C995" s="22"/>
      <c r="D995" s="22"/>
      <c r="E995" s="13"/>
      <c r="F995" s="14"/>
      <c r="G995" s="22"/>
      <c r="H995" s="22"/>
      <c r="I995" s="22"/>
      <c r="J995" s="17"/>
      <c r="K995" s="20"/>
      <c r="L995" s="19"/>
      <c r="M995" s="19"/>
      <c r="N995" s="19"/>
      <c r="O995" s="18"/>
    </row>
    <row r="996" spans="1:15" x14ac:dyDescent="0.2">
      <c r="A996" s="19"/>
      <c r="B996" s="22"/>
      <c r="C996" s="22"/>
      <c r="D996" s="22"/>
      <c r="E996" s="13"/>
      <c r="F996" s="14"/>
      <c r="G996" s="22"/>
      <c r="H996" s="22"/>
      <c r="I996" s="22"/>
      <c r="J996" s="17"/>
      <c r="K996" s="20"/>
      <c r="L996" s="19"/>
      <c r="M996" s="19"/>
      <c r="N996" s="19"/>
      <c r="O996" s="18"/>
    </row>
    <row r="997" spans="1:15" x14ac:dyDescent="0.2">
      <c r="A997" s="19"/>
      <c r="B997" s="22"/>
      <c r="C997" s="22"/>
      <c r="D997" s="22"/>
      <c r="E997" s="13"/>
      <c r="F997" s="14"/>
      <c r="G997" s="22"/>
      <c r="H997" s="22"/>
      <c r="I997" s="22"/>
      <c r="J997" s="17"/>
      <c r="K997" s="20"/>
      <c r="L997" s="19"/>
      <c r="M997" s="19"/>
      <c r="N997" s="19"/>
      <c r="O997" s="18"/>
    </row>
    <row r="998" spans="1:15" x14ac:dyDescent="0.2">
      <c r="A998" s="19"/>
      <c r="B998" s="22"/>
      <c r="C998" s="22"/>
      <c r="D998" s="22"/>
      <c r="E998" s="13"/>
      <c r="F998" s="14"/>
      <c r="G998" s="22"/>
      <c r="H998" s="22"/>
      <c r="I998" s="22"/>
      <c r="J998" s="17"/>
      <c r="K998" s="20"/>
      <c r="L998" s="19"/>
      <c r="M998" s="19"/>
      <c r="N998" s="19"/>
      <c r="O998" s="18"/>
    </row>
    <row r="999" spans="1:15" x14ac:dyDescent="0.2">
      <c r="A999" s="19"/>
      <c r="B999" s="22"/>
      <c r="C999" s="22"/>
      <c r="D999" s="22"/>
      <c r="E999" s="13"/>
      <c r="F999" s="14"/>
      <c r="G999" s="22"/>
      <c r="H999" s="22"/>
      <c r="I999" s="22"/>
      <c r="J999" s="17"/>
      <c r="K999" s="20"/>
      <c r="L999" s="19"/>
      <c r="M999" s="19"/>
      <c r="N999" s="19"/>
      <c r="O999" s="18"/>
    </row>
    <row r="1000" spans="1:15" x14ac:dyDescent="0.2">
      <c r="A1000" s="19"/>
      <c r="B1000" s="22"/>
      <c r="C1000" s="22"/>
      <c r="D1000" s="22"/>
      <c r="E1000" s="13"/>
      <c r="F1000" s="14"/>
      <c r="G1000" s="22"/>
      <c r="H1000" s="22"/>
      <c r="I1000" s="22"/>
      <c r="J1000" s="17"/>
      <c r="K1000" s="20"/>
      <c r="L1000" s="19"/>
      <c r="M1000" s="19"/>
      <c r="N1000" s="19"/>
      <c r="O1000" s="18"/>
    </row>
    <row r="1001" spans="1:15" x14ac:dyDescent="0.2">
      <c r="A1001" s="19"/>
      <c r="B1001" s="22"/>
      <c r="C1001" s="22"/>
      <c r="D1001" s="22"/>
      <c r="E1001" s="13"/>
      <c r="F1001" s="14"/>
      <c r="G1001" s="22"/>
      <c r="H1001" s="22"/>
      <c r="I1001" s="22"/>
      <c r="J1001" s="17"/>
      <c r="K1001" s="20"/>
      <c r="L1001" s="19"/>
      <c r="M1001" s="19"/>
      <c r="N1001" s="19"/>
      <c r="O1001" s="18"/>
    </row>
    <row r="1002" spans="1:15" x14ac:dyDescent="0.2">
      <c r="A1002" s="19"/>
      <c r="B1002" s="22"/>
      <c r="C1002" s="22"/>
      <c r="D1002" s="22"/>
      <c r="E1002" s="13"/>
      <c r="F1002" s="14"/>
      <c r="G1002" s="22"/>
      <c r="H1002" s="22"/>
      <c r="I1002" s="22"/>
      <c r="J1002" s="17"/>
      <c r="K1002" s="20"/>
      <c r="L1002" s="19"/>
      <c r="M1002" s="19"/>
      <c r="N1002" s="19"/>
      <c r="O1002" s="18"/>
    </row>
    <row r="1003" spans="1:15" x14ac:dyDescent="0.2">
      <c r="A1003" s="19"/>
      <c r="B1003" s="22"/>
      <c r="C1003" s="22"/>
      <c r="D1003" s="22"/>
      <c r="E1003" s="13"/>
      <c r="F1003" s="14"/>
      <c r="G1003" s="22"/>
      <c r="H1003" s="22"/>
      <c r="I1003" s="22"/>
      <c r="J1003" s="17"/>
      <c r="K1003" s="20"/>
      <c r="L1003" s="19"/>
      <c r="M1003" s="19"/>
      <c r="N1003" s="19"/>
      <c r="O1003" s="18"/>
    </row>
    <row r="1004" spans="1:15" x14ac:dyDescent="0.2">
      <c r="A1004" s="19"/>
      <c r="B1004" s="22"/>
      <c r="C1004" s="22"/>
      <c r="D1004" s="22"/>
      <c r="E1004" s="13"/>
      <c r="F1004" s="14"/>
      <c r="G1004" s="22"/>
      <c r="H1004" s="22"/>
      <c r="I1004" s="22"/>
      <c r="J1004" s="17"/>
      <c r="K1004" s="20"/>
      <c r="L1004" s="19"/>
      <c r="M1004" s="19"/>
      <c r="N1004" s="19"/>
      <c r="O1004" s="18"/>
    </row>
    <row r="1005" spans="1:15" x14ac:dyDescent="0.2">
      <c r="A1005" s="19"/>
      <c r="B1005" s="22"/>
      <c r="C1005" s="22"/>
      <c r="D1005" s="22"/>
      <c r="E1005" s="13"/>
      <c r="F1005" s="14"/>
      <c r="G1005" s="22"/>
      <c r="H1005" s="22"/>
      <c r="I1005" s="22"/>
      <c r="J1005" s="17"/>
      <c r="K1005" s="20"/>
      <c r="L1005" s="19"/>
      <c r="M1005" s="19"/>
      <c r="N1005" s="19"/>
      <c r="O1005" s="18"/>
    </row>
    <row r="1006" spans="1:15" x14ac:dyDescent="0.2">
      <c r="A1006" s="19"/>
      <c r="B1006" s="22"/>
      <c r="C1006" s="22"/>
      <c r="D1006" s="22"/>
      <c r="E1006" s="13"/>
      <c r="F1006" s="14"/>
      <c r="G1006" s="22"/>
      <c r="H1006" s="22"/>
      <c r="I1006" s="22"/>
      <c r="J1006" s="17"/>
      <c r="K1006" s="20"/>
      <c r="L1006" s="19"/>
      <c r="M1006" s="19"/>
      <c r="N1006" s="19"/>
      <c r="O1006" s="18"/>
    </row>
    <row r="1007" spans="1:15" x14ac:dyDescent="0.2">
      <c r="A1007" s="19"/>
      <c r="B1007" s="22"/>
      <c r="C1007" s="22"/>
      <c r="D1007" s="22"/>
      <c r="E1007" s="13"/>
      <c r="F1007" s="14"/>
      <c r="G1007" s="22"/>
      <c r="H1007" s="22"/>
      <c r="I1007" s="22"/>
      <c r="J1007" s="17"/>
      <c r="K1007" s="20"/>
      <c r="L1007" s="19"/>
      <c r="M1007" s="19"/>
      <c r="N1007" s="19"/>
      <c r="O1007" s="18"/>
    </row>
    <row r="1008" spans="1:15" x14ac:dyDescent="0.2">
      <c r="A1008" s="19"/>
      <c r="B1008" s="22"/>
      <c r="C1008" s="22"/>
      <c r="D1008" s="22"/>
      <c r="E1008" s="13"/>
      <c r="F1008" s="14"/>
      <c r="G1008" s="22"/>
      <c r="H1008" s="22"/>
      <c r="I1008" s="22"/>
      <c r="J1008" s="17"/>
      <c r="K1008" s="20"/>
      <c r="L1008" s="19"/>
      <c r="M1008" s="19"/>
      <c r="N1008" s="19"/>
      <c r="O1008" s="18"/>
    </row>
    <row r="1009" spans="1:15" x14ac:dyDescent="0.2">
      <c r="A1009" s="19"/>
      <c r="B1009" s="22"/>
      <c r="C1009" s="22"/>
      <c r="D1009" s="22"/>
      <c r="E1009" s="13"/>
      <c r="F1009" s="14"/>
      <c r="G1009" s="22"/>
      <c r="H1009" s="22"/>
      <c r="I1009" s="22"/>
      <c r="J1009" s="17"/>
      <c r="K1009" s="20"/>
      <c r="L1009" s="19"/>
      <c r="M1009" s="19"/>
      <c r="N1009" s="19"/>
      <c r="O1009" s="18"/>
    </row>
    <row r="1010" spans="1:15" x14ac:dyDescent="0.2">
      <c r="A1010" s="19"/>
      <c r="B1010" s="22"/>
      <c r="C1010" s="22"/>
      <c r="D1010" s="22"/>
      <c r="E1010" s="13"/>
      <c r="F1010" s="14"/>
      <c r="G1010" s="22"/>
      <c r="H1010" s="22"/>
      <c r="I1010" s="22"/>
      <c r="J1010" s="17"/>
      <c r="K1010" s="20"/>
      <c r="L1010" s="19"/>
      <c r="M1010" s="19"/>
      <c r="N1010" s="19"/>
      <c r="O1010" s="18"/>
    </row>
    <row r="1011" spans="1:15" x14ac:dyDescent="0.2">
      <c r="A1011" s="19"/>
      <c r="B1011" s="22"/>
      <c r="C1011" s="22"/>
      <c r="D1011" s="22"/>
      <c r="E1011" s="13"/>
      <c r="F1011" s="14"/>
      <c r="G1011" s="22"/>
      <c r="H1011" s="22"/>
      <c r="I1011" s="22"/>
      <c r="J1011" s="17"/>
      <c r="K1011" s="20"/>
      <c r="L1011" s="19"/>
      <c r="M1011" s="19"/>
      <c r="N1011" s="19"/>
      <c r="O1011" s="18"/>
    </row>
    <row r="1012" spans="1:15" x14ac:dyDescent="0.2">
      <c r="A1012" s="19"/>
      <c r="B1012" s="22"/>
      <c r="C1012" s="22"/>
      <c r="D1012" s="22"/>
      <c r="E1012" s="13"/>
      <c r="F1012" s="14"/>
      <c r="G1012" s="22"/>
      <c r="H1012" s="22"/>
      <c r="I1012" s="22"/>
      <c r="J1012" s="17"/>
      <c r="K1012" s="20"/>
      <c r="L1012" s="19"/>
      <c r="M1012" s="19"/>
      <c r="N1012" s="19"/>
      <c r="O1012" s="18"/>
    </row>
    <row r="1013" spans="1:15" x14ac:dyDescent="0.2">
      <c r="A1013" s="19"/>
      <c r="B1013" s="22"/>
      <c r="C1013" s="22"/>
      <c r="D1013" s="22"/>
      <c r="E1013" s="13"/>
      <c r="F1013" s="14"/>
      <c r="G1013" s="22"/>
      <c r="H1013" s="22"/>
      <c r="I1013" s="22"/>
      <c r="J1013" s="17"/>
      <c r="K1013" s="20"/>
      <c r="L1013" s="19"/>
      <c r="M1013" s="19"/>
      <c r="N1013" s="19"/>
      <c r="O1013" s="18"/>
    </row>
    <row r="1014" spans="1:15" x14ac:dyDescent="0.2">
      <c r="A1014" s="19"/>
      <c r="B1014" s="22"/>
      <c r="C1014" s="22"/>
      <c r="D1014" s="22"/>
      <c r="E1014" s="13"/>
      <c r="F1014" s="14"/>
      <c r="G1014" s="22"/>
      <c r="H1014" s="22"/>
      <c r="I1014" s="22"/>
      <c r="J1014" s="17"/>
      <c r="K1014" s="20"/>
      <c r="L1014" s="19"/>
      <c r="M1014" s="19"/>
      <c r="N1014" s="19"/>
      <c r="O1014" s="18"/>
    </row>
    <row r="1015" spans="1:15" x14ac:dyDescent="0.2">
      <c r="A1015" s="19"/>
      <c r="B1015" s="22"/>
      <c r="C1015" s="22"/>
      <c r="D1015" s="22"/>
      <c r="E1015" s="13"/>
      <c r="F1015" s="14"/>
      <c r="G1015" s="22"/>
      <c r="H1015" s="22"/>
      <c r="I1015" s="22"/>
      <c r="J1015" s="17"/>
      <c r="K1015" s="20"/>
      <c r="L1015" s="19"/>
      <c r="M1015" s="19"/>
      <c r="N1015" s="19"/>
      <c r="O1015" s="18"/>
    </row>
    <row r="1016" spans="1:15" x14ac:dyDescent="0.2">
      <c r="A1016" s="19"/>
      <c r="B1016" s="22"/>
      <c r="C1016" s="22"/>
      <c r="D1016" s="22"/>
      <c r="E1016" s="13"/>
      <c r="F1016" s="14"/>
      <c r="G1016" s="22"/>
      <c r="H1016" s="22"/>
      <c r="I1016" s="22"/>
      <c r="J1016" s="17"/>
      <c r="K1016" s="20"/>
      <c r="L1016" s="19"/>
      <c r="M1016" s="19"/>
      <c r="N1016" s="19"/>
      <c r="O1016" s="18"/>
    </row>
    <row r="1017" spans="1:15" x14ac:dyDescent="0.2">
      <c r="A1017" s="19"/>
      <c r="B1017" s="22"/>
      <c r="C1017" s="22"/>
      <c r="D1017" s="22"/>
      <c r="E1017" s="13"/>
      <c r="F1017" s="14"/>
      <c r="G1017" s="22"/>
      <c r="H1017" s="22"/>
      <c r="I1017" s="22"/>
      <c r="J1017" s="17"/>
      <c r="K1017" s="20"/>
      <c r="L1017" s="19"/>
      <c r="M1017" s="19"/>
      <c r="N1017" s="19"/>
      <c r="O1017" s="18"/>
    </row>
    <row r="1018" spans="1:15" x14ac:dyDescent="0.2">
      <c r="A1018" s="19"/>
      <c r="B1018" s="22"/>
      <c r="C1018" s="22"/>
      <c r="D1018" s="22"/>
      <c r="E1018" s="13"/>
      <c r="F1018" s="14"/>
      <c r="G1018" s="22"/>
      <c r="H1018" s="22"/>
      <c r="I1018" s="22"/>
      <c r="J1018" s="17"/>
      <c r="K1018" s="20"/>
      <c r="L1018" s="19"/>
      <c r="M1018" s="19"/>
      <c r="N1018" s="19"/>
      <c r="O1018" s="18"/>
    </row>
    <row r="1019" spans="1:15" x14ac:dyDescent="0.2">
      <c r="A1019" s="19"/>
      <c r="B1019" s="22"/>
      <c r="C1019" s="22"/>
      <c r="D1019" s="22"/>
      <c r="E1019" s="13"/>
      <c r="F1019" s="14"/>
      <c r="G1019" s="22"/>
      <c r="H1019" s="22"/>
      <c r="I1019" s="22"/>
      <c r="J1019" s="17"/>
      <c r="K1019" s="20"/>
      <c r="L1019" s="19"/>
      <c r="M1019" s="19"/>
      <c r="N1019" s="19"/>
      <c r="O1019" s="18"/>
    </row>
    <row r="1020" spans="1:15" x14ac:dyDescent="0.2">
      <c r="A1020" s="19"/>
      <c r="B1020" s="22"/>
      <c r="C1020" s="22"/>
      <c r="D1020" s="22"/>
      <c r="E1020" s="13"/>
      <c r="F1020" s="14"/>
      <c r="G1020" s="22"/>
      <c r="H1020" s="22"/>
      <c r="I1020" s="22"/>
      <c r="J1020" s="17"/>
      <c r="K1020" s="20"/>
      <c r="L1020" s="19"/>
      <c r="M1020" s="19"/>
      <c r="N1020" s="19"/>
      <c r="O1020" s="18"/>
    </row>
    <row r="1021" spans="1:15" x14ac:dyDescent="0.2">
      <c r="A1021" s="19"/>
      <c r="B1021" s="22"/>
      <c r="C1021" s="22"/>
      <c r="D1021" s="22"/>
      <c r="E1021" s="13"/>
      <c r="F1021" s="14"/>
      <c r="G1021" s="22"/>
      <c r="H1021" s="22"/>
      <c r="I1021" s="22"/>
      <c r="J1021" s="17"/>
      <c r="K1021" s="20"/>
      <c r="L1021" s="19"/>
      <c r="M1021" s="19"/>
      <c r="N1021" s="19"/>
      <c r="O1021" s="18"/>
    </row>
    <row r="1022" spans="1:15" x14ac:dyDescent="0.2">
      <c r="A1022" s="19"/>
      <c r="B1022" s="22"/>
      <c r="C1022" s="22"/>
      <c r="D1022" s="22"/>
      <c r="E1022" s="13"/>
      <c r="F1022" s="14"/>
      <c r="G1022" s="22"/>
      <c r="H1022" s="22"/>
      <c r="I1022" s="22"/>
      <c r="J1022" s="17"/>
      <c r="K1022" s="20"/>
      <c r="L1022" s="19"/>
      <c r="M1022" s="19"/>
      <c r="N1022" s="19"/>
      <c r="O1022" s="18"/>
    </row>
    <row r="1023" spans="1:15" x14ac:dyDescent="0.2">
      <c r="A1023" s="19"/>
      <c r="B1023" s="22"/>
      <c r="C1023" s="22"/>
      <c r="D1023" s="22"/>
      <c r="E1023" s="13"/>
      <c r="F1023" s="14"/>
      <c r="G1023" s="22"/>
      <c r="H1023" s="22"/>
      <c r="I1023" s="22"/>
      <c r="J1023" s="17"/>
      <c r="K1023" s="20"/>
      <c r="L1023" s="19"/>
      <c r="M1023" s="19"/>
      <c r="N1023" s="19"/>
      <c r="O1023" s="18"/>
    </row>
    <row r="1024" spans="1:15" x14ac:dyDescent="0.2">
      <c r="A1024" s="19"/>
      <c r="B1024" s="22"/>
      <c r="C1024" s="22"/>
      <c r="D1024" s="22"/>
      <c r="E1024" s="13"/>
      <c r="F1024" s="14"/>
      <c r="G1024" s="22"/>
      <c r="H1024" s="22"/>
      <c r="I1024" s="22"/>
      <c r="J1024" s="17"/>
      <c r="K1024" s="20"/>
      <c r="L1024" s="19"/>
      <c r="M1024" s="19"/>
      <c r="N1024" s="19"/>
      <c r="O1024" s="18"/>
    </row>
    <row r="1025" spans="1:15" x14ac:dyDescent="0.2">
      <c r="A1025" s="19"/>
      <c r="B1025" s="22"/>
      <c r="C1025" s="22"/>
      <c r="D1025" s="22"/>
      <c r="E1025" s="13"/>
      <c r="F1025" s="14"/>
      <c r="G1025" s="22"/>
      <c r="H1025" s="22"/>
      <c r="I1025" s="22"/>
      <c r="J1025" s="17"/>
      <c r="K1025" s="20"/>
      <c r="L1025" s="19"/>
      <c r="M1025" s="19"/>
      <c r="N1025" s="19"/>
      <c r="O1025" s="18"/>
    </row>
    <row r="1026" spans="1:15" x14ac:dyDescent="0.2">
      <c r="A1026" s="19"/>
      <c r="B1026" s="22"/>
      <c r="C1026" s="22"/>
      <c r="D1026" s="22"/>
      <c r="E1026" s="13"/>
      <c r="F1026" s="14"/>
      <c r="G1026" s="22"/>
      <c r="H1026" s="22"/>
      <c r="I1026" s="22"/>
      <c r="J1026" s="17"/>
      <c r="K1026" s="20"/>
      <c r="L1026" s="19"/>
      <c r="M1026" s="19"/>
      <c r="N1026" s="19"/>
      <c r="O1026" s="18"/>
    </row>
    <row r="1027" spans="1:15" x14ac:dyDescent="0.2">
      <c r="A1027" s="19"/>
      <c r="B1027" s="22"/>
      <c r="C1027" s="22"/>
      <c r="D1027" s="22"/>
      <c r="E1027" s="13"/>
      <c r="F1027" s="14"/>
      <c r="G1027" s="22"/>
      <c r="H1027" s="22"/>
      <c r="I1027" s="22"/>
      <c r="J1027" s="17"/>
      <c r="K1027" s="20"/>
      <c r="L1027" s="19"/>
      <c r="M1027" s="19"/>
      <c r="N1027" s="19"/>
      <c r="O1027" s="18"/>
    </row>
    <row r="1028" spans="1:15" x14ac:dyDescent="0.2">
      <c r="A1028" s="19"/>
      <c r="B1028" s="22"/>
      <c r="C1028" s="22"/>
      <c r="D1028" s="22"/>
      <c r="E1028" s="13"/>
      <c r="F1028" s="14"/>
      <c r="G1028" s="22"/>
      <c r="H1028" s="22"/>
      <c r="I1028" s="22"/>
      <c r="J1028" s="17"/>
      <c r="K1028" s="20"/>
      <c r="L1028" s="19"/>
      <c r="M1028" s="19"/>
      <c r="N1028" s="19"/>
      <c r="O1028" s="18"/>
    </row>
    <row r="1029" spans="1:15" x14ac:dyDescent="0.2">
      <c r="A1029" s="19"/>
      <c r="B1029" s="22"/>
      <c r="C1029" s="22"/>
      <c r="D1029" s="22"/>
      <c r="E1029" s="13"/>
      <c r="F1029" s="14"/>
      <c r="G1029" s="22"/>
      <c r="H1029" s="22"/>
      <c r="I1029" s="22"/>
      <c r="J1029" s="17"/>
      <c r="K1029" s="20"/>
      <c r="L1029" s="19"/>
      <c r="M1029" s="19"/>
      <c r="N1029" s="19"/>
      <c r="O1029" s="18"/>
    </row>
    <row r="1030" spans="1:15" x14ac:dyDescent="0.2">
      <c r="A1030" s="19"/>
      <c r="B1030" s="22"/>
      <c r="C1030" s="22"/>
      <c r="D1030" s="22"/>
      <c r="E1030" s="13"/>
      <c r="F1030" s="14"/>
      <c r="G1030" s="22"/>
      <c r="H1030" s="22"/>
      <c r="I1030" s="22"/>
      <c r="J1030" s="17"/>
      <c r="K1030" s="20"/>
      <c r="L1030" s="19"/>
      <c r="M1030" s="19"/>
      <c r="N1030" s="19"/>
      <c r="O1030" s="18"/>
    </row>
    <row r="1031" spans="1:15" x14ac:dyDescent="0.2">
      <c r="A1031" s="19"/>
      <c r="B1031" s="22"/>
      <c r="C1031" s="22"/>
      <c r="D1031" s="22"/>
      <c r="E1031" s="13"/>
      <c r="F1031" s="14"/>
      <c r="G1031" s="22"/>
      <c r="H1031" s="22"/>
      <c r="I1031" s="22"/>
      <c r="J1031" s="17"/>
      <c r="K1031" s="20"/>
      <c r="L1031" s="19"/>
      <c r="M1031" s="19"/>
      <c r="N1031" s="19"/>
      <c r="O1031" s="18"/>
    </row>
    <row r="1032" spans="1:15" x14ac:dyDescent="0.2">
      <c r="A1032" s="19"/>
      <c r="B1032" s="22"/>
      <c r="C1032" s="22"/>
      <c r="D1032" s="22"/>
      <c r="E1032" s="13"/>
      <c r="F1032" s="14"/>
      <c r="G1032" s="22"/>
      <c r="H1032" s="22"/>
      <c r="I1032" s="22"/>
      <c r="J1032" s="17"/>
      <c r="K1032" s="20"/>
      <c r="L1032" s="19"/>
      <c r="M1032" s="19"/>
      <c r="N1032" s="19"/>
      <c r="O1032" s="18"/>
    </row>
    <row r="1033" spans="1:15" x14ac:dyDescent="0.2">
      <c r="A1033" s="19"/>
      <c r="B1033" s="22"/>
      <c r="C1033" s="22"/>
      <c r="D1033" s="22"/>
      <c r="E1033" s="13"/>
      <c r="F1033" s="14"/>
      <c r="G1033" s="22"/>
      <c r="H1033" s="22"/>
      <c r="I1033" s="22"/>
      <c r="J1033" s="17"/>
      <c r="K1033" s="20"/>
      <c r="L1033" s="19"/>
      <c r="M1033" s="19"/>
      <c r="N1033" s="19"/>
      <c r="O1033" s="18"/>
    </row>
    <row r="1034" spans="1:15" x14ac:dyDescent="0.2">
      <c r="A1034" s="19"/>
      <c r="B1034" s="22"/>
      <c r="C1034" s="22"/>
      <c r="D1034" s="22"/>
      <c r="E1034" s="13"/>
      <c r="F1034" s="14"/>
      <c r="G1034" s="22"/>
      <c r="H1034" s="22"/>
      <c r="I1034" s="22"/>
      <c r="J1034" s="17"/>
      <c r="K1034" s="20"/>
      <c r="L1034" s="19"/>
      <c r="M1034" s="19"/>
      <c r="N1034" s="19"/>
      <c r="O1034" s="18"/>
    </row>
    <row r="1035" spans="1:15" x14ac:dyDescent="0.2">
      <c r="A1035" s="10"/>
      <c r="B1035" s="16"/>
      <c r="C1035" s="16"/>
      <c r="D1035" s="16"/>
      <c r="E1035" s="16"/>
      <c r="F1035" s="16"/>
      <c r="G1035" s="16"/>
      <c r="H1035" s="16"/>
      <c r="J1035" s="17"/>
      <c r="K1035" s="20"/>
      <c r="L1035" s="19"/>
      <c r="M1035" s="19"/>
      <c r="N1035" s="19"/>
      <c r="O1035" s="18"/>
    </row>
    <row r="1036" spans="1:15" x14ac:dyDescent="0.2">
      <c r="A1036" s="10"/>
      <c r="B1036" s="16"/>
      <c r="C1036" s="16"/>
      <c r="D1036" s="16"/>
      <c r="E1036" s="16"/>
      <c r="F1036" s="16"/>
      <c r="G1036" s="16"/>
      <c r="H1036" s="16"/>
      <c r="J1036" s="17"/>
      <c r="K1036" s="20"/>
      <c r="L1036" s="19"/>
      <c r="M1036" s="19"/>
      <c r="N1036" s="19"/>
      <c r="O1036" s="18"/>
    </row>
    <row r="1037" spans="1:15" x14ac:dyDescent="0.2">
      <c r="A1037" s="10"/>
      <c r="B1037" s="16"/>
      <c r="C1037" s="16"/>
      <c r="D1037" s="16"/>
      <c r="E1037" s="16"/>
      <c r="F1037" s="16"/>
      <c r="G1037" s="16"/>
      <c r="H1037" s="16"/>
      <c r="J1037" s="17"/>
      <c r="K1037" s="20"/>
      <c r="L1037" s="19"/>
      <c r="M1037" s="19"/>
      <c r="N1037" s="19"/>
      <c r="O1037" s="18"/>
    </row>
    <row r="1038" spans="1:15" x14ac:dyDescent="0.2">
      <c r="A1038" s="10"/>
      <c r="B1038" s="16"/>
      <c r="C1038" s="16"/>
      <c r="D1038" s="16"/>
      <c r="E1038" s="16"/>
      <c r="F1038" s="16"/>
      <c r="G1038" s="16"/>
      <c r="H1038" s="16"/>
      <c r="J1038" s="17"/>
      <c r="K1038" s="20"/>
      <c r="L1038" s="19"/>
      <c r="M1038" s="19"/>
      <c r="N1038" s="19"/>
      <c r="O1038" s="18"/>
    </row>
    <row r="1039" spans="1:15" x14ac:dyDescent="0.2">
      <c r="A1039" s="10"/>
      <c r="B1039" s="16"/>
      <c r="C1039" s="16"/>
      <c r="D1039" s="16"/>
      <c r="E1039" s="16"/>
      <c r="F1039" s="16"/>
      <c r="G1039" s="16"/>
      <c r="H1039" s="16"/>
      <c r="J1039" s="17"/>
      <c r="K1039" s="20"/>
      <c r="L1039" s="19"/>
      <c r="M1039" s="19"/>
      <c r="N1039" s="19"/>
      <c r="O1039" s="18"/>
    </row>
    <row r="1040" spans="1:15" x14ac:dyDescent="0.2">
      <c r="A1040" s="10"/>
      <c r="B1040" s="16"/>
      <c r="C1040" s="16"/>
      <c r="D1040" s="16"/>
      <c r="E1040" s="16"/>
      <c r="F1040" s="16"/>
      <c r="G1040" s="16"/>
      <c r="H1040" s="16"/>
      <c r="J1040" s="17"/>
      <c r="K1040" s="20"/>
      <c r="L1040" s="19"/>
      <c r="M1040" s="19"/>
      <c r="N1040" s="19"/>
      <c r="O1040" s="18"/>
    </row>
    <row r="1041" spans="1:15" x14ac:dyDescent="0.2">
      <c r="A1041" s="10"/>
      <c r="B1041" s="16"/>
      <c r="C1041" s="16"/>
      <c r="D1041" s="16"/>
      <c r="E1041" s="16"/>
      <c r="F1041" s="16"/>
      <c r="G1041" s="16"/>
      <c r="H1041" s="16"/>
      <c r="J1041" s="17"/>
      <c r="K1041" s="20"/>
      <c r="L1041" s="19"/>
      <c r="M1041" s="19"/>
      <c r="N1041" s="19"/>
      <c r="O1041" s="18"/>
    </row>
    <row r="1042" spans="1:15" x14ac:dyDescent="0.2">
      <c r="A1042" s="10"/>
      <c r="B1042" s="16"/>
      <c r="C1042" s="16"/>
      <c r="D1042" s="16"/>
      <c r="E1042" s="16"/>
      <c r="F1042" s="16"/>
      <c r="G1042" s="16"/>
      <c r="H1042" s="16"/>
      <c r="J1042" s="17"/>
      <c r="K1042" s="20"/>
      <c r="L1042" s="19"/>
      <c r="M1042" s="19"/>
      <c r="N1042" s="19"/>
      <c r="O1042" s="18"/>
    </row>
    <row r="1043" spans="1:15" x14ac:dyDescent="0.2">
      <c r="A1043" s="10"/>
      <c r="B1043" s="16"/>
      <c r="C1043" s="16"/>
      <c r="D1043" s="16"/>
      <c r="E1043" s="16"/>
      <c r="F1043" s="16"/>
      <c r="G1043" s="16"/>
      <c r="H1043" s="16"/>
      <c r="J1043" s="17"/>
      <c r="K1043" s="20"/>
      <c r="L1043" s="19"/>
      <c r="M1043" s="19"/>
      <c r="N1043" s="19"/>
      <c r="O1043" s="18"/>
    </row>
    <row r="1044" spans="1:15" x14ac:dyDescent="0.2">
      <c r="A1044" s="10"/>
      <c r="B1044" s="16"/>
      <c r="C1044" s="16"/>
      <c r="D1044" s="16"/>
      <c r="E1044" s="16"/>
      <c r="F1044" s="16"/>
      <c r="G1044" s="16"/>
      <c r="H1044" s="16"/>
      <c r="J1044" s="17"/>
      <c r="K1044" s="20"/>
      <c r="L1044" s="19"/>
      <c r="M1044" s="19"/>
      <c r="N1044" s="19"/>
      <c r="O1044" s="18"/>
    </row>
    <row r="1045" spans="1:15" x14ac:dyDescent="0.2">
      <c r="A1045" s="10"/>
      <c r="B1045" s="16"/>
      <c r="C1045" s="16"/>
      <c r="D1045" s="16"/>
      <c r="E1045" s="16"/>
      <c r="F1045" s="16"/>
      <c r="G1045" s="16"/>
      <c r="H1045" s="16"/>
      <c r="J1045" s="17"/>
      <c r="K1045" s="20"/>
      <c r="L1045" s="19"/>
      <c r="M1045" s="19"/>
      <c r="N1045" s="19"/>
      <c r="O1045" s="18"/>
    </row>
    <row r="1046" spans="1:15" x14ac:dyDescent="0.2">
      <c r="A1046" s="10"/>
      <c r="B1046" s="16"/>
      <c r="C1046" s="16"/>
      <c r="D1046" s="16"/>
      <c r="E1046" s="16"/>
      <c r="F1046" s="16"/>
      <c r="G1046" s="16"/>
      <c r="H1046" s="16"/>
      <c r="J1046" s="17"/>
      <c r="K1046" s="20"/>
      <c r="L1046" s="19"/>
      <c r="M1046" s="19"/>
      <c r="N1046" s="19"/>
      <c r="O1046" s="18"/>
    </row>
    <row r="1047" spans="1:15" x14ac:dyDescent="0.2">
      <c r="A1047" s="10"/>
      <c r="B1047" s="16"/>
      <c r="C1047" s="16"/>
      <c r="D1047" s="16"/>
      <c r="E1047" s="16"/>
      <c r="F1047" s="16"/>
      <c r="G1047" s="16"/>
      <c r="H1047" s="16"/>
      <c r="J1047" s="17"/>
      <c r="K1047" s="20"/>
      <c r="L1047" s="19"/>
      <c r="M1047" s="19"/>
      <c r="N1047" s="19"/>
      <c r="O1047" s="18"/>
    </row>
    <row r="1048" spans="1:15" x14ac:dyDescent="0.2">
      <c r="A1048" s="10"/>
      <c r="B1048" s="16"/>
      <c r="C1048" s="16"/>
      <c r="D1048" s="16"/>
      <c r="E1048" s="16"/>
      <c r="F1048" s="16"/>
      <c r="G1048" s="16"/>
      <c r="H1048" s="16"/>
      <c r="J1048" s="17"/>
      <c r="K1048" s="20"/>
      <c r="L1048" s="19"/>
      <c r="M1048" s="19"/>
      <c r="N1048" s="19"/>
      <c r="O1048" s="18"/>
    </row>
    <row r="1049" spans="1:15" x14ac:dyDescent="0.2">
      <c r="A1049" s="10"/>
      <c r="B1049" s="16"/>
      <c r="C1049" s="16"/>
      <c r="D1049" s="16"/>
      <c r="E1049" s="16"/>
      <c r="F1049" s="16"/>
      <c r="G1049" s="16"/>
      <c r="H1049" s="16"/>
      <c r="J1049" s="17"/>
      <c r="K1049" s="20"/>
      <c r="L1049" s="19"/>
      <c r="M1049" s="19"/>
      <c r="N1049" s="19"/>
      <c r="O1049" s="18"/>
    </row>
    <row r="1050" spans="1:15" x14ac:dyDescent="0.2">
      <c r="A1050" s="10"/>
      <c r="B1050" s="16"/>
      <c r="C1050" s="16"/>
      <c r="D1050" s="16"/>
      <c r="E1050" s="16"/>
      <c r="F1050" s="16"/>
      <c r="G1050" s="16"/>
      <c r="H1050" s="16"/>
      <c r="J1050" s="17"/>
      <c r="K1050" s="20"/>
      <c r="L1050" s="19"/>
      <c r="M1050" s="19"/>
      <c r="N1050" s="19"/>
      <c r="O1050" s="18"/>
    </row>
    <row r="1051" spans="1:15" x14ac:dyDescent="0.2">
      <c r="A1051" s="10"/>
      <c r="B1051" s="16"/>
      <c r="C1051" s="16"/>
      <c r="D1051" s="16"/>
      <c r="E1051" s="16"/>
      <c r="F1051" s="16"/>
      <c r="G1051" s="16"/>
      <c r="H1051" s="16"/>
      <c r="J1051" s="17"/>
      <c r="K1051" s="20"/>
      <c r="L1051" s="19"/>
      <c r="M1051" s="19"/>
      <c r="N1051" s="19"/>
      <c r="O1051" s="18"/>
    </row>
    <row r="1052" spans="1:15" x14ac:dyDescent="0.2">
      <c r="A1052" s="10"/>
      <c r="B1052" s="16"/>
      <c r="C1052" s="16"/>
      <c r="D1052" s="16"/>
      <c r="E1052" s="16"/>
      <c r="F1052" s="16"/>
      <c r="G1052" s="16"/>
      <c r="H1052" s="16"/>
      <c r="J1052" s="17"/>
      <c r="K1052" s="20"/>
      <c r="L1052" s="19"/>
      <c r="M1052" s="19"/>
      <c r="N1052" s="19"/>
      <c r="O1052" s="18"/>
    </row>
    <row r="1053" spans="1:15" x14ac:dyDescent="0.2">
      <c r="A1053" s="10"/>
      <c r="B1053" s="16"/>
      <c r="C1053" s="16"/>
      <c r="D1053" s="16"/>
      <c r="E1053" s="16"/>
      <c r="F1053" s="16"/>
      <c r="G1053" s="16"/>
      <c r="H1053" s="16"/>
      <c r="J1053" s="17"/>
      <c r="K1053" s="20"/>
      <c r="L1053" s="19"/>
      <c r="M1053" s="19"/>
      <c r="N1053" s="19"/>
      <c r="O1053" s="18"/>
    </row>
    <row r="1054" spans="1:15" x14ac:dyDescent="0.2">
      <c r="A1054" s="10"/>
      <c r="B1054" s="16"/>
      <c r="C1054" s="16"/>
      <c r="D1054" s="16"/>
      <c r="E1054" s="16"/>
      <c r="F1054" s="16"/>
      <c r="G1054" s="16"/>
      <c r="H1054" s="16"/>
      <c r="J1054" s="17"/>
      <c r="K1054" s="20"/>
      <c r="L1054" s="19"/>
      <c r="M1054" s="19"/>
      <c r="N1054" s="19"/>
      <c r="O1054" s="18"/>
    </row>
    <row r="1055" spans="1:15" x14ac:dyDescent="0.2">
      <c r="A1055" s="10"/>
      <c r="B1055" s="16"/>
      <c r="C1055" s="16"/>
      <c r="D1055" s="16"/>
      <c r="E1055" s="16"/>
      <c r="F1055" s="16"/>
      <c r="G1055" s="16"/>
      <c r="H1055" s="16"/>
      <c r="J1055" s="17"/>
      <c r="K1055" s="20"/>
      <c r="L1055" s="19"/>
      <c r="M1055" s="19"/>
      <c r="N1055" s="19"/>
      <c r="O1055" s="18"/>
    </row>
    <row r="1056" spans="1:15" x14ac:dyDescent="0.2">
      <c r="A1056" s="10"/>
      <c r="B1056" s="16"/>
      <c r="C1056" s="16"/>
      <c r="D1056" s="16"/>
      <c r="E1056" s="16"/>
      <c r="F1056" s="16"/>
      <c r="G1056" s="16"/>
      <c r="H1056" s="16"/>
      <c r="J1056" s="17"/>
      <c r="K1056" s="20"/>
      <c r="L1056" s="19"/>
      <c r="M1056" s="19"/>
      <c r="N1056" s="19"/>
      <c r="O1056" s="18"/>
    </row>
    <row r="1057" spans="1:15" x14ac:dyDescent="0.2">
      <c r="A1057" s="10"/>
      <c r="B1057" s="16"/>
      <c r="C1057" s="16"/>
      <c r="D1057" s="16"/>
      <c r="E1057" s="16"/>
      <c r="F1057" s="16"/>
      <c r="G1057" s="16"/>
      <c r="H1057" s="16"/>
      <c r="J1057" s="17"/>
      <c r="K1057" s="20"/>
      <c r="L1057" s="19"/>
      <c r="M1057" s="19"/>
      <c r="N1057" s="19"/>
      <c r="O1057" s="18"/>
    </row>
    <row r="1058" spans="1:15" x14ac:dyDescent="0.2">
      <c r="A1058" s="10"/>
      <c r="B1058" s="16"/>
      <c r="C1058" s="16"/>
      <c r="D1058" s="16"/>
      <c r="E1058" s="16"/>
      <c r="F1058" s="16"/>
      <c r="G1058" s="16"/>
      <c r="H1058" s="16"/>
      <c r="J1058" s="17"/>
      <c r="K1058" s="20"/>
      <c r="L1058" s="19"/>
      <c r="M1058" s="19"/>
      <c r="N1058" s="19"/>
      <c r="O1058" s="18"/>
    </row>
    <row r="1059" spans="1:15" x14ac:dyDescent="0.2">
      <c r="A1059" s="10"/>
      <c r="B1059" s="16"/>
      <c r="C1059" s="16"/>
      <c r="D1059" s="16"/>
      <c r="E1059" s="16"/>
      <c r="F1059" s="16"/>
      <c r="G1059" s="16"/>
      <c r="H1059" s="16"/>
      <c r="J1059" s="17"/>
      <c r="K1059" s="20"/>
      <c r="L1059" s="19"/>
      <c r="M1059" s="19"/>
      <c r="N1059" s="19"/>
      <c r="O1059" s="18"/>
    </row>
    <row r="1060" spans="1:15" x14ac:dyDescent="0.2">
      <c r="A1060" s="10"/>
      <c r="B1060" s="16"/>
      <c r="C1060" s="16"/>
      <c r="D1060" s="16"/>
      <c r="E1060" s="16"/>
      <c r="F1060" s="16"/>
      <c r="G1060" s="16"/>
      <c r="H1060" s="16"/>
      <c r="J1060" s="17"/>
      <c r="K1060" s="20"/>
      <c r="L1060" s="19"/>
      <c r="M1060" s="19"/>
      <c r="N1060" s="19"/>
      <c r="O1060" s="18"/>
    </row>
    <row r="1061" spans="1:15" x14ac:dyDescent="0.2">
      <c r="A1061" s="10"/>
      <c r="B1061" s="16"/>
      <c r="C1061" s="16"/>
      <c r="D1061" s="16"/>
      <c r="E1061" s="16"/>
      <c r="F1061" s="16"/>
      <c r="G1061" s="16"/>
      <c r="H1061" s="16"/>
      <c r="J1061" s="17"/>
      <c r="K1061" s="20"/>
      <c r="L1061" s="19"/>
      <c r="M1061" s="19"/>
      <c r="N1061" s="19"/>
      <c r="O1061" s="18"/>
    </row>
    <row r="1062" spans="1:15" x14ac:dyDescent="0.2">
      <c r="A1062" s="10"/>
      <c r="B1062" s="16"/>
      <c r="C1062" s="16"/>
      <c r="D1062" s="16"/>
      <c r="E1062" s="16"/>
      <c r="F1062" s="16"/>
      <c r="G1062" s="16"/>
      <c r="H1062" s="16"/>
      <c r="J1062" s="17"/>
      <c r="K1062" s="20"/>
      <c r="L1062" s="19"/>
      <c r="M1062" s="19"/>
      <c r="N1062" s="19"/>
      <c r="O1062" s="18"/>
    </row>
    <row r="1063" spans="1:15" x14ac:dyDescent="0.2">
      <c r="A1063" s="10"/>
      <c r="B1063" s="16"/>
      <c r="C1063" s="16"/>
      <c r="D1063" s="16"/>
      <c r="E1063" s="16"/>
      <c r="F1063" s="16"/>
      <c r="G1063" s="16"/>
      <c r="H1063" s="16"/>
      <c r="J1063" s="17"/>
      <c r="K1063" s="20"/>
      <c r="L1063" s="19"/>
      <c r="M1063" s="19"/>
      <c r="N1063" s="19"/>
      <c r="O1063" s="18"/>
    </row>
    <row r="1064" spans="1:15" x14ac:dyDescent="0.2">
      <c r="A1064" s="10"/>
      <c r="B1064" s="16"/>
      <c r="C1064" s="16"/>
      <c r="D1064" s="16"/>
      <c r="E1064" s="16"/>
      <c r="F1064" s="16"/>
      <c r="G1064" s="16"/>
      <c r="H1064" s="16"/>
      <c r="J1064" s="17"/>
      <c r="K1064" s="20"/>
      <c r="L1064" s="19"/>
      <c r="M1064" s="19"/>
      <c r="N1064" s="19"/>
      <c r="O1064" s="18"/>
    </row>
    <row r="1065" spans="1:15" x14ac:dyDescent="0.2">
      <c r="A1065" s="10"/>
      <c r="B1065" s="16"/>
      <c r="C1065" s="16"/>
      <c r="D1065" s="16"/>
      <c r="E1065" s="16"/>
      <c r="F1065" s="16"/>
      <c r="G1065" s="16"/>
      <c r="H1065" s="16"/>
      <c r="J1065" s="17"/>
      <c r="K1065" s="20"/>
      <c r="L1065" s="19"/>
      <c r="M1065" s="19"/>
      <c r="N1065" s="19"/>
      <c r="O1065" s="18"/>
    </row>
    <row r="1066" spans="1:15" x14ac:dyDescent="0.2">
      <c r="A1066" s="10"/>
      <c r="B1066" s="16"/>
      <c r="C1066" s="16"/>
      <c r="D1066" s="16"/>
      <c r="E1066" s="16"/>
      <c r="F1066" s="16"/>
      <c r="G1066" s="16"/>
      <c r="H1066" s="16"/>
      <c r="J1066" s="17"/>
      <c r="K1066" s="20"/>
      <c r="L1066" s="19"/>
      <c r="M1066" s="19"/>
      <c r="N1066" s="19"/>
      <c r="O1066" s="18"/>
    </row>
    <row r="1067" spans="1:15" x14ac:dyDescent="0.2">
      <c r="A1067" s="10"/>
      <c r="B1067" s="16"/>
      <c r="C1067" s="16"/>
      <c r="D1067" s="16"/>
      <c r="E1067" s="16"/>
      <c r="F1067" s="16"/>
      <c r="G1067" s="16"/>
      <c r="H1067" s="16"/>
      <c r="J1067" s="17"/>
      <c r="K1067" s="20"/>
      <c r="L1067" s="19"/>
      <c r="M1067" s="19"/>
      <c r="N1067" s="19"/>
      <c r="O1067" s="18"/>
    </row>
    <row r="1068" spans="1:15" x14ac:dyDescent="0.2">
      <c r="A1068" s="10"/>
      <c r="B1068" s="16"/>
      <c r="C1068" s="16"/>
      <c r="D1068" s="16"/>
      <c r="E1068" s="16"/>
      <c r="F1068" s="16"/>
      <c r="G1068" s="16"/>
      <c r="H1068" s="16"/>
      <c r="J1068" s="17"/>
      <c r="K1068" s="20"/>
      <c r="L1068" s="19"/>
      <c r="M1068" s="19"/>
      <c r="N1068" s="19"/>
      <c r="O1068" s="18"/>
    </row>
    <row r="1069" spans="1:15" x14ac:dyDescent="0.2">
      <c r="A1069" s="10"/>
      <c r="B1069" s="16"/>
      <c r="C1069" s="16"/>
      <c r="D1069" s="16"/>
      <c r="E1069" s="16"/>
      <c r="F1069" s="16"/>
      <c r="G1069" s="16"/>
      <c r="H1069" s="16"/>
      <c r="J1069" s="17"/>
      <c r="K1069" s="20"/>
      <c r="L1069" s="19"/>
      <c r="M1069" s="19"/>
      <c r="N1069" s="19"/>
      <c r="O1069" s="18"/>
    </row>
    <row r="1070" spans="1:15" x14ac:dyDescent="0.2">
      <c r="A1070" s="10"/>
      <c r="B1070" s="16"/>
      <c r="C1070" s="16"/>
      <c r="D1070" s="16"/>
      <c r="E1070" s="16"/>
      <c r="F1070" s="16"/>
      <c r="G1070" s="16"/>
      <c r="H1070" s="16"/>
      <c r="J1070" s="17"/>
      <c r="K1070" s="20"/>
      <c r="L1070" s="19"/>
      <c r="M1070" s="19"/>
      <c r="N1070" s="19"/>
      <c r="O1070" s="18"/>
    </row>
    <row r="1071" spans="1:15" x14ac:dyDescent="0.2">
      <c r="A1071" s="10"/>
      <c r="B1071" s="16"/>
      <c r="C1071" s="16"/>
      <c r="D1071" s="16"/>
      <c r="E1071" s="16"/>
      <c r="F1071" s="16"/>
      <c r="G1071" s="16"/>
      <c r="H1071" s="16"/>
      <c r="J1071" s="17"/>
      <c r="K1071" s="20"/>
      <c r="L1071" s="19"/>
      <c r="M1071" s="19"/>
      <c r="N1071" s="19"/>
      <c r="O1071" s="18"/>
    </row>
    <row r="1072" spans="1:15" x14ac:dyDescent="0.2">
      <c r="A1072" s="10"/>
      <c r="B1072" s="16"/>
      <c r="C1072" s="16"/>
      <c r="D1072" s="16"/>
      <c r="E1072" s="16"/>
      <c r="F1072" s="16"/>
      <c r="G1072" s="16"/>
      <c r="H1072" s="16"/>
      <c r="J1072" s="17"/>
      <c r="K1072" s="20"/>
      <c r="L1072" s="19"/>
      <c r="M1072" s="19"/>
      <c r="N1072" s="19"/>
      <c r="O1072" s="18"/>
    </row>
    <row r="1073" spans="1:15" x14ac:dyDescent="0.2">
      <c r="A1073" s="10"/>
      <c r="B1073" s="16"/>
      <c r="C1073" s="16"/>
      <c r="D1073" s="16"/>
      <c r="E1073" s="16"/>
      <c r="F1073" s="16"/>
      <c r="G1073" s="16"/>
      <c r="H1073" s="16"/>
      <c r="J1073" s="17"/>
      <c r="K1073" s="20"/>
      <c r="L1073" s="19"/>
      <c r="M1073" s="19"/>
      <c r="N1073" s="19"/>
      <c r="O1073" s="18"/>
    </row>
    <row r="1074" spans="1:15" x14ac:dyDescent="0.2">
      <c r="A1074" s="10"/>
      <c r="B1074" s="16"/>
      <c r="C1074" s="16"/>
      <c r="D1074" s="16"/>
      <c r="E1074" s="16"/>
      <c r="F1074" s="16"/>
      <c r="G1074" s="16"/>
      <c r="H1074" s="16"/>
      <c r="J1074" s="17"/>
      <c r="K1074" s="20"/>
      <c r="L1074" s="19"/>
      <c r="M1074" s="19"/>
      <c r="N1074" s="19"/>
      <c r="O1074" s="18"/>
    </row>
    <row r="1075" spans="1:15" x14ac:dyDescent="0.2">
      <c r="A1075" s="10"/>
      <c r="B1075" s="16"/>
      <c r="C1075" s="16"/>
      <c r="D1075" s="16"/>
      <c r="E1075" s="16"/>
      <c r="F1075" s="16"/>
      <c r="G1075" s="16"/>
      <c r="H1075" s="16"/>
      <c r="J1075" s="17"/>
      <c r="K1075" s="20"/>
      <c r="L1075" s="19"/>
      <c r="M1075" s="19"/>
      <c r="N1075" s="19"/>
      <c r="O1075" s="18"/>
    </row>
    <row r="1076" spans="1:15" x14ac:dyDescent="0.2">
      <c r="A1076" s="10"/>
      <c r="B1076" s="16"/>
      <c r="C1076" s="16"/>
      <c r="D1076" s="16"/>
      <c r="E1076" s="16"/>
      <c r="F1076" s="16"/>
      <c r="G1076" s="16"/>
      <c r="H1076" s="16"/>
      <c r="J1076" s="17"/>
      <c r="K1076" s="20"/>
      <c r="L1076" s="19"/>
      <c r="M1076" s="19"/>
      <c r="N1076" s="19"/>
      <c r="O1076" s="18"/>
    </row>
    <row r="1077" spans="1:15" x14ac:dyDescent="0.2">
      <c r="A1077" s="10"/>
      <c r="B1077" s="16"/>
      <c r="C1077" s="16"/>
      <c r="D1077" s="16"/>
      <c r="E1077" s="16"/>
      <c r="F1077" s="16"/>
      <c r="G1077" s="16"/>
      <c r="H1077" s="16"/>
      <c r="J1077" s="17"/>
      <c r="K1077" s="20"/>
      <c r="L1077" s="19"/>
      <c r="M1077" s="19"/>
      <c r="N1077" s="19"/>
      <c r="O1077" s="18"/>
    </row>
    <row r="1078" spans="1:15" x14ac:dyDescent="0.2">
      <c r="A1078" s="10"/>
      <c r="B1078" s="16"/>
      <c r="C1078" s="16"/>
      <c r="D1078" s="16"/>
      <c r="E1078" s="16"/>
      <c r="F1078" s="16"/>
      <c r="G1078" s="16"/>
      <c r="H1078" s="16"/>
      <c r="J1078" s="17"/>
      <c r="K1078" s="20"/>
      <c r="L1078" s="19"/>
      <c r="M1078" s="19"/>
      <c r="N1078" s="19"/>
      <c r="O1078" s="18"/>
    </row>
    <row r="1079" spans="1:15" x14ac:dyDescent="0.2">
      <c r="A1079" s="10"/>
      <c r="B1079" s="16"/>
      <c r="C1079" s="16"/>
      <c r="D1079" s="16"/>
      <c r="E1079" s="16"/>
      <c r="F1079" s="16"/>
      <c r="G1079" s="16"/>
      <c r="H1079" s="16"/>
      <c r="J1079" s="17"/>
      <c r="K1079" s="20"/>
      <c r="L1079" s="19"/>
      <c r="M1079" s="19"/>
      <c r="N1079" s="19"/>
      <c r="O1079" s="18"/>
    </row>
    <row r="1080" spans="1:15" x14ac:dyDescent="0.2">
      <c r="A1080" s="10"/>
      <c r="B1080" s="16"/>
      <c r="C1080" s="16"/>
      <c r="D1080" s="16"/>
      <c r="E1080" s="16"/>
      <c r="F1080" s="16"/>
      <c r="G1080" s="16"/>
      <c r="H1080" s="16"/>
      <c r="J1080" s="17"/>
      <c r="K1080" s="20"/>
      <c r="L1080" s="19"/>
      <c r="M1080" s="19"/>
      <c r="N1080" s="19"/>
      <c r="O1080" s="18"/>
    </row>
    <row r="1081" spans="1:15" x14ac:dyDescent="0.2">
      <c r="A1081" s="10"/>
      <c r="B1081" s="16"/>
      <c r="C1081" s="16"/>
      <c r="D1081" s="16"/>
      <c r="E1081" s="16"/>
      <c r="F1081" s="16"/>
      <c r="G1081" s="16"/>
      <c r="H1081" s="16"/>
      <c r="J1081" s="17"/>
      <c r="K1081" s="20"/>
      <c r="L1081" s="19"/>
      <c r="M1081" s="19"/>
      <c r="N1081" s="19"/>
      <c r="O1081" s="18"/>
    </row>
    <row r="1082" spans="1:15" x14ac:dyDescent="0.2">
      <c r="A1082" s="10"/>
      <c r="B1082" s="16"/>
      <c r="C1082" s="16"/>
      <c r="D1082" s="16"/>
      <c r="E1082" s="16"/>
      <c r="F1082" s="16"/>
      <c r="G1082" s="16"/>
      <c r="H1082" s="16"/>
      <c r="J1082" s="17"/>
      <c r="K1082" s="20"/>
      <c r="L1082" s="19"/>
      <c r="M1082" s="19"/>
      <c r="N1082" s="19"/>
      <c r="O1082" s="18"/>
    </row>
    <row r="1083" spans="1:15" x14ac:dyDescent="0.2">
      <c r="A1083" s="10"/>
      <c r="B1083" s="16"/>
      <c r="C1083" s="16"/>
      <c r="D1083" s="16"/>
      <c r="E1083" s="16"/>
      <c r="F1083" s="16"/>
      <c r="G1083" s="16"/>
      <c r="H1083" s="16"/>
      <c r="J1083" s="17"/>
      <c r="K1083" s="20"/>
      <c r="L1083" s="19"/>
      <c r="M1083" s="19"/>
      <c r="N1083" s="19"/>
      <c r="O1083" s="18"/>
    </row>
    <row r="1084" spans="1:15" x14ac:dyDescent="0.2">
      <c r="A1084" s="10"/>
      <c r="B1084" s="16"/>
      <c r="C1084" s="16"/>
      <c r="D1084" s="16"/>
      <c r="E1084" s="16"/>
      <c r="F1084" s="16"/>
      <c r="G1084" s="16"/>
      <c r="H1084" s="16"/>
      <c r="J1084" s="17"/>
      <c r="K1084" s="20"/>
      <c r="L1084" s="19"/>
      <c r="M1084" s="19"/>
      <c r="N1084" s="19"/>
      <c r="O1084" s="18"/>
    </row>
    <row r="1085" spans="1:15" x14ac:dyDescent="0.2">
      <c r="A1085" s="10"/>
      <c r="B1085" s="16"/>
      <c r="C1085" s="16"/>
      <c r="D1085" s="16"/>
      <c r="E1085" s="16"/>
      <c r="F1085" s="16"/>
      <c r="G1085" s="16"/>
      <c r="H1085" s="16"/>
      <c r="J1085" s="17"/>
      <c r="K1085" s="20"/>
      <c r="L1085" s="19"/>
      <c r="M1085" s="19"/>
      <c r="N1085" s="19"/>
      <c r="O1085" s="18"/>
    </row>
    <row r="1086" spans="1:15" x14ac:dyDescent="0.2">
      <c r="A1086" s="10"/>
      <c r="B1086" s="16"/>
      <c r="C1086" s="16"/>
      <c r="D1086" s="16"/>
      <c r="E1086" s="16"/>
      <c r="F1086" s="16"/>
      <c r="G1086" s="16"/>
      <c r="H1086" s="16"/>
      <c r="J1086" s="17"/>
      <c r="K1086" s="20"/>
      <c r="L1086" s="19"/>
      <c r="M1086" s="19"/>
      <c r="N1086" s="19"/>
      <c r="O1086" s="18"/>
    </row>
    <row r="1087" spans="1:15" x14ac:dyDescent="0.2">
      <c r="A1087" s="10"/>
      <c r="B1087" s="16"/>
      <c r="C1087" s="16"/>
      <c r="D1087" s="16"/>
      <c r="E1087" s="16"/>
      <c r="F1087" s="16"/>
      <c r="G1087" s="16"/>
      <c r="H1087" s="16"/>
      <c r="J1087" s="17"/>
      <c r="K1087" s="20"/>
      <c r="L1087" s="19"/>
      <c r="M1087" s="19"/>
      <c r="N1087" s="19"/>
      <c r="O1087" s="18"/>
    </row>
    <row r="1088" spans="1:15" x14ac:dyDescent="0.2">
      <c r="A1088" s="10"/>
      <c r="B1088" s="16"/>
      <c r="C1088" s="16"/>
      <c r="D1088" s="16"/>
      <c r="E1088" s="16"/>
      <c r="F1088" s="16"/>
      <c r="G1088" s="16"/>
      <c r="H1088" s="16"/>
      <c r="J1088" s="17"/>
      <c r="K1088" s="20"/>
      <c r="L1088" s="19"/>
      <c r="M1088" s="19"/>
      <c r="N1088" s="19"/>
      <c r="O1088" s="18"/>
    </row>
    <row r="1089" spans="1:15" x14ac:dyDescent="0.2">
      <c r="A1089" s="10"/>
      <c r="B1089" s="16"/>
      <c r="C1089" s="16"/>
      <c r="D1089" s="16"/>
      <c r="E1089" s="16"/>
      <c r="F1089" s="16"/>
      <c r="G1089" s="16"/>
      <c r="H1089" s="16"/>
      <c r="J1089" s="17"/>
      <c r="K1089" s="20"/>
      <c r="L1089" s="19"/>
      <c r="M1089" s="19"/>
      <c r="N1089" s="19"/>
      <c r="O1089" s="18"/>
    </row>
    <row r="1090" spans="1:15" x14ac:dyDescent="0.2">
      <c r="A1090" s="10"/>
      <c r="B1090" s="16"/>
      <c r="C1090" s="16"/>
      <c r="D1090" s="16"/>
      <c r="E1090" s="16"/>
      <c r="F1090" s="16"/>
      <c r="G1090" s="16"/>
      <c r="H1090" s="16"/>
      <c r="J1090" s="17"/>
      <c r="K1090" s="20"/>
      <c r="L1090" s="19"/>
      <c r="M1090" s="19"/>
      <c r="N1090" s="19"/>
      <c r="O1090" s="18"/>
    </row>
    <row r="1091" spans="1:15" x14ac:dyDescent="0.2">
      <c r="A1091" s="10"/>
      <c r="B1091" s="16"/>
      <c r="C1091" s="16"/>
      <c r="D1091" s="16"/>
      <c r="E1091" s="16"/>
      <c r="F1091" s="16"/>
      <c r="G1091" s="16"/>
      <c r="H1091" s="16"/>
      <c r="J1091" s="17"/>
      <c r="K1091" s="20"/>
      <c r="L1091" s="19"/>
      <c r="M1091" s="19"/>
      <c r="N1091" s="19"/>
      <c r="O1091" s="18"/>
    </row>
    <row r="1092" spans="1:15" x14ac:dyDescent="0.2">
      <c r="A1092" s="10"/>
      <c r="B1092" s="16"/>
      <c r="C1092" s="16"/>
      <c r="D1092" s="16"/>
      <c r="E1092" s="16"/>
      <c r="F1092" s="16"/>
      <c r="G1092" s="16"/>
      <c r="H1092" s="16"/>
      <c r="J1092" s="17"/>
      <c r="K1092" s="20"/>
      <c r="L1092" s="16"/>
      <c r="N1092" s="20"/>
      <c r="O1092" s="18"/>
    </row>
    <row r="1093" spans="1:15" x14ac:dyDescent="0.2">
      <c r="A1093" s="10"/>
      <c r="B1093" s="16"/>
      <c r="C1093" s="16"/>
      <c r="D1093" s="16"/>
      <c r="E1093" s="16"/>
      <c r="F1093" s="16"/>
      <c r="G1093" s="16"/>
      <c r="H1093" s="16"/>
      <c r="J1093" s="17"/>
      <c r="K1093" s="20"/>
      <c r="L1093" s="16"/>
      <c r="N1093" s="20"/>
      <c r="O1093" s="18"/>
    </row>
    <row r="1094" spans="1:15" x14ac:dyDescent="0.2">
      <c r="A1094" s="10"/>
      <c r="B1094" s="16"/>
      <c r="C1094" s="16"/>
      <c r="D1094" s="16"/>
      <c r="E1094" s="16"/>
      <c r="F1094" s="16"/>
      <c r="G1094" s="16"/>
      <c r="H1094" s="16"/>
      <c r="J1094" s="17"/>
      <c r="K1094" s="20"/>
      <c r="L1094" s="16"/>
      <c r="N1094" s="20"/>
      <c r="O1094" s="18"/>
    </row>
    <row r="1095" spans="1:15" x14ac:dyDescent="0.2">
      <c r="A1095" s="10"/>
      <c r="B1095" s="16"/>
      <c r="C1095" s="16"/>
      <c r="D1095" s="16"/>
      <c r="E1095" s="16"/>
      <c r="F1095" s="16"/>
      <c r="G1095" s="16"/>
      <c r="H1095" s="16"/>
      <c r="J1095" s="17"/>
      <c r="K1095" s="20"/>
      <c r="L1095" s="16"/>
      <c r="N1095" s="20"/>
      <c r="O1095" s="18"/>
    </row>
    <row r="1096" spans="1:15" x14ac:dyDescent="0.2">
      <c r="A1096" s="10"/>
      <c r="B1096" s="16"/>
      <c r="C1096" s="16"/>
      <c r="D1096" s="16"/>
      <c r="E1096" s="16"/>
      <c r="F1096" s="16"/>
      <c r="G1096" s="16"/>
      <c r="H1096" s="16"/>
      <c r="J1096" s="17"/>
      <c r="K1096" s="20"/>
      <c r="L1096" s="16"/>
      <c r="N1096" s="20"/>
      <c r="O1096" s="18"/>
    </row>
    <row r="1097" spans="1:15" x14ac:dyDescent="0.2">
      <c r="A1097" s="10"/>
      <c r="B1097" s="16"/>
      <c r="C1097" s="16"/>
      <c r="D1097" s="16"/>
      <c r="E1097" s="16"/>
      <c r="F1097" s="16"/>
      <c r="G1097" s="16"/>
      <c r="H1097" s="16"/>
      <c r="J1097" s="17"/>
      <c r="K1097" s="20"/>
      <c r="L1097" s="16"/>
      <c r="N1097" s="20"/>
      <c r="O1097" s="18"/>
    </row>
    <row r="1098" spans="1:15" x14ac:dyDescent="0.2">
      <c r="A1098" s="10"/>
      <c r="B1098" s="16"/>
      <c r="C1098" s="16"/>
      <c r="D1098" s="16"/>
      <c r="E1098" s="16"/>
      <c r="F1098" s="16"/>
      <c r="G1098" s="16"/>
      <c r="H1098" s="16"/>
      <c r="J1098" s="17"/>
      <c r="K1098" s="20"/>
      <c r="L1098" s="16"/>
      <c r="N1098" s="20"/>
      <c r="O1098" s="18"/>
    </row>
    <row r="1099" spans="1:15" x14ac:dyDescent="0.2">
      <c r="A1099" s="10"/>
      <c r="B1099" s="16"/>
      <c r="C1099" s="16"/>
      <c r="D1099" s="16"/>
      <c r="E1099" s="16"/>
      <c r="F1099" s="16"/>
      <c r="G1099" s="16"/>
      <c r="H1099" s="16"/>
      <c r="J1099" s="17"/>
      <c r="K1099" s="20"/>
      <c r="L1099" s="16"/>
      <c r="N1099" s="20"/>
      <c r="O1099" s="18"/>
    </row>
    <row r="1100" spans="1:15" x14ac:dyDescent="0.2">
      <c r="A1100" s="10"/>
      <c r="B1100" s="16"/>
      <c r="C1100" s="16"/>
      <c r="D1100" s="16"/>
      <c r="E1100" s="16"/>
      <c r="F1100" s="16"/>
      <c r="G1100" s="16"/>
      <c r="H1100" s="16"/>
      <c r="J1100" s="17"/>
      <c r="K1100" s="20"/>
      <c r="L1100" s="16"/>
      <c r="N1100" s="20"/>
      <c r="O1100" s="18"/>
    </row>
    <row r="1101" spans="1:15" x14ac:dyDescent="0.2">
      <c r="A1101" s="10"/>
      <c r="B1101" s="16"/>
      <c r="C1101" s="16"/>
      <c r="D1101" s="16"/>
      <c r="E1101" s="16"/>
      <c r="F1101" s="16"/>
      <c r="G1101" s="16"/>
      <c r="H1101" s="16"/>
      <c r="J1101" s="17"/>
      <c r="K1101" s="20"/>
      <c r="L1101" s="16"/>
      <c r="N1101" s="20"/>
      <c r="O1101" s="18"/>
    </row>
    <row r="1102" spans="1:15" x14ac:dyDescent="0.2">
      <c r="A1102" s="10"/>
      <c r="B1102" s="16"/>
      <c r="C1102" s="16"/>
      <c r="D1102" s="16"/>
      <c r="E1102" s="16"/>
      <c r="F1102" s="16"/>
      <c r="G1102" s="16"/>
      <c r="H1102" s="16"/>
      <c r="J1102" s="17"/>
      <c r="K1102" s="20"/>
      <c r="L1102" s="16"/>
      <c r="N1102" s="20"/>
      <c r="O1102" s="18"/>
    </row>
    <row r="1103" spans="1:15" x14ac:dyDescent="0.2">
      <c r="A1103" s="10"/>
      <c r="B1103" s="16"/>
      <c r="C1103" s="16"/>
      <c r="D1103" s="16"/>
      <c r="E1103" s="16"/>
      <c r="F1103" s="16"/>
      <c r="G1103" s="16"/>
      <c r="H1103" s="16"/>
      <c r="J1103" s="17"/>
      <c r="K1103" s="20"/>
      <c r="L1103" s="16"/>
      <c r="N1103" s="20"/>
      <c r="O1103" s="18"/>
    </row>
    <row r="1104" spans="1:15" x14ac:dyDescent="0.2">
      <c r="A1104" s="10"/>
      <c r="B1104" s="16"/>
      <c r="C1104" s="16"/>
      <c r="D1104" s="16"/>
      <c r="E1104" s="16"/>
      <c r="F1104" s="16"/>
      <c r="G1104" s="16"/>
      <c r="H1104" s="16"/>
      <c r="J1104" s="17"/>
      <c r="K1104" s="20"/>
      <c r="L1104" s="16"/>
      <c r="N1104" s="20"/>
      <c r="O1104" s="18"/>
    </row>
    <row r="1105" spans="1:15" x14ac:dyDescent="0.2">
      <c r="A1105" s="10"/>
      <c r="B1105" s="16"/>
      <c r="C1105" s="16"/>
      <c r="D1105" s="16"/>
      <c r="E1105" s="16"/>
      <c r="F1105" s="16"/>
      <c r="G1105" s="16"/>
      <c r="H1105" s="16"/>
      <c r="J1105" s="17"/>
      <c r="K1105" s="20"/>
      <c r="L1105" s="16"/>
      <c r="N1105" s="20"/>
      <c r="O1105" s="18"/>
    </row>
    <row r="1106" spans="1:15" x14ac:dyDescent="0.2">
      <c r="A1106" s="10"/>
      <c r="B1106" s="16"/>
      <c r="C1106" s="16"/>
      <c r="D1106" s="16"/>
      <c r="E1106" s="16"/>
      <c r="F1106" s="16"/>
      <c r="G1106" s="16"/>
      <c r="H1106" s="16"/>
      <c r="J1106" s="17"/>
      <c r="K1106" s="20"/>
      <c r="L1106" s="16"/>
      <c r="N1106" s="20"/>
      <c r="O1106" s="18"/>
    </row>
    <row r="1107" spans="1:15" x14ac:dyDescent="0.2">
      <c r="A1107" s="10"/>
      <c r="B1107" s="16"/>
      <c r="C1107" s="16"/>
      <c r="D1107" s="16"/>
      <c r="E1107" s="16"/>
      <c r="F1107" s="16"/>
      <c r="G1107" s="16"/>
      <c r="H1107" s="16"/>
      <c r="J1107" s="17"/>
      <c r="K1107" s="20"/>
      <c r="L1107" s="16"/>
      <c r="N1107" s="20"/>
      <c r="O1107" s="18"/>
    </row>
    <row r="1108" spans="1:15" x14ac:dyDescent="0.2">
      <c r="A1108" s="10"/>
      <c r="B1108" s="16"/>
      <c r="C1108" s="16"/>
      <c r="D1108" s="16"/>
      <c r="E1108" s="16"/>
      <c r="F1108" s="16"/>
      <c r="G1108" s="16"/>
      <c r="H1108" s="16"/>
      <c r="J1108" s="17"/>
      <c r="K1108" s="20"/>
      <c r="L1108" s="16"/>
      <c r="N1108" s="20"/>
      <c r="O1108" s="18"/>
    </row>
    <row r="1109" spans="1:15" x14ac:dyDescent="0.2">
      <c r="A1109" s="10"/>
      <c r="B1109" s="16"/>
      <c r="C1109" s="16"/>
      <c r="D1109" s="16"/>
      <c r="E1109" s="16"/>
      <c r="F1109" s="16"/>
      <c r="G1109" s="16"/>
      <c r="H1109" s="16"/>
      <c r="J1109" s="17"/>
      <c r="K1109" s="20"/>
      <c r="L1109" s="16"/>
      <c r="N1109" s="20"/>
      <c r="O1109" s="18"/>
    </row>
    <row r="1110" spans="1:15" x14ac:dyDescent="0.2">
      <c r="A1110" s="10"/>
      <c r="B1110" s="16"/>
      <c r="C1110" s="16"/>
      <c r="D1110" s="16"/>
      <c r="E1110" s="16"/>
      <c r="F1110" s="16"/>
      <c r="G1110" s="16"/>
      <c r="H1110" s="16"/>
      <c r="J1110" s="17"/>
      <c r="K1110" s="20"/>
      <c r="L1110" s="16"/>
      <c r="N1110" s="20"/>
      <c r="O1110" s="18"/>
    </row>
    <row r="1111" spans="1:15" x14ac:dyDescent="0.2">
      <c r="A1111" s="10"/>
      <c r="B1111" s="16"/>
      <c r="C1111" s="16"/>
      <c r="D1111" s="16"/>
      <c r="E1111" s="16"/>
      <c r="F1111" s="16"/>
      <c r="G1111" s="16"/>
      <c r="H1111" s="16"/>
      <c r="J1111" s="17"/>
      <c r="K1111" s="20"/>
      <c r="L1111" s="16"/>
      <c r="N1111" s="20"/>
      <c r="O1111" s="18"/>
    </row>
    <row r="1112" spans="1:15" x14ac:dyDescent="0.2">
      <c r="A1112" s="10"/>
      <c r="B1112" s="16"/>
      <c r="C1112" s="16"/>
      <c r="D1112" s="16"/>
      <c r="E1112" s="16"/>
      <c r="F1112" s="16"/>
      <c r="G1112" s="16"/>
      <c r="H1112" s="16"/>
      <c r="J1112" s="17"/>
      <c r="K1112" s="20"/>
      <c r="L1112" s="16"/>
      <c r="N1112" s="20"/>
      <c r="O1112" s="18"/>
    </row>
    <row r="1113" spans="1:15" x14ac:dyDescent="0.2">
      <c r="A1113" s="10"/>
      <c r="B1113" s="11"/>
      <c r="C1113" s="12"/>
      <c r="D1113" s="11"/>
      <c r="E1113" s="13"/>
      <c r="F1113" s="14"/>
      <c r="G1113" s="11"/>
      <c r="H1113" s="16"/>
      <c r="J1113" s="17"/>
      <c r="K1113" s="20"/>
      <c r="L1113" s="16"/>
      <c r="N1113" s="20"/>
      <c r="O1113" s="18"/>
    </row>
    <row r="1114" spans="1:15" x14ac:dyDescent="0.2">
      <c r="A1114" s="10"/>
      <c r="B1114" s="11"/>
      <c r="C1114" s="12"/>
      <c r="D1114" s="11"/>
      <c r="E1114" s="13"/>
      <c r="F1114" s="14"/>
      <c r="G1114" s="11"/>
      <c r="H1114" s="16"/>
      <c r="J1114" s="17"/>
      <c r="K1114" s="20"/>
      <c r="L1114" s="16"/>
      <c r="N1114" s="20"/>
      <c r="O1114" s="18"/>
    </row>
    <row r="1115" spans="1:15" x14ac:dyDescent="0.2">
      <c r="A1115" s="10"/>
      <c r="B1115" s="11"/>
      <c r="C1115" s="12"/>
      <c r="D1115" s="11"/>
      <c r="E1115" s="13"/>
      <c r="F1115" s="14"/>
      <c r="G1115" s="11"/>
      <c r="H1115" s="16"/>
      <c r="J1115" s="17"/>
      <c r="K1115" s="20"/>
      <c r="L1115" s="16"/>
      <c r="N1115" s="20"/>
      <c r="O1115" s="18"/>
    </row>
    <row r="1116" spans="1:15" x14ac:dyDescent="0.2">
      <c r="A1116" s="10"/>
      <c r="B1116" s="11"/>
      <c r="C1116" s="12"/>
      <c r="D1116" s="11"/>
      <c r="E1116" s="13"/>
      <c r="F1116" s="14"/>
      <c r="G1116" s="11"/>
      <c r="H1116" s="16"/>
      <c r="J1116" s="17"/>
      <c r="K1116" s="20"/>
      <c r="L1116" s="16"/>
      <c r="N1116" s="20"/>
      <c r="O1116" s="18"/>
    </row>
    <row r="1117" spans="1:15" x14ac:dyDescent="0.2">
      <c r="A1117" s="10"/>
      <c r="B1117" s="11"/>
      <c r="C1117" s="12"/>
      <c r="D1117" s="11"/>
      <c r="E1117" s="13"/>
      <c r="F1117" s="14"/>
      <c r="G1117" s="11"/>
      <c r="H1117" s="16"/>
      <c r="J1117" s="17"/>
      <c r="K1117" s="20"/>
      <c r="L1117" s="16"/>
      <c r="N1117" s="20"/>
      <c r="O1117" s="18"/>
    </row>
    <row r="1118" spans="1:15" x14ac:dyDescent="0.2">
      <c r="A1118" s="10"/>
      <c r="B1118" s="11"/>
      <c r="C1118" s="12"/>
      <c r="D1118" s="11"/>
      <c r="E1118" s="13"/>
      <c r="F1118" s="14"/>
      <c r="G1118" s="11"/>
      <c r="H1118" s="16"/>
      <c r="J1118" s="17"/>
      <c r="K1118" s="20"/>
      <c r="L1118" s="16"/>
      <c r="N1118" s="20"/>
      <c r="O1118" s="18"/>
    </row>
    <row r="1119" spans="1:15" x14ac:dyDescent="0.2">
      <c r="A1119" s="10"/>
      <c r="B1119" s="11"/>
      <c r="C1119" s="12"/>
      <c r="D1119" s="11"/>
      <c r="E1119" s="13"/>
      <c r="F1119" s="14"/>
      <c r="G1119" s="11"/>
      <c r="H1119" s="16"/>
      <c r="J1119" s="17"/>
      <c r="K1119" s="20"/>
      <c r="L1119" s="16"/>
      <c r="N1119" s="20"/>
      <c r="O1119" s="18"/>
    </row>
    <row r="1120" spans="1:15" x14ac:dyDescent="0.2">
      <c r="A1120" s="10"/>
      <c r="B1120" s="11"/>
      <c r="C1120" s="12"/>
      <c r="D1120" s="11"/>
      <c r="E1120" s="13"/>
      <c r="F1120" s="14"/>
      <c r="G1120" s="11"/>
      <c r="H1120" s="16"/>
      <c r="J1120" s="17"/>
      <c r="K1120" s="20"/>
      <c r="L1120" s="16"/>
      <c r="N1120" s="20"/>
      <c r="O1120" s="18"/>
    </row>
    <row r="1121" spans="1:15" x14ac:dyDescent="0.2">
      <c r="A1121" s="10"/>
      <c r="B1121" s="11"/>
      <c r="C1121" s="12"/>
      <c r="D1121" s="11"/>
      <c r="E1121" s="13"/>
      <c r="F1121" s="14"/>
      <c r="G1121" s="11"/>
      <c r="H1121" s="16"/>
      <c r="J1121" s="17"/>
      <c r="K1121" s="20"/>
      <c r="L1121" s="16"/>
      <c r="N1121" s="20"/>
      <c r="O1121" s="18"/>
    </row>
    <row r="1122" spans="1:15" x14ac:dyDescent="0.2">
      <c r="A1122" s="10"/>
      <c r="B1122" s="11"/>
      <c r="C1122" s="12"/>
      <c r="D1122" s="11"/>
      <c r="E1122" s="13"/>
      <c r="F1122" s="14"/>
      <c r="G1122" s="11"/>
      <c r="H1122" s="16"/>
      <c r="J1122" s="17"/>
      <c r="K1122" s="20"/>
      <c r="L1122" s="16"/>
      <c r="N1122" s="20"/>
      <c r="O1122" s="18"/>
    </row>
    <row r="1123" spans="1:15" x14ac:dyDescent="0.2">
      <c r="A1123" s="10"/>
      <c r="B1123" s="11"/>
      <c r="C1123" s="12"/>
      <c r="D1123" s="11"/>
      <c r="E1123" s="13"/>
      <c r="F1123" s="14"/>
      <c r="G1123" s="11"/>
      <c r="H1123" s="16"/>
      <c r="J1123" s="17"/>
      <c r="K1123" s="20"/>
      <c r="L1123" s="16"/>
      <c r="N1123" s="20"/>
      <c r="O1123" s="18"/>
    </row>
    <row r="1124" spans="1:15" x14ac:dyDescent="0.2">
      <c r="A1124" s="10"/>
      <c r="B1124" s="11"/>
      <c r="C1124" s="12"/>
      <c r="D1124" s="11"/>
      <c r="E1124" s="13"/>
      <c r="F1124" s="14"/>
      <c r="G1124" s="11"/>
      <c r="H1124" s="16"/>
      <c r="J1124" s="17"/>
      <c r="K1124" s="20"/>
      <c r="L1124" s="16"/>
      <c r="N1124" s="20"/>
      <c r="O1124" s="18"/>
    </row>
    <row r="1125" spans="1:15" x14ac:dyDescent="0.2">
      <c r="A1125" s="10"/>
      <c r="B1125" s="11"/>
      <c r="C1125" s="12"/>
      <c r="D1125" s="11"/>
      <c r="E1125" s="13"/>
      <c r="F1125" s="14"/>
      <c r="G1125" s="11"/>
      <c r="H1125" s="16"/>
      <c r="J1125" s="17"/>
      <c r="K1125" s="20"/>
      <c r="L1125" s="16"/>
      <c r="N1125" s="20"/>
      <c r="O1125" s="18"/>
    </row>
    <row r="1126" spans="1:15" x14ac:dyDescent="0.2">
      <c r="A1126" s="10"/>
      <c r="B1126" s="11"/>
      <c r="C1126" s="12"/>
      <c r="D1126" s="11"/>
      <c r="E1126" s="13"/>
      <c r="F1126" s="14"/>
      <c r="G1126" s="11"/>
      <c r="H1126" s="16"/>
      <c r="J1126" s="17"/>
      <c r="K1126" s="20"/>
      <c r="L1126" s="16"/>
      <c r="N1126" s="20"/>
      <c r="O1126" s="18"/>
    </row>
    <row r="1127" spans="1:15" x14ac:dyDescent="0.2">
      <c r="A1127" s="10"/>
      <c r="B1127" s="11"/>
      <c r="C1127" s="12"/>
      <c r="D1127" s="11"/>
      <c r="E1127" s="13"/>
      <c r="F1127" s="14"/>
      <c r="G1127" s="11"/>
      <c r="H1127" s="16"/>
      <c r="J1127" s="17"/>
      <c r="K1127" s="20"/>
      <c r="L1127" s="16"/>
      <c r="N1127" s="20"/>
      <c r="O1127" s="18"/>
    </row>
    <row r="1128" spans="1:15" x14ac:dyDescent="0.2">
      <c r="A1128" s="10"/>
      <c r="B1128" s="11"/>
      <c r="C1128" s="12"/>
      <c r="D1128" s="11"/>
      <c r="E1128" s="13"/>
      <c r="F1128" s="14"/>
      <c r="G1128" s="11"/>
      <c r="H1128" s="16"/>
      <c r="J1128" s="17"/>
      <c r="K1128" s="20"/>
      <c r="L1128" s="16"/>
      <c r="N1128" s="20"/>
      <c r="O1128" s="18"/>
    </row>
    <row r="1129" spans="1:15" x14ac:dyDescent="0.2">
      <c r="A1129" s="10"/>
      <c r="B1129" s="11"/>
      <c r="C1129" s="12"/>
      <c r="D1129" s="11"/>
      <c r="E1129" s="13"/>
      <c r="F1129" s="14"/>
      <c r="G1129" s="11"/>
      <c r="H1129" s="16"/>
      <c r="J1129" s="17"/>
      <c r="K1129" s="20"/>
      <c r="L1129" s="16"/>
      <c r="N1129" s="20"/>
      <c r="O1129" s="18"/>
    </row>
    <row r="1130" spans="1:15" x14ac:dyDescent="0.2">
      <c r="A1130" s="10"/>
      <c r="B1130" s="11"/>
      <c r="C1130" s="12"/>
      <c r="D1130" s="11"/>
      <c r="E1130" s="13"/>
      <c r="F1130" s="14"/>
      <c r="G1130" s="11"/>
      <c r="H1130" s="16"/>
      <c r="J1130" s="17"/>
      <c r="K1130" s="20"/>
      <c r="L1130" s="16"/>
      <c r="N1130" s="20"/>
      <c r="O1130" s="18"/>
    </row>
    <row r="1131" spans="1:15" x14ac:dyDescent="0.2">
      <c r="A1131" s="10"/>
      <c r="B1131" s="11"/>
      <c r="C1131" s="12"/>
      <c r="D1131" s="11"/>
      <c r="E1131" s="13"/>
      <c r="F1131" s="14"/>
      <c r="G1131" s="11"/>
      <c r="H1131" s="16"/>
      <c r="J1131" s="17"/>
      <c r="K1131" s="20"/>
      <c r="L1131" s="16"/>
      <c r="N1131" s="20"/>
      <c r="O1131" s="18"/>
    </row>
    <row r="1132" spans="1:15" x14ac:dyDescent="0.2">
      <c r="A1132" s="10"/>
      <c r="B1132" s="11"/>
      <c r="C1132" s="12"/>
      <c r="D1132" s="11"/>
      <c r="E1132" s="13"/>
      <c r="F1132" s="14"/>
      <c r="G1132" s="11"/>
      <c r="H1132" s="16"/>
      <c r="J1132" s="17"/>
      <c r="K1132" s="20"/>
      <c r="L1132" s="16"/>
      <c r="N1132" s="20"/>
      <c r="O1132" s="18"/>
    </row>
    <row r="1133" spans="1:15" x14ac:dyDescent="0.2">
      <c r="A1133" s="10"/>
      <c r="B1133" s="11"/>
      <c r="C1133" s="12"/>
      <c r="D1133" s="11"/>
      <c r="E1133" s="13"/>
      <c r="F1133" s="14"/>
      <c r="G1133" s="11"/>
      <c r="H1133" s="16"/>
      <c r="J1133" s="17"/>
      <c r="K1133" s="20"/>
      <c r="L1133" s="16"/>
      <c r="N1133" s="20"/>
      <c r="O1133" s="18"/>
    </row>
    <row r="1134" spans="1:15" x14ac:dyDescent="0.2">
      <c r="A1134" s="10"/>
      <c r="B1134" s="11"/>
      <c r="C1134" s="12"/>
      <c r="D1134" s="11"/>
      <c r="E1134" s="13"/>
      <c r="F1134" s="14"/>
      <c r="G1134" s="11"/>
      <c r="H1134" s="16"/>
      <c r="J1134" s="17"/>
      <c r="K1134" s="20"/>
      <c r="L1134" s="16"/>
      <c r="N1134" s="20"/>
      <c r="O1134" s="18"/>
    </row>
    <row r="1135" spans="1:15" x14ac:dyDescent="0.2">
      <c r="A1135" s="10"/>
      <c r="B1135" s="11"/>
      <c r="C1135" s="12"/>
      <c r="D1135" s="11"/>
      <c r="E1135" s="13"/>
      <c r="F1135" s="14"/>
      <c r="G1135" s="11"/>
      <c r="H1135" s="16"/>
      <c r="J1135" s="17"/>
      <c r="K1135" s="20"/>
      <c r="L1135" s="16"/>
      <c r="N1135" s="20"/>
      <c r="O1135" s="18"/>
    </row>
    <row r="1136" spans="1:15" x14ac:dyDescent="0.2">
      <c r="A1136" s="10"/>
      <c r="B1136" s="11"/>
      <c r="C1136" s="12"/>
      <c r="D1136" s="11"/>
      <c r="E1136" s="13"/>
      <c r="F1136" s="14"/>
      <c r="G1136" s="11"/>
      <c r="H1136" s="16"/>
      <c r="J1136" s="17"/>
      <c r="K1136" s="20"/>
      <c r="L1136" s="16"/>
      <c r="N1136" s="20"/>
      <c r="O1136" s="18"/>
    </row>
    <row r="1137" spans="1:15" x14ac:dyDescent="0.2">
      <c r="A1137" s="10"/>
      <c r="B1137" s="11"/>
      <c r="C1137" s="12"/>
      <c r="D1137" s="11"/>
      <c r="E1137" s="13"/>
      <c r="F1137" s="14"/>
      <c r="G1137" s="11"/>
      <c r="H1137" s="16"/>
      <c r="J1137" s="17"/>
      <c r="K1137" s="20"/>
      <c r="L1137" s="16"/>
      <c r="N1137" s="20"/>
      <c r="O1137" s="18"/>
    </row>
    <row r="1138" spans="1:15" x14ac:dyDescent="0.2">
      <c r="A1138" s="10"/>
      <c r="B1138" s="11"/>
      <c r="C1138" s="12"/>
      <c r="D1138" s="11"/>
      <c r="E1138" s="13"/>
      <c r="F1138" s="14"/>
      <c r="G1138" s="11"/>
      <c r="H1138" s="16"/>
      <c r="J1138" s="17"/>
      <c r="K1138" s="20"/>
      <c r="L1138" s="16"/>
      <c r="N1138" s="20"/>
      <c r="O1138" s="18"/>
    </row>
    <row r="1139" spans="1:15" x14ac:dyDescent="0.2">
      <c r="A1139" s="10"/>
      <c r="B1139" s="11"/>
      <c r="C1139" s="12"/>
      <c r="D1139" s="11"/>
      <c r="E1139" s="13"/>
      <c r="F1139" s="14"/>
      <c r="G1139" s="11"/>
      <c r="H1139" s="16"/>
      <c r="J1139" s="17"/>
      <c r="K1139" s="20"/>
      <c r="L1139" s="16"/>
      <c r="N1139" s="20"/>
      <c r="O1139" s="18"/>
    </row>
    <row r="1140" spans="1:15" x14ac:dyDescent="0.2">
      <c r="A1140" s="10"/>
      <c r="B1140" s="11"/>
      <c r="C1140" s="12"/>
      <c r="D1140" s="11"/>
      <c r="E1140" s="13"/>
      <c r="F1140" s="14"/>
      <c r="G1140" s="11"/>
      <c r="H1140" s="16"/>
      <c r="J1140" s="17"/>
      <c r="K1140" s="20"/>
      <c r="L1140" s="16"/>
      <c r="N1140" s="20"/>
      <c r="O1140" s="18"/>
    </row>
    <row r="1141" spans="1:15" x14ac:dyDescent="0.2">
      <c r="A1141" s="10"/>
      <c r="B1141" s="11"/>
      <c r="C1141" s="12"/>
      <c r="D1141" s="11"/>
      <c r="E1141" s="13"/>
      <c r="F1141" s="14"/>
      <c r="G1141" s="11"/>
      <c r="H1141" s="16"/>
      <c r="J1141" s="17"/>
      <c r="K1141" s="20"/>
      <c r="L1141" s="16"/>
      <c r="N1141" s="20"/>
      <c r="O1141" s="18"/>
    </row>
    <row r="1142" spans="1:15" x14ac:dyDescent="0.2">
      <c r="A1142" s="10"/>
      <c r="B1142" s="11"/>
      <c r="C1142" s="12"/>
      <c r="D1142" s="11"/>
      <c r="E1142" s="13"/>
      <c r="F1142" s="14"/>
      <c r="G1142" s="11"/>
      <c r="H1142" s="16"/>
      <c r="J1142" s="17"/>
      <c r="K1142" s="20"/>
      <c r="L1142" s="16"/>
      <c r="N1142" s="20"/>
      <c r="O1142" s="18"/>
    </row>
    <row r="1143" spans="1:15" x14ac:dyDescent="0.2">
      <c r="A1143" s="10"/>
      <c r="B1143" s="11"/>
      <c r="C1143" s="12"/>
      <c r="D1143" s="11"/>
      <c r="E1143" s="13"/>
      <c r="F1143" s="14"/>
      <c r="G1143" s="11"/>
      <c r="H1143" s="16"/>
      <c r="J1143" s="17"/>
      <c r="K1143" s="20"/>
      <c r="L1143" s="16"/>
      <c r="N1143" s="20"/>
      <c r="O1143" s="18"/>
    </row>
    <row r="1144" spans="1:15" x14ac:dyDescent="0.2">
      <c r="A1144" s="10"/>
      <c r="B1144" s="11"/>
      <c r="C1144" s="12"/>
      <c r="D1144" s="11"/>
      <c r="E1144" s="13"/>
      <c r="F1144" s="14"/>
      <c r="G1144" s="11"/>
      <c r="H1144" s="16"/>
      <c r="J1144" s="17"/>
      <c r="K1144" s="20"/>
      <c r="L1144" s="16"/>
      <c r="N1144" s="20"/>
      <c r="O1144" s="18"/>
    </row>
    <row r="1145" spans="1:15" x14ac:dyDescent="0.2">
      <c r="A1145" s="10"/>
      <c r="B1145" s="11"/>
      <c r="C1145" s="12"/>
      <c r="D1145" s="11"/>
      <c r="E1145" s="13"/>
      <c r="F1145" s="14"/>
      <c r="G1145" s="11"/>
      <c r="H1145" s="16"/>
      <c r="J1145" s="17"/>
      <c r="K1145" s="20"/>
      <c r="L1145" s="16"/>
      <c r="N1145" s="20"/>
      <c r="O1145" s="18"/>
    </row>
    <row r="1146" spans="1:15" x14ac:dyDescent="0.2">
      <c r="A1146" s="10"/>
      <c r="B1146" s="11"/>
      <c r="C1146" s="12"/>
      <c r="D1146" s="11"/>
      <c r="E1146" s="13"/>
      <c r="F1146" s="14"/>
      <c r="G1146" s="11"/>
      <c r="H1146" s="16"/>
      <c r="J1146" s="17"/>
      <c r="K1146" s="20"/>
      <c r="L1146" s="16"/>
      <c r="N1146" s="20"/>
      <c r="O1146" s="18"/>
    </row>
    <row r="1147" spans="1:15" x14ac:dyDescent="0.2">
      <c r="A1147" s="10"/>
      <c r="B1147" s="11"/>
      <c r="C1147" s="12"/>
      <c r="D1147" s="11"/>
      <c r="E1147" s="13"/>
      <c r="F1147" s="14"/>
      <c r="G1147" s="11"/>
      <c r="H1147" s="16"/>
      <c r="J1147" s="17"/>
      <c r="K1147" s="20"/>
      <c r="L1147" s="16"/>
      <c r="N1147" s="20"/>
      <c r="O1147" s="18"/>
    </row>
    <row r="1148" spans="1:15" x14ac:dyDescent="0.2">
      <c r="A1148" s="10"/>
      <c r="B1148" s="11"/>
      <c r="C1148" s="12"/>
      <c r="D1148" s="11"/>
      <c r="E1148" s="13"/>
      <c r="F1148" s="14"/>
      <c r="G1148" s="11"/>
      <c r="H1148" s="16"/>
      <c r="J1148" s="17"/>
      <c r="K1148" s="20"/>
      <c r="L1148" s="16"/>
      <c r="N1148" s="20"/>
      <c r="O1148" s="18"/>
    </row>
    <row r="1149" spans="1:15" x14ac:dyDescent="0.2">
      <c r="A1149" s="10"/>
      <c r="B1149" s="11"/>
      <c r="C1149" s="12"/>
      <c r="D1149" s="11"/>
      <c r="E1149" s="13"/>
      <c r="F1149" s="14"/>
      <c r="G1149" s="11"/>
      <c r="H1149" s="16"/>
      <c r="J1149" s="17"/>
      <c r="K1149" s="20"/>
      <c r="L1149" s="16"/>
      <c r="N1149" s="20"/>
      <c r="O1149" s="18"/>
    </row>
    <row r="1150" spans="1:15" x14ac:dyDescent="0.2">
      <c r="A1150" s="10"/>
      <c r="B1150" s="11"/>
      <c r="C1150" s="12"/>
      <c r="D1150" s="11"/>
      <c r="E1150" s="13"/>
      <c r="F1150" s="14"/>
      <c r="G1150" s="11"/>
      <c r="H1150" s="16"/>
      <c r="J1150" s="17"/>
      <c r="K1150" s="20"/>
      <c r="L1150" s="16"/>
      <c r="N1150" s="20"/>
      <c r="O1150" s="18"/>
    </row>
    <row r="1151" spans="1:15" x14ac:dyDescent="0.2">
      <c r="A1151" s="10"/>
      <c r="B1151" s="11"/>
      <c r="C1151" s="12"/>
      <c r="D1151" s="11"/>
      <c r="E1151" s="13"/>
      <c r="F1151" s="14"/>
      <c r="G1151" s="11"/>
      <c r="H1151" s="16"/>
      <c r="J1151" s="17"/>
      <c r="K1151" s="20"/>
      <c r="L1151" s="16"/>
      <c r="N1151" s="20"/>
      <c r="O1151" s="18"/>
    </row>
    <row r="1152" spans="1:15" x14ac:dyDescent="0.2">
      <c r="A1152" s="10"/>
      <c r="B1152" s="11"/>
      <c r="C1152" s="12"/>
      <c r="D1152" s="11"/>
      <c r="E1152" s="13"/>
      <c r="F1152" s="14"/>
      <c r="G1152" s="11"/>
      <c r="H1152" s="16"/>
      <c r="J1152" s="17"/>
      <c r="K1152" s="20"/>
      <c r="L1152" s="16"/>
      <c r="N1152" s="20"/>
      <c r="O1152" s="18"/>
    </row>
    <row r="1153" spans="1:15" x14ac:dyDescent="0.2">
      <c r="A1153" s="10"/>
      <c r="B1153" s="11"/>
      <c r="C1153" s="12"/>
      <c r="D1153" s="11"/>
      <c r="E1153" s="13"/>
      <c r="F1153" s="14"/>
      <c r="G1153" s="11"/>
      <c r="H1153" s="16"/>
      <c r="J1153" s="17"/>
      <c r="K1153" s="20"/>
      <c r="L1153" s="16"/>
      <c r="N1153" s="20"/>
      <c r="O1153" s="18"/>
    </row>
    <row r="1154" spans="1:15" x14ac:dyDescent="0.2">
      <c r="A1154" s="10"/>
      <c r="B1154" s="11"/>
      <c r="C1154" s="12"/>
      <c r="D1154" s="11"/>
      <c r="E1154" s="13"/>
      <c r="F1154" s="14"/>
      <c r="G1154" s="11"/>
      <c r="H1154" s="16"/>
      <c r="J1154" s="17"/>
      <c r="K1154" s="20"/>
      <c r="L1154" s="16"/>
      <c r="N1154" s="20"/>
      <c r="O1154" s="18"/>
    </row>
    <row r="1155" spans="1:15" x14ac:dyDescent="0.2">
      <c r="A1155" s="10"/>
      <c r="B1155" s="11"/>
      <c r="C1155" s="12"/>
      <c r="D1155" s="11"/>
      <c r="E1155" s="13"/>
      <c r="F1155" s="14"/>
      <c r="G1155" s="11"/>
      <c r="H1155" s="16"/>
      <c r="J1155" s="17"/>
      <c r="K1155" s="20"/>
      <c r="L1155" s="16"/>
      <c r="N1155" s="20"/>
      <c r="O1155" s="18"/>
    </row>
    <row r="1156" spans="1:15" x14ac:dyDescent="0.2">
      <c r="A1156" s="10"/>
      <c r="B1156" s="11"/>
      <c r="C1156" s="12"/>
      <c r="D1156" s="11"/>
      <c r="E1156" s="13"/>
      <c r="F1156" s="14"/>
      <c r="G1156" s="11"/>
      <c r="H1156" s="16"/>
      <c r="J1156" s="17"/>
      <c r="K1156" s="20"/>
      <c r="L1156" s="16"/>
      <c r="N1156" s="20"/>
      <c r="O1156" s="18"/>
    </row>
    <row r="1157" spans="1:15" x14ac:dyDescent="0.2">
      <c r="A1157" s="10"/>
      <c r="B1157" s="11"/>
      <c r="C1157" s="12"/>
      <c r="D1157" s="11"/>
      <c r="E1157" s="13"/>
      <c r="F1157" s="14"/>
      <c r="G1157" s="11"/>
      <c r="H1157" s="16"/>
      <c r="J1157" s="17"/>
      <c r="K1157" s="20"/>
      <c r="L1157" s="16"/>
      <c r="N1157" s="20"/>
      <c r="O1157" s="18"/>
    </row>
    <row r="1158" spans="1:15" x14ac:dyDescent="0.2">
      <c r="A1158" s="10"/>
      <c r="B1158" s="11"/>
      <c r="C1158" s="12"/>
      <c r="D1158" s="11"/>
      <c r="E1158" s="13"/>
      <c r="F1158" s="14"/>
      <c r="G1158" s="11"/>
      <c r="H1158" s="16"/>
      <c r="J1158" s="17"/>
      <c r="K1158" s="20"/>
      <c r="L1158" s="16"/>
      <c r="N1158" s="20"/>
      <c r="O1158" s="18"/>
    </row>
    <row r="1159" spans="1:15" x14ac:dyDescent="0.2">
      <c r="A1159" s="10"/>
      <c r="B1159" s="11"/>
      <c r="C1159" s="12"/>
      <c r="D1159" s="11"/>
      <c r="E1159" s="13"/>
      <c r="F1159" s="14"/>
      <c r="G1159" s="11"/>
      <c r="H1159" s="16"/>
      <c r="J1159" s="17"/>
      <c r="K1159" s="20"/>
      <c r="L1159" s="16"/>
      <c r="N1159" s="20"/>
      <c r="O1159" s="18"/>
    </row>
    <row r="1160" spans="1:15" x14ac:dyDescent="0.2">
      <c r="A1160" s="10"/>
      <c r="B1160" s="11"/>
      <c r="C1160" s="12"/>
      <c r="D1160" s="11"/>
      <c r="E1160" s="13"/>
      <c r="F1160" s="14"/>
      <c r="G1160" s="11"/>
      <c r="H1160" s="16"/>
      <c r="J1160" s="17"/>
      <c r="K1160" s="20"/>
      <c r="L1160" s="16"/>
      <c r="N1160" s="20"/>
      <c r="O1160" s="18"/>
    </row>
    <row r="1161" spans="1:15" x14ac:dyDescent="0.2">
      <c r="A1161" s="10"/>
      <c r="B1161" s="11"/>
      <c r="C1161" s="12"/>
      <c r="D1161" s="11"/>
      <c r="E1161" s="13"/>
      <c r="F1161" s="14"/>
      <c r="G1161" s="11"/>
      <c r="H1161" s="16"/>
      <c r="J1161" s="17"/>
      <c r="K1161" s="20"/>
      <c r="L1161" s="16"/>
      <c r="N1161" s="20"/>
      <c r="O1161" s="18"/>
    </row>
    <row r="1162" spans="1:15" x14ac:dyDescent="0.2">
      <c r="A1162" s="10"/>
      <c r="B1162" s="11"/>
      <c r="C1162" s="12"/>
      <c r="D1162" s="11"/>
      <c r="E1162" s="13"/>
      <c r="F1162" s="14"/>
      <c r="G1162" s="11"/>
      <c r="H1162" s="16"/>
      <c r="J1162" s="17"/>
      <c r="K1162" s="20"/>
      <c r="L1162" s="16"/>
      <c r="N1162" s="20"/>
      <c r="O1162" s="18"/>
    </row>
    <row r="1163" spans="1:15" x14ac:dyDescent="0.2">
      <c r="A1163" s="10"/>
      <c r="B1163" s="11"/>
      <c r="C1163" s="12"/>
      <c r="D1163" s="11"/>
      <c r="E1163" s="13"/>
      <c r="F1163" s="14"/>
      <c r="G1163" s="11"/>
      <c r="H1163" s="16"/>
      <c r="J1163" s="17"/>
      <c r="K1163" s="20"/>
      <c r="L1163" s="16"/>
      <c r="N1163" s="20"/>
      <c r="O1163" s="18"/>
    </row>
    <row r="1164" spans="1:15" x14ac:dyDescent="0.2">
      <c r="A1164" s="10"/>
      <c r="B1164" s="11"/>
      <c r="C1164" s="12"/>
      <c r="D1164" s="11"/>
      <c r="E1164" s="13"/>
      <c r="F1164" s="14"/>
      <c r="G1164" s="11"/>
      <c r="H1164" s="16"/>
      <c r="J1164" s="17"/>
      <c r="K1164" s="20"/>
      <c r="L1164" s="16"/>
      <c r="N1164" s="20"/>
      <c r="O1164" s="18"/>
    </row>
    <row r="1165" spans="1:15" x14ac:dyDescent="0.2">
      <c r="A1165" s="10"/>
      <c r="B1165" s="11"/>
      <c r="C1165" s="12"/>
      <c r="D1165" s="11"/>
      <c r="E1165" s="13"/>
      <c r="F1165" s="14"/>
      <c r="G1165" s="11"/>
      <c r="H1165" s="16"/>
      <c r="J1165" s="17"/>
      <c r="K1165" s="20"/>
      <c r="L1165" s="16"/>
      <c r="N1165" s="20"/>
      <c r="O1165" s="18"/>
    </row>
    <row r="1166" spans="1:15" x14ac:dyDescent="0.2">
      <c r="A1166" s="10"/>
      <c r="B1166" s="11"/>
      <c r="C1166" s="12"/>
      <c r="D1166" s="11"/>
      <c r="E1166" s="13"/>
      <c r="F1166" s="14"/>
      <c r="G1166" s="11"/>
      <c r="H1166" s="16"/>
      <c r="J1166" s="17"/>
      <c r="K1166" s="20"/>
      <c r="L1166" s="16"/>
      <c r="N1166" s="20"/>
      <c r="O1166" s="18"/>
    </row>
    <row r="1167" spans="1:15" x14ac:dyDescent="0.2">
      <c r="A1167" s="10"/>
      <c r="B1167" s="11"/>
      <c r="C1167" s="12"/>
      <c r="D1167" s="11"/>
      <c r="E1167" s="13"/>
      <c r="F1167" s="14"/>
      <c r="G1167" s="11"/>
      <c r="H1167" s="16"/>
      <c r="J1167" s="17"/>
      <c r="K1167" s="20"/>
      <c r="L1167" s="16"/>
      <c r="N1167" s="20"/>
      <c r="O1167" s="18"/>
    </row>
    <row r="1168" spans="1:15" x14ac:dyDescent="0.2">
      <c r="A1168" s="10"/>
      <c r="B1168" s="11"/>
      <c r="C1168" s="12"/>
      <c r="D1168" s="11"/>
      <c r="E1168" s="13"/>
      <c r="F1168" s="14"/>
      <c r="G1168" s="11"/>
      <c r="H1168" s="16"/>
      <c r="J1168" s="17"/>
      <c r="K1168" s="20"/>
      <c r="L1168" s="16"/>
      <c r="N1168" s="20"/>
      <c r="O1168" s="18"/>
    </row>
    <row r="1169" spans="1:15" x14ac:dyDescent="0.2">
      <c r="A1169" s="10"/>
      <c r="B1169" s="11"/>
      <c r="C1169" s="12"/>
      <c r="D1169" s="11"/>
      <c r="E1169" s="13"/>
      <c r="F1169" s="14"/>
      <c r="G1169" s="11"/>
      <c r="H1169" s="16"/>
      <c r="J1169" s="17"/>
      <c r="K1169" s="20"/>
      <c r="L1169" s="16"/>
      <c r="N1169" s="20"/>
      <c r="O1169" s="18"/>
    </row>
    <row r="1170" spans="1:15" x14ac:dyDescent="0.2">
      <c r="A1170" s="10"/>
      <c r="B1170" s="11"/>
      <c r="C1170" s="12"/>
      <c r="D1170" s="11"/>
      <c r="E1170" s="13"/>
      <c r="F1170" s="14"/>
      <c r="G1170" s="11"/>
      <c r="H1170" s="16"/>
      <c r="J1170" s="17"/>
      <c r="K1170" s="20"/>
      <c r="L1170" s="16"/>
      <c r="N1170" s="20"/>
      <c r="O1170" s="18"/>
    </row>
    <row r="1171" spans="1:15" x14ac:dyDescent="0.2">
      <c r="A1171" s="10"/>
      <c r="B1171" s="11"/>
      <c r="C1171" s="12"/>
      <c r="D1171" s="11"/>
      <c r="E1171" s="13"/>
      <c r="F1171" s="14"/>
      <c r="G1171" s="11"/>
      <c r="H1171" s="16"/>
      <c r="J1171" s="17"/>
      <c r="K1171" s="20"/>
      <c r="L1171" s="16"/>
      <c r="N1171" s="20"/>
      <c r="O1171" s="18"/>
    </row>
    <row r="1172" spans="1:15" x14ac:dyDescent="0.2">
      <c r="A1172" s="10"/>
      <c r="B1172" s="11"/>
      <c r="C1172" s="12"/>
      <c r="D1172" s="11"/>
      <c r="E1172" s="13"/>
      <c r="F1172" s="14"/>
      <c r="G1172" s="11"/>
      <c r="H1172" s="16"/>
      <c r="J1172" s="17"/>
      <c r="K1172" s="20"/>
      <c r="L1172" s="16"/>
      <c r="N1172" s="20"/>
      <c r="O1172" s="18"/>
    </row>
    <row r="1173" spans="1:15" x14ac:dyDescent="0.2">
      <c r="A1173" s="10"/>
      <c r="B1173" s="11"/>
      <c r="C1173" s="12"/>
      <c r="D1173" s="11"/>
      <c r="E1173" s="13"/>
      <c r="F1173" s="14"/>
      <c r="G1173" s="11"/>
      <c r="H1173" s="16"/>
      <c r="J1173" s="17"/>
      <c r="K1173" s="20"/>
      <c r="L1173" s="16"/>
      <c r="N1173" s="20"/>
      <c r="O1173" s="18"/>
    </row>
    <row r="1174" spans="1:15" x14ac:dyDescent="0.2">
      <c r="A1174" s="10"/>
      <c r="B1174" s="11"/>
      <c r="C1174" s="12"/>
      <c r="D1174" s="11"/>
      <c r="E1174" s="13"/>
      <c r="F1174" s="14"/>
      <c r="G1174" s="11"/>
      <c r="H1174" s="16"/>
      <c r="J1174" s="17"/>
      <c r="K1174" s="20"/>
      <c r="L1174" s="16"/>
      <c r="N1174" s="20"/>
      <c r="O1174" s="18"/>
    </row>
    <row r="1175" spans="1:15" x14ac:dyDescent="0.2">
      <c r="A1175" s="10"/>
      <c r="B1175" s="11"/>
      <c r="C1175" s="12"/>
      <c r="D1175" s="11"/>
      <c r="E1175" s="13"/>
      <c r="F1175" s="14"/>
      <c r="G1175" s="11"/>
      <c r="H1175" s="16"/>
      <c r="J1175" s="17"/>
      <c r="K1175" s="20"/>
      <c r="L1175" s="16"/>
      <c r="N1175" s="20"/>
      <c r="O1175" s="18"/>
    </row>
    <row r="1176" spans="1:15" x14ac:dyDescent="0.2">
      <c r="A1176" s="10"/>
      <c r="B1176" s="11"/>
      <c r="C1176" s="12"/>
      <c r="D1176" s="11"/>
      <c r="E1176" s="13"/>
      <c r="F1176" s="14"/>
      <c r="G1176" s="11"/>
      <c r="H1176" s="16"/>
      <c r="J1176" s="17"/>
      <c r="K1176" s="20"/>
      <c r="L1176" s="16"/>
      <c r="N1176" s="20"/>
      <c r="O1176" s="18"/>
    </row>
    <row r="1177" spans="1:15" x14ac:dyDescent="0.2">
      <c r="A1177" s="10"/>
      <c r="B1177" s="11"/>
      <c r="C1177" s="12"/>
      <c r="D1177" s="11"/>
      <c r="E1177" s="13"/>
      <c r="F1177" s="14"/>
      <c r="G1177" s="11"/>
      <c r="H1177" s="16"/>
      <c r="J1177" s="17"/>
      <c r="K1177" s="20"/>
      <c r="L1177" s="16"/>
      <c r="N1177" s="20"/>
      <c r="O1177" s="18"/>
    </row>
    <row r="1178" spans="1:15" x14ac:dyDescent="0.2">
      <c r="A1178" s="10"/>
      <c r="B1178" s="11"/>
      <c r="C1178" s="12"/>
      <c r="D1178" s="11"/>
      <c r="E1178" s="13"/>
      <c r="F1178" s="14"/>
      <c r="G1178" s="11"/>
      <c r="H1178" s="16"/>
      <c r="J1178" s="17"/>
      <c r="K1178" s="20"/>
      <c r="L1178" s="16"/>
      <c r="N1178" s="20"/>
      <c r="O1178" s="18"/>
    </row>
    <row r="1179" spans="1:15" x14ac:dyDescent="0.2">
      <c r="A1179" s="10"/>
      <c r="B1179" s="11"/>
      <c r="C1179" s="12"/>
      <c r="D1179" s="11"/>
      <c r="E1179" s="13"/>
      <c r="F1179" s="14"/>
      <c r="G1179" s="11"/>
      <c r="H1179" s="16"/>
      <c r="J1179" s="17"/>
      <c r="K1179" s="20"/>
      <c r="L1179" s="16"/>
      <c r="N1179" s="20"/>
      <c r="O1179" s="18"/>
    </row>
    <row r="1180" spans="1:15" x14ac:dyDescent="0.2">
      <c r="A1180" s="10"/>
      <c r="B1180" s="11"/>
      <c r="C1180" s="12"/>
      <c r="D1180" s="11"/>
      <c r="E1180" s="13"/>
      <c r="F1180" s="14"/>
      <c r="G1180" s="11"/>
      <c r="H1180" s="16"/>
      <c r="J1180" s="17"/>
      <c r="K1180" s="20"/>
      <c r="L1180" s="16"/>
      <c r="N1180" s="20"/>
      <c r="O1180" s="18"/>
    </row>
    <row r="1181" spans="1:15" x14ac:dyDescent="0.2">
      <c r="A1181" s="10"/>
      <c r="B1181" s="11"/>
      <c r="C1181" s="12"/>
      <c r="D1181" s="11"/>
      <c r="E1181" s="13"/>
      <c r="F1181" s="14"/>
      <c r="G1181" s="11"/>
      <c r="H1181" s="16"/>
      <c r="J1181" s="17"/>
      <c r="K1181" s="20"/>
      <c r="L1181" s="16"/>
      <c r="N1181" s="20"/>
      <c r="O1181" s="18"/>
    </row>
    <row r="1182" spans="1:15" x14ac:dyDescent="0.2">
      <c r="A1182" s="10"/>
      <c r="B1182" s="11"/>
      <c r="C1182" s="12"/>
      <c r="D1182" s="11"/>
      <c r="E1182" s="13"/>
      <c r="F1182" s="14"/>
      <c r="G1182" s="11"/>
      <c r="H1182" s="16"/>
      <c r="J1182" s="17"/>
      <c r="K1182" s="20"/>
      <c r="L1182" s="16"/>
      <c r="N1182" s="20"/>
      <c r="O1182" s="18"/>
    </row>
    <row r="1183" spans="1:15" x14ac:dyDescent="0.2">
      <c r="A1183" s="10"/>
      <c r="B1183" s="11"/>
      <c r="C1183" s="12"/>
      <c r="D1183" s="11"/>
      <c r="E1183" s="13"/>
      <c r="F1183" s="14"/>
      <c r="G1183" s="11"/>
      <c r="H1183" s="16"/>
      <c r="J1183" s="17"/>
      <c r="K1183" s="20"/>
      <c r="L1183" s="16"/>
      <c r="N1183" s="20"/>
      <c r="O1183" s="18"/>
    </row>
    <row r="1184" spans="1:15" x14ac:dyDescent="0.2">
      <c r="A1184" s="10"/>
      <c r="B1184" s="11"/>
      <c r="C1184" s="12"/>
      <c r="D1184" s="11"/>
      <c r="E1184" s="13"/>
      <c r="F1184" s="14"/>
      <c r="G1184" s="11"/>
      <c r="H1184" s="16"/>
      <c r="J1184" s="17"/>
      <c r="K1184" s="20"/>
      <c r="L1184" s="16"/>
      <c r="N1184" s="20"/>
      <c r="O1184" s="18"/>
    </row>
    <row r="1185" spans="1:15" x14ac:dyDescent="0.2">
      <c r="A1185" s="10"/>
      <c r="B1185" s="11"/>
      <c r="C1185" s="12"/>
      <c r="D1185" s="11"/>
      <c r="E1185" s="13"/>
      <c r="F1185" s="14"/>
      <c r="G1185" s="11"/>
      <c r="H1185" s="16"/>
      <c r="J1185" s="17"/>
      <c r="K1185" s="20"/>
      <c r="L1185" s="16"/>
      <c r="N1185" s="20"/>
      <c r="O1185" s="18"/>
    </row>
    <row r="1186" spans="1:15" x14ac:dyDescent="0.2">
      <c r="A1186" s="10"/>
      <c r="B1186" s="11"/>
      <c r="C1186" s="12"/>
      <c r="D1186" s="11"/>
      <c r="E1186" s="13"/>
      <c r="F1186" s="14"/>
      <c r="G1186" s="11"/>
      <c r="H1186" s="16"/>
      <c r="J1186" s="17"/>
      <c r="K1186" s="20"/>
      <c r="L1186" s="16"/>
      <c r="N1186" s="20"/>
      <c r="O1186" s="18"/>
    </row>
    <row r="1187" spans="1:15" x14ac:dyDescent="0.2">
      <c r="A1187" s="10"/>
      <c r="B1187" s="11"/>
      <c r="C1187" s="12"/>
      <c r="D1187" s="11"/>
      <c r="E1187" s="13"/>
      <c r="F1187" s="14"/>
      <c r="G1187" s="11"/>
      <c r="H1187" s="16"/>
      <c r="J1187" s="17"/>
      <c r="K1187" s="20"/>
      <c r="L1187" s="16"/>
      <c r="N1187" s="20"/>
      <c r="O1187" s="18"/>
    </row>
    <row r="1188" spans="1:15" x14ac:dyDescent="0.2">
      <c r="A1188" s="10"/>
      <c r="B1188" s="11"/>
      <c r="C1188" s="12"/>
      <c r="D1188" s="11"/>
      <c r="E1188" s="13"/>
      <c r="F1188" s="14"/>
      <c r="G1188" s="11"/>
      <c r="H1188" s="16"/>
      <c r="J1188" s="17"/>
      <c r="K1188" s="20"/>
      <c r="L1188" s="16"/>
      <c r="N1188" s="20"/>
      <c r="O1188" s="18"/>
    </row>
    <row r="1189" spans="1:15" x14ac:dyDescent="0.2">
      <c r="A1189" s="10"/>
      <c r="B1189" s="11"/>
      <c r="C1189" s="12"/>
      <c r="D1189" s="11"/>
      <c r="E1189" s="13"/>
      <c r="F1189" s="14"/>
      <c r="G1189" s="11"/>
      <c r="H1189" s="16"/>
      <c r="J1189" s="17"/>
      <c r="K1189" s="20"/>
      <c r="L1189" s="16"/>
      <c r="N1189" s="20"/>
      <c r="O1189" s="18"/>
    </row>
    <row r="1190" spans="1:15" x14ac:dyDescent="0.2">
      <c r="A1190" s="10"/>
      <c r="B1190" s="11"/>
      <c r="C1190" s="12"/>
      <c r="D1190" s="11"/>
      <c r="E1190" s="13"/>
      <c r="F1190" s="14"/>
      <c r="G1190" s="11"/>
      <c r="H1190" s="16"/>
      <c r="J1190" s="17"/>
      <c r="K1190" s="20"/>
      <c r="L1190" s="16"/>
      <c r="N1190" s="20"/>
      <c r="O1190" s="18"/>
    </row>
    <row r="1191" spans="1:15" x14ac:dyDescent="0.2">
      <c r="A1191" s="10"/>
      <c r="B1191" s="11"/>
      <c r="C1191" s="12"/>
      <c r="D1191" s="11"/>
      <c r="E1191" s="13"/>
      <c r="F1191" s="14"/>
      <c r="G1191" s="11"/>
      <c r="H1191" s="16"/>
      <c r="J1191" s="17"/>
      <c r="K1191" s="20"/>
      <c r="L1191" s="16"/>
      <c r="N1191" s="20"/>
      <c r="O1191" s="18"/>
    </row>
    <row r="1192" spans="1:15" x14ac:dyDescent="0.2">
      <c r="A1192" s="10"/>
      <c r="B1192" s="11"/>
      <c r="C1192" s="12"/>
      <c r="D1192" s="11"/>
      <c r="E1192" s="13"/>
      <c r="F1192" s="14"/>
      <c r="G1192" s="11"/>
      <c r="H1192" s="16"/>
      <c r="J1192" s="17"/>
      <c r="K1192" s="20"/>
      <c r="L1192" s="16"/>
      <c r="N1192" s="20"/>
      <c r="O1192" s="18"/>
    </row>
    <row r="1193" spans="1:15" x14ac:dyDescent="0.2">
      <c r="A1193" s="10"/>
      <c r="B1193" s="11"/>
      <c r="C1193" s="12"/>
      <c r="D1193" s="11"/>
      <c r="E1193" s="13"/>
      <c r="F1193" s="14"/>
      <c r="G1193" s="11"/>
      <c r="H1193" s="16"/>
      <c r="J1193" s="17"/>
      <c r="K1193" s="20"/>
      <c r="L1193" s="16"/>
      <c r="N1193" s="20"/>
      <c r="O1193" s="18"/>
    </row>
    <row r="1194" spans="1:15" x14ac:dyDescent="0.2">
      <c r="A1194" s="10"/>
      <c r="B1194" s="11"/>
      <c r="C1194" s="12"/>
      <c r="D1194" s="11"/>
      <c r="E1194" s="13"/>
      <c r="F1194" s="14"/>
      <c r="G1194" s="11"/>
      <c r="H1194" s="16"/>
      <c r="J1194" s="17"/>
      <c r="K1194" s="20"/>
      <c r="L1194" s="16"/>
      <c r="N1194" s="20"/>
      <c r="O1194" s="18"/>
    </row>
    <row r="1195" spans="1:15" x14ac:dyDescent="0.2">
      <c r="A1195" s="10"/>
      <c r="B1195" s="11"/>
      <c r="C1195" s="12"/>
      <c r="D1195" s="11"/>
      <c r="E1195" s="13"/>
      <c r="F1195" s="14"/>
      <c r="G1195" s="11"/>
      <c r="H1195" s="16"/>
      <c r="J1195" s="17"/>
      <c r="K1195" s="20"/>
      <c r="L1195" s="16"/>
      <c r="N1195" s="20"/>
      <c r="O1195" s="18"/>
    </row>
    <row r="1196" spans="1:15" x14ac:dyDescent="0.2">
      <c r="A1196" s="10"/>
      <c r="B1196" s="11"/>
      <c r="C1196" s="12"/>
      <c r="D1196" s="11"/>
      <c r="E1196" s="13"/>
      <c r="F1196" s="14"/>
      <c r="G1196" s="11"/>
      <c r="H1196" s="16"/>
      <c r="J1196" s="17"/>
      <c r="K1196" s="20"/>
      <c r="L1196" s="16"/>
      <c r="N1196" s="20"/>
      <c r="O1196" s="18"/>
    </row>
    <row r="1197" spans="1:15" x14ac:dyDescent="0.2">
      <c r="A1197" s="10"/>
      <c r="B1197" s="11"/>
      <c r="C1197" s="12"/>
      <c r="D1197" s="11"/>
      <c r="E1197" s="13"/>
      <c r="F1197" s="14"/>
      <c r="G1197" s="11"/>
      <c r="H1197" s="16"/>
      <c r="J1197" s="17"/>
      <c r="K1197" s="20"/>
      <c r="L1197" s="16"/>
      <c r="N1197" s="20"/>
      <c r="O1197" s="18"/>
    </row>
    <row r="1198" spans="1:15" x14ac:dyDescent="0.2">
      <c r="A1198" s="10"/>
      <c r="B1198" s="11"/>
      <c r="C1198" s="12"/>
      <c r="D1198" s="11"/>
      <c r="E1198" s="13"/>
      <c r="F1198" s="14"/>
      <c r="G1198" s="11"/>
      <c r="H1198" s="16"/>
      <c r="J1198" s="17"/>
      <c r="K1198" s="20"/>
      <c r="L1198" s="16"/>
      <c r="N1198" s="20"/>
      <c r="O1198" s="18"/>
    </row>
    <row r="1199" spans="1:15" x14ac:dyDescent="0.2">
      <c r="A1199" s="10"/>
      <c r="B1199" s="11"/>
      <c r="C1199" s="12"/>
      <c r="D1199" s="11"/>
      <c r="E1199" s="13"/>
      <c r="F1199" s="14"/>
      <c r="G1199" s="11"/>
      <c r="H1199" s="16"/>
      <c r="J1199" s="17"/>
      <c r="K1199" s="20"/>
      <c r="L1199" s="16"/>
      <c r="N1199" s="20"/>
      <c r="O1199" s="18"/>
    </row>
    <row r="1200" spans="1:15" x14ac:dyDescent="0.2">
      <c r="A1200" s="10"/>
      <c r="B1200" s="11"/>
      <c r="C1200" s="12"/>
      <c r="D1200" s="11"/>
      <c r="E1200" s="13"/>
      <c r="F1200" s="14"/>
      <c r="G1200" s="11"/>
      <c r="H1200" s="16"/>
      <c r="J1200" s="17"/>
      <c r="K1200" s="20"/>
      <c r="L1200" s="16"/>
      <c r="N1200" s="20"/>
      <c r="O1200" s="18"/>
    </row>
    <row r="1201" spans="1:15" x14ac:dyDescent="0.2">
      <c r="A1201" s="10"/>
      <c r="B1201" s="11"/>
      <c r="C1201" s="12"/>
      <c r="D1201" s="11"/>
      <c r="E1201" s="13"/>
      <c r="F1201" s="14"/>
      <c r="G1201" s="11"/>
      <c r="H1201" s="16"/>
      <c r="J1201" s="17"/>
      <c r="K1201" s="20"/>
      <c r="L1201" s="16"/>
      <c r="N1201" s="20"/>
      <c r="O1201" s="18"/>
    </row>
    <row r="1202" spans="1:15" x14ac:dyDescent="0.2">
      <c r="A1202" s="10"/>
      <c r="B1202" s="11"/>
      <c r="C1202" s="12"/>
      <c r="D1202" s="11"/>
      <c r="E1202" s="13"/>
      <c r="F1202" s="14"/>
      <c r="G1202" s="11"/>
      <c r="H1202" s="16"/>
      <c r="J1202" s="17"/>
      <c r="K1202" s="20"/>
      <c r="L1202" s="16"/>
      <c r="N1202" s="20"/>
      <c r="O1202" s="18"/>
    </row>
    <row r="1203" spans="1:15" x14ac:dyDescent="0.2">
      <c r="A1203" s="10"/>
      <c r="B1203" s="11"/>
      <c r="C1203" s="12"/>
      <c r="D1203" s="11"/>
      <c r="E1203" s="13"/>
      <c r="F1203" s="14"/>
      <c r="G1203" s="11"/>
      <c r="H1203" s="16"/>
      <c r="J1203" s="17"/>
      <c r="K1203" s="20"/>
      <c r="L1203" s="16"/>
      <c r="N1203" s="20"/>
      <c r="O1203" s="18"/>
    </row>
    <row r="1204" spans="1:15" x14ac:dyDescent="0.2">
      <c r="A1204" s="10"/>
      <c r="B1204" s="11"/>
      <c r="C1204" s="12"/>
      <c r="D1204" s="11"/>
      <c r="E1204" s="13"/>
      <c r="F1204" s="14"/>
      <c r="G1204" s="11"/>
      <c r="H1204" s="16"/>
      <c r="J1204" s="17"/>
      <c r="K1204" s="20"/>
      <c r="L1204" s="16"/>
      <c r="N1204" s="20"/>
      <c r="O1204" s="18"/>
    </row>
    <row r="1205" spans="1:15" x14ac:dyDescent="0.2">
      <c r="A1205" s="10"/>
      <c r="B1205" s="11"/>
      <c r="C1205" s="12"/>
      <c r="D1205" s="11"/>
      <c r="E1205" s="13"/>
      <c r="F1205" s="14"/>
      <c r="G1205" s="11"/>
      <c r="H1205" s="16"/>
      <c r="J1205" s="17"/>
      <c r="K1205" s="20"/>
      <c r="L1205" s="16"/>
      <c r="N1205" s="20"/>
      <c r="O1205" s="18"/>
    </row>
    <row r="1206" spans="1:15" x14ac:dyDescent="0.2">
      <c r="A1206" s="10"/>
      <c r="B1206" s="11"/>
      <c r="C1206" s="12"/>
      <c r="D1206" s="11"/>
      <c r="E1206" s="13"/>
      <c r="F1206" s="14"/>
      <c r="G1206" s="11"/>
      <c r="H1206" s="16"/>
      <c r="J1206" s="17"/>
      <c r="K1206" s="20"/>
      <c r="L1206" s="16"/>
      <c r="N1206" s="20"/>
      <c r="O1206" s="18"/>
    </row>
    <row r="1207" spans="1:15" x14ac:dyDescent="0.2">
      <c r="A1207" s="10"/>
      <c r="B1207" s="11"/>
      <c r="C1207" s="12"/>
      <c r="D1207" s="11"/>
      <c r="E1207" s="13"/>
      <c r="F1207" s="14"/>
      <c r="G1207" s="11"/>
      <c r="H1207" s="16"/>
      <c r="J1207" s="17"/>
      <c r="K1207" s="20"/>
      <c r="L1207" s="16"/>
      <c r="N1207" s="20"/>
      <c r="O1207" s="18"/>
    </row>
    <row r="1208" spans="1:15" x14ac:dyDescent="0.2">
      <c r="A1208" s="10"/>
      <c r="B1208" s="11"/>
      <c r="C1208" s="12"/>
      <c r="D1208" s="11"/>
      <c r="E1208" s="13"/>
      <c r="F1208" s="14"/>
      <c r="G1208" s="11"/>
      <c r="H1208" s="16"/>
      <c r="J1208" s="17"/>
      <c r="K1208" s="20"/>
      <c r="L1208" s="16"/>
      <c r="N1208" s="20"/>
      <c r="O1208" s="18"/>
    </row>
    <row r="1209" spans="1:15" x14ac:dyDescent="0.2">
      <c r="A1209" s="10"/>
      <c r="B1209" s="11"/>
      <c r="C1209" s="12"/>
      <c r="D1209" s="11"/>
      <c r="E1209" s="13"/>
      <c r="F1209" s="14"/>
      <c r="G1209" s="11"/>
      <c r="H1209" s="16"/>
      <c r="J1209" s="17"/>
      <c r="K1209" s="20"/>
      <c r="L1209" s="16"/>
      <c r="N1209" s="20"/>
      <c r="O1209" s="18"/>
    </row>
    <row r="1210" spans="1:15" x14ac:dyDescent="0.2">
      <c r="A1210" s="10"/>
      <c r="B1210" s="11"/>
      <c r="C1210" s="12"/>
      <c r="D1210" s="11"/>
      <c r="E1210" s="13"/>
      <c r="F1210" s="14"/>
      <c r="G1210" s="11"/>
      <c r="H1210" s="16"/>
      <c r="J1210" s="17"/>
      <c r="K1210" s="20"/>
      <c r="L1210" s="16"/>
      <c r="N1210" s="20"/>
      <c r="O1210" s="18"/>
    </row>
    <row r="1211" spans="1:15" x14ac:dyDescent="0.2">
      <c r="A1211" s="10"/>
      <c r="B1211" s="11"/>
      <c r="C1211" s="12"/>
      <c r="D1211" s="11"/>
      <c r="E1211" s="13"/>
      <c r="F1211" s="14"/>
      <c r="G1211" s="11"/>
      <c r="H1211" s="16"/>
      <c r="J1211" s="17"/>
      <c r="K1211" s="20"/>
      <c r="L1211" s="16"/>
      <c r="N1211" s="20"/>
      <c r="O1211" s="18"/>
    </row>
    <row r="1212" spans="1:15" x14ac:dyDescent="0.2">
      <c r="A1212" s="10"/>
      <c r="B1212" s="11"/>
      <c r="C1212" s="12"/>
      <c r="D1212" s="11"/>
      <c r="E1212" s="13"/>
      <c r="F1212" s="14"/>
      <c r="G1212" s="11"/>
      <c r="H1212" s="16"/>
      <c r="J1212" s="17"/>
      <c r="K1212" s="20"/>
      <c r="L1212" s="16"/>
      <c r="N1212" s="20"/>
      <c r="O1212" s="18"/>
    </row>
    <row r="1213" spans="1:15" x14ac:dyDescent="0.2">
      <c r="A1213" s="10"/>
      <c r="B1213" s="11"/>
      <c r="C1213" s="12"/>
      <c r="D1213" s="11"/>
      <c r="E1213" s="13"/>
      <c r="F1213" s="14"/>
      <c r="G1213" s="11"/>
      <c r="H1213" s="16"/>
      <c r="J1213" s="17"/>
      <c r="K1213" s="20"/>
      <c r="L1213" s="16"/>
      <c r="N1213" s="20"/>
      <c r="O1213" s="18"/>
    </row>
    <row r="1214" spans="1:15" x14ac:dyDescent="0.2">
      <c r="A1214" s="10"/>
      <c r="B1214" s="11"/>
      <c r="C1214" s="12"/>
      <c r="D1214" s="11"/>
      <c r="E1214" s="13"/>
      <c r="F1214" s="14"/>
      <c r="G1214" s="11"/>
      <c r="H1214" s="16"/>
      <c r="J1214" s="17"/>
      <c r="K1214" s="20"/>
      <c r="L1214" s="16"/>
      <c r="N1214" s="20"/>
      <c r="O1214" s="18"/>
    </row>
    <row r="1215" spans="1:15" x14ac:dyDescent="0.2">
      <c r="A1215" s="10"/>
      <c r="B1215" s="11"/>
      <c r="C1215" s="12"/>
      <c r="D1215" s="11"/>
      <c r="E1215" s="13"/>
      <c r="F1215" s="14"/>
      <c r="G1215" s="11"/>
      <c r="H1215" s="16"/>
      <c r="J1215" s="17"/>
      <c r="K1215" s="20"/>
      <c r="L1215" s="16"/>
      <c r="N1215" s="20"/>
      <c r="O1215" s="18"/>
    </row>
    <row r="1216" spans="1:15" x14ac:dyDescent="0.2">
      <c r="A1216" s="10"/>
      <c r="B1216" s="11"/>
      <c r="C1216" s="12"/>
      <c r="D1216" s="11"/>
      <c r="E1216" s="13"/>
      <c r="F1216" s="14"/>
      <c r="G1216" s="11"/>
      <c r="H1216" s="16"/>
      <c r="J1216" s="17"/>
      <c r="K1216" s="20"/>
      <c r="L1216" s="16"/>
      <c r="N1216" s="20"/>
      <c r="O1216" s="18"/>
    </row>
    <row r="1217" spans="1:15" x14ac:dyDescent="0.2">
      <c r="A1217" s="10"/>
      <c r="B1217" s="11"/>
      <c r="C1217" s="12"/>
      <c r="D1217" s="11"/>
      <c r="E1217" s="13"/>
      <c r="F1217" s="14"/>
      <c r="G1217" s="11"/>
      <c r="H1217" s="16"/>
      <c r="J1217" s="17"/>
      <c r="K1217" s="20"/>
      <c r="L1217" s="16"/>
      <c r="N1217" s="20"/>
      <c r="O1217" s="18"/>
    </row>
    <row r="1218" spans="1:15" x14ac:dyDescent="0.2">
      <c r="A1218" s="10"/>
      <c r="B1218" s="11"/>
      <c r="C1218" s="12"/>
      <c r="D1218" s="11"/>
      <c r="E1218" s="13"/>
      <c r="F1218" s="14"/>
      <c r="G1218" s="11"/>
      <c r="H1218" s="16"/>
      <c r="J1218" s="17"/>
      <c r="K1218" s="20"/>
      <c r="L1218" s="16"/>
      <c r="N1218" s="20"/>
      <c r="O1218" s="18"/>
    </row>
    <row r="1219" spans="1:15" x14ac:dyDescent="0.2">
      <c r="A1219" s="10"/>
      <c r="B1219" s="11"/>
      <c r="C1219" s="12"/>
      <c r="D1219" s="11"/>
      <c r="E1219" s="13"/>
      <c r="F1219" s="14"/>
      <c r="G1219" s="11"/>
      <c r="H1219" s="16"/>
      <c r="J1219" s="17"/>
      <c r="K1219" s="20"/>
      <c r="L1219" s="16"/>
      <c r="N1219" s="20"/>
      <c r="O1219" s="18"/>
    </row>
    <row r="1220" spans="1:15" x14ac:dyDescent="0.2">
      <c r="A1220" s="10"/>
      <c r="B1220" s="11"/>
      <c r="C1220" s="12"/>
      <c r="D1220" s="11"/>
      <c r="E1220" s="13"/>
      <c r="F1220" s="14"/>
      <c r="G1220" s="11"/>
      <c r="H1220" s="16"/>
      <c r="J1220" s="17"/>
      <c r="K1220" s="20"/>
      <c r="L1220" s="16"/>
      <c r="N1220" s="20"/>
      <c r="O1220" s="18"/>
    </row>
    <row r="1221" spans="1:15" x14ac:dyDescent="0.2">
      <c r="A1221" s="10"/>
      <c r="B1221" s="11"/>
      <c r="C1221" s="12"/>
      <c r="D1221" s="11"/>
      <c r="E1221" s="13"/>
      <c r="F1221" s="14"/>
      <c r="G1221" s="11"/>
      <c r="H1221" s="16"/>
      <c r="J1221" s="17"/>
      <c r="K1221" s="20"/>
      <c r="L1221" s="16"/>
      <c r="N1221" s="20"/>
      <c r="O1221" s="18"/>
    </row>
    <row r="1222" spans="1:15" x14ac:dyDescent="0.2">
      <c r="A1222" s="10"/>
      <c r="B1222" s="11"/>
      <c r="C1222" s="12"/>
      <c r="D1222" s="11"/>
      <c r="E1222" s="13"/>
      <c r="F1222" s="14"/>
      <c r="G1222" s="11"/>
      <c r="H1222" s="16"/>
      <c r="J1222" s="17"/>
      <c r="K1222" s="20"/>
      <c r="L1222" s="16"/>
      <c r="N1222" s="20"/>
      <c r="O1222" s="18"/>
    </row>
    <row r="1223" spans="1:15" x14ac:dyDescent="0.2">
      <c r="A1223" s="10"/>
      <c r="B1223" s="11"/>
      <c r="C1223" s="12"/>
      <c r="D1223" s="11"/>
      <c r="E1223" s="13"/>
      <c r="F1223" s="14"/>
      <c r="G1223" s="11"/>
      <c r="H1223" s="16"/>
      <c r="J1223" s="17"/>
      <c r="K1223" s="20"/>
      <c r="L1223" s="16"/>
      <c r="N1223" s="20"/>
      <c r="O1223" s="18"/>
    </row>
    <row r="1224" spans="1:15" x14ac:dyDescent="0.2">
      <c r="A1224" s="10"/>
      <c r="B1224" s="11"/>
      <c r="C1224" s="12"/>
      <c r="D1224" s="11"/>
      <c r="E1224" s="13"/>
      <c r="F1224" s="14"/>
      <c r="G1224" s="11"/>
      <c r="H1224" s="16"/>
      <c r="J1224" s="17"/>
      <c r="K1224" s="20"/>
      <c r="L1224" s="16"/>
      <c r="N1224" s="20"/>
      <c r="O1224" s="18"/>
    </row>
    <row r="1225" spans="1:15" x14ac:dyDescent="0.2">
      <c r="A1225" s="10"/>
      <c r="B1225" s="11"/>
      <c r="C1225" s="12"/>
      <c r="D1225" s="11"/>
      <c r="E1225" s="13"/>
      <c r="F1225" s="14"/>
      <c r="G1225" s="11"/>
      <c r="H1225" s="16"/>
      <c r="J1225" s="17"/>
      <c r="K1225" s="20"/>
      <c r="L1225" s="16"/>
      <c r="N1225" s="20"/>
      <c r="O1225" s="18"/>
    </row>
    <row r="1226" spans="1:15" x14ac:dyDescent="0.2">
      <c r="A1226" s="10"/>
      <c r="B1226" s="11"/>
      <c r="C1226" s="12"/>
      <c r="D1226" s="11"/>
      <c r="E1226" s="13"/>
      <c r="F1226" s="14"/>
      <c r="G1226" s="11"/>
      <c r="H1226" s="16"/>
      <c r="J1226" s="17"/>
      <c r="K1226" s="20"/>
      <c r="L1226" s="16"/>
      <c r="N1226" s="20"/>
      <c r="O1226" s="18"/>
    </row>
    <row r="1227" spans="1:15" x14ac:dyDescent="0.2">
      <c r="A1227" s="10"/>
      <c r="B1227" s="11"/>
      <c r="C1227" s="12"/>
      <c r="D1227" s="11"/>
      <c r="E1227" s="13"/>
      <c r="F1227" s="14"/>
      <c r="G1227" s="11"/>
      <c r="H1227" s="16"/>
      <c r="J1227" s="17"/>
      <c r="K1227" s="20"/>
      <c r="L1227" s="16"/>
      <c r="N1227" s="20"/>
      <c r="O1227" s="18"/>
    </row>
    <row r="1228" spans="1:15" x14ac:dyDescent="0.2">
      <c r="A1228" s="10"/>
      <c r="B1228" s="11"/>
      <c r="C1228" s="12"/>
      <c r="D1228" s="11"/>
      <c r="E1228" s="13"/>
      <c r="F1228" s="14"/>
      <c r="G1228" s="11"/>
      <c r="H1228" s="16"/>
      <c r="J1228" s="17"/>
      <c r="K1228" s="20"/>
      <c r="L1228" s="16"/>
      <c r="N1228" s="20"/>
      <c r="O1228" s="18"/>
    </row>
    <row r="1229" spans="1:15" x14ac:dyDescent="0.2">
      <c r="A1229" s="10"/>
      <c r="B1229" s="11"/>
      <c r="C1229" s="12"/>
      <c r="D1229" s="11"/>
      <c r="E1229" s="13"/>
      <c r="F1229" s="14"/>
      <c r="G1229" s="11"/>
      <c r="H1229" s="16"/>
      <c r="J1229" s="17"/>
      <c r="K1229" s="20"/>
      <c r="L1229" s="16"/>
      <c r="N1229" s="20"/>
      <c r="O1229" s="18"/>
    </row>
    <row r="1230" spans="1:15" x14ac:dyDescent="0.2">
      <c r="A1230" s="10"/>
      <c r="B1230" s="11"/>
      <c r="C1230" s="12"/>
      <c r="D1230" s="11"/>
      <c r="E1230" s="13"/>
      <c r="F1230" s="14"/>
      <c r="G1230" s="11"/>
      <c r="H1230" s="16"/>
      <c r="J1230" s="17"/>
      <c r="K1230" s="20"/>
      <c r="L1230" s="16"/>
      <c r="N1230" s="20"/>
      <c r="O1230" s="18"/>
    </row>
    <row r="1231" spans="1:15" x14ac:dyDescent="0.2">
      <c r="A1231" s="10"/>
      <c r="B1231" s="11"/>
      <c r="C1231" s="12"/>
      <c r="D1231" s="11"/>
      <c r="E1231" s="13"/>
      <c r="F1231" s="14"/>
      <c r="G1231" s="11"/>
      <c r="H1231" s="16"/>
      <c r="J1231" s="17"/>
      <c r="K1231" s="20"/>
      <c r="L1231" s="16"/>
      <c r="N1231" s="20"/>
      <c r="O1231" s="18"/>
    </row>
    <row r="1232" spans="1:15" x14ac:dyDescent="0.2">
      <c r="A1232" s="10"/>
      <c r="B1232" s="11"/>
      <c r="C1232" s="12"/>
      <c r="D1232" s="11"/>
      <c r="E1232" s="13"/>
      <c r="F1232" s="14"/>
      <c r="G1232" s="11"/>
      <c r="H1232" s="16"/>
      <c r="J1232" s="17"/>
      <c r="K1232" s="20"/>
      <c r="L1232" s="16"/>
      <c r="N1232" s="20"/>
      <c r="O1232" s="18"/>
    </row>
    <row r="1233" spans="1:15" x14ac:dyDescent="0.2">
      <c r="A1233" s="10"/>
      <c r="B1233" s="11"/>
      <c r="C1233" s="12"/>
      <c r="D1233" s="11"/>
      <c r="E1233" s="13"/>
      <c r="F1233" s="14"/>
      <c r="G1233" s="11"/>
      <c r="H1233" s="16"/>
      <c r="J1233" s="17"/>
      <c r="K1233" s="20"/>
      <c r="L1233" s="16"/>
      <c r="N1233" s="20"/>
      <c r="O1233" s="18"/>
    </row>
    <row r="1234" spans="1:15" x14ac:dyDescent="0.2">
      <c r="A1234" s="10"/>
      <c r="B1234" s="11"/>
      <c r="C1234" s="12"/>
      <c r="D1234" s="11"/>
      <c r="E1234" s="13"/>
      <c r="F1234" s="14"/>
      <c r="G1234" s="11"/>
      <c r="H1234" s="16"/>
      <c r="J1234" s="17"/>
      <c r="K1234" s="20"/>
      <c r="L1234" s="16"/>
      <c r="N1234" s="20"/>
      <c r="O1234" s="18"/>
    </row>
    <row r="1235" spans="1:15" x14ac:dyDescent="0.2">
      <c r="A1235" s="10"/>
      <c r="B1235" s="11"/>
      <c r="C1235" s="12"/>
      <c r="D1235" s="11"/>
      <c r="E1235" s="13"/>
      <c r="F1235" s="14"/>
      <c r="G1235" s="11"/>
      <c r="H1235" s="16"/>
      <c r="J1235" s="17"/>
      <c r="K1235" s="20"/>
      <c r="L1235" s="16"/>
      <c r="N1235" s="20"/>
      <c r="O1235" s="18"/>
    </row>
    <row r="1236" spans="1:15" x14ac:dyDescent="0.2">
      <c r="A1236" s="10"/>
      <c r="B1236" s="11"/>
      <c r="C1236" s="12"/>
      <c r="D1236" s="11"/>
      <c r="E1236" s="13"/>
      <c r="F1236" s="14"/>
      <c r="G1236" s="11"/>
      <c r="H1236" s="16"/>
      <c r="J1236" s="17"/>
      <c r="K1236" s="20"/>
      <c r="L1236" s="16"/>
      <c r="N1236" s="20"/>
      <c r="O1236" s="18"/>
    </row>
    <row r="1237" spans="1:15" x14ac:dyDescent="0.2">
      <c r="A1237" s="10"/>
      <c r="B1237" s="11"/>
      <c r="C1237" s="12"/>
      <c r="D1237" s="11"/>
      <c r="E1237" s="13"/>
      <c r="F1237" s="14"/>
      <c r="G1237" s="11"/>
      <c r="H1237" s="16"/>
      <c r="J1237" s="17"/>
      <c r="K1237" s="20"/>
      <c r="L1237" s="16"/>
      <c r="N1237" s="20"/>
      <c r="O1237" s="18"/>
    </row>
    <row r="1238" spans="1:15" x14ac:dyDescent="0.2">
      <c r="A1238" s="10"/>
      <c r="B1238" s="11"/>
      <c r="C1238" s="12"/>
      <c r="D1238" s="11"/>
      <c r="E1238" s="13"/>
      <c r="F1238" s="14"/>
      <c r="G1238" s="11"/>
      <c r="H1238" s="16"/>
      <c r="J1238" s="17"/>
      <c r="K1238" s="20"/>
      <c r="L1238" s="16"/>
      <c r="N1238" s="20"/>
      <c r="O1238" s="18"/>
    </row>
    <row r="1239" spans="1:15" x14ac:dyDescent="0.2">
      <c r="A1239" s="10"/>
      <c r="B1239" s="11"/>
      <c r="C1239" s="12"/>
      <c r="D1239" s="11"/>
      <c r="E1239" s="13"/>
      <c r="F1239" s="14"/>
      <c r="G1239" s="11"/>
      <c r="H1239" s="16"/>
      <c r="J1239" s="17"/>
      <c r="K1239" s="20"/>
      <c r="L1239" s="16"/>
      <c r="N1239" s="20"/>
      <c r="O1239" s="18"/>
    </row>
    <row r="1240" spans="1:15" x14ac:dyDescent="0.2">
      <c r="A1240" s="10"/>
      <c r="B1240" s="11"/>
      <c r="C1240" s="12"/>
      <c r="D1240" s="11"/>
      <c r="E1240" s="13"/>
      <c r="F1240" s="14"/>
      <c r="G1240" s="11"/>
      <c r="H1240" s="16"/>
      <c r="J1240" s="17"/>
      <c r="K1240" s="20"/>
      <c r="L1240" s="16"/>
      <c r="N1240" s="20"/>
      <c r="O1240" s="18"/>
    </row>
    <row r="1241" spans="1:15" x14ac:dyDescent="0.2">
      <c r="A1241" s="10"/>
      <c r="B1241" s="11"/>
      <c r="C1241" s="12"/>
      <c r="D1241" s="11"/>
      <c r="E1241" s="13"/>
      <c r="F1241" s="14"/>
      <c r="G1241" s="11"/>
      <c r="H1241" s="16"/>
      <c r="J1241" s="17"/>
      <c r="K1241" s="20"/>
      <c r="L1241" s="16"/>
      <c r="N1241" s="20"/>
      <c r="O1241" s="18"/>
    </row>
    <row r="1242" spans="1:15" x14ac:dyDescent="0.2">
      <c r="A1242" s="10"/>
      <c r="B1242" s="11"/>
      <c r="C1242" s="12"/>
      <c r="D1242" s="11"/>
      <c r="E1242" s="13"/>
      <c r="F1242" s="14"/>
      <c r="G1242" s="11"/>
      <c r="H1242" s="16"/>
      <c r="J1242" s="17"/>
      <c r="K1242" s="20"/>
      <c r="L1242" s="16"/>
      <c r="N1242" s="20"/>
      <c r="O1242" s="18"/>
    </row>
    <row r="1243" spans="1:15" x14ac:dyDescent="0.2">
      <c r="A1243" s="10"/>
      <c r="B1243" s="11"/>
      <c r="C1243" s="12"/>
      <c r="D1243" s="11"/>
      <c r="E1243" s="13"/>
      <c r="F1243" s="14"/>
      <c r="G1243" s="11"/>
      <c r="H1243" s="16"/>
      <c r="J1243" s="17"/>
      <c r="K1243" s="20"/>
      <c r="L1243" s="16"/>
      <c r="N1243" s="20"/>
      <c r="O1243" s="18"/>
    </row>
    <row r="1244" spans="1:15" x14ac:dyDescent="0.2">
      <c r="A1244" s="10"/>
      <c r="B1244" s="11"/>
      <c r="C1244" s="12"/>
      <c r="D1244" s="11"/>
      <c r="E1244" s="13"/>
      <c r="F1244" s="14"/>
      <c r="G1244" s="11"/>
      <c r="H1244" s="16"/>
      <c r="J1244" s="17"/>
      <c r="K1244" s="20"/>
      <c r="L1244" s="16"/>
      <c r="N1244" s="20"/>
      <c r="O1244" s="18"/>
    </row>
    <row r="1245" spans="1:15" x14ac:dyDescent="0.2">
      <c r="A1245" s="10"/>
      <c r="B1245" s="11"/>
      <c r="C1245" s="12"/>
      <c r="D1245" s="11"/>
      <c r="E1245" s="13"/>
      <c r="F1245" s="14"/>
      <c r="G1245" s="11"/>
      <c r="H1245" s="16"/>
      <c r="J1245" s="17"/>
      <c r="K1245" s="20"/>
      <c r="L1245" s="16"/>
      <c r="N1245" s="20"/>
      <c r="O1245" s="18"/>
    </row>
    <row r="1246" spans="1:15" x14ac:dyDescent="0.2">
      <c r="A1246" s="10"/>
      <c r="B1246" s="11"/>
      <c r="C1246" s="12"/>
      <c r="D1246" s="11"/>
      <c r="E1246" s="13"/>
      <c r="F1246" s="14"/>
      <c r="G1246" s="11"/>
      <c r="H1246" s="16"/>
      <c r="J1246" s="17"/>
      <c r="K1246" s="20"/>
      <c r="L1246" s="16"/>
      <c r="N1246" s="20"/>
      <c r="O1246" s="18"/>
    </row>
    <row r="1247" spans="1:15" x14ac:dyDescent="0.2">
      <c r="A1247" s="10"/>
      <c r="B1247" s="11"/>
      <c r="C1247" s="12"/>
      <c r="D1247" s="11"/>
      <c r="E1247" s="13"/>
      <c r="F1247" s="14"/>
      <c r="G1247" s="11"/>
      <c r="H1247" s="16"/>
      <c r="J1247" s="17"/>
      <c r="K1247" s="20"/>
      <c r="L1247" s="16"/>
      <c r="N1247" s="20"/>
      <c r="O1247" s="18"/>
    </row>
    <row r="1248" spans="1:15" x14ac:dyDescent="0.2">
      <c r="A1248" s="10"/>
      <c r="B1248" s="11"/>
      <c r="C1248" s="12"/>
      <c r="D1248" s="11"/>
      <c r="E1248" s="13"/>
      <c r="F1248" s="14"/>
      <c r="G1248" s="11"/>
      <c r="H1248" s="16"/>
      <c r="J1248" s="17"/>
      <c r="K1248" s="20"/>
      <c r="L1248" s="16"/>
      <c r="N1248" s="20"/>
      <c r="O1248" s="18"/>
    </row>
    <row r="1249" spans="1:15" x14ac:dyDescent="0.2">
      <c r="A1249" s="10"/>
      <c r="B1249" s="11"/>
      <c r="C1249" s="12"/>
      <c r="D1249" s="11"/>
      <c r="E1249" s="13"/>
      <c r="F1249" s="14"/>
      <c r="G1249" s="11"/>
      <c r="H1249" s="16"/>
      <c r="J1249" s="17"/>
      <c r="K1249" s="20"/>
      <c r="L1249" s="16"/>
      <c r="N1249" s="20"/>
      <c r="O1249" s="18"/>
    </row>
    <row r="1250" spans="1:15" x14ac:dyDescent="0.2">
      <c r="A1250" s="10"/>
      <c r="B1250" s="11"/>
      <c r="C1250" s="12"/>
      <c r="D1250" s="11"/>
      <c r="E1250" s="13"/>
      <c r="F1250" s="14"/>
      <c r="G1250" s="11"/>
      <c r="H1250" s="16"/>
      <c r="J1250" s="17"/>
      <c r="K1250" s="20"/>
      <c r="L1250" s="16"/>
      <c r="N1250" s="20"/>
      <c r="O1250" s="18"/>
    </row>
    <row r="1251" spans="1:15" x14ac:dyDescent="0.2">
      <c r="A1251" s="10"/>
      <c r="B1251" s="11"/>
      <c r="C1251" s="12"/>
      <c r="D1251" s="11"/>
      <c r="E1251" s="13"/>
      <c r="F1251" s="14"/>
      <c r="G1251" s="11"/>
      <c r="H1251" s="16"/>
      <c r="J1251" s="17"/>
      <c r="K1251" s="20"/>
      <c r="L1251" s="16"/>
      <c r="N1251" s="20"/>
      <c r="O1251" s="18"/>
    </row>
    <row r="1252" spans="1:15" x14ac:dyDescent="0.2">
      <c r="A1252" s="10"/>
      <c r="B1252" s="11"/>
      <c r="C1252" s="12"/>
      <c r="D1252" s="11"/>
      <c r="E1252" s="13"/>
      <c r="F1252" s="14"/>
      <c r="G1252" s="11"/>
      <c r="H1252" s="16"/>
      <c r="J1252" s="17"/>
      <c r="K1252" s="20"/>
      <c r="L1252" s="16"/>
      <c r="N1252" s="20"/>
      <c r="O1252" s="18"/>
    </row>
    <row r="1253" spans="1:15" x14ac:dyDescent="0.2">
      <c r="A1253" s="10"/>
      <c r="B1253" s="11"/>
      <c r="C1253" s="12"/>
      <c r="D1253" s="11"/>
      <c r="E1253" s="13"/>
      <c r="F1253" s="14"/>
      <c r="G1253" s="11"/>
      <c r="H1253" s="16"/>
      <c r="J1253" s="17"/>
      <c r="K1253" s="20"/>
      <c r="L1253" s="16"/>
      <c r="N1253" s="20"/>
      <c r="O1253" s="18"/>
    </row>
    <row r="1254" spans="1:15" x14ac:dyDescent="0.2">
      <c r="A1254" s="10"/>
      <c r="B1254" s="11"/>
      <c r="C1254" s="12"/>
      <c r="D1254" s="11"/>
      <c r="E1254" s="13"/>
      <c r="F1254" s="14"/>
      <c r="G1254" s="11"/>
      <c r="H1254" s="16"/>
      <c r="J1254" s="17"/>
      <c r="K1254" s="20"/>
      <c r="L1254" s="16"/>
      <c r="N1254" s="20"/>
      <c r="O1254" s="18"/>
    </row>
    <row r="1255" spans="1:15" x14ac:dyDescent="0.2">
      <c r="A1255" s="10"/>
      <c r="B1255" s="11"/>
      <c r="C1255" s="12"/>
      <c r="D1255" s="11"/>
      <c r="E1255" s="13"/>
      <c r="F1255" s="14"/>
      <c r="G1255" s="11"/>
      <c r="H1255" s="16"/>
      <c r="J1255" s="17"/>
      <c r="K1255" s="20"/>
      <c r="L1255" s="16"/>
      <c r="N1255" s="20"/>
      <c r="O1255" s="18"/>
    </row>
    <row r="1256" spans="1:15" x14ac:dyDescent="0.2">
      <c r="A1256" s="10"/>
      <c r="B1256" s="11"/>
      <c r="C1256" s="12"/>
      <c r="D1256" s="11"/>
      <c r="E1256" s="13"/>
      <c r="F1256" s="14"/>
      <c r="G1256" s="11"/>
      <c r="H1256" s="16"/>
      <c r="J1256" s="17"/>
      <c r="K1256" s="20"/>
      <c r="L1256" s="16"/>
      <c r="N1256" s="20"/>
      <c r="O1256" s="18"/>
    </row>
    <row r="1257" spans="1:15" x14ac:dyDescent="0.2">
      <c r="A1257" s="10"/>
      <c r="B1257" s="11"/>
      <c r="C1257" s="12"/>
      <c r="D1257" s="11"/>
      <c r="E1257" s="13"/>
      <c r="F1257" s="14"/>
      <c r="G1257" s="11"/>
      <c r="H1257" s="16"/>
      <c r="J1257" s="17"/>
      <c r="K1257" s="20"/>
      <c r="L1257" s="16"/>
      <c r="N1257" s="20"/>
      <c r="O1257" s="18"/>
    </row>
    <row r="1258" spans="1:15" x14ac:dyDescent="0.2">
      <c r="A1258" s="10"/>
      <c r="B1258" s="11"/>
      <c r="C1258" s="12"/>
      <c r="D1258" s="11"/>
      <c r="E1258" s="13"/>
      <c r="F1258" s="14"/>
      <c r="G1258" s="11"/>
      <c r="H1258" s="16"/>
      <c r="J1258" s="17"/>
      <c r="K1258" s="20"/>
      <c r="L1258" s="16"/>
      <c r="N1258" s="20"/>
      <c r="O1258" s="18"/>
    </row>
    <row r="1259" spans="1:15" x14ac:dyDescent="0.2">
      <c r="A1259" s="10"/>
      <c r="B1259" s="11"/>
      <c r="C1259" s="12"/>
      <c r="D1259" s="11"/>
      <c r="E1259" s="13"/>
      <c r="F1259" s="14"/>
      <c r="G1259" s="11"/>
      <c r="H1259" s="16"/>
      <c r="J1259" s="17"/>
      <c r="K1259" s="20"/>
      <c r="L1259" s="16"/>
      <c r="N1259" s="20"/>
      <c r="O1259" s="18"/>
    </row>
    <row r="1260" spans="1:15" x14ac:dyDescent="0.2">
      <c r="A1260" s="10"/>
      <c r="B1260" s="11"/>
      <c r="C1260" s="12"/>
      <c r="D1260" s="11"/>
      <c r="E1260" s="13"/>
      <c r="F1260" s="14"/>
      <c r="G1260" s="11"/>
      <c r="H1260" s="16"/>
      <c r="J1260" s="17"/>
      <c r="K1260" s="20"/>
      <c r="L1260" s="16"/>
      <c r="N1260" s="20"/>
      <c r="O1260" s="18"/>
    </row>
    <row r="1261" spans="1:15" x14ac:dyDescent="0.2">
      <c r="A1261" s="10"/>
      <c r="B1261" s="11"/>
      <c r="C1261" s="12"/>
      <c r="D1261" s="11"/>
      <c r="E1261" s="13"/>
      <c r="F1261" s="14"/>
      <c r="G1261" s="11"/>
      <c r="H1261" s="16"/>
      <c r="J1261" s="17"/>
      <c r="K1261" s="20"/>
      <c r="L1261" s="16"/>
      <c r="N1261" s="20"/>
      <c r="O1261" s="18"/>
    </row>
    <row r="1262" spans="1:15" x14ac:dyDescent="0.2">
      <c r="A1262" s="10"/>
      <c r="B1262" s="11"/>
      <c r="C1262" s="12"/>
      <c r="D1262" s="11"/>
      <c r="E1262" s="13"/>
      <c r="F1262" s="14"/>
      <c r="G1262" s="11"/>
      <c r="H1262" s="16"/>
      <c r="J1262" s="17"/>
      <c r="K1262" s="20"/>
      <c r="L1262" s="16"/>
      <c r="N1262" s="20"/>
      <c r="O1262" s="18"/>
    </row>
    <row r="1263" spans="1:15" x14ac:dyDescent="0.2">
      <c r="A1263" s="10"/>
      <c r="B1263" s="11"/>
      <c r="C1263" s="12"/>
      <c r="D1263" s="11"/>
      <c r="E1263" s="13"/>
      <c r="F1263" s="14"/>
      <c r="G1263" s="11"/>
      <c r="H1263" s="16"/>
      <c r="J1263" s="17"/>
      <c r="K1263" s="20"/>
      <c r="L1263" s="16"/>
      <c r="N1263" s="20"/>
      <c r="O1263" s="18"/>
    </row>
    <row r="1264" spans="1:15" x14ac:dyDescent="0.2">
      <c r="A1264" s="10"/>
      <c r="B1264" s="11"/>
      <c r="C1264" s="12"/>
      <c r="D1264" s="11"/>
      <c r="E1264" s="13"/>
      <c r="F1264" s="14"/>
      <c r="G1264" s="11"/>
      <c r="H1264" s="16"/>
      <c r="J1264" s="17"/>
      <c r="K1264" s="20"/>
      <c r="L1264" s="16"/>
      <c r="N1264" s="20"/>
      <c r="O1264" s="18"/>
    </row>
    <row r="1265" spans="1:15" x14ac:dyDescent="0.2">
      <c r="A1265" s="10"/>
      <c r="B1265" s="11"/>
      <c r="C1265" s="12"/>
      <c r="D1265" s="11"/>
      <c r="E1265" s="13"/>
      <c r="F1265" s="14"/>
      <c r="G1265" s="11"/>
      <c r="H1265" s="16"/>
      <c r="J1265" s="17"/>
      <c r="K1265" s="20"/>
      <c r="L1265" s="16"/>
      <c r="N1265" s="20"/>
      <c r="O1265" s="18"/>
    </row>
    <row r="1266" spans="1:15" x14ac:dyDescent="0.2">
      <c r="A1266" s="10"/>
      <c r="B1266" s="11"/>
      <c r="C1266" s="12"/>
      <c r="D1266" s="11"/>
      <c r="E1266" s="13"/>
      <c r="F1266" s="14"/>
      <c r="G1266" s="11"/>
      <c r="H1266" s="16"/>
      <c r="J1266" s="17"/>
      <c r="K1266" s="20"/>
      <c r="L1266" s="16"/>
      <c r="N1266" s="20"/>
      <c r="O1266" s="18"/>
    </row>
    <row r="1267" spans="1:15" x14ac:dyDescent="0.2">
      <c r="A1267" s="10"/>
      <c r="B1267" s="11"/>
      <c r="C1267" s="12"/>
      <c r="D1267" s="11"/>
      <c r="E1267" s="13"/>
      <c r="F1267" s="14"/>
      <c r="G1267" s="11"/>
      <c r="H1267" s="16"/>
      <c r="J1267" s="17"/>
      <c r="K1267" s="20"/>
      <c r="L1267" s="16"/>
      <c r="N1267" s="20"/>
      <c r="O1267" s="18"/>
    </row>
    <row r="1268" spans="1:15" x14ac:dyDescent="0.2">
      <c r="A1268" s="10"/>
      <c r="B1268" s="11"/>
      <c r="C1268" s="12"/>
      <c r="D1268" s="11"/>
      <c r="E1268" s="13"/>
      <c r="F1268" s="14"/>
      <c r="G1268" s="11"/>
      <c r="H1268" s="16"/>
      <c r="J1268" s="17"/>
      <c r="K1268" s="20"/>
      <c r="L1268" s="16"/>
      <c r="N1268" s="20"/>
      <c r="O1268" s="18"/>
    </row>
    <row r="1269" spans="1:15" x14ac:dyDescent="0.2">
      <c r="A1269" s="10"/>
      <c r="B1269" s="11"/>
      <c r="C1269" s="12"/>
      <c r="D1269" s="11"/>
      <c r="E1269" s="13"/>
      <c r="F1269" s="14"/>
      <c r="G1269" s="11"/>
      <c r="H1269" s="16"/>
      <c r="J1269" s="17"/>
      <c r="K1269" s="20"/>
      <c r="L1269" s="16"/>
      <c r="N1269" s="20"/>
      <c r="O1269" s="18"/>
    </row>
    <row r="1270" spans="1:15" x14ac:dyDescent="0.2">
      <c r="A1270" s="10"/>
      <c r="B1270" s="11"/>
      <c r="C1270" s="12"/>
      <c r="D1270" s="11"/>
      <c r="E1270" s="13"/>
      <c r="F1270" s="14"/>
      <c r="G1270" s="11"/>
      <c r="H1270" s="16"/>
      <c r="J1270" s="17"/>
      <c r="K1270" s="20"/>
      <c r="L1270" s="16"/>
      <c r="N1270" s="20"/>
      <c r="O1270" s="18"/>
    </row>
    <row r="1271" spans="1:15" x14ac:dyDescent="0.2">
      <c r="A1271" s="10"/>
      <c r="B1271" s="11"/>
      <c r="C1271" s="12"/>
      <c r="D1271" s="11"/>
      <c r="E1271" s="13"/>
      <c r="F1271" s="14"/>
      <c r="G1271" s="11"/>
      <c r="H1271" s="16"/>
      <c r="J1271" s="17"/>
      <c r="K1271" s="20"/>
      <c r="L1271" s="16"/>
      <c r="N1271" s="20"/>
      <c r="O1271" s="18"/>
    </row>
    <row r="1272" spans="1:15" x14ac:dyDescent="0.2">
      <c r="A1272" s="10"/>
      <c r="B1272" s="11"/>
      <c r="C1272" s="12"/>
      <c r="D1272" s="11"/>
      <c r="E1272" s="13"/>
      <c r="F1272" s="14"/>
      <c r="G1272" s="11"/>
      <c r="H1272" s="16"/>
      <c r="J1272" s="17"/>
      <c r="K1272" s="20"/>
      <c r="L1272" s="16"/>
      <c r="N1272" s="20"/>
      <c r="O1272" s="18"/>
    </row>
    <row r="1273" spans="1:15" x14ac:dyDescent="0.2">
      <c r="A1273" s="10"/>
      <c r="B1273" s="11"/>
      <c r="C1273" s="12"/>
      <c r="D1273" s="11"/>
      <c r="E1273" s="13"/>
      <c r="F1273" s="14"/>
      <c r="G1273" s="11"/>
      <c r="H1273" s="16"/>
      <c r="J1273" s="17"/>
      <c r="K1273" s="20"/>
      <c r="L1273" s="16"/>
      <c r="N1273" s="20"/>
      <c r="O1273" s="18"/>
    </row>
    <row r="1274" spans="1:15" x14ac:dyDescent="0.2">
      <c r="A1274" s="10"/>
      <c r="B1274" s="11"/>
      <c r="C1274" s="12"/>
      <c r="D1274" s="11"/>
      <c r="E1274" s="13"/>
      <c r="F1274" s="14"/>
      <c r="G1274" s="11"/>
      <c r="H1274" s="16"/>
      <c r="J1274" s="17"/>
      <c r="K1274" s="20"/>
      <c r="L1274" s="16"/>
      <c r="N1274" s="20"/>
      <c r="O1274" s="18"/>
    </row>
    <row r="1275" spans="1:15" x14ac:dyDescent="0.2">
      <c r="A1275" s="10"/>
      <c r="B1275" s="11"/>
      <c r="C1275" s="12"/>
      <c r="D1275" s="11"/>
      <c r="E1275" s="13"/>
      <c r="F1275" s="14"/>
      <c r="G1275" s="11"/>
      <c r="H1275" s="16"/>
      <c r="J1275" s="17"/>
      <c r="K1275" s="20"/>
      <c r="L1275" s="16"/>
      <c r="N1275" s="20"/>
      <c r="O1275" s="18"/>
    </row>
    <row r="1276" spans="1:15" x14ac:dyDescent="0.2">
      <c r="A1276" s="10"/>
      <c r="B1276" s="11"/>
      <c r="C1276" s="12"/>
      <c r="D1276" s="11"/>
      <c r="E1276" s="13"/>
      <c r="F1276" s="14"/>
      <c r="G1276" s="11"/>
      <c r="H1276" s="16"/>
      <c r="J1276" s="17"/>
      <c r="K1276" s="20"/>
      <c r="L1276" s="16"/>
      <c r="N1276" s="20"/>
      <c r="O1276" s="18"/>
    </row>
    <row r="1277" spans="1:15" x14ac:dyDescent="0.2">
      <c r="A1277" s="10"/>
      <c r="B1277" s="11"/>
      <c r="C1277" s="12"/>
      <c r="D1277" s="11"/>
      <c r="E1277" s="13"/>
      <c r="F1277" s="14"/>
      <c r="G1277" s="11"/>
      <c r="H1277" s="16"/>
      <c r="J1277" s="17"/>
      <c r="K1277" s="20"/>
      <c r="L1277" s="16"/>
      <c r="N1277" s="20"/>
      <c r="O1277" s="18"/>
    </row>
    <row r="1278" spans="1:15" x14ac:dyDescent="0.2">
      <c r="A1278" s="10"/>
      <c r="B1278" s="11"/>
      <c r="C1278" s="12"/>
      <c r="D1278" s="11"/>
      <c r="E1278" s="13"/>
      <c r="F1278" s="14"/>
      <c r="G1278" s="11"/>
      <c r="H1278" s="16"/>
      <c r="J1278" s="17"/>
      <c r="K1278" s="20"/>
      <c r="L1278" s="16"/>
      <c r="N1278" s="20"/>
      <c r="O1278" s="18"/>
    </row>
    <row r="1279" spans="1:15" x14ac:dyDescent="0.2">
      <c r="A1279" s="10"/>
      <c r="B1279" s="11"/>
      <c r="C1279" s="12"/>
      <c r="D1279" s="11"/>
      <c r="E1279" s="13"/>
      <c r="F1279" s="14"/>
      <c r="G1279" s="11"/>
      <c r="H1279" s="16"/>
      <c r="J1279" s="17"/>
      <c r="K1279" s="20"/>
      <c r="L1279" s="16"/>
      <c r="N1279" s="20"/>
      <c r="O1279" s="18"/>
    </row>
    <row r="1280" spans="1:15" x14ac:dyDescent="0.2">
      <c r="A1280" s="10"/>
      <c r="B1280" s="11"/>
      <c r="C1280" s="12"/>
      <c r="D1280" s="11"/>
      <c r="E1280" s="13"/>
      <c r="F1280" s="14"/>
      <c r="G1280" s="11"/>
      <c r="H1280" s="16"/>
      <c r="J1280" s="17"/>
      <c r="K1280" s="20"/>
      <c r="L1280" s="16"/>
      <c r="N1280" s="20"/>
      <c r="O1280" s="18"/>
    </row>
    <row r="1281" spans="1:15" x14ac:dyDescent="0.2">
      <c r="A1281" s="10"/>
      <c r="B1281" s="11"/>
      <c r="C1281" s="12"/>
      <c r="D1281" s="11"/>
      <c r="E1281" s="13"/>
      <c r="F1281" s="14"/>
      <c r="G1281" s="11"/>
      <c r="H1281" s="16"/>
      <c r="J1281" s="17"/>
      <c r="K1281" s="20"/>
      <c r="L1281" s="16"/>
      <c r="N1281" s="20"/>
      <c r="O1281" s="18"/>
    </row>
    <row r="1282" spans="1:15" x14ac:dyDescent="0.2">
      <c r="A1282" s="10"/>
      <c r="B1282" s="11"/>
      <c r="C1282" s="12"/>
      <c r="D1282" s="11"/>
      <c r="E1282" s="13"/>
      <c r="F1282" s="14"/>
      <c r="G1282" s="11"/>
      <c r="H1282" s="16"/>
      <c r="J1282" s="17"/>
      <c r="K1282" s="20"/>
      <c r="L1282" s="16"/>
      <c r="N1282" s="20"/>
      <c r="O1282" s="18"/>
    </row>
    <row r="1283" spans="1:15" x14ac:dyDescent="0.2">
      <c r="A1283" s="10"/>
      <c r="B1283" s="11"/>
      <c r="C1283" s="12"/>
      <c r="D1283" s="11"/>
      <c r="E1283" s="13"/>
      <c r="F1283" s="14"/>
      <c r="G1283" s="11"/>
      <c r="H1283" s="16"/>
      <c r="J1283" s="17"/>
      <c r="K1283" s="20"/>
      <c r="L1283" s="16"/>
      <c r="N1283" s="20"/>
      <c r="O1283" s="18"/>
    </row>
    <row r="1284" spans="1:15" x14ac:dyDescent="0.2">
      <c r="A1284" s="10"/>
      <c r="B1284" s="11"/>
      <c r="C1284" s="12"/>
      <c r="D1284" s="11"/>
      <c r="E1284" s="13"/>
      <c r="F1284" s="14"/>
      <c r="G1284" s="11"/>
      <c r="H1284" s="16"/>
      <c r="J1284" s="17"/>
      <c r="K1284" s="20"/>
      <c r="L1284" s="16"/>
      <c r="N1284" s="20"/>
      <c r="O1284" s="18"/>
    </row>
    <row r="1285" spans="1:15" x14ac:dyDescent="0.2">
      <c r="A1285" s="10"/>
      <c r="B1285" s="11"/>
      <c r="C1285" s="12"/>
      <c r="D1285" s="11"/>
      <c r="E1285" s="13"/>
      <c r="F1285" s="14"/>
      <c r="G1285" s="11"/>
      <c r="H1285" s="16"/>
      <c r="J1285" s="17"/>
      <c r="K1285" s="20"/>
      <c r="L1285" s="16"/>
      <c r="N1285" s="20"/>
      <c r="O1285" s="18"/>
    </row>
    <row r="1286" spans="1:15" x14ac:dyDescent="0.2">
      <c r="A1286" s="10"/>
      <c r="B1286" s="11"/>
      <c r="C1286" s="12"/>
      <c r="D1286" s="11"/>
      <c r="E1286" s="13"/>
      <c r="F1286" s="14"/>
      <c r="G1286" s="11"/>
      <c r="H1286" s="16"/>
      <c r="J1286" s="17"/>
      <c r="K1286" s="20"/>
      <c r="L1286" s="16"/>
      <c r="N1286" s="20"/>
      <c r="O1286" s="18"/>
    </row>
    <row r="1287" spans="1:15" x14ac:dyDescent="0.2">
      <c r="A1287" s="10"/>
      <c r="B1287" s="11"/>
      <c r="C1287" s="12"/>
      <c r="D1287" s="11"/>
      <c r="E1287" s="13"/>
      <c r="F1287" s="14"/>
      <c r="G1287" s="11"/>
      <c r="H1287" s="16"/>
      <c r="J1287" s="17"/>
      <c r="K1287" s="20"/>
      <c r="L1287" s="16"/>
      <c r="N1287" s="20"/>
      <c r="O1287" s="18"/>
    </row>
    <row r="1288" spans="1:15" x14ac:dyDescent="0.2">
      <c r="A1288" s="10"/>
      <c r="B1288" s="11"/>
      <c r="C1288" s="12"/>
      <c r="D1288" s="11"/>
      <c r="E1288" s="13"/>
      <c r="F1288" s="14"/>
      <c r="G1288" s="11"/>
      <c r="H1288" s="16"/>
      <c r="J1288" s="17"/>
      <c r="K1288" s="20"/>
      <c r="L1288" s="16"/>
      <c r="N1288" s="20"/>
      <c r="O1288" s="18"/>
    </row>
    <row r="1289" spans="1:15" x14ac:dyDescent="0.2">
      <c r="A1289" s="10"/>
      <c r="B1289" s="11"/>
      <c r="C1289" s="12"/>
      <c r="D1289" s="11"/>
      <c r="E1289" s="13"/>
      <c r="F1289" s="14"/>
      <c r="G1289" s="11"/>
      <c r="H1289" s="16"/>
      <c r="J1289" s="17"/>
      <c r="K1289" s="20"/>
      <c r="L1289" s="16"/>
      <c r="N1289" s="20"/>
      <c r="O1289" s="18"/>
    </row>
    <row r="1290" spans="1:15" x14ac:dyDescent="0.2">
      <c r="A1290" s="10"/>
      <c r="B1290" s="11"/>
      <c r="C1290" s="12"/>
      <c r="D1290" s="11"/>
      <c r="E1290" s="13"/>
      <c r="F1290" s="14"/>
      <c r="G1290" s="11"/>
      <c r="H1290" s="16"/>
      <c r="J1290" s="17"/>
      <c r="K1290" s="20"/>
      <c r="L1290" s="16"/>
      <c r="N1290" s="20"/>
      <c r="O1290" s="18"/>
    </row>
    <row r="1291" spans="1:15" x14ac:dyDescent="0.2">
      <c r="A1291" s="10"/>
      <c r="B1291" s="11"/>
      <c r="C1291" s="12"/>
      <c r="D1291" s="11"/>
      <c r="E1291" s="13"/>
      <c r="F1291" s="14"/>
      <c r="G1291" s="11"/>
      <c r="H1291" s="16"/>
      <c r="J1291" s="17"/>
      <c r="K1291" s="20"/>
      <c r="L1291" s="16"/>
      <c r="N1291" s="20"/>
      <c r="O1291" s="18"/>
    </row>
    <row r="1292" spans="1:15" x14ac:dyDescent="0.2">
      <c r="A1292" s="10"/>
      <c r="B1292" s="11"/>
      <c r="C1292" s="12"/>
      <c r="D1292" s="11"/>
      <c r="E1292" s="13"/>
      <c r="F1292" s="14"/>
      <c r="G1292" s="11"/>
      <c r="H1292" s="16"/>
      <c r="J1292" s="17"/>
      <c r="K1292" s="20"/>
      <c r="L1292" s="16"/>
      <c r="N1292" s="20"/>
      <c r="O1292" s="18"/>
    </row>
    <row r="1293" spans="1:15" x14ac:dyDescent="0.2">
      <c r="A1293" s="10"/>
      <c r="B1293" s="11"/>
      <c r="C1293" s="12"/>
      <c r="D1293" s="11"/>
      <c r="E1293" s="13"/>
      <c r="F1293" s="14"/>
      <c r="G1293" s="11"/>
      <c r="H1293" s="16"/>
      <c r="J1293" s="17"/>
      <c r="K1293" s="20"/>
      <c r="L1293" s="16"/>
      <c r="N1293" s="20"/>
      <c r="O1293" s="18"/>
    </row>
    <row r="1294" spans="1:15" x14ac:dyDescent="0.2">
      <c r="A1294" s="10"/>
      <c r="B1294" s="11"/>
      <c r="C1294" s="12"/>
      <c r="D1294" s="11"/>
      <c r="E1294" s="13"/>
      <c r="F1294" s="14"/>
      <c r="G1294" s="11"/>
      <c r="H1294" s="16"/>
      <c r="J1294" s="17"/>
      <c r="K1294" s="20"/>
      <c r="L1294" s="16"/>
      <c r="N1294" s="20"/>
      <c r="O1294" s="18"/>
    </row>
    <row r="1295" spans="1:15" x14ac:dyDescent="0.2">
      <c r="A1295" s="10"/>
      <c r="B1295" s="11"/>
      <c r="C1295" s="12"/>
      <c r="D1295" s="11"/>
      <c r="E1295" s="13"/>
      <c r="F1295" s="14"/>
      <c r="G1295" s="11"/>
      <c r="H1295" s="16"/>
      <c r="J1295" s="17"/>
      <c r="K1295" s="20"/>
      <c r="L1295" s="16"/>
      <c r="N1295" s="20"/>
      <c r="O1295" s="18"/>
    </row>
    <row r="1296" spans="1:15" x14ac:dyDescent="0.2">
      <c r="A1296" s="10"/>
      <c r="B1296" s="11"/>
      <c r="C1296" s="12"/>
      <c r="D1296" s="11"/>
      <c r="E1296" s="13"/>
      <c r="F1296" s="14"/>
      <c r="G1296" s="11"/>
      <c r="H1296" s="16"/>
      <c r="J1296" s="17"/>
      <c r="K1296" s="20"/>
      <c r="L1296" s="16"/>
      <c r="N1296" s="20"/>
      <c r="O1296" s="18"/>
    </row>
    <row r="1297" spans="1:15" x14ac:dyDescent="0.2">
      <c r="A1297" s="10"/>
      <c r="B1297" s="11"/>
      <c r="C1297" s="12"/>
      <c r="D1297" s="11"/>
      <c r="E1297" s="13"/>
      <c r="F1297" s="14"/>
      <c r="G1297" s="11"/>
      <c r="H1297" s="16"/>
      <c r="J1297" s="17"/>
      <c r="K1297" s="20"/>
      <c r="L1297" s="16"/>
      <c r="N1297" s="20"/>
      <c r="O1297" s="18"/>
    </row>
    <row r="1298" spans="1:15" x14ac:dyDescent="0.2">
      <c r="A1298" s="10"/>
      <c r="B1298" s="11"/>
      <c r="C1298" s="12"/>
      <c r="D1298" s="11"/>
      <c r="E1298" s="13"/>
      <c r="F1298" s="14"/>
      <c r="G1298" s="11"/>
      <c r="H1298" s="16"/>
      <c r="J1298" s="17"/>
      <c r="K1298" s="20"/>
      <c r="L1298" s="16"/>
      <c r="N1298" s="20"/>
      <c r="O1298" s="18"/>
    </row>
    <row r="1299" spans="1:15" x14ac:dyDescent="0.2">
      <c r="A1299" s="10"/>
      <c r="B1299" s="11"/>
      <c r="C1299" s="12"/>
      <c r="D1299" s="11"/>
      <c r="E1299" s="13"/>
      <c r="F1299" s="14"/>
      <c r="G1299" s="11"/>
      <c r="H1299" s="16"/>
      <c r="J1299" s="17"/>
      <c r="K1299" s="20"/>
      <c r="L1299" s="16"/>
      <c r="N1299" s="20"/>
      <c r="O1299" s="18"/>
    </row>
    <row r="1300" spans="1:15" x14ac:dyDescent="0.2">
      <c r="A1300" s="10"/>
      <c r="B1300" s="11"/>
      <c r="C1300" s="12"/>
      <c r="D1300" s="11"/>
      <c r="E1300" s="13"/>
      <c r="F1300" s="14"/>
      <c r="G1300" s="11"/>
      <c r="H1300" s="16"/>
      <c r="J1300" s="17"/>
      <c r="K1300" s="20"/>
      <c r="L1300" s="16"/>
      <c r="N1300" s="20"/>
      <c r="O1300" s="18"/>
    </row>
    <row r="1301" spans="1:15" x14ac:dyDescent="0.2">
      <c r="A1301" s="10"/>
      <c r="B1301" s="11"/>
      <c r="C1301" s="12"/>
      <c r="D1301" s="11"/>
      <c r="E1301" s="13"/>
      <c r="F1301" s="14"/>
      <c r="G1301" s="11"/>
      <c r="H1301" s="16"/>
      <c r="J1301" s="17"/>
      <c r="K1301" s="20"/>
      <c r="L1301" s="16"/>
      <c r="N1301" s="20"/>
      <c r="O1301" s="18"/>
    </row>
    <row r="1302" spans="1:15" x14ac:dyDescent="0.2">
      <c r="A1302" s="10"/>
      <c r="B1302" s="11"/>
      <c r="C1302" s="12"/>
      <c r="D1302" s="11"/>
      <c r="E1302" s="13"/>
      <c r="F1302" s="14"/>
      <c r="G1302" s="11"/>
      <c r="H1302" s="16"/>
      <c r="J1302" s="17"/>
      <c r="K1302" s="20"/>
      <c r="L1302" s="16"/>
      <c r="N1302" s="20"/>
      <c r="O1302" s="18"/>
    </row>
    <row r="1303" spans="1:15" x14ac:dyDescent="0.2">
      <c r="A1303" s="10"/>
      <c r="B1303" s="11"/>
      <c r="C1303" s="12"/>
      <c r="D1303" s="11"/>
      <c r="E1303" s="13"/>
      <c r="F1303" s="14"/>
      <c r="G1303" s="11"/>
      <c r="H1303" s="16"/>
      <c r="J1303" s="17"/>
      <c r="K1303" s="20"/>
      <c r="L1303" s="16"/>
      <c r="N1303" s="20"/>
      <c r="O1303" s="18"/>
    </row>
    <row r="1304" spans="1:15" x14ac:dyDescent="0.2">
      <c r="A1304" s="10"/>
      <c r="B1304" s="11"/>
      <c r="C1304" s="12"/>
      <c r="D1304" s="11"/>
      <c r="E1304" s="13"/>
      <c r="F1304" s="14"/>
      <c r="G1304" s="11"/>
      <c r="H1304" s="16"/>
      <c r="J1304" s="17"/>
      <c r="K1304" s="20"/>
      <c r="L1304" s="16"/>
      <c r="N1304" s="20"/>
      <c r="O1304" s="18"/>
    </row>
    <row r="1305" spans="1:15" x14ac:dyDescent="0.2">
      <c r="A1305" s="10"/>
      <c r="B1305" s="11"/>
      <c r="C1305" s="12"/>
      <c r="D1305" s="11"/>
      <c r="E1305" s="13"/>
      <c r="F1305" s="14"/>
      <c r="G1305" s="11"/>
      <c r="H1305" s="16"/>
      <c r="J1305" s="17"/>
      <c r="K1305" s="20"/>
      <c r="L1305" s="16"/>
      <c r="N1305" s="20"/>
      <c r="O1305" s="18"/>
    </row>
    <row r="1306" spans="1:15" x14ac:dyDescent="0.2">
      <c r="A1306" s="10"/>
      <c r="B1306" s="11"/>
      <c r="C1306" s="12"/>
      <c r="D1306" s="11"/>
      <c r="E1306" s="13"/>
      <c r="F1306" s="14"/>
      <c r="G1306" s="11"/>
      <c r="H1306" s="16"/>
      <c r="J1306" s="17"/>
      <c r="K1306" s="20"/>
      <c r="L1306" s="16"/>
      <c r="N1306" s="20"/>
      <c r="O1306" s="18"/>
    </row>
    <row r="1307" spans="1:15" x14ac:dyDescent="0.2">
      <c r="A1307" s="10"/>
      <c r="B1307" s="11"/>
      <c r="C1307" s="12"/>
      <c r="D1307" s="11"/>
      <c r="E1307" s="13"/>
      <c r="F1307" s="14"/>
      <c r="G1307" s="11"/>
      <c r="H1307" s="16"/>
      <c r="J1307" s="17"/>
      <c r="K1307" s="20"/>
      <c r="L1307" s="16"/>
      <c r="N1307" s="20"/>
      <c r="O1307" s="18"/>
    </row>
    <row r="1308" spans="1:15" x14ac:dyDescent="0.2">
      <c r="A1308" s="10"/>
      <c r="B1308" s="11"/>
      <c r="C1308" s="12"/>
      <c r="D1308" s="11"/>
      <c r="E1308" s="13"/>
      <c r="F1308" s="14"/>
      <c r="G1308" s="11"/>
      <c r="H1308" s="16"/>
      <c r="J1308" s="17"/>
      <c r="K1308" s="20"/>
      <c r="L1308" s="16"/>
      <c r="N1308" s="20"/>
      <c r="O1308" s="18"/>
    </row>
    <row r="1309" spans="1:15" x14ac:dyDescent="0.2">
      <c r="A1309" s="10"/>
      <c r="B1309" s="11"/>
      <c r="C1309" s="12"/>
      <c r="D1309" s="11"/>
      <c r="E1309" s="13"/>
      <c r="F1309" s="14"/>
      <c r="G1309" s="11"/>
      <c r="H1309" s="16"/>
      <c r="J1309" s="17"/>
      <c r="K1309" s="20"/>
      <c r="L1309" s="16"/>
      <c r="N1309" s="20"/>
      <c r="O1309" s="18"/>
    </row>
    <row r="1310" spans="1:15" x14ac:dyDescent="0.2">
      <c r="A1310" s="10"/>
      <c r="B1310" s="11"/>
      <c r="C1310" s="12"/>
      <c r="D1310" s="11"/>
      <c r="E1310" s="13"/>
      <c r="F1310" s="14"/>
      <c r="G1310" s="11"/>
      <c r="H1310" s="16"/>
      <c r="J1310" s="17"/>
      <c r="K1310" s="20"/>
      <c r="L1310" s="16"/>
      <c r="N1310" s="20"/>
      <c r="O1310" s="18"/>
    </row>
    <row r="1311" spans="1:15" x14ac:dyDescent="0.2">
      <c r="A1311" s="10"/>
      <c r="B1311" s="11"/>
      <c r="C1311" s="12"/>
      <c r="D1311" s="11"/>
      <c r="E1311" s="13"/>
      <c r="F1311" s="14"/>
      <c r="G1311" s="11"/>
      <c r="H1311" s="16"/>
      <c r="J1311" s="17"/>
      <c r="K1311" s="20"/>
      <c r="L1311" s="16"/>
      <c r="N1311" s="20"/>
      <c r="O1311" s="18"/>
    </row>
    <row r="1312" spans="1:15" x14ac:dyDescent="0.2">
      <c r="A1312" s="10"/>
      <c r="B1312" s="11"/>
      <c r="C1312" s="12"/>
      <c r="D1312" s="11"/>
      <c r="E1312" s="13"/>
      <c r="F1312" s="14"/>
      <c r="G1312" s="11"/>
      <c r="H1312" s="16"/>
      <c r="J1312" s="17"/>
      <c r="K1312" s="20"/>
      <c r="L1312" s="16"/>
      <c r="N1312" s="20"/>
      <c r="O1312" s="18"/>
    </row>
    <row r="1313" spans="1:15" x14ac:dyDescent="0.2">
      <c r="A1313" s="10"/>
      <c r="B1313" s="11"/>
      <c r="C1313" s="12"/>
      <c r="D1313" s="11"/>
      <c r="E1313" s="13"/>
      <c r="F1313" s="14"/>
      <c r="G1313" s="11"/>
      <c r="H1313" s="16"/>
      <c r="J1313" s="17"/>
      <c r="K1313" s="20"/>
      <c r="L1313" s="16"/>
      <c r="N1313" s="20"/>
      <c r="O1313" s="18"/>
    </row>
    <row r="1314" spans="1:15" x14ac:dyDescent="0.2">
      <c r="A1314" s="10"/>
      <c r="B1314" s="11"/>
      <c r="C1314" s="12"/>
      <c r="D1314" s="11"/>
      <c r="E1314" s="13"/>
      <c r="F1314" s="14"/>
      <c r="G1314" s="11"/>
      <c r="H1314" s="16"/>
      <c r="J1314" s="17"/>
      <c r="K1314" s="20"/>
      <c r="L1314" s="16"/>
      <c r="N1314" s="20"/>
      <c r="O1314" s="18"/>
    </row>
    <row r="1315" spans="1:15" x14ac:dyDescent="0.2">
      <c r="A1315" s="10"/>
      <c r="B1315" s="11"/>
      <c r="C1315" s="12"/>
      <c r="D1315" s="11"/>
      <c r="E1315" s="13"/>
      <c r="F1315" s="14"/>
      <c r="G1315" s="11"/>
      <c r="H1315" s="16"/>
      <c r="J1315" s="17"/>
      <c r="K1315" s="20"/>
      <c r="L1315" s="16"/>
      <c r="N1315" s="20"/>
      <c r="O1315" s="18"/>
    </row>
    <row r="1316" spans="1:15" x14ac:dyDescent="0.2">
      <c r="A1316" s="10"/>
      <c r="B1316" s="11"/>
      <c r="C1316" s="12"/>
      <c r="D1316" s="11"/>
      <c r="E1316" s="13"/>
      <c r="F1316" s="14"/>
      <c r="G1316" s="11"/>
      <c r="H1316" s="16"/>
      <c r="J1316" s="17"/>
      <c r="K1316" s="20"/>
      <c r="L1316" s="16"/>
      <c r="N1316" s="20"/>
      <c r="O1316" s="18"/>
    </row>
    <row r="1317" spans="1:15" x14ac:dyDescent="0.2">
      <c r="A1317" s="10"/>
      <c r="B1317" s="11"/>
      <c r="C1317" s="12"/>
      <c r="D1317" s="11"/>
      <c r="E1317" s="13"/>
      <c r="F1317" s="14"/>
      <c r="G1317" s="11"/>
      <c r="H1317" s="16"/>
      <c r="J1317" s="17"/>
      <c r="K1317" s="20"/>
      <c r="L1317" s="16"/>
      <c r="N1317" s="20"/>
      <c r="O1317" s="18"/>
    </row>
    <row r="1318" spans="1:15" x14ac:dyDescent="0.2">
      <c r="A1318" s="10"/>
      <c r="B1318" s="11"/>
      <c r="C1318" s="12"/>
      <c r="D1318" s="11"/>
      <c r="E1318" s="13"/>
      <c r="F1318" s="14"/>
      <c r="G1318" s="11"/>
      <c r="H1318" s="16"/>
      <c r="J1318" s="17"/>
      <c r="K1318" s="20"/>
      <c r="L1318" s="16"/>
      <c r="N1318" s="20"/>
      <c r="O1318" s="18"/>
    </row>
    <row r="1319" spans="1:15" x14ac:dyDescent="0.2">
      <c r="A1319" s="10"/>
      <c r="B1319" s="11"/>
      <c r="C1319" s="12"/>
      <c r="D1319" s="11"/>
      <c r="E1319" s="13"/>
      <c r="F1319" s="14"/>
      <c r="G1319" s="11"/>
      <c r="H1319" s="16"/>
      <c r="J1319" s="17"/>
      <c r="K1319" s="20"/>
      <c r="L1319" s="16"/>
      <c r="N1319" s="20"/>
      <c r="O1319" s="18"/>
    </row>
    <row r="1320" spans="1:15" x14ac:dyDescent="0.2">
      <c r="A1320" s="10"/>
      <c r="B1320" s="11"/>
      <c r="C1320" s="12"/>
      <c r="D1320" s="11"/>
      <c r="E1320" s="13"/>
      <c r="F1320" s="14"/>
      <c r="G1320" s="11"/>
      <c r="H1320" s="16"/>
      <c r="J1320" s="17"/>
      <c r="K1320" s="20"/>
      <c r="L1320" s="16"/>
      <c r="N1320" s="20"/>
      <c r="O1320" s="18"/>
    </row>
    <row r="1321" spans="1:15" x14ac:dyDescent="0.2">
      <c r="A1321" s="10"/>
      <c r="B1321" s="11"/>
      <c r="C1321" s="12"/>
      <c r="D1321" s="11"/>
      <c r="E1321" s="13"/>
      <c r="F1321" s="14"/>
      <c r="G1321" s="11"/>
      <c r="H1321" s="16"/>
      <c r="J1321" s="17"/>
      <c r="K1321" s="20"/>
      <c r="L1321" s="16"/>
      <c r="N1321" s="20"/>
      <c r="O1321" s="18"/>
    </row>
    <row r="1322" spans="1:15" x14ac:dyDescent="0.2">
      <c r="A1322" s="10"/>
      <c r="B1322" s="11"/>
      <c r="C1322" s="12"/>
      <c r="D1322" s="11"/>
      <c r="E1322" s="13"/>
      <c r="F1322" s="14"/>
      <c r="G1322" s="11"/>
      <c r="H1322" s="16"/>
      <c r="J1322" s="17"/>
      <c r="K1322" s="20"/>
      <c r="L1322" s="16"/>
      <c r="N1322" s="20"/>
      <c r="O1322" s="18"/>
    </row>
    <row r="1323" spans="1:15" x14ac:dyDescent="0.2">
      <c r="A1323" s="10"/>
      <c r="B1323" s="11"/>
      <c r="C1323" s="12"/>
      <c r="D1323" s="11"/>
      <c r="E1323" s="13"/>
      <c r="F1323" s="14"/>
      <c r="G1323" s="11"/>
      <c r="H1323" s="16"/>
      <c r="J1323" s="17"/>
      <c r="K1323" s="20"/>
      <c r="L1323" s="16"/>
      <c r="N1323" s="20"/>
      <c r="O1323" s="18"/>
    </row>
    <row r="1324" spans="1:15" x14ac:dyDescent="0.2">
      <c r="A1324" s="10"/>
      <c r="B1324" s="11"/>
      <c r="C1324" s="12"/>
      <c r="D1324" s="11"/>
      <c r="E1324" s="13"/>
      <c r="F1324" s="14"/>
      <c r="G1324" s="11"/>
      <c r="H1324" s="16"/>
      <c r="J1324" s="17"/>
      <c r="K1324" s="20"/>
      <c r="L1324" s="16"/>
      <c r="N1324" s="20"/>
      <c r="O1324" s="18"/>
    </row>
    <row r="1325" spans="1:15" x14ac:dyDescent="0.2">
      <c r="A1325" s="10"/>
      <c r="B1325" s="11"/>
      <c r="C1325" s="12"/>
      <c r="D1325" s="11"/>
      <c r="E1325" s="13"/>
      <c r="F1325" s="14"/>
      <c r="G1325" s="11"/>
      <c r="H1325" s="16"/>
      <c r="J1325" s="17"/>
      <c r="K1325" s="20"/>
      <c r="L1325" s="16"/>
      <c r="N1325" s="20"/>
      <c r="O1325" s="18"/>
    </row>
    <row r="1326" spans="1:15" x14ac:dyDescent="0.2">
      <c r="A1326" s="10"/>
      <c r="B1326" s="11"/>
      <c r="C1326" s="12"/>
      <c r="D1326" s="11"/>
      <c r="E1326" s="13"/>
      <c r="F1326" s="14"/>
      <c r="G1326" s="11"/>
      <c r="H1326" s="16"/>
      <c r="J1326" s="17"/>
      <c r="K1326" s="20"/>
      <c r="L1326" s="16"/>
      <c r="N1326" s="20"/>
      <c r="O1326" s="18"/>
    </row>
    <row r="1327" spans="1:15" x14ac:dyDescent="0.2">
      <c r="A1327" s="10"/>
      <c r="B1327" s="11"/>
      <c r="C1327" s="12"/>
      <c r="D1327" s="11"/>
      <c r="E1327" s="13"/>
      <c r="F1327" s="14"/>
      <c r="G1327" s="11"/>
      <c r="H1327" s="16"/>
      <c r="J1327" s="17"/>
      <c r="K1327" s="20"/>
      <c r="L1327" s="16"/>
      <c r="N1327" s="20"/>
      <c r="O1327" s="18"/>
    </row>
    <row r="1328" spans="1:15" x14ac:dyDescent="0.2">
      <c r="A1328" s="10"/>
      <c r="B1328" s="11"/>
      <c r="C1328" s="12"/>
      <c r="D1328" s="11"/>
      <c r="E1328" s="13"/>
      <c r="F1328" s="14"/>
      <c r="G1328" s="11"/>
      <c r="H1328" s="16"/>
      <c r="J1328" s="17"/>
      <c r="K1328" s="20"/>
      <c r="L1328" s="16"/>
      <c r="N1328" s="20"/>
      <c r="O1328" s="18"/>
    </row>
    <row r="1329" spans="1:15" x14ac:dyDescent="0.2">
      <c r="A1329" s="10"/>
      <c r="B1329" s="11"/>
      <c r="C1329" s="12"/>
      <c r="D1329" s="11"/>
      <c r="E1329" s="13"/>
      <c r="F1329" s="14"/>
      <c r="G1329" s="11"/>
      <c r="H1329" s="16"/>
      <c r="J1329" s="17"/>
      <c r="K1329" s="20"/>
      <c r="L1329" s="16"/>
      <c r="N1329" s="20"/>
      <c r="O1329" s="18"/>
    </row>
    <row r="1330" spans="1:15" x14ac:dyDescent="0.2">
      <c r="A1330" s="10"/>
      <c r="B1330" s="11"/>
      <c r="C1330" s="12"/>
      <c r="D1330" s="11"/>
      <c r="E1330" s="13"/>
      <c r="F1330" s="14"/>
      <c r="G1330" s="11"/>
      <c r="H1330" s="16"/>
      <c r="J1330" s="17"/>
      <c r="K1330" s="20"/>
      <c r="L1330" s="16"/>
      <c r="N1330" s="20"/>
      <c r="O1330" s="18"/>
    </row>
    <row r="1331" spans="1:15" x14ac:dyDescent="0.2">
      <c r="A1331" s="10"/>
      <c r="B1331" s="11"/>
      <c r="C1331" s="12"/>
      <c r="D1331" s="11"/>
      <c r="E1331" s="13"/>
      <c r="F1331" s="14"/>
      <c r="G1331" s="11"/>
      <c r="H1331" s="16"/>
      <c r="J1331" s="17"/>
      <c r="K1331" s="20"/>
      <c r="L1331" s="16"/>
      <c r="N1331" s="20"/>
      <c r="O1331" s="18"/>
    </row>
    <row r="1332" spans="1:15" x14ac:dyDescent="0.2">
      <c r="A1332" s="10"/>
      <c r="B1332" s="11"/>
      <c r="C1332" s="12"/>
      <c r="D1332" s="11"/>
      <c r="E1332" s="13"/>
      <c r="F1332" s="14"/>
      <c r="G1332" s="11"/>
      <c r="H1332" s="16"/>
      <c r="J1332" s="17"/>
      <c r="K1332" s="20"/>
      <c r="L1332" s="16"/>
      <c r="N1332" s="20"/>
      <c r="O1332" s="18"/>
    </row>
    <row r="1333" spans="1:15" x14ac:dyDescent="0.2">
      <c r="A1333" s="10"/>
      <c r="B1333" s="11"/>
      <c r="C1333" s="12"/>
      <c r="D1333" s="11"/>
      <c r="E1333" s="13"/>
      <c r="F1333" s="14"/>
      <c r="G1333" s="11"/>
      <c r="H1333" s="16"/>
      <c r="J1333" s="17"/>
      <c r="K1333" s="20"/>
      <c r="L1333" s="16"/>
      <c r="N1333" s="20"/>
      <c r="O1333" s="18"/>
    </row>
    <row r="1334" spans="1:15" x14ac:dyDescent="0.2">
      <c r="A1334" s="10"/>
      <c r="B1334" s="11"/>
      <c r="C1334" s="12"/>
      <c r="D1334" s="11"/>
      <c r="E1334" s="13"/>
      <c r="F1334" s="14"/>
      <c r="G1334" s="11"/>
      <c r="H1334" s="16"/>
      <c r="J1334" s="17"/>
      <c r="K1334" s="20"/>
      <c r="L1334" s="16"/>
      <c r="N1334" s="20"/>
      <c r="O1334" s="18"/>
    </row>
    <row r="1335" spans="1:15" x14ac:dyDescent="0.2">
      <c r="A1335" s="10"/>
      <c r="B1335" s="11"/>
      <c r="C1335" s="12"/>
      <c r="D1335" s="11"/>
      <c r="E1335" s="13"/>
      <c r="F1335" s="14"/>
      <c r="G1335" s="11"/>
      <c r="H1335" s="16"/>
      <c r="J1335" s="17"/>
      <c r="K1335" s="20"/>
      <c r="L1335" s="16"/>
      <c r="N1335" s="20"/>
      <c r="O1335" s="18"/>
    </row>
    <row r="1336" spans="1:15" x14ac:dyDescent="0.2">
      <c r="A1336" s="10"/>
      <c r="B1336" s="11"/>
      <c r="C1336" s="12"/>
      <c r="D1336" s="11"/>
      <c r="E1336" s="13"/>
      <c r="F1336" s="14"/>
      <c r="G1336" s="11"/>
      <c r="H1336" s="16"/>
      <c r="J1336" s="17"/>
      <c r="K1336" s="20"/>
      <c r="L1336" s="16"/>
      <c r="N1336" s="20"/>
      <c r="O1336" s="18"/>
    </row>
    <row r="1337" spans="1:15" x14ac:dyDescent="0.2">
      <c r="A1337" s="10"/>
      <c r="B1337" s="11"/>
      <c r="C1337" s="12"/>
      <c r="D1337" s="11"/>
      <c r="E1337" s="13"/>
      <c r="F1337" s="14"/>
      <c r="G1337" s="11"/>
      <c r="H1337" s="16"/>
      <c r="J1337" s="17"/>
      <c r="K1337" s="20"/>
      <c r="L1337" s="16"/>
      <c r="N1337" s="20"/>
      <c r="O1337" s="18"/>
    </row>
    <row r="1338" spans="1:15" x14ac:dyDescent="0.2">
      <c r="A1338" s="10"/>
      <c r="B1338" s="11"/>
      <c r="C1338" s="12"/>
      <c r="D1338" s="11"/>
      <c r="E1338" s="13"/>
      <c r="F1338" s="14"/>
      <c r="G1338" s="11"/>
      <c r="H1338" s="16"/>
      <c r="J1338" s="17"/>
      <c r="K1338" s="20"/>
      <c r="L1338" s="16"/>
      <c r="N1338" s="20"/>
      <c r="O1338" s="18"/>
    </row>
    <row r="1339" spans="1:15" x14ac:dyDescent="0.2">
      <c r="A1339" s="10"/>
      <c r="B1339" s="11"/>
      <c r="C1339" s="12"/>
      <c r="D1339" s="11"/>
      <c r="E1339" s="13"/>
      <c r="F1339" s="14"/>
      <c r="G1339" s="11"/>
      <c r="H1339" s="16"/>
      <c r="J1339" s="17"/>
      <c r="K1339" s="20"/>
      <c r="L1339" s="16"/>
      <c r="N1339" s="20"/>
      <c r="O1339" s="18"/>
    </row>
    <row r="1340" spans="1:15" x14ac:dyDescent="0.2">
      <c r="A1340" s="10"/>
      <c r="B1340" s="11"/>
      <c r="C1340" s="12"/>
      <c r="D1340" s="11"/>
      <c r="E1340" s="13"/>
      <c r="F1340" s="14"/>
      <c r="G1340" s="11"/>
      <c r="H1340" s="16"/>
      <c r="J1340" s="17"/>
      <c r="K1340" s="20"/>
      <c r="L1340" s="16"/>
      <c r="N1340" s="20"/>
      <c r="O1340" s="18"/>
    </row>
    <row r="1341" spans="1:15" x14ac:dyDescent="0.2">
      <c r="A1341" s="10"/>
      <c r="B1341" s="11"/>
      <c r="C1341" s="12"/>
      <c r="D1341" s="11"/>
      <c r="E1341" s="13"/>
      <c r="F1341" s="14"/>
      <c r="G1341" s="11"/>
      <c r="H1341" s="16"/>
      <c r="J1341" s="17"/>
      <c r="K1341" s="20"/>
      <c r="L1341" s="16"/>
      <c r="N1341" s="20"/>
      <c r="O1341" s="18"/>
    </row>
    <row r="1342" spans="1:15" x14ac:dyDescent="0.2">
      <c r="A1342" s="10"/>
      <c r="B1342" s="11"/>
      <c r="C1342" s="12"/>
      <c r="D1342" s="11"/>
      <c r="E1342" s="13"/>
      <c r="F1342" s="14"/>
      <c r="G1342" s="11"/>
      <c r="H1342" s="16"/>
      <c r="J1342" s="17"/>
      <c r="K1342" s="20"/>
      <c r="L1342" s="16"/>
      <c r="N1342" s="20"/>
      <c r="O1342" s="18"/>
    </row>
    <row r="1343" spans="1:15" x14ac:dyDescent="0.2">
      <c r="A1343" s="10"/>
      <c r="B1343" s="11"/>
      <c r="C1343" s="12"/>
      <c r="D1343" s="11"/>
      <c r="E1343" s="13"/>
      <c r="F1343" s="14"/>
      <c r="G1343" s="11"/>
      <c r="H1343" s="16"/>
      <c r="J1343" s="17"/>
      <c r="K1343" s="20"/>
      <c r="L1343" s="16"/>
      <c r="N1343" s="20"/>
      <c r="O1343" s="18"/>
    </row>
    <row r="1344" spans="1:15" x14ac:dyDescent="0.2">
      <c r="A1344" s="10"/>
      <c r="B1344" s="11"/>
      <c r="C1344" s="12"/>
      <c r="D1344" s="11"/>
      <c r="E1344" s="13"/>
      <c r="F1344" s="14"/>
      <c r="G1344" s="11"/>
      <c r="H1344" s="16"/>
      <c r="J1344" s="17"/>
      <c r="K1344" s="20"/>
      <c r="L1344" s="16"/>
      <c r="N1344" s="20"/>
      <c r="O1344" s="18"/>
    </row>
    <row r="1345" spans="1:15" x14ac:dyDescent="0.2">
      <c r="A1345" s="10"/>
      <c r="B1345" s="11"/>
      <c r="C1345" s="12"/>
      <c r="D1345" s="11"/>
      <c r="E1345" s="13"/>
      <c r="F1345" s="14"/>
      <c r="G1345" s="11"/>
      <c r="H1345" s="16"/>
      <c r="J1345" s="17"/>
      <c r="K1345" s="20"/>
      <c r="L1345" s="16"/>
      <c r="N1345" s="20"/>
      <c r="O1345" s="18"/>
    </row>
    <row r="1346" spans="1:15" x14ac:dyDescent="0.2">
      <c r="A1346" s="10"/>
      <c r="B1346" s="11"/>
      <c r="C1346" s="12"/>
      <c r="D1346" s="11"/>
      <c r="E1346" s="13"/>
      <c r="F1346" s="14"/>
      <c r="G1346" s="11"/>
      <c r="H1346" s="16"/>
      <c r="J1346" s="17"/>
      <c r="K1346" s="20"/>
      <c r="L1346" s="16"/>
      <c r="N1346" s="20"/>
      <c r="O1346" s="18"/>
    </row>
    <row r="1347" spans="1:15" x14ac:dyDescent="0.2">
      <c r="A1347" s="10"/>
      <c r="B1347" s="11"/>
      <c r="C1347" s="12"/>
      <c r="D1347" s="11"/>
      <c r="E1347" s="13"/>
      <c r="F1347" s="14"/>
      <c r="G1347" s="11"/>
      <c r="H1347" s="16"/>
      <c r="J1347" s="17"/>
      <c r="K1347" s="20"/>
      <c r="L1347" s="16"/>
      <c r="N1347" s="20"/>
      <c r="O1347" s="18"/>
    </row>
    <row r="1348" spans="1:15" x14ac:dyDescent="0.2">
      <c r="A1348" s="10"/>
      <c r="B1348" s="11"/>
      <c r="C1348" s="12"/>
      <c r="D1348" s="11"/>
      <c r="E1348" s="13"/>
      <c r="F1348" s="14"/>
      <c r="G1348" s="11"/>
      <c r="H1348" s="16"/>
      <c r="J1348" s="17"/>
      <c r="K1348" s="20"/>
      <c r="L1348" s="16"/>
      <c r="N1348" s="20"/>
      <c r="O1348" s="18"/>
    </row>
    <row r="1349" spans="1:15" x14ac:dyDescent="0.2">
      <c r="A1349" s="10"/>
      <c r="B1349" s="11"/>
      <c r="C1349" s="12"/>
      <c r="D1349" s="11"/>
      <c r="E1349" s="13"/>
      <c r="F1349" s="14"/>
      <c r="G1349" s="11"/>
      <c r="H1349" s="16"/>
      <c r="J1349" s="17"/>
      <c r="K1349" s="20"/>
      <c r="L1349" s="16"/>
      <c r="N1349" s="20"/>
      <c r="O1349" s="18"/>
    </row>
    <row r="1350" spans="1:15" x14ac:dyDescent="0.2">
      <c r="A1350" s="10"/>
      <c r="B1350" s="11"/>
      <c r="C1350" s="12"/>
      <c r="D1350" s="11"/>
      <c r="E1350" s="13"/>
      <c r="F1350" s="14"/>
      <c r="G1350" s="11"/>
      <c r="H1350" s="16"/>
      <c r="J1350" s="17"/>
      <c r="K1350" s="20"/>
      <c r="L1350" s="16"/>
      <c r="N1350" s="20"/>
      <c r="O1350" s="18"/>
    </row>
    <row r="1351" spans="1:15" x14ac:dyDescent="0.2">
      <c r="A1351" s="10"/>
      <c r="B1351" s="11"/>
      <c r="C1351" s="12"/>
      <c r="D1351" s="11"/>
      <c r="E1351" s="13"/>
      <c r="F1351" s="14"/>
      <c r="G1351" s="11"/>
      <c r="H1351" s="16"/>
      <c r="J1351" s="17"/>
      <c r="K1351" s="20"/>
      <c r="L1351" s="16"/>
      <c r="N1351" s="20"/>
      <c r="O1351" s="18"/>
    </row>
    <row r="1352" spans="1:15" x14ac:dyDescent="0.2">
      <c r="A1352" s="10"/>
      <c r="B1352" s="11"/>
      <c r="C1352" s="12"/>
      <c r="D1352" s="11"/>
      <c r="E1352" s="13"/>
      <c r="F1352" s="14"/>
      <c r="G1352" s="11"/>
      <c r="H1352" s="16"/>
      <c r="J1352" s="17"/>
      <c r="K1352" s="20"/>
      <c r="L1352" s="16"/>
      <c r="N1352" s="20"/>
      <c r="O1352" s="18"/>
    </row>
    <row r="1353" spans="1:15" x14ac:dyDescent="0.2">
      <c r="A1353" s="10"/>
      <c r="B1353" s="11"/>
      <c r="C1353" s="12"/>
      <c r="D1353" s="11"/>
      <c r="E1353" s="13"/>
      <c r="F1353" s="14"/>
      <c r="G1353" s="11"/>
      <c r="H1353" s="16"/>
      <c r="J1353" s="17"/>
      <c r="K1353" s="20"/>
      <c r="L1353" s="16"/>
      <c r="N1353" s="20"/>
      <c r="O1353" s="18"/>
    </row>
    <row r="1354" spans="1:15" x14ac:dyDescent="0.2">
      <c r="A1354" s="10"/>
      <c r="B1354" s="11"/>
      <c r="C1354" s="12"/>
      <c r="D1354" s="11"/>
      <c r="E1354" s="13"/>
      <c r="F1354" s="14"/>
      <c r="G1354" s="11"/>
      <c r="H1354" s="16"/>
      <c r="J1354" s="17"/>
      <c r="K1354" s="20"/>
      <c r="L1354" s="16"/>
      <c r="N1354" s="20"/>
      <c r="O1354" s="18"/>
    </row>
    <row r="1355" spans="1:15" x14ac:dyDescent="0.2">
      <c r="A1355" s="10"/>
      <c r="B1355" s="11"/>
      <c r="C1355" s="12"/>
      <c r="D1355" s="11"/>
      <c r="E1355" s="13"/>
      <c r="F1355" s="14"/>
      <c r="G1355" s="11"/>
      <c r="H1355" s="16"/>
      <c r="J1355" s="17"/>
      <c r="K1355" s="20"/>
      <c r="L1355" s="16"/>
      <c r="N1355" s="20"/>
      <c r="O1355" s="18"/>
    </row>
    <row r="1356" spans="1:15" x14ac:dyDescent="0.2">
      <c r="A1356" s="10"/>
      <c r="B1356" s="11"/>
      <c r="C1356" s="12"/>
      <c r="D1356" s="11"/>
      <c r="E1356" s="13"/>
      <c r="F1356" s="14"/>
      <c r="G1356" s="11"/>
      <c r="H1356" s="16"/>
      <c r="J1356" s="17"/>
      <c r="K1356" s="20"/>
      <c r="L1356" s="16"/>
      <c r="N1356" s="20"/>
      <c r="O1356" s="18"/>
    </row>
    <row r="1357" spans="1:15" x14ac:dyDescent="0.2">
      <c r="A1357" s="10"/>
      <c r="B1357" s="11"/>
      <c r="C1357" s="12"/>
      <c r="D1357" s="11"/>
      <c r="E1357" s="13"/>
      <c r="F1357" s="14"/>
      <c r="G1357" s="11"/>
      <c r="H1357" s="16"/>
      <c r="J1357" s="17"/>
      <c r="K1357" s="20"/>
      <c r="L1357" s="16"/>
      <c r="N1357" s="20"/>
      <c r="O1357" s="18"/>
    </row>
    <row r="1358" spans="1:15" x14ac:dyDescent="0.2">
      <c r="A1358" s="10"/>
      <c r="B1358" s="11"/>
      <c r="C1358" s="12"/>
      <c r="D1358" s="11"/>
      <c r="E1358" s="13"/>
      <c r="F1358" s="14"/>
      <c r="G1358" s="11"/>
      <c r="H1358" s="16"/>
      <c r="J1358" s="17"/>
      <c r="K1358" s="20"/>
      <c r="L1358" s="16"/>
      <c r="N1358" s="20"/>
      <c r="O1358" s="18"/>
    </row>
    <row r="1359" spans="1:15" x14ac:dyDescent="0.2">
      <c r="A1359" s="10"/>
      <c r="B1359" s="11"/>
      <c r="C1359" s="12"/>
      <c r="D1359" s="11"/>
      <c r="E1359" s="13"/>
      <c r="F1359" s="14"/>
      <c r="G1359" s="11"/>
      <c r="H1359" s="16"/>
      <c r="J1359" s="17"/>
      <c r="K1359" s="20"/>
      <c r="L1359" s="16"/>
      <c r="N1359" s="20"/>
      <c r="O1359" s="18"/>
    </row>
    <row r="1360" spans="1:15" x14ac:dyDescent="0.2">
      <c r="A1360" s="10"/>
      <c r="B1360" s="11"/>
      <c r="C1360" s="12"/>
      <c r="D1360" s="11"/>
      <c r="E1360" s="13"/>
      <c r="F1360" s="14"/>
      <c r="G1360" s="11"/>
      <c r="H1360" s="16"/>
      <c r="J1360" s="17"/>
      <c r="K1360" s="20"/>
      <c r="L1360" s="16"/>
      <c r="N1360" s="20"/>
      <c r="O1360" s="18"/>
    </row>
    <row r="1361" spans="1:15" x14ac:dyDescent="0.2">
      <c r="A1361" s="10"/>
      <c r="B1361" s="11"/>
      <c r="C1361" s="12"/>
      <c r="D1361" s="11"/>
      <c r="E1361" s="13"/>
      <c r="F1361" s="14"/>
      <c r="G1361" s="11"/>
      <c r="H1361" s="16"/>
      <c r="J1361" s="17"/>
      <c r="K1361" s="20"/>
      <c r="L1361" s="16"/>
      <c r="N1361" s="20"/>
      <c r="O1361" s="18"/>
    </row>
    <row r="1362" spans="1:15" x14ac:dyDescent="0.2">
      <c r="A1362" s="10"/>
      <c r="B1362" s="11"/>
      <c r="C1362" s="12"/>
      <c r="D1362" s="11"/>
      <c r="E1362" s="13"/>
      <c r="F1362" s="14"/>
      <c r="G1362" s="11"/>
      <c r="H1362" s="16"/>
      <c r="J1362" s="17"/>
      <c r="K1362" s="20"/>
      <c r="L1362" s="16"/>
      <c r="N1362" s="20"/>
      <c r="O1362" s="18"/>
    </row>
    <row r="1363" spans="1:15" x14ac:dyDescent="0.2">
      <c r="A1363" s="10"/>
      <c r="B1363" s="11"/>
      <c r="C1363" s="12"/>
      <c r="D1363" s="11"/>
      <c r="E1363" s="13"/>
      <c r="F1363" s="14"/>
      <c r="G1363" s="11"/>
      <c r="H1363" s="16"/>
      <c r="J1363" s="17"/>
      <c r="K1363" s="20"/>
      <c r="L1363" s="16"/>
      <c r="N1363" s="20"/>
      <c r="O1363" s="18"/>
    </row>
    <row r="1364" spans="1:15" x14ac:dyDescent="0.2">
      <c r="A1364" s="10"/>
      <c r="B1364" s="11"/>
      <c r="C1364" s="12"/>
      <c r="D1364" s="11"/>
      <c r="E1364" s="13"/>
      <c r="F1364" s="14"/>
      <c r="G1364" s="11"/>
      <c r="H1364" s="16"/>
      <c r="J1364" s="17"/>
      <c r="K1364" s="20"/>
      <c r="L1364" s="16"/>
      <c r="N1364" s="20"/>
      <c r="O1364" s="18"/>
    </row>
    <row r="1365" spans="1:15" x14ac:dyDescent="0.2">
      <c r="A1365" s="10"/>
      <c r="B1365" s="11"/>
      <c r="C1365" s="12"/>
      <c r="D1365" s="11"/>
      <c r="E1365" s="13"/>
      <c r="F1365" s="14"/>
      <c r="G1365" s="11"/>
      <c r="H1365" s="16"/>
      <c r="J1365" s="17"/>
      <c r="K1365" s="20"/>
      <c r="L1365" s="16"/>
      <c r="N1365" s="20"/>
      <c r="O1365" s="18"/>
    </row>
    <row r="1366" spans="1:15" x14ac:dyDescent="0.2">
      <c r="A1366" s="10"/>
      <c r="B1366" s="11"/>
      <c r="C1366" s="12"/>
      <c r="D1366" s="11"/>
      <c r="E1366" s="13"/>
      <c r="F1366" s="14"/>
      <c r="G1366" s="11"/>
      <c r="H1366" s="16"/>
      <c r="J1366" s="17"/>
      <c r="K1366" s="20"/>
      <c r="L1366" s="16"/>
      <c r="N1366" s="20"/>
      <c r="O1366" s="18"/>
    </row>
    <row r="1367" spans="1:15" x14ac:dyDescent="0.2">
      <c r="A1367" s="10"/>
      <c r="B1367" s="11"/>
      <c r="C1367" s="12"/>
      <c r="D1367" s="11"/>
      <c r="E1367" s="13"/>
      <c r="F1367" s="14"/>
      <c r="G1367" s="11"/>
      <c r="H1367" s="16"/>
      <c r="J1367" s="17"/>
      <c r="K1367" s="20"/>
      <c r="L1367" s="16"/>
      <c r="N1367" s="20"/>
      <c r="O1367" s="18"/>
    </row>
    <row r="1368" spans="1:15" x14ac:dyDescent="0.2">
      <c r="A1368" s="10"/>
      <c r="B1368" s="11"/>
      <c r="C1368" s="12"/>
      <c r="D1368" s="11"/>
      <c r="E1368" s="13"/>
      <c r="F1368" s="14"/>
      <c r="G1368" s="11"/>
      <c r="H1368" s="16"/>
      <c r="J1368" s="17"/>
      <c r="K1368" s="20"/>
      <c r="L1368" s="16"/>
      <c r="N1368" s="20"/>
      <c r="O1368" s="18"/>
    </row>
    <row r="1369" spans="1:15" x14ac:dyDescent="0.2">
      <c r="A1369" s="10"/>
      <c r="B1369" s="11"/>
      <c r="C1369" s="12"/>
      <c r="D1369" s="11"/>
      <c r="E1369" s="13"/>
      <c r="F1369" s="14"/>
      <c r="G1369" s="11"/>
      <c r="H1369" s="16"/>
      <c r="J1369" s="17"/>
      <c r="K1369" s="20"/>
      <c r="L1369" s="16"/>
      <c r="N1369" s="20"/>
      <c r="O1369" s="18"/>
    </row>
    <row r="1370" spans="1:15" x14ac:dyDescent="0.2">
      <c r="A1370" s="10"/>
      <c r="B1370" s="11"/>
      <c r="C1370" s="12"/>
      <c r="D1370" s="11"/>
      <c r="E1370" s="13"/>
      <c r="F1370" s="14"/>
      <c r="G1370" s="11"/>
      <c r="H1370" s="16"/>
      <c r="J1370" s="17"/>
      <c r="K1370" s="20"/>
      <c r="L1370" s="16"/>
      <c r="N1370" s="20"/>
      <c r="O1370" s="18"/>
    </row>
    <row r="1371" spans="1:15" x14ac:dyDescent="0.2">
      <c r="A1371" s="10"/>
      <c r="B1371" s="11"/>
      <c r="C1371" s="12"/>
      <c r="D1371" s="11"/>
      <c r="E1371" s="13"/>
      <c r="F1371" s="14"/>
      <c r="G1371" s="11"/>
      <c r="H1371" s="16"/>
      <c r="J1371" s="17"/>
      <c r="K1371" s="20"/>
      <c r="L1371" s="16"/>
      <c r="N1371" s="20"/>
      <c r="O1371" s="18"/>
    </row>
    <row r="1372" spans="1:15" x14ac:dyDescent="0.2">
      <c r="A1372" s="10"/>
      <c r="B1372" s="11"/>
      <c r="C1372" s="12"/>
      <c r="D1372" s="11"/>
      <c r="E1372" s="13"/>
      <c r="F1372" s="14"/>
      <c r="G1372" s="11"/>
      <c r="H1372" s="16"/>
      <c r="J1372" s="17"/>
      <c r="K1372" s="20"/>
      <c r="L1372" s="16"/>
      <c r="N1372" s="20"/>
      <c r="O1372" s="18"/>
    </row>
    <row r="1373" spans="1:15" x14ac:dyDescent="0.2">
      <c r="A1373" s="10"/>
      <c r="B1373" s="11"/>
      <c r="C1373" s="12"/>
      <c r="D1373" s="11"/>
      <c r="E1373" s="13"/>
      <c r="F1373" s="14"/>
      <c r="G1373" s="11"/>
      <c r="H1373" s="16"/>
      <c r="J1373" s="17"/>
      <c r="K1373" s="20"/>
      <c r="L1373" s="16"/>
      <c r="N1373" s="20"/>
      <c r="O1373" s="18"/>
    </row>
    <row r="1374" spans="1:15" x14ac:dyDescent="0.2">
      <c r="A1374" s="10"/>
      <c r="B1374" s="11"/>
      <c r="C1374" s="12"/>
      <c r="D1374" s="11"/>
      <c r="E1374" s="13"/>
      <c r="F1374" s="14"/>
      <c r="G1374" s="11"/>
      <c r="H1374" s="16"/>
      <c r="J1374" s="17"/>
      <c r="K1374" s="20"/>
      <c r="L1374" s="16"/>
      <c r="N1374" s="20"/>
      <c r="O1374" s="18"/>
    </row>
    <row r="1375" spans="1:15" x14ac:dyDescent="0.2">
      <c r="A1375" s="10"/>
      <c r="B1375" s="11"/>
      <c r="C1375" s="12"/>
      <c r="D1375" s="11"/>
      <c r="E1375" s="13"/>
      <c r="F1375" s="14"/>
      <c r="G1375" s="11"/>
      <c r="H1375" s="16"/>
      <c r="J1375" s="17"/>
      <c r="K1375" s="20"/>
      <c r="L1375" s="16"/>
      <c r="N1375" s="20"/>
      <c r="O1375" s="18"/>
    </row>
    <row r="1376" spans="1:15" x14ac:dyDescent="0.2">
      <c r="A1376" s="10"/>
      <c r="B1376" s="11"/>
      <c r="C1376" s="12"/>
      <c r="D1376" s="11"/>
      <c r="E1376" s="13"/>
      <c r="F1376" s="14"/>
      <c r="G1376" s="11"/>
      <c r="H1376" s="16"/>
      <c r="J1376" s="17"/>
      <c r="K1376" s="20"/>
      <c r="L1376" s="16"/>
      <c r="N1376" s="20"/>
      <c r="O1376" s="18"/>
    </row>
    <row r="1377" spans="1:15" x14ac:dyDescent="0.2">
      <c r="A1377" s="10"/>
      <c r="B1377" s="11"/>
      <c r="C1377" s="12"/>
      <c r="D1377" s="11"/>
      <c r="E1377" s="13"/>
      <c r="F1377" s="14"/>
      <c r="G1377" s="11"/>
      <c r="H1377" s="16"/>
      <c r="J1377" s="17"/>
      <c r="K1377" s="20"/>
      <c r="L1377" s="16"/>
      <c r="N1377" s="20"/>
      <c r="O1377" s="18"/>
    </row>
    <row r="1378" spans="1:15" x14ac:dyDescent="0.2">
      <c r="A1378" s="10"/>
      <c r="B1378" s="11"/>
      <c r="C1378" s="12"/>
      <c r="D1378" s="11"/>
      <c r="E1378" s="13"/>
      <c r="F1378" s="14"/>
      <c r="G1378" s="11"/>
      <c r="H1378" s="16"/>
      <c r="J1378" s="17"/>
      <c r="K1378" s="20"/>
      <c r="L1378" s="16"/>
      <c r="N1378" s="20"/>
      <c r="O1378" s="18"/>
    </row>
    <row r="1379" spans="1:15" x14ac:dyDescent="0.2">
      <c r="A1379" s="10"/>
      <c r="B1379" s="11"/>
      <c r="C1379" s="12"/>
      <c r="D1379" s="11"/>
      <c r="E1379" s="13"/>
      <c r="F1379" s="14"/>
      <c r="G1379" s="11"/>
      <c r="H1379" s="16"/>
      <c r="J1379" s="17"/>
      <c r="K1379" s="20"/>
      <c r="L1379" s="16"/>
      <c r="N1379" s="20"/>
      <c r="O1379" s="18"/>
    </row>
    <row r="1380" spans="1:15" x14ac:dyDescent="0.2">
      <c r="A1380" s="10"/>
      <c r="B1380" s="11"/>
      <c r="C1380" s="12"/>
      <c r="D1380" s="11"/>
      <c r="E1380" s="13"/>
      <c r="F1380" s="14"/>
      <c r="G1380" s="11"/>
      <c r="H1380" s="16"/>
      <c r="J1380" s="17"/>
      <c r="K1380" s="20"/>
      <c r="L1380" s="16"/>
      <c r="N1380" s="20"/>
      <c r="O1380" s="18"/>
    </row>
    <row r="1381" spans="1:15" x14ac:dyDescent="0.2">
      <c r="A1381" s="10"/>
      <c r="B1381" s="11"/>
      <c r="C1381" s="12"/>
      <c r="D1381" s="11"/>
      <c r="E1381" s="13"/>
      <c r="F1381" s="14"/>
      <c r="G1381" s="11"/>
      <c r="H1381" s="16"/>
      <c r="J1381" s="17"/>
      <c r="K1381" s="20"/>
      <c r="L1381" s="16"/>
      <c r="N1381" s="20"/>
      <c r="O1381" s="18"/>
    </row>
    <row r="1382" spans="1:15" x14ac:dyDescent="0.2">
      <c r="A1382" s="10"/>
      <c r="B1382" s="11"/>
      <c r="C1382" s="12"/>
      <c r="D1382" s="11"/>
      <c r="E1382" s="13"/>
      <c r="F1382" s="14"/>
      <c r="G1382" s="11"/>
      <c r="H1382" s="16"/>
      <c r="J1382" s="17"/>
      <c r="K1382" s="20"/>
      <c r="L1382" s="16"/>
      <c r="N1382" s="20"/>
      <c r="O1382" s="18"/>
    </row>
    <row r="1383" spans="1:15" x14ac:dyDescent="0.2">
      <c r="A1383" s="10"/>
      <c r="B1383" s="11"/>
      <c r="C1383" s="12"/>
      <c r="D1383" s="11"/>
      <c r="E1383" s="13"/>
      <c r="F1383" s="14"/>
      <c r="G1383" s="11"/>
      <c r="H1383" s="16"/>
      <c r="J1383" s="17"/>
      <c r="K1383" s="20"/>
      <c r="L1383" s="16"/>
      <c r="N1383" s="20"/>
      <c r="O1383" s="18"/>
    </row>
    <row r="1384" spans="1:15" x14ac:dyDescent="0.2">
      <c r="A1384" s="10"/>
      <c r="B1384" s="11"/>
      <c r="C1384" s="12"/>
      <c r="D1384" s="11"/>
      <c r="E1384" s="13"/>
      <c r="F1384" s="14"/>
      <c r="G1384" s="11"/>
      <c r="H1384" s="16"/>
      <c r="J1384" s="17"/>
      <c r="K1384" s="20"/>
      <c r="L1384" s="16"/>
      <c r="N1384" s="20"/>
      <c r="O1384" s="18"/>
    </row>
    <row r="1385" spans="1:15" x14ac:dyDescent="0.2">
      <c r="A1385" s="10"/>
      <c r="B1385" s="11"/>
      <c r="C1385" s="12"/>
      <c r="D1385" s="11"/>
      <c r="E1385" s="13"/>
      <c r="F1385" s="14"/>
      <c r="G1385" s="11"/>
      <c r="H1385" s="16"/>
      <c r="J1385" s="17"/>
      <c r="K1385" s="20"/>
      <c r="L1385" s="16"/>
      <c r="N1385" s="20"/>
      <c r="O1385" s="18"/>
    </row>
    <row r="1386" spans="1:15" x14ac:dyDescent="0.2">
      <c r="A1386" s="10"/>
      <c r="B1386" s="11"/>
      <c r="C1386" s="12"/>
      <c r="D1386" s="11"/>
      <c r="E1386" s="13"/>
      <c r="F1386" s="14"/>
      <c r="G1386" s="11"/>
      <c r="H1386" s="16"/>
      <c r="J1386" s="17"/>
      <c r="K1386" s="20"/>
      <c r="L1386" s="16"/>
      <c r="N1386" s="20"/>
      <c r="O1386" s="18"/>
    </row>
    <row r="1387" spans="1:15" x14ac:dyDescent="0.2">
      <c r="A1387" s="10"/>
      <c r="B1387" s="11"/>
      <c r="C1387" s="12"/>
      <c r="D1387" s="11"/>
      <c r="E1387" s="13"/>
      <c r="F1387" s="14"/>
      <c r="G1387" s="11"/>
      <c r="H1387" s="16"/>
      <c r="J1387" s="17"/>
      <c r="K1387" s="20"/>
      <c r="L1387" s="16"/>
      <c r="N1387" s="20"/>
      <c r="O1387" s="18"/>
    </row>
    <row r="1388" spans="1:15" x14ac:dyDescent="0.2">
      <c r="A1388" s="10"/>
      <c r="B1388" s="11"/>
      <c r="C1388" s="12"/>
      <c r="D1388" s="11"/>
      <c r="E1388" s="13"/>
      <c r="F1388" s="14"/>
      <c r="G1388" s="11"/>
      <c r="H1388" s="16"/>
      <c r="J1388" s="17"/>
      <c r="K1388" s="20"/>
      <c r="L1388" s="16"/>
      <c r="N1388" s="20"/>
      <c r="O1388" s="18"/>
    </row>
    <row r="1389" spans="1:15" x14ac:dyDescent="0.2">
      <c r="A1389" s="10"/>
      <c r="B1389" s="11"/>
      <c r="C1389" s="12"/>
      <c r="D1389" s="11"/>
      <c r="E1389" s="13"/>
      <c r="F1389" s="14"/>
      <c r="G1389" s="11"/>
      <c r="H1389" s="16"/>
      <c r="J1389" s="17"/>
      <c r="K1389" s="20"/>
      <c r="L1389" s="16"/>
      <c r="N1389" s="20"/>
      <c r="O1389" s="18"/>
    </row>
    <row r="1390" spans="1:15" x14ac:dyDescent="0.2">
      <c r="A1390" s="10"/>
      <c r="B1390" s="11"/>
      <c r="C1390" s="12"/>
      <c r="D1390" s="11"/>
      <c r="E1390" s="13"/>
      <c r="F1390" s="14"/>
      <c r="G1390" s="11"/>
      <c r="H1390" s="16"/>
      <c r="J1390" s="17"/>
      <c r="K1390" s="20"/>
      <c r="L1390" s="16"/>
      <c r="N1390" s="20"/>
      <c r="O1390" s="18"/>
    </row>
    <row r="1391" spans="1:15" x14ac:dyDescent="0.2">
      <c r="A1391" s="10"/>
      <c r="B1391" s="11"/>
      <c r="C1391" s="12"/>
      <c r="D1391" s="11"/>
      <c r="E1391" s="13"/>
      <c r="F1391" s="14"/>
      <c r="G1391" s="11"/>
      <c r="H1391" s="16"/>
      <c r="J1391" s="17"/>
      <c r="K1391" s="20"/>
      <c r="L1391" s="16"/>
      <c r="N1391" s="20"/>
      <c r="O1391" s="18"/>
    </row>
    <row r="1392" spans="1:15" x14ac:dyDescent="0.2">
      <c r="A1392" s="10"/>
      <c r="B1392" s="11"/>
      <c r="C1392" s="12"/>
      <c r="D1392" s="11"/>
      <c r="E1392" s="13"/>
      <c r="F1392" s="14"/>
      <c r="G1392" s="11"/>
      <c r="H1392" s="16"/>
      <c r="J1392" s="17"/>
      <c r="K1392" s="20"/>
      <c r="L1392" s="16"/>
      <c r="N1392" s="20"/>
      <c r="O1392" s="18"/>
    </row>
    <row r="1393" spans="1:15" x14ac:dyDescent="0.2">
      <c r="A1393" s="10"/>
      <c r="B1393" s="11"/>
      <c r="C1393" s="12"/>
      <c r="D1393" s="11"/>
      <c r="E1393" s="13"/>
      <c r="F1393" s="14"/>
      <c r="G1393" s="11"/>
      <c r="H1393" s="16"/>
      <c r="J1393" s="17"/>
      <c r="K1393" s="20"/>
      <c r="L1393" s="16"/>
      <c r="N1393" s="20"/>
      <c r="O1393" s="18"/>
    </row>
    <row r="1394" spans="1:15" x14ac:dyDescent="0.2">
      <c r="A1394" s="10"/>
      <c r="B1394" s="11"/>
      <c r="C1394" s="12"/>
      <c r="D1394" s="11"/>
      <c r="E1394" s="13"/>
      <c r="F1394" s="14"/>
      <c r="G1394" s="11"/>
      <c r="H1394" s="16"/>
      <c r="J1394" s="17"/>
      <c r="K1394" s="20"/>
      <c r="L1394" s="16"/>
      <c r="N1394" s="20"/>
      <c r="O1394" s="18"/>
    </row>
    <row r="1395" spans="1:15" x14ac:dyDescent="0.2">
      <c r="A1395" s="10"/>
      <c r="B1395" s="11"/>
      <c r="C1395" s="12"/>
      <c r="D1395" s="11"/>
      <c r="E1395" s="13"/>
      <c r="F1395" s="14"/>
      <c r="G1395" s="11"/>
      <c r="H1395" s="16"/>
      <c r="J1395" s="17"/>
      <c r="K1395" s="20"/>
      <c r="L1395" s="16"/>
      <c r="N1395" s="20"/>
      <c r="O1395" s="18"/>
    </row>
    <row r="1396" spans="1:15" x14ac:dyDescent="0.2">
      <c r="A1396" s="10"/>
      <c r="B1396" s="11"/>
      <c r="C1396" s="12"/>
      <c r="D1396" s="11"/>
      <c r="E1396" s="13"/>
      <c r="F1396" s="14"/>
      <c r="G1396" s="11"/>
      <c r="H1396" s="16"/>
      <c r="J1396" s="17"/>
      <c r="K1396" s="20"/>
      <c r="L1396" s="16"/>
      <c r="N1396" s="20"/>
      <c r="O1396" s="18"/>
    </row>
    <row r="1397" spans="1:15" x14ac:dyDescent="0.2">
      <c r="A1397" s="10"/>
      <c r="B1397" s="11"/>
      <c r="C1397" s="12"/>
      <c r="D1397" s="11"/>
      <c r="E1397" s="13"/>
      <c r="F1397" s="14"/>
      <c r="G1397" s="11"/>
      <c r="H1397" s="16"/>
      <c r="J1397" s="17"/>
      <c r="K1397" s="20"/>
      <c r="L1397" s="16"/>
      <c r="N1397" s="20"/>
      <c r="O1397" s="18"/>
    </row>
    <row r="1398" spans="1:15" x14ac:dyDescent="0.2">
      <c r="A1398" s="10"/>
      <c r="B1398" s="11"/>
      <c r="C1398" s="12"/>
      <c r="D1398" s="11"/>
      <c r="E1398" s="13"/>
      <c r="F1398" s="14"/>
      <c r="G1398" s="11"/>
      <c r="H1398" s="16"/>
      <c r="J1398" s="17"/>
      <c r="K1398" s="20"/>
      <c r="L1398" s="16"/>
      <c r="N1398" s="20"/>
      <c r="O1398" s="18"/>
    </row>
    <row r="1399" spans="1:15" x14ac:dyDescent="0.2">
      <c r="A1399" s="10"/>
      <c r="B1399" s="11"/>
      <c r="C1399" s="12"/>
      <c r="D1399" s="11"/>
      <c r="E1399" s="13"/>
      <c r="F1399" s="14"/>
      <c r="G1399" s="11"/>
      <c r="H1399" s="16"/>
      <c r="J1399" s="17"/>
      <c r="K1399" s="20"/>
      <c r="L1399" s="16"/>
      <c r="N1399" s="20"/>
      <c r="O1399" s="18"/>
    </row>
    <row r="1400" spans="1:15" x14ac:dyDescent="0.2">
      <c r="A1400" s="10"/>
      <c r="B1400" s="11"/>
      <c r="C1400" s="12"/>
      <c r="D1400" s="11"/>
      <c r="E1400" s="13"/>
      <c r="F1400" s="14"/>
      <c r="G1400" s="11"/>
      <c r="H1400" s="16"/>
      <c r="J1400" s="17"/>
      <c r="K1400" s="20"/>
      <c r="L1400" s="16"/>
      <c r="N1400" s="20"/>
      <c r="O1400" s="18"/>
    </row>
    <row r="1401" spans="1:15" x14ac:dyDescent="0.2">
      <c r="A1401" s="10"/>
      <c r="B1401" s="11"/>
      <c r="C1401" s="12"/>
      <c r="D1401" s="11"/>
      <c r="E1401" s="13"/>
      <c r="F1401" s="14"/>
      <c r="G1401" s="11"/>
      <c r="H1401" s="16"/>
      <c r="J1401" s="17"/>
      <c r="K1401" s="20"/>
      <c r="L1401" s="16"/>
      <c r="N1401" s="20"/>
      <c r="O1401" s="18"/>
    </row>
    <row r="1402" spans="1:15" x14ac:dyDescent="0.2">
      <c r="A1402" s="10"/>
      <c r="B1402" s="11"/>
      <c r="C1402" s="12"/>
      <c r="D1402" s="11"/>
      <c r="E1402" s="13"/>
      <c r="F1402" s="14"/>
      <c r="G1402" s="11"/>
      <c r="H1402" s="16"/>
      <c r="J1402" s="17"/>
      <c r="K1402" s="20"/>
      <c r="L1402" s="16"/>
      <c r="N1402" s="20"/>
      <c r="O1402" s="18"/>
    </row>
    <row r="1403" spans="1:15" x14ac:dyDescent="0.2">
      <c r="A1403" s="10"/>
      <c r="B1403" s="11"/>
      <c r="C1403" s="12"/>
      <c r="D1403" s="11"/>
      <c r="E1403" s="13"/>
      <c r="F1403" s="14"/>
      <c r="G1403" s="11"/>
      <c r="H1403" s="16"/>
      <c r="J1403" s="17"/>
      <c r="K1403" s="20"/>
      <c r="L1403" s="16"/>
      <c r="N1403" s="20"/>
      <c r="O1403" s="18"/>
    </row>
    <row r="1404" spans="1:15" x14ac:dyDescent="0.2">
      <c r="A1404" s="10"/>
      <c r="B1404" s="11"/>
      <c r="C1404" s="12"/>
      <c r="D1404" s="11"/>
      <c r="E1404" s="13"/>
      <c r="F1404" s="14"/>
      <c r="G1404" s="11"/>
      <c r="H1404" s="16"/>
      <c r="J1404" s="17"/>
      <c r="K1404" s="20"/>
      <c r="L1404" s="16"/>
      <c r="N1404" s="20"/>
      <c r="O1404" s="18"/>
    </row>
    <row r="1405" spans="1:15" x14ac:dyDescent="0.2">
      <c r="A1405" s="10"/>
      <c r="B1405" s="11"/>
      <c r="C1405" s="12"/>
      <c r="D1405" s="11"/>
      <c r="E1405" s="13"/>
      <c r="F1405" s="14"/>
      <c r="G1405" s="11"/>
      <c r="H1405" s="16"/>
      <c r="J1405" s="17"/>
      <c r="K1405" s="20"/>
      <c r="L1405" s="16"/>
      <c r="N1405" s="20"/>
      <c r="O1405" s="18"/>
    </row>
    <row r="1406" spans="1:15" x14ac:dyDescent="0.2">
      <c r="A1406" s="10"/>
      <c r="B1406" s="11"/>
      <c r="C1406" s="12"/>
      <c r="D1406" s="11"/>
      <c r="E1406" s="13"/>
      <c r="F1406" s="14"/>
      <c r="G1406" s="11"/>
      <c r="H1406" s="16"/>
      <c r="J1406" s="17"/>
      <c r="K1406" s="20"/>
      <c r="L1406" s="16"/>
      <c r="N1406" s="20"/>
      <c r="O1406" s="18"/>
    </row>
    <row r="1407" spans="1:15" x14ac:dyDescent="0.2">
      <c r="A1407" s="10"/>
      <c r="B1407" s="11"/>
      <c r="C1407" s="12"/>
      <c r="D1407" s="11"/>
      <c r="E1407" s="13"/>
      <c r="F1407" s="14"/>
      <c r="G1407" s="11"/>
      <c r="H1407" s="16"/>
      <c r="J1407" s="17"/>
      <c r="K1407" s="20"/>
      <c r="L1407" s="16"/>
      <c r="N1407" s="20"/>
      <c r="O1407" s="18"/>
    </row>
    <row r="1408" spans="1:15" x14ac:dyDescent="0.2">
      <c r="A1408" s="10"/>
      <c r="B1408" s="11"/>
      <c r="C1408" s="12"/>
      <c r="D1408" s="11"/>
      <c r="E1408" s="13"/>
      <c r="F1408" s="14"/>
      <c r="G1408" s="11"/>
      <c r="H1408" s="16"/>
      <c r="J1408" s="17"/>
      <c r="K1408" s="20"/>
      <c r="L1408" s="16"/>
      <c r="N1408" s="20"/>
      <c r="O1408" s="18"/>
    </row>
    <row r="1409" spans="1:15" x14ac:dyDescent="0.2">
      <c r="A1409" s="10"/>
      <c r="B1409" s="11"/>
      <c r="C1409" s="12"/>
      <c r="D1409" s="11"/>
      <c r="E1409" s="13"/>
      <c r="F1409" s="14"/>
      <c r="G1409" s="11"/>
      <c r="H1409" s="16"/>
      <c r="J1409" s="17"/>
      <c r="K1409" s="20"/>
      <c r="L1409" s="16"/>
      <c r="N1409" s="20"/>
      <c r="O1409" s="18"/>
    </row>
    <row r="1410" spans="1:15" x14ac:dyDescent="0.2">
      <c r="A1410" s="10"/>
      <c r="B1410" s="11"/>
      <c r="C1410" s="12"/>
      <c r="D1410" s="11"/>
      <c r="E1410" s="13"/>
      <c r="F1410" s="14"/>
      <c r="G1410" s="11"/>
      <c r="H1410" s="16"/>
      <c r="J1410" s="17"/>
      <c r="K1410" s="20"/>
      <c r="L1410" s="16"/>
      <c r="N1410" s="20"/>
      <c r="O1410" s="18"/>
    </row>
    <row r="1411" spans="1:15" x14ac:dyDescent="0.2">
      <c r="A1411" s="10"/>
      <c r="B1411" s="11"/>
      <c r="C1411" s="12"/>
      <c r="D1411" s="11"/>
      <c r="E1411" s="13"/>
      <c r="F1411" s="14"/>
      <c r="G1411" s="11"/>
      <c r="H1411" s="16"/>
      <c r="J1411" s="17"/>
      <c r="K1411" s="20"/>
      <c r="L1411" s="16"/>
      <c r="N1411" s="20"/>
      <c r="O1411" s="18"/>
    </row>
    <row r="1412" spans="1:15" x14ac:dyDescent="0.2">
      <c r="A1412" s="10"/>
      <c r="B1412" s="11"/>
      <c r="C1412" s="12"/>
      <c r="D1412" s="11"/>
      <c r="E1412" s="13"/>
      <c r="F1412" s="14"/>
      <c r="G1412" s="11"/>
      <c r="H1412" s="16"/>
      <c r="J1412" s="17"/>
      <c r="K1412" s="20"/>
      <c r="L1412" s="16"/>
      <c r="N1412" s="20"/>
      <c r="O1412" s="18"/>
    </row>
    <row r="1413" spans="1:15" x14ac:dyDescent="0.2">
      <c r="A1413" s="10"/>
      <c r="B1413" s="11"/>
      <c r="C1413" s="12"/>
      <c r="D1413" s="11"/>
      <c r="E1413" s="13"/>
      <c r="F1413" s="14"/>
      <c r="G1413" s="11"/>
      <c r="H1413" s="16"/>
      <c r="J1413" s="17"/>
      <c r="K1413" s="20"/>
      <c r="L1413" s="16"/>
      <c r="N1413" s="20"/>
      <c r="O1413" s="18"/>
    </row>
    <row r="1414" spans="1:15" x14ac:dyDescent="0.2">
      <c r="A1414" s="10"/>
      <c r="B1414" s="11"/>
      <c r="C1414" s="12"/>
      <c r="D1414" s="11"/>
      <c r="E1414" s="13"/>
      <c r="F1414" s="14"/>
      <c r="G1414" s="11"/>
      <c r="H1414" s="16"/>
      <c r="J1414" s="17"/>
      <c r="K1414" s="20"/>
      <c r="L1414" s="16"/>
      <c r="N1414" s="20"/>
      <c r="O1414" s="18"/>
    </row>
    <row r="1415" spans="1:15" x14ac:dyDescent="0.2">
      <c r="A1415" s="10"/>
      <c r="B1415" s="11"/>
      <c r="C1415" s="12"/>
      <c r="D1415" s="11"/>
      <c r="E1415" s="13"/>
      <c r="F1415" s="14"/>
      <c r="G1415" s="11"/>
      <c r="H1415" s="16"/>
      <c r="J1415" s="17"/>
      <c r="K1415" s="20"/>
      <c r="L1415" s="16"/>
      <c r="N1415" s="20"/>
      <c r="O1415" s="18"/>
    </row>
    <row r="1416" spans="1:15" x14ac:dyDescent="0.2">
      <c r="A1416" s="10"/>
      <c r="B1416" s="11"/>
      <c r="C1416" s="12"/>
      <c r="D1416" s="11"/>
      <c r="E1416" s="13"/>
      <c r="F1416" s="14"/>
      <c r="G1416" s="11"/>
      <c r="H1416" s="16"/>
      <c r="J1416" s="17"/>
      <c r="K1416" s="20"/>
      <c r="L1416" s="16"/>
      <c r="N1416" s="20"/>
      <c r="O1416" s="18"/>
    </row>
    <row r="1417" spans="1:15" x14ac:dyDescent="0.2">
      <c r="A1417" s="10"/>
      <c r="B1417" s="11"/>
      <c r="C1417" s="12"/>
      <c r="D1417" s="11"/>
      <c r="E1417" s="13"/>
      <c r="F1417" s="14"/>
      <c r="G1417" s="11"/>
      <c r="H1417" s="16"/>
      <c r="J1417" s="17"/>
      <c r="K1417" s="20"/>
      <c r="L1417" s="16"/>
      <c r="N1417" s="20"/>
      <c r="O1417" s="18"/>
    </row>
    <row r="1418" spans="1:15" x14ac:dyDescent="0.2">
      <c r="A1418" s="10"/>
      <c r="B1418" s="11"/>
      <c r="C1418" s="12"/>
      <c r="D1418" s="11"/>
      <c r="E1418" s="13"/>
      <c r="F1418" s="14"/>
      <c r="G1418" s="11"/>
      <c r="H1418" s="16"/>
      <c r="J1418" s="17"/>
      <c r="K1418" s="20"/>
      <c r="L1418" s="16"/>
      <c r="N1418" s="20"/>
      <c r="O1418" s="18"/>
    </row>
    <row r="1419" spans="1:15" x14ac:dyDescent="0.2">
      <c r="A1419" s="10"/>
      <c r="B1419" s="11"/>
      <c r="C1419" s="12"/>
      <c r="D1419" s="11"/>
      <c r="E1419" s="13"/>
      <c r="F1419" s="14"/>
      <c r="G1419" s="11"/>
      <c r="H1419" s="16"/>
      <c r="J1419" s="17"/>
      <c r="K1419" s="20"/>
      <c r="L1419" s="16"/>
      <c r="N1419" s="20"/>
      <c r="O1419" s="18"/>
    </row>
    <row r="1420" spans="1:15" x14ac:dyDescent="0.2">
      <c r="A1420" s="10"/>
      <c r="B1420" s="11"/>
      <c r="C1420" s="12"/>
      <c r="D1420" s="11"/>
      <c r="E1420" s="13"/>
      <c r="F1420" s="14"/>
      <c r="G1420" s="11"/>
      <c r="H1420" s="16"/>
      <c r="J1420" s="17"/>
      <c r="K1420" s="20"/>
      <c r="L1420" s="16"/>
      <c r="N1420" s="20"/>
      <c r="O1420" s="18"/>
    </row>
    <row r="1421" spans="1:15" x14ac:dyDescent="0.2">
      <c r="A1421" s="10"/>
      <c r="B1421" s="11"/>
      <c r="C1421" s="12"/>
      <c r="D1421" s="11"/>
      <c r="E1421" s="13"/>
      <c r="F1421" s="14"/>
      <c r="G1421" s="11"/>
      <c r="H1421" s="16"/>
      <c r="J1421" s="17"/>
      <c r="K1421" s="20"/>
      <c r="L1421" s="16"/>
      <c r="N1421" s="20"/>
      <c r="O1421" s="18"/>
    </row>
    <row r="1422" spans="1:15" x14ac:dyDescent="0.2">
      <c r="A1422" s="10"/>
      <c r="B1422" s="11"/>
      <c r="C1422" s="12"/>
      <c r="D1422" s="11"/>
      <c r="E1422" s="13"/>
      <c r="F1422" s="14"/>
      <c r="G1422" s="11"/>
      <c r="H1422" s="16"/>
      <c r="J1422" s="17"/>
      <c r="K1422" s="20"/>
      <c r="L1422" s="16"/>
      <c r="N1422" s="20"/>
      <c r="O1422" s="18"/>
    </row>
    <row r="1423" spans="1:15" x14ac:dyDescent="0.2">
      <c r="A1423" s="10"/>
      <c r="B1423" s="11"/>
      <c r="C1423" s="12"/>
      <c r="D1423" s="11"/>
      <c r="E1423" s="13"/>
      <c r="F1423" s="14"/>
      <c r="G1423" s="11"/>
      <c r="H1423" s="16"/>
      <c r="J1423" s="17"/>
      <c r="K1423" s="20"/>
      <c r="L1423" s="16"/>
      <c r="N1423" s="20"/>
      <c r="O1423" s="18"/>
    </row>
    <row r="1424" spans="1:15" x14ac:dyDescent="0.2">
      <c r="A1424" s="10"/>
      <c r="B1424" s="11"/>
      <c r="C1424" s="12"/>
      <c r="D1424" s="11"/>
      <c r="E1424" s="13"/>
      <c r="F1424" s="14"/>
      <c r="G1424" s="11"/>
      <c r="H1424" s="16"/>
      <c r="J1424" s="17"/>
      <c r="K1424" s="20"/>
      <c r="L1424" s="16"/>
      <c r="N1424" s="20"/>
      <c r="O1424" s="18"/>
    </row>
    <row r="1425" spans="1:15" x14ac:dyDescent="0.2">
      <c r="A1425" s="10"/>
      <c r="B1425" s="11"/>
      <c r="C1425" s="12"/>
      <c r="D1425" s="11"/>
      <c r="E1425" s="13"/>
      <c r="F1425" s="14"/>
      <c r="G1425" s="11"/>
      <c r="H1425" s="16"/>
      <c r="J1425" s="17"/>
      <c r="K1425" s="20"/>
      <c r="L1425" s="16"/>
      <c r="N1425" s="20"/>
      <c r="O1425" s="18"/>
    </row>
    <row r="1426" spans="1:15" x14ac:dyDescent="0.2">
      <c r="A1426" s="10"/>
      <c r="B1426" s="11"/>
      <c r="C1426" s="12"/>
      <c r="D1426" s="11"/>
      <c r="E1426" s="13"/>
      <c r="F1426" s="14"/>
      <c r="G1426" s="11"/>
      <c r="H1426" s="16"/>
      <c r="J1426" s="17"/>
      <c r="K1426" s="20"/>
      <c r="L1426" s="16"/>
      <c r="N1426" s="20"/>
      <c r="O1426" s="18"/>
    </row>
    <row r="1427" spans="1:15" x14ac:dyDescent="0.2">
      <c r="A1427" s="10"/>
      <c r="B1427" s="11"/>
      <c r="C1427" s="12"/>
      <c r="D1427" s="11"/>
      <c r="E1427" s="13"/>
      <c r="F1427" s="14"/>
      <c r="G1427" s="11"/>
      <c r="H1427" s="16"/>
      <c r="J1427" s="17"/>
      <c r="K1427" s="20"/>
      <c r="L1427" s="16"/>
      <c r="N1427" s="20"/>
      <c r="O1427" s="18"/>
    </row>
    <row r="1428" spans="1:15" x14ac:dyDescent="0.2">
      <c r="A1428" s="10"/>
      <c r="B1428" s="11"/>
      <c r="C1428" s="12"/>
      <c r="D1428" s="11"/>
      <c r="E1428" s="13"/>
      <c r="F1428" s="14"/>
      <c r="G1428" s="11"/>
      <c r="H1428" s="16"/>
      <c r="J1428" s="17"/>
      <c r="K1428" s="20"/>
      <c r="L1428" s="16"/>
      <c r="N1428" s="20"/>
      <c r="O1428" s="18"/>
    </row>
    <row r="1429" spans="1:15" x14ac:dyDescent="0.2">
      <c r="A1429" s="10"/>
      <c r="B1429" s="11"/>
      <c r="C1429" s="12"/>
      <c r="D1429" s="11"/>
      <c r="E1429" s="13"/>
      <c r="F1429" s="14"/>
      <c r="G1429" s="11"/>
      <c r="H1429" s="16"/>
      <c r="J1429" s="17"/>
      <c r="K1429" s="20"/>
      <c r="L1429" s="16"/>
      <c r="N1429" s="20"/>
      <c r="O1429" s="18"/>
    </row>
    <row r="1430" spans="1:15" x14ac:dyDescent="0.2">
      <c r="A1430" s="10"/>
      <c r="B1430" s="11"/>
      <c r="C1430" s="12"/>
      <c r="D1430" s="11"/>
      <c r="E1430" s="13"/>
      <c r="F1430" s="14"/>
      <c r="G1430" s="11"/>
      <c r="H1430" s="16"/>
      <c r="J1430" s="17"/>
      <c r="K1430" s="20"/>
      <c r="L1430" s="16"/>
      <c r="N1430" s="20"/>
      <c r="O1430" s="18"/>
    </row>
    <row r="1431" spans="1:15" x14ac:dyDescent="0.2">
      <c r="A1431" s="10"/>
      <c r="B1431" s="11"/>
      <c r="C1431" s="12"/>
      <c r="D1431" s="11"/>
      <c r="E1431" s="13"/>
      <c r="F1431" s="14"/>
      <c r="G1431" s="11"/>
      <c r="H1431" s="16"/>
      <c r="J1431" s="17"/>
      <c r="K1431" s="20"/>
      <c r="L1431" s="16"/>
      <c r="N1431" s="20"/>
      <c r="O1431" s="18"/>
    </row>
    <row r="1432" spans="1:15" x14ac:dyDescent="0.2">
      <c r="A1432" s="10"/>
      <c r="B1432" s="11"/>
      <c r="C1432" s="12"/>
      <c r="D1432" s="11"/>
      <c r="E1432" s="13"/>
      <c r="F1432" s="14"/>
      <c r="G1432" s="11"/>
      <c r="H1432" s="16"/>
      <c r="J1432" s="17"/>
      <c r="K1432" s="20"/>
      <c r="L1432" s="16"/>
      <c r="N1432" s="20"/>
      <c r="O1432" s="18"/>
    </row>
    <row r="1433" spans="1:15" x14ac:dyDescent="0.2">
      <c r="A1433" s="10"/>
      <c r="B1433" s="11"/>
      <c r="C1433" s="12"/>
      <c r="D1433" s="11"/>
      <c r="E1433" s="13"/>
      <c r="F1433" s="14"/>
      <c r="G1433" s="11"/>
      <c r="H1433" s="16"/>
      <c r="J1433" s="17"/>
      <c r="K1433" s="20"/>
      <c r="L1433" s="16"/>
      <c r="N1433" s="20"/>
      <c r="O1433" s="18"/>
    </row>
    <row r="1434" spans="1:15" x14ac:dyDescent="0.2">
      <c r="A1434" s="10"/>
      <c r="B1434" s="11"/>
      <c r="C1434" s="12"/>
      <c r="D1434" s="11"/>
      <c r="E1434" s="13"/>
      <c r="F1434" s="14"/>
      <c r="G1434" s="11"/>
      <c r="H1434" s="16"/>
      <c r="J1434" s="17"/>
      <c r="K1434" s="20"/>
      <c r="L1434" s="16"/>
      <c r="N1434" s="20"/>
      <c r="O1434" s="18"/>
    </row>
    <row r="1435" spans="1:15" x14ac:dyDescent="0.2">
      <c r="A1435" s="10"/>
      <c r="B1435" s="11"/>
      <c r="C1435" s="12"/>
      <c r="D1435" s="11"/>
      <c r="E1435" s="13"/>
      <c r="F1435" s="14"/>
      <c r="G1435" s="11"/>
      <c r="H1435" s="16"/>
      <c r="J1435" s="17"/>
      <c r="K1435" s="20"/>
      <c r="L1435" s="16"/>
      <c r="N1435" s="20"/>
      <c r="O1435" s="18"/>
    </row>
    <row r="1436" spans="1:15" x14ac:dyDescent="0.2">
      <c r="A1436" s="10"/>
      <c r="B1436" s="11"/>
      <c r="C1436" s="12"/>
      <c r="D1436" s="11"/>
      <c r="E1436" s="13"/>
      <c r="F1436" s="14"/>
      <c r="G1436" s="11"/>
      <c r="H1436" s="16"/>
      <c r="J1436" s="17"/>
      <c r="K1436" s="20"/>
      <c r="L1436" s="16"/>
      <c r="N1436" s="20"/>
      <c r="O1436" s="18"/>
    </row>
    <row r="1437" spans="1:15" x14ac:dyDescent="0.2">
      <c r="A1437" s="10"/>
      <c r="B1437" s="11"/>
      <c r="C1437" s="12"/>
      <c r="D1437" s="11"/>
      <c r="E1437" s="13"/>
      <c r="F1437" s="14"/>
      <c r="G1437" s="11"/>
      <c r="H1437" s="16"/>
      <c r="J1437" s="17"/>
      <c r="K1437" s="20"/>
      <c r="L1437" s="16"/>
      <c r="N1437" s="20"/>
      <c r="O1437" s="18"/>
    </row>
    <row r="1438" spans="1:15" x14ac:dyDescent="0.2">
      <c r="A1438" s="10"/>
      <c r="B1438" s="11"/>
      <c r="C1438" s="12"/>
      <c r="D1438" s="11"/>
      <c r="E1438" s="13"/>
      <c r="F1438" s="14"/>
      <c r="G1438" s="11"/>
      <c r="H1438" s="16"/>
      <c r="J1438" s="17"/>
      <c r="K1438" s="20"/>
      <c r="L1438" s="16"/>
      <c r="N1438" s="20"/>
      <c r="O1438" s="18"/>
    </row>
    <row r="1439" spans="1:15" x14ac:dyDescent="0.2">
      <c r="A1439" s="10"/>
      <c r="B1439" s="11"/>
      <c r="C1439" s="12"/>
      <c r="D1439" s="11"/>
      <c r="E1439" s="13"/>
      <c r="F1439" s="14"/>
      <c r="G1439" s="11"/>
      <c r="H1439" s="16"/>
      <c r="J1439" s="17"/>
      <c r="K1439" s="20"/>
      <c r="L1439" s="16"/>
      <c r="N1439" s="20"/>
      <c r="O1439" s="18"/>
    </row>
    <row r="1440" spans="1:15" x14ac:dyDescent="0.2">
      <c r="A1440" s="10"/>
      <c r="B1440" s="11"/>
      <c r="C1440" s="12"/>
      <c r="D1440" s="11"/>
      <c r="E1440" s="13"/>
      <c r="F1440" s="14"/>
      <c r="G1440" s="11"/>
      <c r="H1440" s="16"/>
      <c r="J1440" s="17"/>
      <c r="K1440" s="20"/>
      <c r="L1440" s="16"/>
      <c r="N1440" s="20"/>
      <c r="O1440" s="18"/>
    </row>
    <row r="1441" spans="1:15" x14ac:dyDescent="0.2">
      <c r="A1441" s="10"/>
      <c r="B1441" s="11"/>
      <c r="C1441" s="12"/>
      <c r="D1441" s="11"/>
      <c r="E1441" s="13"/>
      <c r="F1441" s="14"/>
      <c r="G1441" s="11"/>
      <c r="H1441" s="16"/>
      <c r="J1441" s="17"/>
      <c r="K1441" s="20"/>
      <c r="L1441" s="16"/>
      <c r="N1441" s="20"/>
      <c r="O1441" s="18"/>
    </row>
    <row r="1442" spans="1:15" x14ac:dyDescent="0.2">
      <c r="A1442" s="10"/>
      <c r="B1442" s="11"/>
      <c r="C1442" s="12"/>
      <c r="D1442" s="11"/>
      <c r="E1442" s="13"/>
      <c r="F1442" s="14"/>
      <c r="G1442" s="11"/>
      <c r="H1442" s="16"/>
      <c r="J1442" s="17"/>
      <c r="K1442" s="20"/>
      <c r="L1442" s="16"/>
      <c r="N1442" s="20"/>
      <c r="O1442" s="18"/>
    </row>
    <row r="1443" spans="1:15" x14ac:dyDescent="0.2">
      <c r="A1443" s="10"/>
      <c r="B1443" s="11"/>
      <c r="C1443" s="12"/>
      <c r="D1443" s="11"/>
      <c r="E1443" s="13"/>
      <c r="F1443" s="14"/>
      <c r="G1443" s="11"/>
      <c r="H1443" s="16"/>
      <c r="J1443" s="17"/>
      <c r="K1443" s="20"/>
      <c r="L1443" s="16"/>
      <c r="N1443" s="20"/>
      <c r="O1443" s="18"/>
    </row>
    <row r="1444" spans="1:15" x14ac:dyDescent="0.2">
      <c r="A1444" s="10"/>
      <c r="B1444" s="11"/>
      <c r="C1444" s="12"/>
      <c r="D1444" s="11"/>
      <c r="E1444" s="13"/>
      <c r="F1444" s="14"/>
      <c r="G1444" s="11"/>
      <c r="H1444" s="16"/>
      <c r="J1444" s="17"/>
      <c r="K1444" s="20"/>
      <c r="L1444" s="16"/>
      <c r="N1444" s="20"/>
      <c r="O1444" s="18"/>
    </row>
    <row r="1445" spans="1:15" x14ac:dyDescent="0.2">
      <c r="A1445" s="10"/>
      <c r="B1445" s="11"/>
      <c r="C1445" s="12"/>
      <c r="D1445" s="11"/>
      <c r="E1445" s="13"/>
      <c r="F1445" s="14"/>
      <c r="G1445" s="11"/>
      <c r="H1445" s="16"/>
      <c r="J1445" s="17"/>
      <c r="K1445" s="20"/>
      <c r="L1445" s="16"/>
      <c r="N1445" s="20"/>
      <c r="O1445" s="18"/>
    </row>
    <row r="1446" spans="1:15" x14ac:dyDescent="0.2">
      <c r="A1446" s="10"/>
      <c r="B1446" s="11"/>
      <c r="C1446" s="12"/>
      <c r="D1446" s="11"/>
      <c r="E1446" s="13"/>
      <c r="F1446" s="14"/>
      <c r="G1446" s="11"/>
      <c r="H1446" s="16"/>
      <c r="J1446" s="17"/>
      <c r="K1446" s="20"/>
      <c r="L1446" s="16"/>
      <c r="N1446" s="20"/>
      <c r="O1446" s="18"/>
    </row>
    <row r="1447" spans="1:15" x14ac:dyDescent="0.2">
      <c r="A1447" s="10"/>
      <c r="B1447" s="11"/>
      <c r="C1447" s="12"/>
      <c r="D1447" s="11"/>
      <c r="E1447" s="13"/>
      <c r="F1447" s="14"/>
      <c r="G1447" s="11"/>
      <c r="H1447" s="16"/>
      <c r="J1447" s="17"/>
      <c r="K1447" s="20"/>
      <c r="L1447" s="16"/>
      <c r="N1447" s="20"/>
      <c r="O1447" s="18"/>
    </row>
    <row r="1448" spans="1:15" x14ac:dyDescent="0.2">
      <c r="A1448" s="10"/>
      <c r="B1448" s="11"/>
      <c r="C1448" s="12"/>
      <c r="D1448" s="11"/>
      <c r="E1448" s="13"/>
      <c r="F1448" s="14"/>
      <c r="G1448" s="11"/>
      <c r="H1448" s="16"/>
      <c r="J1448" s="17"/>
      <c r="K1448" s="20"/>
      <c r="L1448" s="16"/>
      <c r="N1448" s="20"/>
      <c r="O1448" s="18"/>
    </row>
    <row r="1449" spans="1:15" x14ac:dyDescent="0.2">
      <c r="A1449" s="10"/>
      <c r="B1449" s="11"/>
      <c r="C1449" s="12"/>
      <c r="D1449" s="11"/>
      <c r="E1449" s="13"/>
      <c r="F1449" s="14"/>
      <c r="G1449" s="11"/>
      <c r="H1449" s="16"/>
      <c r="J1449" s="17"/>
      <c r="K1449" s="20"/>
      <c r="L1449" s="16"/>
      <c r="N1449" s="20"/>
      <c r="O1449" s="18"/>
    </row>
    <row r="1450" spans="1:15" x14ac:dyDescent="0.2">
      <c r="A1450" s="10"/>
      <c r="B1450" s="11"/>
      <c r="C1450" s="12"/>
      <c r="D1450" s="11"/>
      <c r="E1450" s="13"/>
      <c r="F1450" s="14"/>
      <c r="G1450" s="11"/>
      <c r="H1450" s="16"/>
      <c r="J1450" s="17"/>
      <c r="K1450" s="20"/>
      <c r="L1450" s="16"/>
      <c r="N1450" s="20"/>
      <c r="O1450" s="18"/>
    </row>
    <row r="1451" spans="1:15" x14ac:dyDescent="0.2">
      <c r="A1451" s="10"/>
      <c r="B1451" s="11"/>
      <c r="C1451" s="12"/>
      <c r="D1451" s="11"/>
      <c r="E1451" s="13"/>
      <c r="F1451" s="14"/>
      <c r="G1451" s="11"/>
      <c r="H1451" s="16"/>
      <c r="J1451" s="17"/>
      <c r="K1451" s="20"/>
      <c r="L1451" s="16"/>
      <c r="N1451" s="20"/>
      <c r="O1451" s="18"/>
    </row>
    <row r="1452" spans="1:15" x14ac:dyDescent="0.2">
      <c r="A1452" s="10"/>
      <c r="B1452" s="11"/>
      <c r="C1452" s="12"/>
      <c r="D1452" s="11"/>
      <c r="E1452" s="13"/>
      <c r="F1452" s="14"/>
      <c r="G1452" s="11"/>
      <c r="H1452" s="16"/>
      <c r="J1452" s="17"/>
      <c r="K1452" s="20"/>
      <c r="L1452" s="16"/>
      <c r="N1452" s="20"/>
      <c r="O1452" s="18"/>
    </row>
    <row r="1453" spans="1:15" x14ac:dyDescent="0.2">
      <c r="A1453" s="10"/>
      <c r="B1453" s="11"/>
      <c r="C1453" s="12"/>
      <c r="D1453" s="11"/>
      <c r="E1453" s="13"/>
      <c r="F1453" s="14"/>
      <c r="G1453" s="11"/>
      <c r="H1453" s="16"/>
      <c r="J1453" s="17"/>
      <c r="K1453" s="20"/>
      <c r="L1453" s="16"/>
      <c r="N1453" s="20"/>
      <c r="O1453" s="18"/>
    </row>
    <row r="1454" spans="1:15" x14ac:dyDescent="0.2">
      <c r="A1454" s="10"/>
      <c r="B1454" s="11"/>
      <c r="C1454" s="12"/>
      <c r="D1454" s="11"/>
      <c r="E1454" s="13"/>
      <c r="F1454" s="14"/>
      <c r="G1454" s="11"/>
      <c r="H1454" s="16"/>
      <c r="J1454" s="17"/>
      <c r="K1454" s="20"/>
      <c r="L1454" s="16"/>
      <c r="N1454" s="20"/>
      <c r="O1454" s="18"/>
    </row>
    <row r="1455" spans="1:15" x14ac:dyDescent="0.2">
      <c r="A1455" s="10"/>
      <c r="B1455" s="11"/>
      <c r="C1455" s="12"/>
      <c r="D1455" s="11"/>
      <c r="E1455" s="13"/>
      <c r="F1455" s="14"/>
      <c r="G1455" s="11"/>
      <c r="H1455" s="16"/>
      <c r="J1455" s="17"/>
      <c r="K1455" s="20"/>
      <c r="L1455" s="16"/>
      <c r="N1455" s="20"/>
      <c r="O1455" s="18"/>
    </row>
    <row r="1456" spans="1:15" x14ac:dyDescent="0.2">
      <c r="A1456" s="10"/>
      <c r="B1456" s="11"/>
      <c r="C1456" s="12"/>
      <c r="D1456" s="11"/>
      <c r="E1456" s="13"/>
      <c r="F1456" s="14"/>
      <c r="G1456" s="11"/>
      <c r="H1456" s="16"/>
      <c r="J1456" s="17"/>
      <c r="K1456" s="20"/>
      <c r="L1456" s="16"/>
      <c r="N1456" s="20"/>
      <c r="O1456" s="18"/>
    </row>
    <row r="1457" spans="1:15" x14ac:dyDescent="0.2">
      <c r="A1457" s="10"/>
      <c r="B1457" s="11"/>
      <c r="C1457" s="12"/>
      <c r="D1457" s="11"/>
      <c r="E1457" s="13"/>
      <c r="F1457" s="14"/>
      <c r="G1457" s="11"/>
      <c r="H1457" s="16"/>
      <c r="J1457" s="17"/>
      <c r="K1457" s="20"/>
      <c r="L1457" s="16"/>
      <c r="N1457" s="20"/>
      <c r="O1457" s="18"/>
    </row>
    <row r="1458" spans="1:15" x14ac:dyDescent="0.2">
      <c r="A1458" s="10"/>
      <c r="B1458" s="11"/>
      <c r="C1458" s="12"/>
      <c r="D1458" s="11"/>
      <c r="E1458" s="13"/>
      <c r="F1458" s="14"/>
      <c r="G1458" s="11"/>
      <c r="H1458" s="16"/>
      <c r="J1458" s="17"/>
      <c r="K1458" s="20"/>
      <c r="L1458" s="16"/>
      <c r="N1458" s="20"/>
      <c r="O1458" s="18"/>
    </row>
    <row r="1459" spans="1:15" x14ac:dyDescent="0.2">
      <c r="A1459" s="10"/>
      <c r="B1459" s="11"/>
      <c r="C1459" s="12"/>
      <c r="D1459" s="11"/>
      <c r="E1459" s="13"/>
      <c r="F1459" s="14"/>
      <c r="G1459" s="11"/>
      <c r="H1459" s="16"/>
      <c r="J1459" s="17"/>
      <c r="K1459" s="20"/>
      <c r="L1459" s="16"/>
      <c r="N1459" s="20"/>
      <c r="O1459" s="18"/>
    </row>
    <row r="1460" spans="1:15" x14ac:dyDescent="0.2">
      <c r="A1460" s="10"/>
      <c r="B1460" s="11"/>
      <c r="C1460" s="12"/>
      <c r="D1460" s="11"/>
      <c r="E1460" s="13"/>
      <c r="F1460" s="14"/>
      <c r="G1460" s="11"/>
      <c r="H1460" s="16"/>
      <c r="J1460" s="17"/>
      <c r="K1460" s="20"/>
      <c r="L1460" s="16"/>
      <c r="N1460" s="20"/>
      <c r="O1460" s="18"/>
    </row>
    <row r="1461" spans="1:15" x14ac:dyDescent="0.2">
      <c r="A1461" s="10"/>
      <c r="B1461" s="11"/>
      <c r="C1461" s="12"/>
      <c r="D1461" s="11"/>
      <c r="E1461" s="13"/>
      <c r="F1461" s="14"/>
      <c r="G1461" s="11"/>
      <c r="H1461" s="16"/>
      <c r="J1461" s="17"/>
      <c r="K1461" s="20"/>
      <c r="L1461" s="16"/>
      <c r="N1461" s="20"/>
      <c r="O1461" s="18"/>
    </row>
    <row r="1462" spans="1:15" x14ac:dyDescent="0.2">
      <c r="A1462" s="10"/>
      <c r="B1462" s="11"/>
      <c r="C1462" s="12"/>
      <c r="D1462" s="11"/>
      <c r="E1462" s="13"/>
      <c r="F1462" s="14"/>
      <c r="G1462" s="11"/>
      <c r="H1462" s="16"/>
      <c r="J1462" s="17"/>
      <c r="K1462" s="20"/>
      <c r="L1462" s="16"/>
      <c r="N1462" s="20"/>
      <c r="O1462" s="18"/>
    </row>
    <row r="1463" spans="1:15" x14ac:dyDescent="0.2">
      <c r="A1463" s="10"/>
      <c r="B1463" s="11"/>
      <c r="C1463" s="12"/>
      <c r="D1463" s="11"/>
      <c r="E1463" s="13"/>
      <c r="F1463" s="14"/>
      <c r="G1463" s="11"/>
      <c r="H1463" s="16"/>
      <c r="J1463" s="17"/>
      <c r="K1463" s="20"/>
      <c r="L1463" s="16"/>
      <c r="N1463" s="20"/>
      <c r="O1463" s="18"/>
    </row>
    <row r="1464" spans="1:15" x14ac:dyDescent="0.2">
      <c r="A1464" s="10"/>
      <c r="B1464" s="11"/>
      <c r="C1464" s="12"/>
      <c r="D1464" s="11"/>
      <c r="E1464" s="13"/>
      <c r="F1464" s="14"/>
      <c r="G1464" s="11"/>
      <c r="H1464" s="16"/>
      <c r="J1464" s="17"/>
      <c r="K1464" s="20"/>
      <c r="L1464" s="16"/>
      <c r="N1464" s="20"/>
      <c r="O1464" s="18"/>
    </row>
    <row r="1465" spans="1:15" x14ac:dyDescent="0.2">
      <c r="A1465" s="10"/>
      <c r="B1465" s="11"/>
      <c r="C1465" s="12"/>
      <c r="D1465" s="11"/>
      <c r="E1465" s="13"/>
      <c r="F1465" s="14"/>
      <c r="G1465" s="11"/>
      <c r="H1465" s="16"/>
      <c r="J1465" s="17"/>
      <c r="K1465" s="20"/>
      <c r="L1465" s="16"/>
      <c r="N1465" s="20"/>
      <c r="O1465" s="18"/>
    </row>
    <row r="1466" spans="1:15" x14ac:dyDescent="0.2">
      <c r="A1466" s="10"/>
      <c r="B1466" s="11"/>
      <c r="C1466" s="12"/>
      <c r="D1466" s="11"/>
      <c r="E1466" s="13"/>
      <c r="F1466" s="14"/>
      <c r="G1466" s="11"/>
      <c r="H1466" s="16"/>
      <c r="J1466" s="17"/>
      <c r="K1466" s="20"/>
      <c r="L1466" s="16"/>
      <c r="N1466" s="20"/>
      <c r="O1466" s="18"/>
    </row>
    <row r="1467" spans="1:15" x14ac:dyDescent="0.2">
      <c r="A1467" s="10"/>
      <c r="B1467" s="11"/>
      <c r="C1467" s="12"/>
      <c r="D1467" s="11"/>
      <c r="E1467" s="13"/>
      <c r="F1467" s="14"/>
      <c r="G1467" s="11"/>
      <c r="H1467" s="16"/>
      <c r="J1467" s="17"/>
      <c r="K1467" s="20"/>
      <c r="L1467" s="16"/>
      <c r="N1467" s="20"/>
      <c r="O1467" s="18"/>
    </row>
    <row r="1468" spans="1:15" x14ac:dyDescent="0.2">
      <c r="A1468" s="10"/>
      <c r="B1468" s="11"/>
      <c r="C1468" s="12"/>
      <c r="D1468" s="11"/>
      <c r="E1468" s="13"/>
      <c r="F1468" s="14"/>
      <c r="G1468" s="11"/>
      <c r="H1468" s="16"/>
      <c r="J1468" s="17"/>
      <c r="K1468" s="20"/>
      <c r="L1468" s="16"/>
      <c r="N1468" s="20"/>
      <c r="O1468" s="18"/>
    </row>
    <row r="1469" spans="1:15" x14ac:dyDescent="0.2">
      <c r="A1469" s="10"/>
      <c r="B1469" s="11"/>
      <c r="C1469" s="12"/>
      <c r="D1469" s="11"/>
      <c r="E1469" s="13"/>
      <c r="F1469" s="14"/>
      <c r="G1469" s="11"/>
      <c r="H1469" s="16"/>
      <c r="J1469" s="17"/>
      <c r="K1469" s="20"/>
      <c r="L1469" s="16"/>
      <c r="N1469" s="20"/>
      <c r="O1469" s="18"/>
    </row>
    <row r="1470" spans="1:15" x14ac:dyDescent="0.2">
      <c r="A1470" s="10"/>
      <c r="B1470" s="11"/>
      <c r="C1470" s="12"/>
      <c r="D1470" s="11"/>
      <c r="E1470" s="13"/>
      <c r="F1470" s="14"/>
      <c r="G1470" s="11"/>
      <c r="H1470" s="16"/>
      <c r="J1470" s="17"/>
      <c r="K1470" s="20"/>
      <c r="L1470" s="16"/>
      <c r="N1470" s="20"/>
      <c r="O1470" s="18"/>
    </row>
    <row r="1471" spans="1:15" x14ac:dyDescent="0.2">
      <c r="A1471" s="10"/>
      <c r="B1471" s="11"/>
      <c r="C1471" s="12"/>
      <c r="D1471" s="11"/>
      <c r="E1471" s="13"/>
      <c r="F1471" s="14"/>
      <c r="G1471" s="11"/>
      <c r="H1471" s="16"/>
      <c r="J1471" s="17"/>
      <c r="K1471" s="20"/>
      <c r="L1471" s="16"/>
      <c r="N1471" s="20"/>
      <c r="O1471" s="18"/>
    </row>
    <row r="1472" spans="1:15" x14ac:dyDescent="0.2">
      <c r="A1472" s="10"/>
      <c r="B1472" s="11"/>
      <c r="C1472" s="12"/>
      <c r="D1472" s="11"/>
      <c r="E1472" s="13"/>
      <c r="F1472" s="14"/>
      <c r="G1472" s="11"/>
      <c r="H1472" s="16"/>
      <c r="J1472" s="17"/>
      <c r="K1472" s="20"/>
      <c r="L1472" s="16"/>
      <c r="N1472" s="20"/>
      <c r="O1472" s="18"/>
    </row>
    <row r="1473" spans="1:15" x14ac:dyDescent="0.2">
      <c r="A1473" s="10"/>
      <c r="B1473" s="11"/>
      <c r="C1473" s="12"/>
      <c r="D1473" s="11"/>
      <c r="E1473" s="13"/>
      <c r="F1473" s="14"/>
      <c r="G1473" s="11"/>
      <c r="H1473" s="16"/>
      <c r="J1473" s="17"/>
      <c r="K1473" s="20"/>
      <c r="L1473" s="16"/>
      <c r="N1473" s="20"/>
      <c r="O1473" s="18"/>
    </row>
    <row r="1474" spans="1:15" x14ac:dyDescent="0.2">
      <c r="A1474" s="10"/>
      <c r="B1474" s="11"/>
      <c r="C1474" s="12"/>
      <c r="D1474" s="11"/>
      <c r="E1474" s="13"/>
      <c r="F1474" s="14"/>
      <c r="G1474" s="11"/>
      <c r="H1474" s="16"/>
      <c r="J1474" s="17"/>
      <c r="K1474" s="20"/>
      <c r="L1474" s="16"/>
      <c r="N1474" s="20"/>
      <c r="O1474" s="18"/>
    </row>
    <row r="1475" spans="1:15" x14ac:dyDescent="0.2">
      <c r="A1475" s="10"/>
      <c r="B1475" s="11"/>
      <c r="C1475" s="12"/>
      <c r="D1475" s="11"/>
      <c r="E1475" s="13"/>
      <c r="F1475" s="14"/>
      <c r="G1475" s="11"/>
      <c r="H1475" s="16"/>
      <c r="J1475" s="17"/>
      <c r="K1475" s="20"/>
      <c r="L1475" s="16"/>
      <c r="N1475" s="20"/>
      <c r="O1475" s="18"/>
    </row>
    <row r="1476" spans="1:15" x14ac:dyDescent="0.2">
      <c r="A1476" s="10"/>
      <c r="B1476" s="11"/>
      <c r="C1476" s="12"/>
      <c r="D1476" s="11"/>
      <c r="E1476" s="13"/>
      <c r="F1476" s="14"/>
      <c r="G1476" s="11"/>
      <c r="H1476" s="16"/>
      <c r="J1476" s="17"/>
      <c r="K1476" s="20"/>
      <c r="L1476" s="16"/>
      <c r="N1476" s="20"/>
      <c r="O1476" s="18"/>
    </row>
    <row r="1477" spans="1:15" x14ac:dyDescent="0.2">
      <c r="A1477" s="10"/>
      <c r="B1477" s="11"/>
      <c r="C1477" s="12"/>
      <c r="D1477" s="11"/>
      <c r="E1477" s="13"/>
      <c r="F1477" s="14"/>
      <c r="G1477" s="11"/>
      <c r="H1477" s="16"/>
      <c r="J1477" s="17"/>
      <c r="K1477" s="20"/>
      <c r="L1477" s="16"/>
      <c r="N1477" s="20"/>
      <c r="O1477" s="18"/>
    </row>
    <row r="1478" spans="1:15" x14ac:dyDescent="0.2">
      <c r="A1478" s="10"/>
      <c r="B1478" s="11"/>
      <c r="C1478" s="12"/>
      <c r="D1478" s="11"/>
      <c r="E1478" s="13"/>
      <c r="F1478" s="14"/>
      <c r="G1478" s="11"/>
      <c r="H1478" s="16"/>
      <c r="J1478" s="17"/>
      <c r="K1478" s="20"/>
      <c r="L1478" s="16"/>
      <c r="N1478" s="20"/>
      <c r="O1478" s="18"/>
    </row>
    <row r="1479" spans="1:15" x14ac:dyDescent="0.2">
      <c r="A1479" s="10"/>
      <c r="B1479" s="11"/>
      <c r="C1479" s="12"/>
      <c r="D1479" s="11"/>
      <c r="E1479" s="13"/>
      <c r="F1479" s="14"/>
      <c r="G1479" s="11"/>
      <c r="H1479" s="16"/>
      <c r="J1479" s="17"/>
      <c r="K1479" s="20"/>
      <c r="L1479" s="16"/>
      <c r="N1479" s="20"/>
      <c r="O1479" s="18"/>
    </row>
    <row r="1480" spans="1:15" x14ac:dyDescent="0.2">
      <c r="A1480" s="10"/>
      <c r="B1480" s="11"/>
      <c r="C1480" s="12"/>
      <c r="D1480" s="11"/>
      <c r="E1480" s="13"/>
      <c r="F1480" s="14"/>
      <c r="G1480" s="11"/>
      <c r="H1480" s="16"/>
      <c r="J1480" s="17"/>
      <c r="K1480" s="20"/>
      <c r="L1480" s="16"/>
      <c r="N1480" s="20"/>
      <c r="O1480" s="18"/>
    </row>
    <row r="1481" spans="1:15" x14ac:dyDescent="0.2">
      <c r="A1481" s="10"/>
      <c r="B1481" s="11"/>
      <c r="C1481" s="12"/>
      <c r="D1481" s="11"/>
      <c r="E1481" s="13"/>
      <c r="F1481" s="14"/>
      <c r="G1481" s="11"/>
      <c r="H1481" s="16"/>
      <c r="J1481" s="17"/>
      <c r="K1481" s="20"/>
      <c r="L1481" s="16"/>
      <c r="N1481" s="20"/>
      <c r="O1481" s="18"/>
    </row>
    <row r="1482" spans="1:15" x14ac:dyDescent="0.2">
      <c r="A1482" s="10"/>
      <c r="B1482" s="11"/>
      <c r="C1482" s="12"/>
      <c r="D1482" s="11"/>
      <c r="E1482" s="13"/>
      <c r="F1482" s="14"/>
      <c r="G1482" s="11"/>
      <c r="H1482" s="16"/>
      <c r="J1482" s="17"/>
      <c r="K1482" s="20"/>
      <c r="L1482" s="16"/>
      <c r="N1482" s="20"/>
      <c r="O1482" s="18"/>
    </row>
    <row r="1483" spans="1:15" x14ac:dyDescent="0.2">
      <c r="A1483" s="10"/>
      <c r="B1483" s="11"/>
      <c r="C1483" s="12"/>
      <c r="D1483" s="11"/>
      <c r="E1483" s="13"/>
      <c r="F1483" s="14"/>
      <c r="G1483" s="11"/>
      <c r="H1483" s="16"/>
      <c r="J1483" s="17"/>
      <c r="K1483" s="20"/>
      <c r="L1483" s="16"/>
      <c r="N1483" s="20"/>
      <c r="O1483" s="18"/>
    </row>
    <row r="1484" spans="1:15" x14ac:dyDescent="0.2">
      <c r="A1484" s="10"/>
      <c r="B1484" s="11"/>
      <c r="C1484" s="12"/>
      <c r="D1484" s="11"/>
      <c r="E1484" s="13"/>
      <c r="F1484" s="14"/>
      <c r="G1484" s="11"/>
      <c r="H1484" s="16"/>
      <c r="J1484" s="17"/>
      <c r="K1484" s="20"/>
      <c r="L1484" s="16"/>
      <c r="N1484" s="20"/>
      <c r="O1484" s="18"/>
    </row>
    <row r="1485" spans="1:15" x14ac:dyDescent="0.2">
      <c r="A1485" s="10"/>
      <c r="B1485" s="11"/>
      <c r="C1485" s="12"/>
      <c r="D1485" s="11"/>
      <c r="E1485" s="13"/>
      <c r="F1485" s="14"/>
      <c r="G1485" s="11"/>
      <c r="H1485" s="16"/>
      <c r="J1485" s="17"/>
      <c r="K1485" s="20"/>
      <c r="L1485" s="16"/>
      <c r="N1485" s="20"/>
      <c r="O1485" s="18"/>
    </row>
    <row r="1486" spans="1:15" x14ac:dyDescent="0.2">
      <c r="A1486" s="10"/>
      <c r="B1486" s="11"/>
      <c r="C1486" s="12"/>
      <c r="D1486" s="11"/>
      <c r="E1486" s="13"/>
      <c r="F1486" s="14"/>
      <c r="G1486" s="11"/>
      <c r="H1486" s="16"/>
      <c r="J1486" s="17"/>
      <c r="K1486" s="20"/>
      <c r="L1486" s="16"/>
      <c r="N1486" s="20"/>
      <c r="O1486" s="18"/>
    </row>
    <row r="1487" spans="1:15" x14ac:dyDescent="0.2">
      <c r="A1487" s="10"/>
      <c r="B1487" s="11"/>
      <c r="C1487" s="12"/>
      <c r="D1487" s="11"/>
      <c r="E1487" s="13"/>
      <c r="F1487" s="14"/>
      <c r="G1487" s="11"/>
      <c r="H1487" s="16"/>
      <c r="J1487" s="17"/>
      <c r="K1487" s="20"/>
      <c r="L1487" s="16"/>
      <c r="N1487" s="20"/>
      <c r="O1487" s="18"/>
    </row>
    <row r="1488" spans="1:15" x14ac:dyDescent="0.2">
      <c r="A1488" s="10"/>
      <c r="B1488" s="11"/>
      <c r="C1488" s="12"/>
      <c r="D1488" s="11"/>
      <c r="E1488" s="13"/>
      <c r="F1488" s="14"/>
      <c r="G1488" s="11"/>
      <c r="H1488" s="16"/>
      <c r="J1488" s="17"/>
      <c r="K1488" s="20"/>
      <c r="L1488" s="16"/>
      <c r="N1488" s="20"/>
      <c r="O1488" s="18"/>
    </row>
    <row r="1489" spans="1:15" x14ac:dyDescent="0.2">
      <c r="A1489" s="10"/>
      <c r="B1489" s="11"/>
      <c r="C1489" s="12"/>
      <c r="D1489" s="11"/>
      <c r="E1489" s="13"/>
      <c r="F1489" s="14"/>
      <c r="G1489" s="11"/>
      <c r="H1489" s="16"/>
      <c r="J1489" s="17"/>
      <c r="K1489" s="20"/>
      <c r="L1489" s="16"/>
      <c r="N1489" s="20"/>
      <c r="O1489" s="18"/>
    </row>
    <row r="1490" spans="1:15" x14ac:dyDescent="0.2">
      <c r="A1490" s="10"/>
      <c r="B1490" s="11"/>
      <c r="C1490" s="12"/>
      <c r="D1490" s="11"/>
      <c r="E1490" s="13"/>
      <c r="F1490" s="14"/>
      <c r="G1490" s="11"/>
      <c r="H1490" s="16"/>
      <c r="J1490" s="17"/>
      <c r="K1490" s="20"/>
      <c r="L1490" s="16"/>
      <c r="N1490" s="20"/>
      <c r="O1490" s="18"/>
    </row>
    <row r="1491" spans="1:15" x14ac:dyDescent="0.2">
      <c r="A1491" s="10"/>
      <c r="B1491" s="11"/>
      <c r="C1491" s="12"/>
      <c r="D1491" s="11"/>
      <c r="E1491" s="13"/>
      <c r="F1491" s="14"/>
      <c r="G1491" s="11"/>
      <c r="H1491" s="16"/>
      <c r="J1491" s="17"/>
      <c r="K1491" s="20"/>
      <c r="L1491" s="16"/>
      <c r="N1491" s="20"/>
      <c r="O1491" s="18"/>
    </row>
    <row r="1492" spans="1:15" x14ac:dyDescent="0.2">
      <c r="A1492" s="10"/>
      <c r="B1492" s="11"/>
      <c r="C1492" s="12"/>
      <c r="D1492" s="11"/>
      <c r="E1492" s="13"/>
      <c r="F1492" s="14"/>
      <c r="G1492" s="11"/>
      <c r="H1492" s="16"/>
      <c r="J1492" s="17"/>
      <c r="K1492" s="20"/>
      <c r="L1492" s="16"/>
      <c r="N1492" s="20"/>
      <c r="O1492" s="18"/>
    </row>
    <row r="1493" spans="1:15" x14ac:dyDescent="0.2">
      <c r="A1493" s="10"/>
      <c r="B1493" s="11"/>
      <c r="C1493" s="12"/>
      <c r="D1493" s="11"/>
      <c r="E1493" s="13"/>
      <c r="F1493" s="14"/>
      <c r="G1493" s="11"/>
      <c r="H1493" s="16"/>
      <c r="J1493" s="17"/>
      <c r="K1493" s="20"/>
      <c r="L1493" s="16"/>
      <c r="N1493" s="20"/>
      <c r="O1493" s="18"/>
    </row>
    <row r="1494" spans="1:15" x14ac:dyDescent="0.2">
      <c r="A1494" s="10"/>
      <c r="B1494" s="11"/>
      <c r="C1494" s="12"/>
      <c r="D1494" s="11"/>
      <c r="E1494" s="13"/>
      <c r="F1494" s="14"/>
      <c r="G1494" s="11"/>
      <c r="H1494" s="16"/>
      <c r="J1494" s="17"/>
      <c r="K1494" s="20"/>
      <c r="L1494" s="16"/>
      <c r="N1494" s="20"/>
      <c r="O1494" s="18"/>
    </row>
    <row r="1495" spans="1:15" x14ac:dyDescent="0.2">
      <c r="A1495" s="10"/>
      <c r="B1495" s="11"/>
      <c r="C1495" s="12"/>
      <c r="D1495" s="11"/>
      <c r="E1495" s="13"/>
      <c r="F1495" s="14"/>
      <c r="G1495" s="11"/>
      <c r="H1495" s="16"/>
      <c r="J1495" s="17"/>
      <c r="K1495" s="20"/>
      <c r="L1495" s="16"/>
      <c r="N1495" s="20"/>
      <c r="O1495" s="18"/>
    </row>
    <row r="1496" spans="1:15" x14ac:dyDescent="0.2">
      <c r="A1496" s="10"/>
      <c r="B1496" s="11"/>
      <c r="C1496" s="12"/>
      <c r="D1496" s="11"/>
      <c r="E1496" s="13"/>
      <c r="F1496" s="14"/>
      <c r="G1496" s="11"/>
      <c r="H1496" s="16"/>
      <c r="J1496" s="17"/>
      <c r="K1496" s="20"/>
      <c r="L1496" s="16"/>
      <c r="N1496" s="20"/>
      <c r="O1496" s="18"/>
    </row>
    <row r="1497" spans="1:15" x14ac:dyDescent="0.2">
      <c r="A1497" s="10"/>
      <c r="B1497" s="11"/>
      <c r="C1497" s="12"/>
      <c r="D1497" s="11"/>
      <c r="E1497" s="13"/>
      <c r="F1497" s="14"/>
      <c r="G1497" s="11"/>
      <c r="H1497" s="16"/>
      <c r="J1497" s="17"/>
      <c r="K1497" s="20"/>
      <c r="L1497" s="16"/>
      <c r="N1497" s="20"/>
      <c r="O1497" s="18"/>
    </row>
    <row r="1498" spans="1:15" x14ac:dyDescent="0.2">
      <c r="A1498" s="10"/>
      <c r="B1498" s="11"/>
      <c r="C1498" s="12"/>
      <c r="D1498" s="11"/>
      <c r="E1498" s="13"/>
      <c r="F1498" s="14"/>
      <c r="G1498" s="11"/>
      <c r="H1498" s="16"/>
      <c r="J1498" s="17"/>
      <c r="K1498" s="20"/>
      <c r="L1498" s="16"/>
      <c r="N1498" s="20"/>
      <c r="O1498" s="18"/>
    </row>
    <row r="1499" spans="1:15" x14ac:dyDescent="0.2">
      <c r="A1499" s="10"/>
      <c r="B1499" s="11"/>
      <c r="C1499" s="12"/>
      <c r="D1499" s="11"/>
      <c r="E1499" s="13"/>
      <c r="F1499" s="14"/>
      <c r="G1499" s="11"/>
      <c r="H1499" s="16"/>
      <c r="J1499" s="17"/>
      <c r="K1499" s="20"/>
      <c r="L1499" s="16"/>
      <c r="N1499" s="20"/>
      <c r="O1499" s="18"/>
    </row>
    <row r="1500" spans="1:15" x14ac:dyDescent="0.2">
      <c r="A1500" s="10"/>
      <c r="B1500" s="11"/>
      <c r="C1500" s="12"/>
      <c r="D1500" s="11"/>
      <c r="E1500" s="13"/>
      <c r="F1500" s="14"/>
      <c r="G1500" s="11"/>
      <c r="H1500" s="16"/>
      <c r="J1500" s="17"/>
      <c r="K1500" s="20"/>
      <c r="L1500" s="16"/>
      <c r="N1500" s="20"/>
      <c r="O1500" s="18"/>
    </row>
    <row r="1501" spans="1:15" x14ac:dyDescent="0.2">
      <c r="A1501" s="10"/>
      <c r="B1501" s="11"/>
      <c r="C1501" s="12"/>
      <c r="D1501" s="11"/>
      <c r="E1501" s="13"/>
      <c r="F1501" s="14"/>
      <c r="G1501" s="11"/>
      <c r="H1501" s="16"/>
      <c r="J1501" s="17"/>
      <c r="K1501" s="20"/>
      <c r="L1501" s="16"/>
      <c r="N1501" s="20"/>
      <c r="O1501" s="18"/>
    </row>
    <row r="1502" spans="1:15" x14ac:dyDescent="0.2">
      <c r="A1502" s="10"/>
      <c r="B1502" s="11"/>
      <c r="C1502" s="12"/>
      <c r="D1502" s="11"/>
      <c r="E1502" s="13"/>
      <c r="F1502" s="14"/>
      <c r="G1502" s="11"/>
      <c r="H1502" s="16"/>
      <c r="J1502" s="17"/>
      <c r="K1502" s="20"/>
      <c r="L1502" s="16"/>
      <c r="N1502" s="20"/>
      <c r="O1502" s="18"/>
    </row>
    <row r="1503" spans="1:15" x14ac:dyDescent="0.2">
      <c r="A1503" s="10"/>
      <c r="B1503" s="11"/>
      <c r="C1503" s="12"/>
      <c r="D1503" s="11"/>
      <c r="E1503" s="13"/>
      <c r="F1503" s="14"/>
      <c r="G1503" s="11"/>
      <c r="H1503" s="16"/>
      <c r="J1503" s="17"/>
      <c r="K1503" s="20"/>
      <c r="L1503" s="16"/>
      <c r="N1503" s="20"/>
      <c r="O1503" s="18"/>
    </row>
    <row r="1504" spans="1:15" x14ac:dyDescent="0.2">
      <c r="A1504" s="10"/>
      <c r="B1504" s="11"/>
      <c r="C1504" s="12"/>
      <c r="D1504" s="11"/>
      <c r="E1504" s="13"/>
      <c r="F1504" s="14"/>
      <c r="G1504" s="11"/>
      <c r="H1504" s="16"/>
      <c r="J1504" s="17"/>
      <c r="K1504" s="20"/>
      <c r="L1504" s="16"/>
      <c r="N1504" s="20"/>
      <c r="O1504" s="18"/>
    </row>
    <row r="1505" spans="1:15" x14ac:dyDescent="0.2">
      <c r="A1505" s="10"/>
      <c r="B1505" s="11"/>
      <c r="C1505" s="12"/>
      <c r="D1505" s="11"/>
      <c r="E1505" s="13"/>
      <c r="F1505" s="14"/>
      <c r="G1505" s="11"/>
      <c r="H1505" s="16"/>
      <c r="J1505" s="17"/>
      <c r="K1505" s="20"/>
      <c r="L1505" s="16"/>
      <c r="N1505" s="20"/>
      <c r="O1505" s="18"/>
    </row>
    <row r="1506" spans="1:15" x14ac:dyDescent="0.2">
      <c r="A1506" s="10"/>
      <c r="B1506" s="11"/>
      <c r="C1506" s="12"/>
      <c r="D1506" s="11"/>
      <c r="E1506" s="13"/>
      <c r="F1506" s="14"/>
      <c r="G1506" s="11"/>
      <c r="H1506" s="16"/>
      <c r="J1506" s="17"/>
      <c r="K1506" s="20"/>
      <c r="L1506" s="16"/>
      <c r="N1506" s="20"/>
      <c r="O1506" s="18"/>
    </row>
    <row r="1507" spans="1:15" x14ac:dyDescent="0.2">
      <c r="A1507" s="10"/>
      <c r="B1507" s="11"/>
      <c r="C1507" s="12"/>
      <c r="D1507" s="11"/>
      <c r="E1507" s="13"/>
      <c r="F1507" s="14"/>
      <c r="G1507" s="11"/>
      <c r="H1507" s="16"/>
      <c r="J1507" s="17"/>
      <c r="K1507" s="20"/>
      <c r="L1507" s="16"/>
      <c r="N1507" s="20"/>
      <c r="O1507" s="18"/>
    </row>
    <row r="1508" spans="1:15" x14ac:dyDescent="0.2">
      <c r="A1508" s="10"/>
      <c r="B1508" s="11"/>
      <c r="C1508" s="12"/>
      <c r="D1508" s="11"/>
      <c r="E1508" s="13"/>
      <c r="F1508" s="14"/>
      <c r="G1508" s="11"/>
      <c r="H1508" s="16"/>
      <c r="J1508" s="17"/>
      <c r="K1508" s="20"/>
      <c r="L1508" s="16"/>
      <c r="N1508" s="20"/>
      <c r="O1508" s="18"/>
    </row>
    <row r="1509" spans="1:15" x14ac:dyDescent="0.2">
      <c r="A1509" s="10"/>
      <c r="B1509" s="11"/>
      <c r="C1509" s="12"/>
      <c r="D1509" s="11"/>
      <c r="E1509" s="13"/>
      <c r="F1509" s="14"/>
      <c r="G1509" s="11"/>
      <c r="H1509" s="16"/>
      <c r="J1509" s="17"/>
      <c r="K1509" s="20"/>
      <c r="L1509" s="16"/>
      <c r="N1509" s="20"/>
      <c r="O1509" s="18"/>
    </row>
    <row r="1510" spans="1:15" x14ac:dyDescent="0.2">
      <c r="A1510" s="10"/>
      <c r="B1510" s="11"/>
      <c r="C1510" s="12"/>
      <c r="D1510" s="11"/>
      <c r="E1510" s="13"/>
      <c r="F1510" s="14"/>
      <c r="G1510" s="11"/>
      <c r="H1510" s="16"/>
      <c r="J1510" s="17"/>
      <c r="K1510" s="20"/>
      <c r="L1510" s="16"/>
      <c r="N1510" s="20"/>
      <c r="O1510" s="18"/>
    </row>
    <row r="1511" spans="1:15" x14ac:dyDescent="0.2">
      <c r="A1511" s="10"/>
      <c r="B1511" s="11"/>
      <c r="C1511" s="12"/>
      <c r="D1511" s="11"/>
      <c r="E1511" s="13"/>
      <c r="F1511" s="14"/>
      <c r="G1511" s="11"/>
      <c r="H1511" s="16"/>
      <c r="J1511" s="17"/>
      <c r="K1511" s="20"/>
      <c r="L1511" s="16"/>
      <c r="N1511" s="20"/>
      <c r="O1511" s="18"/>
    </row>
    <row r="1512" spans="1:15" x14ac:dyDescent="0.2">
      <c r="A1512" s="10"/>
      <c r="B1512" s="11"/>
      <c r="C1512" s="12"/>
      <c r="D1512" s="11"/>
      <c r="E1512" s="13"/>
      <c r="F1512" s="14"/>
      <c r="G1512" s="11"/>
      <c r="H1512" s="16"/>
      <c r="J1512" s="17"/>
      <c r="K1512" s="20"/>
      <c r="L1512" s="16"/>
      <c r="N1512" s="20"/>
      <c r="O1512" s="18"/>
    </row>
    <row r="1513" spans="1:15" x14ac:dyDescent="0.2">
      <c r="A1513" s="10"/>
      <c r="B1513" s="11"/>
      <c r="C1513" s="12"/>
      <c r="D1513" s="11"/>
      <c r="E1513" s="13"/>
      <c r="F1513" s="14"/>
      <c r="G1513" s="11"/>
      <c r="H1513" s="16"/>
      <c r="J1513" s="17"/>
      <c r="K1513" s="20"/>
      <c r="L1513" s="16"/>
      <c r="N1513" s="20"/>
      <c r="O1513" s="18"/>
    </row>
    <row r="1514" spans="1:15" x14ac:dyDescent="0.2">
      <c r="A1514" s="10"/>
      <c r="B1514" s="11"/>
      <c r="C1514" s="12"/>
      <c r="D1514" s="11"/>
      <c r="E1514" s="13"/>
      <c r="F1514" s="14"/>
      <c r="G1514" s="11"/>
      <c r="H1514" s="16"/>
      <c r="J1514" s="17"/>
      <c r="K1514" s="20"/>
      <c r="L1514" s="16"/>
      <c r="N1514" s="20"/>
      <c r="O1514" s="18"/>
    </row>
    <row r="1515" spans="1:15" x14ac:dyDescent="0.2">
      <c r="A1515" s="10"/>
      <c r="B1515" s="11"/>
      <c r="C1515" s="12"/>
      <c r="D1515" s="11"/>
      <c r="E1515" s="13"/>
      <c r="F1515" s="14"/>
      <c r="G1515" s="11"/>
      <c r="H1515" s="16"/>
      <c r="J1515" s="17"/>
      <c r="K1515" s="20"/>
      <c r="L1515" s="16"/>
      <c r="N1515" s="20"/>
      <c r="O1515" s="18"/>
    </row>
    <row r="1516" spans="1:15" x14ac:dyDescent="0.2">
      <c r="A1516" s="10"/>
      <c r="B1516" s="11"/>
      <c r="C1516" s="12"/>
      <c r="D1516" s="11"/>
      <c r="E1516" s="13"/>
      <c r="F1516" s="14"/>
      <c r="G1516" s="11"/>
      <c r="H1516" s="16"/>
      <c r="J1516" s="17"/>
      <c r="K1516" s="20"/>
      <c r="L1516" s="16"/>
      <c r="N1516" s="20"/>
      <c r="O1516" s="18"/>
    </row>
    <row r="1517" spans="1:15" x14ac:dyDescent="0.2">
      <c r="A1517" s="10"/>
      <c r="B1517" s="11"/>
      <c r="C1517" s="12"/>
      <c r="D1517" s="11"/>
      <c r="E1517" s="13"/>
      <c r="F1517" s="14"/>
      <c r="G1517" s="11"/>
      <c r="H1517" s="16"/>
      <c r="J1517" s="17"/>
      <c r="K1517" s="20"/>
      <c r="L1517" s="16"/>
      <c r="N1517" s="20"/>
      <c r="O1517" s="18"/>
    </row>
    <row r="1518" spans="1:15" x14ac:dyDescent="0.2">
      <c r="A1518" s="10"/>
      <c r="B1518" s="11"/>
      <c r="C1518" s="12"/>
      <c r="D1518" s="11"/>
      <c r="E1518" s="13"/>
      <c r="F1518" s="14"/>
      <c r="G1518" s="11"/>
      <c r="H1518" s="16"/>
      <c r="J1518" s="17"/>
      <c r="K1518" s="20"/>
      <c r="L1518" s="16"/>
      <c r="N1518" s="20"/>
      <c r="O1518" s="18"/>
    </row>
    <row r="1519" spans="1:15" x14ac:dyDescent="0.2">
      <c r="A1519" s="10"/>
      <c r="B1519" s="11"/>
      <c r="C1519" s="12"/>
      <c r="D1519" s="11"/>
      <c r="E1519" s="13"/>
      <c r="F1519" s="14"/>
      <c r="G1519" s="11"/>
      <c r="H1519" s="16"/>
      <c r="J1519" s="17"/>
      <c r="K1519" s="20"/>
      <c r="L1519" s="16"/>
      <c r="N1519" s="20"/>
      <c r="O1519" s="18"/>
    </row>
    <row r="1520" spans="1:15" x14ac:dyDescent="0.2">
      <c r="A1520" s="10"/>
      <c r="B1520" s="11"/>
      <c r="C1520" s="12"/>
      <c r="D1520" s="11"/>
      <c r="E1520" s="13"/>
      <c r="F1520" s="14"/>
      <c r="G1520" s="11"/>
      <c r="H1520" s="16"/>
      <c r="J1520" s="17"/>
      <c r="K1520" s="20"/>
      <c r="L1520" s="16"/>
      <c r="N1520" s="20"/>
      <c r="O1520" s="18"/>
    </row>
    <row r="1521" spans="1:15" x14ac:dyDescent="0.2">
      <c r="A1521" s="10"/>
      <c r="B1521" s="11"/>
      <c r="C1521" s="12"/>
      <c r="D1521" s="11"/>
      <c r="E1521" s="13"/>
      <c r="F1521" s="14"/>
      <c r="G1521" s="11"/>
      <c r="H1521" s="16"/>
      <c r="J1521" s="17"/>
      <c r="K1521" s="20"/>
      <c r="L1521" s="16"/>
      <c r="N1521" s="20"/>
      <c r="O1521" s="18"/>
    </row>
    <row r="1522" spans="1:15" x14ac:dyDescent="0.2">
      <c r="A1522" s="10"/>
      <c r="B1522" s="11"/>
      <c r="C1522" s="12"/>
      <c r="D1522" s="11"/>
      <c r="E1522" s="13"/>
      <c r="F1522" s="14"/>
      <c r="G1522" s="11"/>
      <c r="H1522" s="16"/>
      <c r="J1522" s="17"/>
      <c r="K1522" s="20"/>
      <c r="L1522" s="16"/>
      <c r="N1522" s="20"/>
      <c r="O1522" s="18"/>
    </row>
    <row r="1523" spans="1:15" x14ac:dyDescent="0.2">
      <c r="A1523" s="10"/>
      <c r="B1523" s="11"/>
      <c r="C1523" s="12"/>
      <c r="D1523" s="11"/>
      <c r="E1523" s="13"/>
      <c r="F1523" s="14"/>
      <c r="G1523" s="11"/>
      <c r="H1523" s="16"/>
      <c r="J1523" s="17"/>
      <c r="K1523" s="20"/>
      <c r="L1523" s="16"/>
      <c r="N1523" s="20"/>
      <c r="O1523" s="18"/>
    </row>
    <row r="1524" spans="1:15" x14ac:dyDescent="0.2">
      <c r="A1524" s="10"/>
      <c r="B1524" s="11"/>
      <c r="C1524" s="12"/>
      <c r="D1524" s="11"/>
      <c r="E1524" s="13"/>
      <c r="F1524" s="14"/>
      <c r="G1524" s="11"/>
      <c r="H1524" s="16"/>
      <c r="J1524" s="17"/>
      <c r="K1524" s="20"/>
      <c r="L1524" s="16"/>
      <c r="N1524" s="20"/>
      <c r="O1524" s="18"/>
    </row>
    <row r="1525" spans="1:15" x14ac:dyDescent="0.2">
      <c r="A1525" s="10"/>
      <c r="B1525" s="11"/>
      <c r="C1525" s="12"/>
      <c r="D1525" s="11"/>
      <c r="E1525" s="13"/>
      <c r="F1525" s="14"/>
      <c r="G1525" s="11"/>
      <c r="H1525" s="16"/>
      <c r="J1525" s="17"/>
      <c r="K1525" s="20"/>
      <c r="L1525" s="16"/>
      <c r="N1525" s="20"/>
      <c r="O1525" s="18"/>
    </row>
    <row r="1526" spans="1:15" x14ac:dyDescent="0.2">
      <c r="A1526" s="10"/>
      <c r="B1526" s="11"/>
      <c r="C1526" s="12"/>
      <c r="D1526" s="11"/>
      <c r="E1526" s="13"/>
      <c r="F1526" s="14"/>
      <c r="G1526" s="11"/>
      <c r="H1526" s="16"/>
      <c r="J1526" s="17"/>
      <c r="K1526" s="20"/>
      <c r="L1526" s="16"/>
      <c r="N1526" s="20"/>
      <c r="O1526" s="18"/>
    </row>
    <row r="1527" spans="1:15" x14ac:dyDescent="0.2">
      <c r="A1527" s="10"/>
      <c r="B1527" s="11"/>
      <c r="C1527" s="12"/>
      <c r="D1527" s="11"/>
      <c r="E1527" s="13"/>
      <c r="F1527" s="14"/>
      <c r="G1527" s="11"/>
      <c r="H1527" s="16"/>
      <c r="J1527" s="17"/>
      <c r="K1527" s="20"/>
      <c r="L1527" s="16"/>
      <c r="N1527" s="20"/>
      <c r="O1527" s="18"/>
    </row>
    <row r="1528" spans="1:15" x14ac:dyDescent="0.2">
      <c r="A1528" s="10"/>
      <c r="B1528" s="11"/>
      <c r="C1528" s="12"/>
      <c r="D1528" s="11"/>
      <c r="E1528" s="13"/>
      <c r="F1528" s="14"/>
      <c r="G1528" s="11"/>
      <c r="H1528" s="16"/>
      <c r="J1528" s="17"/>
      <c r="K1528" s="20"/>
      <c r="L1528" s="16"/>
      <c r="N1528" s="20"/>
      <c r="O1528" s="18"/>
    </row>
    <row r="1529" spans="1:15" x14ac:dyDescent="0.2">
      <c r="A1529" s="10"/>
      <c r="B1529" s="11"/>
      <c r="C1529" s="12"/>
      <c r="D1529" s="11"/>
      <c r="E1529" s="13"/>
      <c r="F1529" s="14"/>
      <c r="G1529" s="11"/>
      <c r="H1529" s="16"/>
      <c r="J1529" s="17"/>
      <c r="K1529" s="20"/>
      <c r="L1529" s="16"/>
      <c r="N1529" s="20"/>
      <c r="O1529" s="18"/>
    </row>
    <row r="1530" spans="1:15" x14ac:dyDescent="0.2">
      <c r="A1530" s="10"/>
      <c r="B1530" s="11"/>
      <c r="C1530" s="12"/>
      <c r="D1530" s="11"/>
      <c r="E1530" s="13"/>
      <c r="F1530" s="14"/>
      <c r="G1530" s="11"/>
      <c r="H1530" s="16"/>
      <c r="J1530" s="17"/>
      <c r="K1530" s="20"/>
      <c r="L1530" s="16"/>
      <c r="N1530" s="20"/>
      <c r="O1530" s="18"/>
    </row>
    <row r="1531" spans="1:15" x14ac:dyDescent="0.2">
      <c r="A1531" s="10"/>
      <c r="B1531" s="11"/>
      <c r="C1531" s="12"/>
      <c r="D1531" s="11"/>
      <c r="E1531" s="13"/>
      <c r="F1531" s="14"/>
      <c r="G1531" s="11"/>
      <c r="H1531" s="16"/>
      <c r="J1531" s="17"/>
      <c r="K1531" s="20"/>
      <c r="L1531" s="16"/>
      <c r="N1531" s="20"/>
      <c r="O1531" s="18"/>
    </row>
    <row r="1532" spans="1:15" x14ac:dyDescent="0.2">
      <c r="A1532" s="10"/>
      <c r="B1532" s="11"/>
      <c r="C1532" s="12"/>
      <c r="D1532" s="11"/>
      <c r="E1532" s="13"/>
      <c r="F1532" s="14"/>
      <c r="G1532" s="11"/>
      <c r="H1532" s="16"/>
      <c r="J1532" s="17"/>
      <c r="K1532" s="20"/>
      <c r="L1532" s="16"/>
      <c r="N1532" s="20"/>
      <c r="O1532" s="18"/>
    </row>
    <row r="1533" spans="1:15" x14ac:dyDescent="0.2">
      <c r="A1533" s="10"/>
      <c r="B1533" s="11"/>
      <c r="C1533" s="12"/>
      <c r="D1533" s="11"/>
      <c r="E1533" s="13"/>
      <c r="F1533" s="14"/>
      <c r="G1533" s="11"/>
      <c r="H1533" s="16"/>
      <c r="J1533" s="17"/>
      <c r="K1533" s="20"/>
      <c r="L1533" s="16"/>
      <c r="N1533" s="20"/>
      <c r="O1533" s="18"/>
    </row>
    <row r="1534" spans="1:15" x14ac:dyDescent="0.2">
      <c r="A1534" s="10"/>
      <c r="B1534" s="11"/>
      <c r="C1534" s="12"/>
      <c r="D1534" s="11"/>
      <c r="E1534" s="13"/>
      <c r="F1534" s="14"/>
      <c r="G1534" s="11"/>
      <c r="H1534" s="16"/>
      <c r="J1534" s="17"/>
      <c r="K1534" s="20"/>
      <c r="L1534" s="16"/>
      <c r="N1534" s="20"/>
      <c r="O1534" s="18"/>
    </row>
    <row r="1535" spans="1:15" x14ac:dyDescent="0.2">
      <c r="A1535" s="10"/>
      <c r="B1535" s="11"/>
      <c r="C1535" s="12"/>
      <c r="D1535" s="11"/>
      <c r="E1535" s="13"/>
      <c r="F1535" s="14"/>
      <c r="G1535" s="11"/>
      <c r="H1535" s="16"/>
      <c r="J1535" s="17"/>
      <c r="K1535" s="20"/>
      <c r="L1535" s="16"/>
      <c r="N1535" s="20"/>
      <c r="O1535" s="18"/>
    </row>
    <row r="1536" spans="1:15" x14ac:dyDescent="0.2">
      <c r="A1536" s="10"/>
      <c r="B1536" s="11"/>
      <c r="C1536" s="12"/>
      <c r="D1536" s="11"/>
      <c r="E1536" s="13"/>
      <c r="F1536" s="14"/>
      <c r="G1536" s="11"/>
      <c r="H1536" s="16"/>
      <c r="J1536" s="17"/>
      <c r="K1536" s="20"/>
      <c r="L1536" s="16"/>
      <c r="N1536" s="20"/>
      <c r="O1536" s="18"/>
    </row>
    <row r="1537" spans="1:15" x14ac:dyDescent="0.2">
      <c r="A1537" s="10"/>
      <c r="B1537" s="11"/>
      <c r="C1537" s="12"/>
      <c r="D1537" s="11"/>
      <c r="E1537" s="13"/>
      <c r="F1537" s="14"/>
      <c r="G1537" s="11"/>
      <c r="H1537" s="16"/>
      <c r="J1537" s="17"/>
      <c r="K1537" s="20"/>
      <c r="L1537" s="16"/>
      <c r="N1537" s="20"/>
      <c r="O1537" s="18"/>
    </row>
    <row r="1538" spans="1:15" x14ac:dyDescent="0.2">
      <c r="A1538" s="10"/>
      <c r="B1538" s="11"/>
      <c r="C1538" s="12"/>
      <c r="D1538" s="11"/>
      <c r="E1538" s="13"/>
      <c r="F1538" s="14"/>
      <c r="G1538" s="11"/>
      <c r="H1538" s="16"/>
      <c r="J1538" s="17"/>
      <c r="K1538" s="20"/>
      <c r="L1538" s="16"/>
      <c r="N1538" s="20"/>
      <c r="O1538" s="18"/>
    </row>
    <row r="1539" spans="1:15" x14ac:dyDescent="0.2">
      <c r="A1539" s="10"/>
      <c r="B1539" s="11"/>
      <c r="C1539" s="12"/>
      <c r="D1539" s="11"/>
      <c r="E1539" s="13"/>
      <c r="F1539" s="14"/>
      <c r="G1539" s="11"/>
      <c r="H1539" s="16"/>
      <c r="J1539" s="17"/>
      <c r="K1539" s="20"/>
      <c r="L1539" s="16"/>
      <c r="N1539" s="20"/>
      <c r="O1539" s="18"/>
    </row>
    <row r="1540" spans="1:15" x14ac:dyDescent="0.2">
      <c r="A1540" s="10"/>
      <c r="B1540" s="11"/>
      <c r="C1540" s="12"/>
      <c r="D1540" s="11"/>
      <c r="E1540" s="13"/>
      <c r="F1540" s="14"/>
      <c r="G1540" s="11"/>
      <c r="H1540" s="16"/>
      <c r="J1540" s="17"/>
      <c r="K1540" s="20"/>
      <c r="L1540" s="16"/>
      <c r="N1540" s="20"/>
      <c r="O1540" s="18"/>
    </row>
    <row r="1541" spans="1:15" x14ac:dyDescent="0.2">
      <c r="A1541" s="10"/>
      <c r="B1541" s="11"/>
      <c r="C1541" s="12"/>
      <c r="D1541" s="11"/>
      <c r="E1541" s="13"/>
      <c r="F1541" s="14"/>
      <c r="G1541" s="11"/>
      <c r="H1541" s="16"/>
      <c r="J1541" s="17"/>
      <c r="K1541" s="20"/>
      <c r="L1541" s="16"/>
      <c r="N1541" s="20"/>
      <c r="O1541" s="18"/>
    </row>
    <row r="1542" spans="1:15" x14ac:dyDescent="0.2">
      <c r="A1542" s="10"/>
      <c r="B1542" s="11"/>
      <c r="C1542" s="12"/>
      <c r="D1542" s="11"/>
      <c r="E1542" s="13"/>
      <c r="F1542" s="14"/>
      <c r="G1542" s="11"/>
      <c r="H1542" s="16"/>
      <c r="J1542" s="17"/>
      <c r="K1542" s="20"/>
      <c r="L1542" s="16"/>
      <c r="N1542" s="20"/>
      <c r="O1542" s="18"/>
    </row>
    <row r="1543" spans="1:15" x14ac:dyDescent="0.2">
      <c r="A1543" s="10"/>
      <c r="B1543" s="11"/>
      <c r="C1543" s="12"/>
      <c r="D1543" s="11"/>
      <c r="E1543" s="13"/>
      <c r="F1543" s="14"/>
      <c r="G1543" s="11"/>
      <c r="H1543" s="16"/>
      <c r="J1543" s="17"/>
      <c r="K1543" s="20"/>
      <c r="L1543" s="16"/>
      <c r="N1543" s="20"/>
      <c r="O1543" s="18"/>
    </row>
    <row r="1544" spans="1:15" x14ac:dyDescent="0.2">
      <c r="A1544" s="10"/>
      <c r="B1544" s="11"/>
      <c r="C1544" s="12"/>
      <c r="D1544" s="11"/>
      <c r="E1544" s="13"/>
      <c r="F1544" s="14"/>
      <c r="G1544" s="11"/>
      <c r="H1544" s="16"/>
      <c r="J1544" s="17"/>
      <c r="K1544" s="20"/>
      <c r="L1544" s="16"/>
      <c r="N1544" s="20"/>
      <c r="O1544" s="18"/>
    </row>
    <row r="1545" spans="1:15" x14ac:dyDescent="0.2">
      <c r="A1545" s="10"/>
      <c r="B1545" s="11"/>
      <c r="C1545" s="12"/>
      <c r="D1545" s="11"/>
      <c r="E1545" s="13"/>
      <c r="F1545" s="14"/>
      <c r="G1545" s="11"/>
      <c r="H1545" s="16"/>
      <c r="J1545" s="17"/>
      <c r="K1545" s="20"/>
      <c r="L1545" s="16"/>
      <c r="N1545" s="20"/>
      <c r="O1545" s="18"/>
    </row>
    <row r="1546" spans="1:15" x14ac:dyDescent="0.2">
      <c r="A1546" s="10"/>
      <c r="B1546" s="11"/>
      <c r="C1546" s="12"/>
      <c r="D1546" s="11"/>
      <c r="E1546" s="13"/>
      <c r="F1546" s="14"/>
      <c r="G1546" s="11"/>
      <c r="H1546" s="16"/>
      <c r="J1546" s="17"/>
      <c r="K1546" s="20"/>
      <c r="L1546" s="16"/>
      <c r="N1546" s="20"/>
      <c r="O1546" s="18"/>
    </row>
    <row r="1547" spans="1:15" x14ac:dyDescent="0.2">
      <c r="A1547" s="10"/>
      <c r="B1547" s="11"/>
      <c r="C1547" s="12"/>
      <c r="D1547" s="11"/>
      <c r="E1547" s="13"/>
      <c r="F1547" s="14"/>
      <c r="G1547" s="11"/>
      <c r="H1547" s="16"/>
      <c r="J1547" s="17"/>
      <c r="K1547" s="20"/>
      <c r="L1547" s="16"/>
      <c r="N1547" s="20"/>
      <c r="O1547" s="18"/>
    </row>
    <row r="1548" spans="1:15" x14ac:dyDescent="0.2">
      <c r="A1548" s="10"/>
      <c r="B1548" s="11"/>
      <c r="C1548" s="12"/>
      <c r="D1548" s="11"/>
      <c r="E1548" s="13"/>
      <c r="F1548" s="14"/>
      <c r="G1548" s="11"/>
      <c r="H1548" s="16"/>
      <c r="J1548" s="17"/>
      <c r="K1548" s="20"/>
      <c r="L1548" s="16"/>
      <c r="N1548" s="20"/>
      <c r="O1548" s="18"/>
    </row>
    <row r="1549" spans="1:15" x14ac:dyDescent="0.2">
      <c r="A1549" s="10"/>
      <c r="B1549" s="11"/>
      <c r="C1549" s="12"/>
      <c r="D1549" s="11"/>
      <c r="E1549" s="13"/>
      <c r="F1549" s="14"/>
      <c r="G1549" s="11"/>
      <c r="H1549" s="16"/>
      <c r="J1549" s="17"/>
      <c r="K1549" s="20"/>
      <c r="L1549" s="16"/>
      <c r="N1549" s="20"/>
      <c r="O1549" s="18"/>
    </row>
    <row r="1550" spans="1:15" x14ac:dyDescent="0.2">
      <c r="A1550" s="10"/>
      <c r="B1550" s="11"/>
      <c r="C1550" s="12"/>
      <c r="D1550" s="11"/>
      <c r="E1550" s="13"/>
      <c r="F1550" s="14"/>
      <c r="G1550" s="11"/>
      <c r="H1550" s="16"/>
      <c r="J1550" s="17"/>
      <c r="K1550" s="20"/>
      <c r="L1550" s="16"/>
      <c r="N1550" s="20"/>
      <c r="O1550" s="18"/>
    </row>
    <row r="1551" spans="1:15" x14ac:dyDescent="0.2">
      <c r="A1551" s="10"/>
      <c r="B1551" s="11"/>
      <c r="C1551" s="12"/>
      <c r="D1551" s="11"/>
      <c r="E1551" s="13"/>
      <c r="F1551" s="14"/>
      <c r="G1551" s="11"/>
      <c r="H1551" s="16"/>
      <c r="J1551" s="17"/>
      <c r="K1551" s="20"/>
      <c r="L1551" s="16"/>
      <c r="N1551" s="20"/>
      <c r="O1551" s="18"/>
    </row>
    <row r="1552" spans="1:15" x14ac:dyDescent="0.2">
      <c r="A1552" s="10"/>
      <c r="B1552" s="11"/>
      <c r="C1552" s="12"/>
      <c r="D1552" s="11"/>
      <c r="E1552" s="13"/>
      <c r="F1552" s="14"/>
      <c r="G1552" s="11"/>
      <c r="H1552" s="16"/>
      <c r="J1552" s="17"/>
      <c r="K1552" s="20"/>
      <c r="L1552" s="16"/>
      <c r="N1552" s="20"/>
      <c r="O1552" s="18"/>
    </row>
    <row r="1553" spans="1:15" x14ac:dyDescent="0.2">
      <c r="A1553" s="10"/>
      <c r="B1553" s="11"/>
      <c r="C1553" s="12"/>
      <c r="D1553" s="11"/>
      <c r="E1553" s="13"/>
      <c r="F1553" s="14"/>
      <c r="G1553" s="11"/>
      <c r="H1553" s="16"/>
      <c r="J1553" s="17"/>
      <c r="K1553" s="20"/>
      <c r="L1553" s="16"/>
      <c r="N1553" s="20"/>
      <c r="O1553" s="18"/>
    </row>
    <row r="1554" spans="1:15" x14ac:dyDescent="0.2">
      <c r="A1554" s="10"/>
      <c r="B1554" s="11"/>
      <c r="C1554" s="12"/>
      <c r="D1554" s="11"/>
      <c r="E1554" s="13"/>
      <c r="F1554" s="14"/>
      <c r="G1554" s="11"/>
      <c r="H1554" s="16"/>
      <c r="J1554" s="17"/>
      <c r="K1554" s="20"/>
      <c r="L1554" s="16"/>
      <c r="N1554" s="20"/>
      <c r="O1554" s="18"/>
    </row>
    <row r="1555" spans="1:15" x14ac:dyDescent="0.2">
      <c r="A1555" s="10"/>
      <c r="B1555" s="11"/>
      <c r="C1555" s="12"/>
      <c r="D1555" s="11"/>
      <c r="E1555" s="13"/>
      <c r="F1555" s="14"/>
      <c r="G1555" s="11"/>
      <c r="H1555" s="16"/>
      <c r="J1555" s="17"/>
      <c r="K1555" s="20"/>
      <c r="L1555" s="16"/>
      <c r="N1555" s="20"/>
      <c r="O1555" s="18"/>
    </row>
    <row r="1556" spans="1:15" x14ac:dyDescent="0.2">
      <c r="A1556" s="10"/>
      <c r="B1556" s="11"/>
      <c r="C1556" s="12"/>
      <c r="D1556" s="11"/>
      <c r="E1556" s="13"/>
      <c r="F1556" s="14"/>
      <c r="G1556" s="11"/>
      <c r="H1556" s="16"/>
      <c r="J1556" s="17"/>
      <c r="K1556" s="20"/>
      <c r="L1556" s="16"/>
      <c r="N1556" s="20"/>
      <c r="O1556" s="18"/>
    </row>
    <row r="1557" spans="1:15" x14ac:dyDescent="0.2">
      <c r="A1557" s="10"/>
      <c r="B1557" s="11"/>
      <c r="C1557" s="12"/>
      <c r="D1557" s="11"/>
      <c r="E1557" s="13"/>
      <c r="F1557" s="14"/>
      <c r="G1557" s="11"/>
      <c r="H1557" s="16"/>
      <c r="J1557" s="17"/>
      <c r="K1557" s="20"/>
      <c r="L1557" s="16"/>
      <c r="N1557" s="20"/>
      <c r="O1557" s="18"/>
    </row>
    <row r="1558" spans="1:15" x14ac:dyDescent="0.2">
      <c r="A1558" s="10"/>
      <c r="B1558" s="11"/>
      <c r="C1558" s="12"/>
      <c r="D1558" s="11"/>
      <c r="E1558" s="13"/>
      <c r="F1558" s="14"/>
      <c r="G1558" s="11"/>
      <c r="H1558" s="16"/>
      <c r="J1558" s="17"/>
      <c r="K1558" s="20"/>
      <c r="L1558" s="16"/>
      <c r="N1558" s="20"/>
      <c r="O1558" s="18"/>
    </row>
    <row r="1559" spans="1:15" x14ac:dyDescent="0.2">
      <c r="A1559" s="10"/>
      <c r="B1559" s="11"/>
      <c r="C1559" s="12"/>
      <c r="D1559" s="11"/>
      <c r="E1559" s="13"/>
      <c r="F1559" s="14"/>
      <c r="G1559" s="11"/>
      <c r="H1559" s="16"/>
      <c r="J1559" s="17"/>
      <c r="K1559" s="20"/>
      <c r="L1559" s="16"/>
      <c r="N1559" s="20"/>
      <c r="O1559" s="18"/>
    </row>
    <row r="1560" spans="1:15" x14ac:dyDescent="0.2">
      <c r="A1560" s="10"/>
      <c r="B1560" s="11"/>
      <c r="C1560" s="12"/>
      <c r="D1560" s="11"/>
      <c r="E1560" s="13"/>
      <c r="F1560" s="14"/>
      <c r="G1560" s="11"/>
      <c r="H1560" s="16"/>
      <c r="J1560" s="17"/>
      <c r="K1560" s="20"/>
      <c r="L1560" s="16"/>
      <c r="N1560" s="20"/>
      <c r="O1560" s="18"/>
    </row>
    <row r="1561" spans="1:15" x14ac:dyDescent="0.2">
      <c r="A1561" s="10"/>
      <c r="B1561" s="11"/>
      <c r="C1561" s="12"/>
      <c r="D1561" s="11"/>
      <c r="E1561" s="13"/>
      <c r="F1561" s="14"/>
      <c r="G1561" s="11"/>
      <c r="H1561" s="16"/>
      <c r="J1561" s="17"/>
      <c r="K1561" s="20"/>
      <c r="L1561" s="16"/>
      <c r="N1561" s="20"/>
      <c r="O1561" s="18"/>
    </row>
    <row r="1562" spans="1:15" x14ac:dyDescent="0.2">
      <c r="A1562" s="10"/>
      <c r="B1562" s="11"/>
      <c r="C1562" s="12"/>
      <c r="D1562" s="11"/>
      <c r="E1562" s="13"/>
      <c r="F1562" s="14"/>
      <c r="G1562" s="11"/>
      <c r="H1562" s="16"/>
      <c r="J1562" s="17"/>
      <c r="K1562" s="20"/>
      <c r="L1562" s="16"/>
      <c r="N1562" s="20"/>
      <c r="O1562" s="18"/>
    </row>
    <row r="1563" spans="1:15" x14ac:dyDescent="0.2">
      <c r="A1563" s="10"/>
      <c r="B1563" s="11"/>
      <c r="C1563" s="12"/>
      <c r="D1563" s="11"/>
      <c r="E1563" s="13"/>
      <c r="F1563" s="14"/>
      <c r="G1563" s="11"/>
      <c r="H1563" s="16"/>
      <c r="J1563" s="17"/>
      <c r="K1563" s="20"/>
      <c r="L1563" s="16"/>
      <c r="N1563" s="20"/>
      <c r="O1563" s="18"/>
    </row>
    <row r="1564" spans="1:15" x14ac:dyDescent="0.2">
      <c r="A1564" s="10"/>
      <c r="B1564" s="11"/>
      <c r="C1564" s="12"/>
      <c r="D1564" s="11"/>
      <c r="E1564" s="13"/>
      <c r="F1564" s="14"/>
      <c r="G1564" s="11"/>
      <c r="H1564" s="16"/>
      <c r="J1564" s="17"/>
      <c r="K1564" s="20"/>
      <c r="L1564" s="16"/>
      <c r="N1564" s="20"/>
      <c r="O1564" s="18"/>
    </row>
    <row r="1565" spans="1:15" x14ac:dyDescent="0.2">
      <c r="A1565" s="10"/>
      <c r="B1565" s="11"/>
      <c r="C1565" s="12"/>
      <c r="D1565" s="11"/>
      <c r="E1565" s="13"/>
      <c r="F1565" s="14"/>
      <c r="G1565" s="11"/>
      <c r="H1565" s="16"/>
      <c r="J1565" s="17"/>
      <c r="K1565" s="20"/>
      <c r="L1565" s="16"/>
      <c r="N1565" s="20"/>
      <c r="O1565" s="18"/>
    </row>
    <row r="1566" spans="1:15" x14ac:dyDescent="0.2">
      <c r="A1566" s="10"/>
      <c r="B1566" s="11"/>
      <c r="C1566" s="12"/>
      <c r="D1566" s="11"/>
      <c r="E1566" s="13"/>
      <c r="F1566" s="14"/>
      <c r="G1566" s="11"/>
      <c r="H1566" s="16"/>
      <c r="J1566" s="17"/>
      <c r="K1566" s="20"/>
      <c r="L1566" s="16"/>
      <c r="N1566" s="20"/>
      <c r="O1566" s="18"/>
    </row>
    <row r="1567" spans="1:15" x14ac:dyDescent="0.2">
      <c r="A1567" s="10"/>
      <c r="B1567" s="11"/>
      <c r="C1567" s="12"/>
      <c r="D1567" s="11"/>
      <c r="E1567" s="13"/>
      <c r="F1567" s="14"/>
      <c r="G1567" s="11"/>
      <c r="H1567" s="16"/>
      <c r="J1567" s="17"/>
      <c r="K1567" s="20"/>
      <c r="L1567" s="16"/>
      <c r="N1567" s="20"/>
      <c r="O1567" s="18"/>
    </row>
    <row r="1568" spans="1:15" x14ac:dyDescent="0.2">
      <c r="A1568" s="10"/>
      <c r="B1568" s="11"/>
      <c r="C1568" s="12"/>
      <c r="D1568" s="11"/>
      <c r="E1568" s="13"/>
      <c r="F1568" s="14"/>
      <c r="G1568" s="11"/>
      <c r="H1568" s="16"/>
      <c r="J1568" s="17"/>
      <c r="K1568" s="20"/>
      <c r="L1568" s="16"/>
      <c r="N1568" s="20"/>
      <c r="O1568" s="18"/>
    </row>
    <row r="1569" spans="1:15" x14ac:dyDescent="0.2">
      <c r="A1569" s="10"/>
      <c r="B1569" s="11"/>
      <c r="C1569" s="12"/>
      <c r="D1569" s="11"/>
      <c r="E1569" s="13"/>
      <c r="F1569" s="14"/>
      <c r="G1569" s="11"/>
      <c r="H1569" s="16"/>
      <c r="J1569" s="17"/>
      <c r="K1569" s="20"/>
      <c r="L1569" s="16"/>
      <c r="N1569" s="20"/>
      <c r="O1569" s="18"/>
    </row>
    <row r="1570" spans="1:15" x14ac:dyDescent="0.2">
      <c r="A1570" s="10"/>
      <c r="B1570" s="11"/>
      <c r="C1570" s="12"/>
      <c r="D1570" s="11"/>
      <c r="E1570" s="13"/>
      <c r="F1570" s="14"/>
      <c r="G1570" s="11"/>
      <c r="H1570" s="16"/>
      <c r="J1570" s="17"/>
      <c r="K1570" s="20"/>
      <c r="L1570" s="16"/>
      <c r="N1570" s="20"/>
      <c r="O1570" s="18"/>
    </row>
    <row r="1571" spans="1:15" x14ac:dyDescent="0.2">
      <c r="A1571" s="10"/>
      <c r="B1571" s="11"/>
      <c r="C1571" s="12"/>
      <c r="D1571" s="11"/>
      <c r="E1571" s="13"/>
      <c r="F1571" s="14"/>
      <c r="G1571" s="11"/>
      <c r="H1571" s="16"/>
      <c r="J1571" s="17"/>
      <c r="K1571" s="20"/>
      <c r="L1571" s="16"/>
      <c r="N1571" s="20"/>
      <c r="O1571" s="18"/>
    </row>
    <row r="1572" spans="1:15" x14ac:dyDescent="0.2">
      <c r="A1572" s="10"/>
      <c r="B1572" s="11"/>
      <c r="C1572" s="12"/>
      <c r="D1572" s="11"/>
      <c r="E1572" s="13"/>
      <c r="F1572" s="14"/>
      <c r="G1572" s="11"/>
      <c r="H1572" s="16"/>
      <c r="J1572" s="17"/>
      <c r="K1572" s="20"/>
      <c r="L1572" s="16"/>
      <c r="N1572" s="20"/>
      <c r="O1572" s="18"/>
    </row>
    <row r="1573" spans="1:15" x14ac:dyDescent="0.2">
      <c r="A1573" s="10"/>
      <c r="B1573" s="11"/>
      <c r="C1573" s="12"/>
      <c r="D1573" s="11"/>
      <c r="E1573" s="13"/>
      <c r="F1573" s="14"/>
      <c r="G1573" s="11"/>
      <c r="H1573" s="16"/>
      <c r="J1573" s="17"/>
      <c r="K1573" s="20"/>
      <c r="L1573" s="16"/>
      <c r="N1573" s="20"/>
      <c r="O1573" s="18"/>
    </row>
    <row r="1574" spans="1:15" x14ac:dyDescent="0.2">
      <c r="A1574" s="10"/>
      <c r="B1574" s="11"/>
      <c r="C1574" s="12"/>
      <c r="D1574" s="11"/>
      <c r="E1574" s="13"/>
      <c r="F1574" s="14"/>
      <c r="G1574" s="11"/>
      <c r="H1574" s="16"/>
      <c r="J1574" s="17"/>
      <c r="K1574" s="20"/>
      <c r="L1574" s="16"/>
      <c r="N1574" s="20"/>
      <c r="O1574" s="18"/>
    </row>
    <row r="1575" spans="1:15" x14ac:dyDescent="0.2">
      <c r="A1575" s="10"/>
      <c r="B1575" s="11"/>
      <c r="C1575" s="12"/>
      <c r="D1575" s="11"/>
      <c r="E1575" s="13"/>
      <c r="F1575" s="14"/>
      <c r="G1575" s="11"/>
      <c r="H1575" s="16"/>
      <c r="J1575" s="17"/>
      <c r="K1575" s="20"/>
      <c r="L1575" s="16"/>
      <c r="N1575" s="20"/>
      <c r="O1575" s="18"/>
    </row>
    <row r="1576" spans="1:15" x14ac:dyDescent="0.2">
      <c r="A1576" s="10"/>
      <c r="B1576" s="11"/>
      <c r="C1576" s="12"/>
      <c r="D1576" s="11"/>
      <c r="E1576" s="13"/>
      <c r="F1576" s="14"/>
      <c r="G1576" s="11"/>
      <c r="H1576" s="16"/>
      <c r="J1576" s="17"/>
      <c r="K1576" s="20"/>
      <c r="L1576" s="16"/>
      <c r="N1576" s="20"/>
      <c r="O1576" s="18"/>
    </row>
    <row r="1577" spans="1:15" x14ac:dyDescent="0.2">
      <c r="A1577" s="10"/>
      <c r="B1577" s="11"/>
      <c r="C1577" s="12"/>
      <c r="D1577" s="11"/>
      <c r="E1577" s="13"/>
      <c r="F1577" s="14"/>
      <c r="G1577" s="11"/>
      <c r="H1577" s="16"/>
      <c r="J1577" s="17"/>
      <c r="K1577" s="20"/>
      <c r="L1577" s="16"/>
      <c r="N1577" s="20"/>
      <c r="O1577" s="18"/>
    </row>
    <row r="1578" spans="1:15" x14ac:dyDescent="0.2">
      <c r="A1578" s="10"/>
      <c r="B1578" s="11"/>
      <c r="C1578" s="12"/>
      <c r="D1578" s="11"/>
      <c r="E1578" s="13"/>
      <c r="F1578" s="14"/>
      <c r="G1578" s="11"/>
      <c r="H1578" s="16"/>
      <c r="J1578" s="17"/>
      <c r="K1578" s="20"/>
      <c r="L1578" s="16"/>
      <c r="N1578" s="20"/>
      <c r="O1578" s="18"/>
    </row>
    <row r="1579" spans="1:15" x14ac:dyDescent="0.2">
      <c r="A1579" s="10"/>
      <c r="B1579" s="11"/>
      <c r="C1579" s="12"/>
      <c r="D1579" s="11"/>
      <c r="E1579" s="13"/>
      <c r="F1579" s="14"/>
      <c r="G1579" s="11"/>
      <c r="H1579" s="16"/>
      <c r="J1579" s="17"/>
      <c r="K1579" s="20"/>
      <c r="L1579" s="16"/>
      <c r="N1579" s="20"/>
      <c r="O1579" s="18"/>
    </row>
    <row r="1580" spans="1:15" x14ac:dyDescent="0.2">
      <c r="A1580" s="10"/>
      <c r="B1580" s="11"/>
      <c r="C1580" s="12"/>
      <c r="D1580" s="11"/>
      <c r="E1580" s="13"/>
      <c r="F1580" s="14"/>
      <c r="G1580" s="11"/>
      <c r="H1580" s="16"/>
      <c r="J1580" s="17"/>
      <c r="K1580" s="20"/>
      <c r="L1580" s="16"/>
      <c r="N1580" s="20"/>
      <c r="O1580" s="18"/>
    </row>
    <row r="1581" spans="1:15" x14ac:dyDescent="0.2">
      <c r="A1581" s="10"/>
      <c r="B1581" s="11"/>
      <c r="C1581" s="12"/>
      <c r="D1581" s="11"/>
      <c r="E1581" s="13"/>
      <c r="F1581" s="14"/>
      <c r="G1581" s="11"/>
      <c r="H1581" s="16"/>
      <c r="J1581" s="17"/>
      <c r="K1581" s="20"/>
      <c r="L1581" s="16"/>
      <c r="N1581" s="20"/>
      <c r="O1581" s="18"/>
    </row>
    <row r="1582" spans="1:15" x14ac:dyDescent="0.2">
      <c r="A1582" s="10"/>
      <c r="B1582" s="11"/>
      <c r="C1582" s="12"/>
      <c r="D1582" s="11"/>
      <c r="E1582" s="13"/>
      <c r="F1582" s="14"/>
      <c r="G1582" s="11"/>
      <c r="H1582" s="16"/>
      <c r="J1582" s="17"/>
      <c r="K1582" s="20"/>
      <c r="L1582" s="16"/>
      <c r="N1582" s="20"/>
      <c r="O1582" s="18"/>
    </row>
    <row r="1583" spans="1:15" x14ac:dyDescent="0.2">
      <c r="A1583" s="10"/>
      <c r="B1583" s="11"/>
      <c r="C1583" s="12"/>
      <c r="D1583" s="11"/>
      <c r="E1583" s="13"/>
      <c r="F1583" s="14"/>
      <c r="G1583" s="11"/>
      <c r="H1583" s="16"/>
      <c r="J1583" s="17"/>
      <c r="K1583" s="20"/>
      <c r="L1583" s="16"/>
      <c r="N1583" s="20"/>
      <c r="O1583" s="18"/>
    </row>
    <row r="1584" spans="1:15" x14ac:dyDescent="0.2">
      <c r="A1584" s="10"/>
      <c r="B1584" s="11"/>
      <c r="C1584" s="12"/>
      <c r="D1584" s="11"/>
      <c r="E1584" s="13"/>
      <c r="F1584" s="14"/>
      <c r="G1584" s="11"/>
      <c r="H1584" s="16"/>
      <c r="J1584" s="17"/>
      <c r="K1584" s="20"/>
      <c r="L1584" s="16"/>
      <c r="N1584" s="20"/>
      <c r="O1584" s="18"/>
    </row>
    <row r="1585" spans="1:15" x14ac:dyDescent="0.2">
      <c r="A1585" s="10"/>
      <c r="B1585" s="11"/>
      <c r="C1585" s="12"/>
      <c r="D1585" s="11"/>
      <c r="E1585" s="13"/>
      <c r="F1585" s="14"/>
      <c r="G1585" s="11"/>
      <c r="H1585" s="16"/>
      <c r="J1585" s="17"/>
      <c r="K1585" s="20"/>
      <c r="L1585" s="16"/>
      <c r="N1585" s="20"/>
      <c r="O1585" s="18"/>
    </row>
    <row r="1586" spans="1:15" x14ac:dyDescent="0.2">
      <c r="A1586" s="10"/>
      <c r="B1586" s="11"/>
      <c r="C1586" s="12"/>
      <c r="D1586" s="11"/>
      <c r="E1586" s="13"/>
      <c r="F1586" s="14"/>
      <c r="G1586" s="11"/>
      <c r="H1586" s="16"/>
      <c r="J1586" s="17"/>
      <c r="K1586" s="20"/>
      <c r="L1586" s="16"/>
      <c r="N1586" s="20"/>
      <c r="O1586" s="18"/>
    </row>
    <row r="1587" spans="1:15" x14ac:dyDescent="0.2">
      <c r="A1587" s="10"/>
      <c r="B1587" s="11"/>
      <c r="C1587" s="12"/>
      <c r="D1587" s="11"/>
      <c r="E1587" s="13"/>
      <c r="F1587" s="14"/>
      <c r="G1587" s="11"/>
      <c r="H1587" s="16"/>
      <c r="J1587" s="17"/>
      <c r="K1587" s="20"/>
      <c r="L1587" s="16"/>
      <c r="N1587" s="20"/>
      <c r="O1587" s="18"/>
    </row>
    <row r="1588" spans="1:15" x14ac:dyDescent="0.2">
      <c r="A1588" s="10"/>
      <c r="B1588" s="11"/>
      <c r="C1588" s="12"/>
      <c r="D1588" s="11"/>
      <c r="E1588" s="13"/>
      <c r="F1588" s="14"/>
      <c r="G1588" s="11"/>
      <c r="H1588" s="16"/>
      <c r="J1588" s="17"/>
      <c r="K1588" s="20"/>
      <c r="L1588" s="16"/>
      <c r="N1588" s="20"/>
      <c r="O1588" s="18"/>
    </row>
    <row r="1589" spans="1:15" x14ac:dyDescent="0.2">
      <c r="A1589" s="10"/>
      <c r="B1589" s="11"/>
      <c r="C1589" s="12"/>
      <c r="D1589" s="11"/>
      <c r="E1589" s="13"/>
      <c r="F1589" s="14"/>
      <c r="G1589" s="11"/>
      <c r="H1589" s="16"/>
      <c r="J1589" s="17"/>
      <c r="K1589" s="20"/>
      <c r="L1589" s="16"/>
      <c r="N1589" s="20"/>
      <c r="O1589" s="18"/>
    </row>
    <row r="1590" spans="1:15" x14ac:dyDescent="0.2">
      <c r="A1590" s="10"/>
      <c r="B1590" s="11"/>
      <c r="C1590" s="12"/>
      <c r="D1590" s="11"/>
      <c r="E1590" s="13"/>
      <c r="F1590" s="14"/>
      <c r="G1590" s="11"/>
      <c r="H1590" s="16"/>
      <c r="J1590" s="17"/>
      <c r="K1590" s="20"/>
      <c r="L1590" s="16"/>
      <c r="N1590" s="20"/>
      <c r="O1590" s="18"/>
    </row>
    <row r="1591" spans="1:15" x14ac:dyDescent="0.2">
      <c r="A1591" s="10"/>
      <c r="B1591" s="11"/>
      <c r="C1591" s="12"/>
      <c r="D1591" s="11"/>
      <c r="E1591" s="13"/>
      <c r="F1591" s="14"/>
      <c r="G1591" s="11"/>
      <c r="H1591" s="16"/>
      <c r="J1591" s="17"/>
      <c r="K1591" s="20"/>
      <c r="L1591" s="16"/>
      <c r="N1591" s="20"/>
      <c r="O1591" s="18"/>
    </row>
    <row r="1592" spans="1:15" x14ac:dyDescent="0.2">
      <c r="A1592" s="10"/>
      <c r="B1592" s="11"/>
      <c r="C1592" s="12"/>
      <c r="D1592" s="11"/>
      <c r="E1592" s="13"/>
      <c r="F1592" s="14"/>
      <c r="G1592" s="11"/>
      <c r="H1592" s="16"/>
      <c r="J1592" s="17"/>
      <c r="K1592" s="20"/>
      <c r="L1592" s="16"/>
      <c r="N1592" s="20"/>
      <c r="O1592" s="18"/>
    </row>
    <row r="1593" spans="1:15" x14ac:dyDescent="0.2">
      <c r="A1593" s="10"/>
      <c r="B1593" s="11"/>
      <c r="C1593" s="12"/>
      <c r="D1593" s="11"/>
      <c r="E1593" s="13"/>
      <c r="F1593" s="14"/>
      <c r="G1593" s="11"/>
      <c r="H1593" s="16"/>
      <c r="J1593" s="17"/>
      <c r="K1593" s="20"/>
      <c r="L1593" s="16"/>
      <c r="N1593" s="20"/>
      <c r="O1593" s="18"/>
    </row>
    <row r="1594" spans="1:15" x14ac:dyDescent="0.2">
      <c r="A1594" s="10"/>
      <c r="B1594" s="11"/>
      <c r="C1594" s="12"/>
      <c r="D1594" s="11"/>
      <c r="E1594" s="13"/>
      <c r="F1594" s="14"/>
      <c r="G1594" s="11"/>
      <c r="H1594" s="16"/>
      <c r="J1594" s="17"/>
      <c r="K1594" s="20"/>
      <c r="L1594" s="16"/>
      <c r="N1594" s="20"/>
      <c r="O1594" s="18"/>
    </row>
    <row r="1595" spans="1:15" x14ac:dyDescent="0.2">
      <c r="A1595" s="10"/>
      <c r="B1595" s="11"/>
      <c r="C1595" s="12"/>
      <c r="D1595" s="11"/>
      <c r="E1595" s="13"/>
      <c r="F1595" s="14"/>
      <c r="G1595" s="11"/>
      <c r="H1595" s="16"/>
      <c r="J1595" s="17"/>
      <c r="K1595" s="20"/>
      <c r="L1595" s="16"/>
      <c r="N1595" s="20"/>
      <c r="O1595" s="18"/>
    </row>
    <row r="1596" spans="1:15" x14ac:dyDescent="0.2">
      <c r="A1596" s="10"/>
      <c r="B1596" s="11"/>
      <c r="C1596" s="12"/>
      <c r="D1596" s="11"/>
      <c r="E1596" s="13"/>
      <c r="F1596" s="14"/>
      <c r="G1596" s="11"/>
      <c r="H1596" s="16"/>
      <c r="J1596" s="17"/>
      <c r="K1596" s="20"/>
      <c r="L1596" s="16"/>
      <c r="N1596" s="20"/>
      <c r="O1596" s="18"/>
    </row>
    <row r="1597" spans="1:15" x14ac:dyDescent="0.2">
      <c r="A1597" s="10"/>
      <c r="B1597" s="11"/>
      <c r="C1597" s="12"/>
      <c r="D1597" s="11"/>
      <c r="E1597" s="13"/>
      <c r="F1597" s="14"/>
      <c r="G1597" s="11"/>
      <c r="H1597" s="16"/>
      <c r="J1597" s="17"/>
      <c r="K1597" s="20"/>
      <c r="L1597" s="16"/>
      <c r="N1597" s="20"/>
      <c r="O1597" s="18"/>
    </row>
    <row r="1598" spans="1:15" x14ac:dyDescent="0.2">
      <c r="A1598" s="10"/>
      <c r="B1598" s="11"/>
      <c r="C1598" s="12"/>
      <c r="D1598" s="11"/>
      <c r="E1598" s="13"/>
      <c r="F1598" s="14"/>
      <c r="G1598" s="11"/>
      <c r="H1598" s="16"/>
      <c r="J1598" s="17"/>
      <c r="K1598" s="20"/>
      <c r="L1598" s="16"/>
      <c r="N1598" s="20"/>
      <c r="O1598" s="18"/>
    </row>
    <row r="1599" spans="1:15" x14ac:dyDescent="0.2">
      <c r="A1599" s="10"/>
      <c r="B1599" s="11"/>
      <c r="C1599" s="12"/>
      <c r="D1599" s="11"/>
      <c r="E1599" s="13"/>
      <c r="F1599" s="14"/>
      <c r="G1599" s="11"/>
      <c r="H1599" s="16"/>
      <c r="J1599" s="17"/>
      <c r="K1599" s="20"/>
      <c r="L1599" s="16"/>
      <c r="N1599" s="20"/>
      <c r="O1599" s="18"/>
    </row>
    <row r="1600" spans="1:15" x14ac:dyDescent="0.2">
      <c r="A1600" s="10"/>
      <c r="B1600" s="11"/>
      <c r="C1600" s="12"/>
      <c r="D1600" s="11"/>
      <c r="E1600" s="13"/>
      <c r="F1600" s="14"/>
      <c r="G1600" s="11"/>
      <c r="H1600" s="16"/>
      <c r="J1600" s="17"/>
      <c r="K1600" s="20"/>
      <c r="L1600" s="16"/>
      <c r="N1600" s="20"/>
      <c r="O1600" s="18"/>
    </row>
    <row r="1601" spans="1:15" x14ac:dyDescent="0.2">
      <c r="A1601" s="10"/>
      <c r="B1601" s="11"/>
      <c r="C1601" s="12"/>
      <c r="D1601" s="11"/>
      <c r="E1601" s="13"/>
      <c r="F1601" s="14"/>
      <c r="G1601" s="11"/>
      <c r="H1601" s="16"/>
      <c r="J1601" s="17"/>
      <c r="K1601" s="20"/>
      <c r="L1601" s="16"/>
      <c r="N1601" s="20"/>
      <c r="O1601" s="18"/>
    </row>
    <row r="1602" spans="1:15" x14ac:dyDescent="0.2">
      <c r="A1602" s="10"/>
      <c r="B1602" s="11"/>
      <c r="C1602" s="12"/>
      <c r="D1602" s="11"/>
      <c r="E1602" s="13"/>
      <c r="F1602" s="14"/>
      <c r="G1602" s="11"/>
      <c r="H1602" s="16"/>
      <c r="J1602" s="17"/>
      <c r="K1602" s="20"/>
      <c r="L1602" s="16"/>
      <c r="N1602" s="20"/>
      <c r="O1602" s="18"/>
    </row>
    <row r="1603" spans="1:15" x14ac:dyDescent="0.2">
      <c r="A1603" s="10"/>
      <c r="B1603" s="11"/>
      <c r="C1603" s="12"/>
      <c r="D1603" s="11"/>
      <c r="E1603" s="13"/>
      <c r="F1603" s="14"/>
      <c r="G1603" s="11"/>
      <c r="H1603" s="16"/>
      <c r="J1603" s="17"/>
      <c r="K1603" s="20"/>
      <c r="L1603" s="16"/>
      <c r="N1603" s="20"/>
      <c r="O1603" s="18"/>
    </row>
    <row r="1604" spans="1:15" x14ac:dyDescent="0.2">
      <c r="A1604" s="10"/>
      <c r="B1604" s="11"/>
      <c r="C1604" s="12"/>
      <c r="D1604" s="11"/>
      <c r="E1604" s="13"/>
      <c r="F1604" s="14"/>
      <c r="G1604" s="11"/>
      <c r="H1604" s="16"/>
      <c r="J1604" s="17"/>
      <c r="K1604" s="20"/>
      <c r="L1604" s="16"/>
      <c r="N1604" s="20"/>
      <c r="O1604" s="18"/>
    </row>
    <row r="1605" spans="1:15" x14ac:dyDescent="0.2">
      <c r="A1605" s="10"/>
      <c r="B1605" s="11"/>
      <c r="C1605" s="12"/>
      <c r="D1605" s="11"/>
      <c r="E1605" s="13"/>
      <c r="F1605" s="14"/>
      <c r="G1605" s="11"/>
      <c r="H1605" s="16"/>
      <c r="J1605" s="17"/>
      <c r="K1605" s="20"/>
      <c r="L1605" s="16"/>
      <c r="N1605" s="20"/>
      <c r="O1605" s="18"/>
    </row>
    <row r="1606" spans="1:15" x14ac:dyDescent="0.2">
      <c r="A1606" s="10"/>
      <c r="B1606" s="11"/>
      <c r="C1606" s="12"/>
      <c r="D1606" s="11"/>
      <c r="E1606" s="13"/>
      <c r="F1606" s="14"/>
      <c r="G1606" s="11"/>
      <c r="H1606" s="16"/>
      <c r="J1606" s="17"/>
      <c r="K1606" s="20"/>
      <c r="L1606" s="16"/>
      <c r="N1606" s="20"/>
      <c r="O1606" s="18"/>
    </row>
    <row r="1607" spans="1:15" x14ac:dyDescent="0.2">
      <c r="A1607" s="10"/>
      <c r="B1607" s="11"/>
      <c r="C1607" s="12"/>
      <c r="D1607" s="11"/>
      <c r="E1607" s="13"/>
      <c r="F1607" s="14"/>
      <c r="G1607" s="11"/>
      <c r="H1607" s="16"/>
      <c r="J1607" s="17"/>
      <c r="K1607" s="20"/>
      <c r="L1607" s="16"/>
      <c r="N1607" s="20"/>
      <c r="O1607" s="18"/>
    </row>
    <row r="1608" spans="1:15" x14ac:dyDescent="0.2">
      <c r="A1608" s="10"/>
      <c r="B1608" s="11"/>
      <c r="C1608" s="12"/>
      <c r="D1608" s="11"/>
      <c r="E1608" s="13"/>
      <c r="F1608" s="14"/>
      <c r="G1608" s="11"/>
      <c r="H1608" s="16"/>
      <c r="J1608" s="17"/>
      <c r="K1608" s="20"/>
      <c r="L1608" s="16"/>
      <c r="N1608" s="20"/>
      <c r="O1608" s="18"/>
    </row>
    <row r="1609" spans="1:15" x14ac:dyDescent="0.2">
      <c r="A1609" s="10"/>
      <c r="B1609" s="11"/>
      <c r="C1609" s="12"/>
      <c r="D1609" s="11"/>
      <c r="E1609" s="13"/>
      <c r="F1609" s="14"/>
      <c r="G1609" s="11"/>
      <c r="H1609" s="16"/>
      <c r="J1609" s="17"/>
      <c r="K1609" s="20"/>
      <c r="L1609" s="16"/>
      <c r="N1609" s="20"/>
      <c r="O1609" s="18"/>
    </row>
    <row r="1610" spans="1:15" x14ac:dyDescent="0.2">
      <c r="A1610" s="10"/>
      <c r="B1610" s="11"/>
      <c r="C1610" s="12"/>
      <c r="D1610" s="11"/>
      <c r="E1610" s="13"/>
      <c r="F1610" s="14"/>
      <c r="G1610" s="11"/>
      <c r="H1610" s="16"/>
      <c r="J1610" s="17"/>
      <c r="K1610" s="20"/>
      <c r="L1610" s="16"/>
      <c r="N1610" s="20"/>
      <c r="O1610" s="18"/>
    </row>
    <row r="1611" spans="1:15" x14ac:dyDescent="0.2">
      <c r="A1611" s="10"/>
      <c r="B1611" s="11"/>
      <c r="C1611" s="12"/>
      <c r="D1611" s="11"/>
      <c r="E1611" s="13"/>
      <c r="F1611" s="14"/>
      <c r="G1611" s="11"/>
      <c r="H1611" s="16"/>
      <c r="J1611" s="17"/>
      <c r="K1611" s="20"/>
      <c r="L1611" s="16"/>
      <c r="N1611" s="20"/>
      <c r="O1611" s="18"/>
    </row>
    <row r="1612" spans="1:15" x14ac:dyDescent="0.2">
      <c r="A1612" s="10"/>
      <c r="B1612" s="11"/>
      <c r="C1612" s="12"/>
      <c r="D1612" s="11"/>
      <c r="E1612" s="13"/>
      <c r="F1612" s="14"/>
      <c r="G1612" s="11"/>
      <c r="H1612" s="16"/>
      <c r="J1612" s="17"/>
      <c r="K1612" s="20"/>
      <c r="L1612" s="16"/>
      <c r="N1612" s="20"/>
      <c r="O1612" s="18"/>
    </row>
    <row r="1613" spans="1:15" x14ac:dyDescent="0.2">
      <c r="A1613" s="10"/>
      <c r="B1613" s="11"/>
      <c r="C1613" s="12"/>
      <c r="D1613" s="11"/>
      <c r="E1613" s="13"/>
      <c r="F1613" s="14"/>
      <c r="G1613" s="11"/>
      <c r="H1613" s="16"/>
      <c r="J1613" s="17"/>
      <c r="K1613" s="20"/>
      <c r="L1613" s="16"/>
      <c r="N1613" s="20"/>
      <c r="O1613" s="18"/>
    </row>
    <row r="1614" spans="1:15" x14ac:dyDescent="0.2">
      <c r="A1614" s="10"/>
      <c r="B1614" s="11"/>
      <c r="C1614" s="12"/>
      <c r="D1614" s="11"/>
      <c r="E1614" s="13"/>
      <c r="F1614" s="14"/>
      <c r="G1614" s="11"/>
      <c r="H1614" s="16"/>
      <c r="J1614" s="17"/>
      <c r="K1614" s="20"/>
      <c r="L1614" s="16"/>
      <c r="N1614" s="20"/>
      <c r="O1614" s="18"/>
    </row>
    <row r="1615" spans="1:15" x14ac:dyDescent="0.2">
      <c r="A1615" s="10"/>
      <c r="B1615" s="11"/>
      <c r="C1615" s="12"/>
      <c r="D1615" s="11"/>
      <c r="E1615" s="13"/>
      <c r="F1615" s="14"/>
      <c r="G1615" s="11"/>
      <c r="H1615" s="16"/>
      <c r="J1615" s="17"/>
      <c r="K1615" s="20"/>
      <c r="L1615" s="16"/>
      <c r="N1615" s="20"/>
      <c r="O1615" s="18"/>
    </row>
    <row r="1616" spans="1:15" x14ac:dyDescent="0.2">
      <c r="A1616" s="10"/>
      <c r="B1616" s="11"/>
      <c r="C1616" s="12"/>
      <c r="D1616" s="11"/>
      <c r="E1616" s="13"/>
      <c r="F1616" s="14"/>
      <c r="G1616" s="11"/>
      <c r="H1616" s="16"/>
      <c r="J1616" s="17"/>
      <c r="K1616" s="20"/>
      <c r="L1616" s="16"/>
      <c r="N1616" s="20"/>
      <c r="O1616" s="18"/>
    </row>
    <row r="1617" spans="1:15" x14ac:dyDescent="0.2">
      <c r="A1617" s="10"/>
      <c r="B1617" s="11"/>
      <c r="C1617" s="12"/>
      <c r="D1617" s="11"/>
      <c r="E1617" s="13"/>
      <c r="F1617" s="14"/>
      <c r="G1617" s="11"/>
      <c r="H1617" s="16"/>
      <c r="J1617" s="17"/>
      <c r="K1617" s="20"/>
      <c r="L1617" s="16"/>
      <c r="N1617" s="20"/>
      <c r="O1617" s="18"/>
    </row>
    <row r="1618" spans="1:15" x14ac:dyDescent="0.2">
      <c r="A1618" s="10"/>
      <c r="B1618" s="11"/>
      <c r="C1618" s="12"/>
      <c r="D1618" s="11"/>
      <c r="E1618" s="13"/>
      <c r="F1618" s="14"/>
      <c r="G1618" s="11"/>
      <c r="H1618" s="16"/>
      <c r="J1618" s="17"/>
      <c r="K1618" s="20"/>
      <c r="L1618" s="16"/>
      <c r="N1618" s="20"/>
      <c r="O1618" s="18"/>
    </row>
    <row r="1619" spans="1:15" x14ac:dyDescent="0.2">
      <c r="A1619" s="10"/>
      <c r="B1619" s="11"/>
      <c r="C1619" s="12"/>
      <c r="D1619" s="11"/>
      <c r="E1619" s="13"/>
      <c r="F1619" s="14"/>
      <c r="G1619" s="11"/>
      <c r="H1619" s="16"/>
      <c r="J1619" s="17"/>
      <c r="K1619" s="20"/>
      <c r="L1619" s="16"/>
      <c r="N1619" s="20"/>
      <c r="O1619" s="18"/>
    </row>
    <row r="1620" spans="1:15" x14ac:dyDescent="0.2">
      <c r="A1620" s="10"/>
      <c r="B1620" s="11"/>
      <c r="C1620" s="12"/>
      <c r="D1620" s="11"/>
      <c r="E1620" s="13"/>
      <c r="F1620" s="14"/>
      <c r="G1620" s="11"/>
      <c r="H1620" s="16"/>
      <c r="J1620" s="17"/>
      <c r="K1620" s="20"/>
      <c r="L1620" s="16"/>
      <c r="N1620" s="20"/>
      <c r="O1620" s="18"/>
    </row>
    <row r="1621" spans="1:15" x14ac:dyDescent="0.2">
      <c r="A1621" s="10"/>
      <c r="B1621" s="11"/>
      <c r="C1621" s="12"/>
      <c r="D1621" s="11"/>
      <c r="E1621" s="13"/>
      <c r="F1621" s="14"/>
      <c r="G1621" s="11"/>
      <c r="H1621" s="16"/>
      <c r="J1621" s="17"/>
      <c r="K1621" s="20"/>
      <c r="L1621" s="16"/>
      <c r="N1621" s="20"/>
      <c r="O1621" s="18"/>
    </row>
    <row r="1622" spans="1:15" x14ac:dyDescent="0.2">
      <c r="A1622" s="10"/>
      <c r="B1622" s="11"/>
      <c r="C1622" s="12"/>
      <c r="D1622" s="11"/>
      <c r="E1622" s="13"/>
      <c r="F1622" s="14"/>
      <c r="G1622" s="11"/>
      <c r="H1622" s="16"/>
      <c r="J1622" s="17"/>
      <c r="K1622" s="20"/>
      <c r="L1622" s="16"/>
      <c r="N1622" s="20"/>
      <c r="O1622" s="18"/>
    </row>
    <row r="1623" spans="1:15" x14ac:dyDescent="0.2">
      <c r="A1623" s="10"/>
      <c r="B1623" s="11"/>
      <c r="C1623" s="12"/>
      <c r="D1623" s="11"/>
      <c r="E1623" s="13"/>
      <c r="F1623" s="14"/>
      <c r="G1623" s="11"/>
      <c r="H1623" s="16"/>
      <c r="J1623" s="17"/>
      <c r="K1623" s="20"/>
      <c r="L1623" s="16"/>
      <c r="N1623" s="20"/>
      <c r="O1623" s="18"/>
    </row>
    <row r="1624" spans="1:15" x14ac:dyDescent="0.2">
      <c r="A1624" s="10"/>
      <c r="B1624" s="11"/>
      <c r="C1624" s="12"/>
      <c r="D1624" s="11"/>
      <c r="E1624" s="13"/>
      <c r="F1624" s="14"/>
      <c r="G1624" s="11"/>
      <c r="H1624" s="16"/>
      <c r="J1624" s="17"/>
      <c r="K1624" s="20"/>
      <c r="L1624" s="16"/>
      <c r="N1624" s="20"/>
      <c r="O1624" s="18"/>
    </row>
    <row r="1625" spans="1:15" x14ac:dyDescent="0.2">
      <c r="A1625" s="10"/>
      <c r="B1625" s="11"/>
      <c r="C1625" s="12"/>
      <c r="D1625" s="11"/>
      <c r="E1625" s="13"/>
      <c r="F1625" s="14"/>
      <c r="G1625" s="11"/>
      <c r="H1625" s="16"/>
      <c r="J1625" s="17"/>
      <c r="K1625" s="20"/>
      <c r="L1625" s="16"/>
      <c r="N1625" s="20"/>
      <c r="O1625" s="18"/>
    </row>
    <row r="1626" spans="1:15" x14ac:dyDescent="0.2">
      <c r="A1626" s="10"/>
      <c r="B1626" s="11"/>
      <c r="C1626" s="12"/>
      <c r="D1626" s="11"/>
      <c r="E1626" s="13"/>
      <c r="F1626" s="14"/>
      <c r="G1626" s="11"/>
      <c r="H1626" s="16"/>
      <c r="J1626" s="17"/>
      <c r="K1626" s="20"/>
      <c r="L1626" s="16"/>
      <c r="N1626" s="20"/>
      <c r="O1626" s="18"/>
    </row>
    <row r="1627" spans="1:15" x14ac:dyDescent="0.2">
      <c r="A1627" s="10"/>
      <c r="B1627" s="11"/>
      <c r="C1627" s="12"/>
      <c r="D1627" s="11"/>
      <c r="E1627" s="13"/>
      <c r="F1627" s="14"/>
      <c r="G1627" s="11"/>
      <c r="H1627" s="16"/>
      <c r="J1627" s="17"/>
      <c r="K1627" s="20"/>
      <c r="L1627" s="16"/>
      <c r="N1627" s="20"/>
      <c r="O1627" s="18"/>
    </row>
    <row r="1628" spans="1:15" x14ac:dyDescent="0.2">
      <c r="A1628" s="10"/>
      <c r="B1628" s="11"/>
      <c r="C1628" s="12"/>
      <c r="D1628" s="11"/>
      <c r="E1628" s="13"/>
      <c r="F1628" s="14"/>
      <c r="G1628" s="11"/>
      <c r="H1628" s="16"/>
      <c r="J1628" s="17"/>
      <c r="K1628" s="20"/>
      <c r="L1628" s="16"/>
      <c r="N1628" s="20"/>
      <c r="O1628" s="18"/>
    </row>
    <row r="1629" spans="1:15" x14ac:dyDescent="0.2">
      <c r="A1629" s="10"/>
      <c r="B1629" s="11"/>
      <c r="C1629" s="12"/>
      <c r="D1629" s="11"/>
      <c r="E1629" s="13"/>
      <c r="F1629" s="14"/>
      <c r="G1629" s="11"/>
      <c r="H1629" s="16"/>
      <c r="J1629" s="17"/>
      <c r="K1629" s="20"/>
      <c r="L1629" s="16"/>
      <c r="N1629" s="20"/>
      <c r="O1629" s="18"/>
    </row>
    <row r="1630" spans="1:15" x14ac:dyDescent="0.2">
      <c r="A1630" s="10"/>
      <c r="B1630" s="11"/>
      <c r="C1630" s="12"/>
      <c r="D1630" s="11"/>
      <c r="E1630" s="13"/>
      <c r="F1630" s="14"/>
      <c r="G1630" s="11"/>
      <c r="H1630" s="16"/>
      <c r="J1630" s="17"/>
      <c r="K1630" s="20"/>
      <c r="L1630" s="16"/>
      <c r="N1630" s="20"/>
      <c r="O1630" s="18"/>
    </row>
    <row r="1631" spans="1:15" x14ac:dyDescent="0.2">
      <c r="A1631" s="10"/>
      <c r="B1631" s="11"/>
      <c r="C1631" s="12"/>
      <c r="D1631" s="11"/>
      <c r="E1631" s="13"/>
      <c r="F1631" s="14"/>
      <c r="G1631" s="11"/>
      <c r="H1631" s="16"/>
      <c r="J1631" s="17"/>
      <c r="K1631" s="20"/>
      <c r="L1631" s="16"/>
      <c r="N1631" s="20"/>
      <c r="O1631" s="18"/>
    </row>
    <row r="1632" spans="1:15" x14ac:dyDescent="0.2">
      <c r="A1632" s="10"/>
      <c r="B1632" s="11"/>
      <c r="C1632" s="12"/>
      <c r="D1632" s="11"/>
      <c r="E1632" s="13"/>
      <c r="F1632" s="14"/>
      <c r="G1632" s="11"/>
      <c r="H1632" s="16"/>
      <c r="J1632" s="17"/>
      <c r="K1632" s="20"/>
      <c r="L1632" s="16"/>
      <c r="N1632" s="20"/>
      <c r="O1632" s="18"/>
    </row>
    <row r="1633" spans="1:15" x14ac:dyDescent="0.2">
      <c r="A1633" s="10"/>
      <c r="B1633" s="11"/>
      <c r="C1633" s="12"/>
      <c r="D1633" s="11"/>
      <c r="E1633" s="13"/>
      <c r="F1633" s="14"/>
      <c r="G1633" s="11"/>
      <c r="H1633" s="16"/>
      <c r="J1633" s="17"/>
      <c r="K1633" s="20"/>
      <c r="L1633" s="16"/>
      <c r="N1633" s="20"/>
      <c r="O1633" s="18"/>
    </row>
    <row r="1634" spans="1:15" x14ac:dyDescent="0.2">
      <c r="A1634" s="10"/>
      <c r="B1634" s="11"/>
      <c r="C1634" s="12"/>
      <c r="D1634" s="11"/>
      <c r="E1634" s="13"/>
      <c r="F1634" s="14"/>
      <c r="G1634" s="11"/>
      <c r="H1634" s="16"/>
      <c r="J1634" s="17"/>
      <c r="K1634" s="20"/>
      <c r="L1634" s="16"/>
      <c r="N1634" s="20"/>
      <c r="O1634" s="18"/>
    </row>
    <row r="1635" spans="1:15" x14ac:dyDescent="0.2">
      <c r="A1635" s="10"/>
      <c r="B1635" s="11"/>
      <c r="C1635" s="12"/>
      <c r="D1635" s="11"/>
      <c r="E1635" s="13"/>
      <c r="F1635" s="14"/>
      <c r="G1635" s="11"/>
      <c r="H1635" s="16"/>
      <c r="J1635" s="17"/>
      <c r="K1635" s="20"/>
      <c r="L1635" s="16"/>
      <c r="N1635" s="20"/>
      <c r="O1635" s="18"/>
    </row>
    <row r="1636" spans="1:15" x14ac:dyDescent="0.2">
      <c r="A1636" s="10"/>
      <c r="B1636" s="11"/>
      <c r="C1636" s="12"/>
      <c r="D1636" s="11"/>
      <c r="E1636" s="13"/>
      <c r="F1636" s="14"/>
      <c r="G1636" s="11"/>
      <c r="H1636" s="16"/>
      <c r="J1636" s="17"/>
      <c r="K1636" s="20"/>
      <c r="L1636" s="16"/>
      <c r="N1636" s="20"/>
      <c r="O1636" s="18"/>
    </row>
    <row r="1637" spans="1:15" x14ac:dyDescent="0.2">
      <c r="A1637" s="10"/>
      <c r="B1637" s="11"/>
      <c r="C1637" s="12"/>
      <c r="D1637" s="11"/>
      <c r="E1637" s="13"/>
      <c r="F1637" s="14"/>
      <c r="G1637" s="11"/>
      <c r="H1637" s="16"/>
      <c r="J1637" s="17"/>
      <c r="K1637" s="20"/>
      <c r="L1637" s="16"/>
      <c r="N1637" s="20"/>
      <c r="O1637" s="18"/>
    </row>
    <row r="1638" spans="1:15" x14ac:dyDescent="0.2">
      <c r="A1638" s="10"/>
      <c r="B1638" s="11"/>
      <c r="C1638" s="12"/>
      <c r="D1638" s="11"/>
      <c r="E1638" s="13"/>
      <c r="F1638" s="14"/>
      <c r="G1638" s="11"/>
      <c r="H1638" s="16"/>
      <c r="J1638" s="17"/>
      <c r="K1638" s="20"/>
      <c r="L1638" s="16"/>
      <c r="N1638" s="20"/>
      <c r="O1638" s="18"/>
    </row>
    <row r="1639" spans="1:15" x14ac:dyDescent="0.2">
      <c r="A1639" s="10"/>
      <c r="B1639" s="11"/>
      <c r="C1639" s="12"/>
      <c r="D1639" s="11"/>
      <c r="E1639" s="13"/>
      <c r="F1639" s="14"/>
      <c r="G1639" s="11"/>
      <c r="H1639" s="16"/>
      <c r="J1639" s="17"/>
      <c r="K1639" s="20"/>
      <c r="L1639" s="16"/>
      <c r="N1639" s="20"/>
      <c r="O1639" s="18"/>
    </row>
    <row r="1640" spans="1:15" x14ac:dyDescent="0.2">
      <c r="A1640" s="10"/>
      <c r="B1640" s="11"/>
      <c r="C1640" s="12"/>
      <c r="D1640" s="11"/>
      <c r="E1640" s="13"/>
      <c r="F1640" s="14"/>
      <c r="G1640" s="11"/>
      <c r="H1640" s="16"/>
      <c r="J1640" s="17"/>
      <c r="K1640" s="20"/>
      <c r="L1640" s="16"/>
      <c r="N1640" s="20"/>
      <c r="O1640" s="18"/>
    </row>
    <row r="1641" spans="1:15" x14ac:dyDescent="0.2">
      <c r="A1641" s="10"/>
      <c r="B1641" s="11"/>
      <c r="C1641" s="12"/>
      <c r="D1641" s="11"/>
      <c r="E1641" s="13"/>
      <c r="F1641" s="14"/>
      <c r="G1641" s="11"/>
      <c r="H1641" s="16"/>
      <c r="J1641" s="17"/>
      <c r="K1641" s="20"/>
      <c r="L1641" s="16"/>
      <c r="N1641" s="20"/>
      <c r="O1641" s="18"/>
    </row>
    <row r="1642" spans="1:15" x14ac:dyDescent="0.2">
      <c r="A1642" s="10"/>
      <c r="B1642" s="11"/>
      <c r="C1642" s="12"/>
      <c r="D1642" s="11"/>
      <c r="E1642" s="13"/>
      <c r="F1642" s="14"/>
      <c r="G1642" s="11"/>
      <c r="H1642" s="16"/>
      <c r="J1642" s="17"/>
      <c r="K1642" s="20"/>
      <c r="L1642" s="16"/>
      <c r="N1642" s="20"/>
      <c r="O1642" s="18"/>
    </row>
    <row r="1643" spans="1:15" x14ac:dyDescent="0.2">
      <c r="A1643" s="10"/>
      <c r="B1643" s="11"/>
      <c r="C1643" s="12"/>
      <c r="D1643" s="11"/>
      <c r="E1643" s="13"/>
      <c r="F1643" s="14"/>
      <c r="G1643" s="11"/>
      <c r="H1643" s="16"/>
      <c r="J1643" s="17"/>
      <c r="K1643" s="20"/>
      <c r="L1643" s="16"/>
      <c r="N1643" s="20"/>
      <c r="O1643" s="18"/>
    </row>
    <row r="1644" spans="1:15" x14ac:dyDescent="0.2">
      <c r="A1644" s="10"/>
      <c r="B1644" s="11"/>
      <c r="C1644" s="12"/>
      <c r="D1644" s="11"/>
      <c r="E1644" s="13"/>
      <c r="F1644" s="14"/>
      <c r="G1644" s="11"/>
      <c r="H1644" s="16"/>
      <c r="J1644" s="17"/>
      <c r="K1644" s="20"/>
      <c r="L1644" s="16"/>
      <c r="N1644" s="20"/>
      <c r="O1644" s="18"/>
    </row>
    <row r="1645" spans="1:15" x14ac:dyDescent="0.2">
      <c r="A1645" s="10"/>
      <c r="B1645" s="11"/>
      <c r="C1645" s="12"/>
      <c r="D1645" s="11"/>
      <c r="E1645" s="13"/>
      <c r="F1645" s="14"/>
      <c r="G1645" s="11"/>
      <c r="H1645" s="16"/>
      <c r="J1645" s="17"/>
      <c r="K1645" s="20"/>
      <c r="L1645" s="16"/>
      <c r="N1645" s="20"/>
      <c r="O1645" s="18"/>
    </row>
    <row r="1646" spans="1:15" x14ac:dyDescent="0.2">
      <c r="A1646" s="10"/>
      <c r="B1646" s="11"/>
      <c r="C1646" s="12"/>
      <c r="D1646" s="11"/>
      <c r="E1646" s="13"/>
      <c r="F1646" s="14"/>
      <c r="G1646" s="11"/>
      <c r="H1646" s="16"/>
      <c r="J1646" s="17"/>
      <c r="K1646" s="20"/>
      <c r="L1646" s="16"/>
      <c r="N1646" s="20"/>
      <c r="O1646" s="18"/>
    </row>
    <row r="1647" spans="1:15" x14ac:dyDescent="0.2">
      <c r="A1647" s="10"/>
      <c r="B1647" s="11"/>
      <c r="C1647" s="12"/>
      <c r="D1647" s="11"/>
      <c r="E1647" s="13"/>
      <c r="F1647" s="14"/>
      <c r="G1647" s="11"/>
      <c r="H1647" s="16"/>
      <c r="J1647" s="17"/>
      <c r="K1647" s="20"/>
      <c r="L1647" s="16"/>
      <c r="N1647" s="20"/>
      <c r="O1647" s="18"/>
    </row>
    <row r="1648" spans="1:15" x14ac:dyDescent="0.2">
      <c r="A1648" s="10"/>
      <c r="B1648" s="11"/>
      <c r="C1648" s="12"/>
      <c r="D1648" s="11"/>
      <c r="E1648" s="13"/>
      <c r="F1648" s="14"/>
      <c r="G1648" s="11"/>
      <c r="H1648" s="16"/>
      <c r="J1648" s="17"/>
      <c r="K1648" s="20"/>
      <c r="L1648" s="16"/>
      <c r="N1648" s="20"/>
      <c r="O1648" s="18"/>
    </row>
    <row r="1649" spans="1:15" x14ac:dyDescent="0.2">
      <c r="A1649" s="10"/>
      <c r="B1649" s="11"/>
      <c r="C1649" s="12"/>
      <c r="D1649" s="11"/>
      <c r="E1649" s="13"/>
      <c r="F1649" s="14"/>
      <c r="G1649" s="11"/>
      <c r="H1649" s="16"/>
      <c r="J1649" s="17"/>
      <c r="K1649" s="20"/>
      <c r="L1649" s="16"/>
      <c r="N1649" s="20"/>
      <c r="O1649" s="18"/>
    </row>
    <row r="1650" spans="1:15" x14ac:dyDescent="0.2">
      <c r="A1650" s="10"/>
      <c r="B1650" s="11"/>
      <c r="C1650" s="12"/>
      <c r="D1650" s="11"/>
      <c r="E1650" s="13"/>
      <c r="F1650" s="14"/>
      <c r="G1650" s="11"/>
      <c r="H1650" s="16"/>
      <c r="J1650" s="17"/>
      <c r="K1650" s="20"/>
      <c r="L1650" s="16"/>
      <c r="N1650" s="20"/>
      <c r="O1650" s="18"/>
    </row>
    <row r="1651" spans="1:15" x14ac:dyDescent="0.2">
      <c r="A1651" s="10"/>
      <c r="B1651" s="11"/>
      <c r="C1651" s="12"/>
      <c r="D1651" s="11"/>
      <c r="E1651" s="13"/>
      <c r="F1651" s="14"/>
      <c r="G1651" s="11"/>
      <c r="H1651" s="16"/>
      <c r="J1651" s="17"/>
      <c r="K1651" s="20"/>
      <c r="L1651" s="16"/>
      <c r="N1651" s="20"/>
      <c r="O1651" s="18"/>
    </row>
    <row r="1652" spans="1:15" x14ac:dyDescent="0.2">
      <c r="A1652" s="10"/>
      <c r="B1652" s="11"/>
      <c r="C1652" s="12"/>
      <c r="D1652" s="11"/>
      <c r="E1652" s="13"/>
      <c r="F1652" s="14"/>
      <c r="G1652" s="11"/>
      <c r="H1652" s="16"/>
      <c r="J1652" s="17"/>
      <c r="K1652" s="20"/>
      <c r="L1652" s="16"/>
      <c r="N1652" s="20"/>
      <c r="O1652" s="18"/>
    </row>
    <row r="1653" spans="1:15" x14ac:dyDescent="0.2">
      <c r="A1653" s="10"/>
      <c r="B1653" s="11"/>
      <c r="C1653" s="12"/>
      <c r="D1653" s="11"/>
      <c r="E1653" s="13"/>
      <c r="F1653" s="14"/>
      <c r="G1653" s="11"/>
      <c r="H1653" s="16"/>
      <c r="J1653" s="17"/>
      <c r="K1653" s="20"/>
      <c r="L1653" s="16"/>
      <c r="N1653" s="20"/>
      <c r="O1653" s="18"/>
    </row>
    <row r="1654" spans="1:15" x14ac:dyDescent="0.2">
      <c r="A1654" s="10"/>
      <c r="B1654" s="11"/>
      <c r="C1654" s="12"/>
      <c r="D1654" s="11"/>
      <c r="E1654" s="13"/>
      <c r="F1654" s="14"/>
      <c r="G1654" s="11"/>
      <c r="H1654" s="16"/>
      <c r="J1654" s="17"/>
      <c r="K1654" s="20"/>
      <c r="L1654" s="16"/>
      <c r="N1654" s="20"/>
      <c r="O1654" s="18"/>
    </row>
    <row r="1655" spans="1:15" x14ac:dyDescent="0.2">
      <c r="A1655" s="10"/>
      <c r="B1655" s="11"/>
      <c r="C1655" s="12"/>
      <c r="D1655" s="11"/>
      <c r="E1655" s="13"/>
      <c r="F1655" s="14"/>
      <c r="G1655" s="11"/>
      <c r="H1655" s="16"/>
      <c r="J1655" s="17"/>
      <c r="K1655" s="20"/>
      <c r="L1655" s="16"/>
      <c r="N1655" s="20"/>
      <c r="O1655" s="18"/>
    </row>
    <row r="1656" spans="1:15" x14ac:dyDescent="0.2">
      <c r="A1656" s="10"/>
      <c r="B1656" s="11"/>
      <c r="C1656" s="12"/>
      <c r="D1656" s="11"/>
      <c r="E1656" s="13"/>
      <c r="F1656" s="14"/>
      <c r="G1656" s="11"/>
      <c r="H1656" s="16"/>
      <c r="J1656" s="17"/>
      <c r="K1656" s="20"/>
      <c r="L1656" s="16"/>
      <c r="N1656" s="20"/>
      <c r="O1656" s="18"/>
    </row>
    <row r="1657" spans="1:15" x14ac:dyDescent="0.2">
      <c r="A1657" s="10"/>
      <c r="B1657" s="11"/>
      <c r="C1657" s="12"/>
      <c r="D1657" s="11"/>
      <c r="E1657" s="13"/>
      <c r="F1657" s="14"/>
      <c r="G1657" s="11"/>
      <c r="H1657" s="16"/>
      <c r="J1657" s="17"/>
      <c r="K1657" s="20"/>
      <c r="L1657" s="16"/>
      <c r="N1657" s="20"/>
      <c r="O1657" s="18"/>
    </row>
    <row r="1658" spans="1:15" x14ac:dyDescent="0.2">
      <c r="A1658" s="10"/>
      <c r="B1658" s="11"/>
      <c r="C1658" s="12"/>
      <c r="D1658" s="11"/>
      <c r="E1658" s="13"/>
      <c r="F1658" s="14"/>
      <c r="G1658" s="11"/>
      <c r="H1658" s="16"/>
      <c r="J1658" s="17"/>
      <c r="K1658" s="20"/>
      <c r="L1658" s="16"/>
      <c r="N1658" s="20"/>
      <c r="O1658" s="18"/>
    </row>
    <row r="1659" spans="1:15" x14ac:dyDescent="0.2">
      <c r="A1659" s="10"/>
      <c r="B1659" s="11"/>
      <c r="C1659" s="12"/>
      <c r="D1659" s="11"/>
      <c r="E1659" s="13"/>
      <c r="F1659" s="14"/>
      <c r="G1659" s="11"/>
      <c r="H1659" s="16"/>
      <c r="J1659" s="17"/>
      <c r="K1659" s="20"/>
      <c r="L1659" s="16"/>
      <c r="N1659" s="20"/>
      <c r="O1659" s="18"/>
    </row>
    <row r="1660" spans="1:15" x14ac:dyDescent="0.2">
      <c r="A1660" s="10"/>
      <c r="B1660" s="11"/>
      <c r="C1660" s="12"/>
      <c r="D1660" s="11"/>
      <c r="E1660" s="13"/>
      <c r="F1660" s="14"/>
      <c r="G1660" s="11"/>
      <c r="H1660" s="16"/>
      <c r="J1660" s="17"/>
      <c r="K1660" s="20"/>
      <c r="L1660" s="16"/>
      <c r="N1660" s="20"/>
      <c r="O1660" s="18"/>
    </row>
    <row r="1661" spans="1:15" x14ac:dyDescent="0.2">
      <c r="A1661" s="10"/>
      <c r="B1661" s="11"/>
      <c r="C1661" s="12"/>
      <c r="D1661" s="11"/>
      <c r="E1661" s="13"/>
      <c r="F1661" s="14"/>
      <c r="G1661" s="11"/>
      <c r="H1661" s="16"/>
      <c r="J1661" s="17"/>
      <c r="K1661" s="20"/>
      <c r="L1661" s="16"/>
      <c r="N1661" s="20"/>
      <c r="O1661" s="18"/>
    </row>
    <row r="1662" spans="1:15" x14ac:dyDescent="0.2">
      <c r="A1662" s="10"/>
      <c r="B1662" s="11"/>
      <c r="C1662" s="12"/>
      <c r="D1662" s="11"/>
      <c r="E1662" s="13"/>
      <c r="F1662" s="14"/>
      <c r="G1662" s="11"/>
      <c r="H1662" s="16"/>
      <c r="J1662" s="17"/>
      <c r="K1662" s="20"/>
      <c r="L1662" s="16"/>
      <c r="N1662" s="20"/>
      <c r="O1662" s="18"/>
    </row>
    <row r="1663" spans="1:15" x14ac:dyDescent="0.2">
      <c r="A1663" s="10"/>
      <c r="B1663" s="11"/>
      <c r="C1663" s="12"/>
      <c r="D1663" s="11"/>
      <c r="E1663" s="13"/>
      <c r="F1663" s="14"/>
      <c r="G1663" s="11"/>
      <c r="H1663" s="16"/>
      <c r="J1663" s="17"/>
      <c r="K1663" s="20"/>
      <c r="L1663" s="16"/>
      <c r="N1663" s="20"/>
      <c r="O1663" s="18"/>
    </row>
    <row r="1664" spans="1:15" x14ac:dyDescent="0.2">
      <c r="A1664" s="10"/>
      <c r="B1664" s="11"/>
      <c r="C1664" s="12"/>
      <c r="D1664" s="11"/>
      <c r="E1664" s="13"/>
      <c r="F1664" s="14"/>
      <c r="G1664" s="11"/>
      <c r="H1664" s="16"/>
      <c r="J1664" s="17"/>
      <c r="K1664" s="20"/>
      <c r="L1664" s="16"/>
      <c r="N1664" s="20"/>
      <c r="O1664" s="18"/>
    </row>
    <row r="1665" spans="1:15" x14ac:dyDescent="0.2">
      <c r="A1665" s="10"/>
      <c r="B1665" s="11"/>
      <c r="C1665" s="12"/>
      <c r="D1665" s="11"/>
      <c r="E1665" s="13"/>
      <c r="F1665" s="14"/>
      <c r="G1665" s="11"/>
      <c r="H1665" s="16"/>
      <c r="J1665" s="17"/>
      <c r="K1665" s="20"/>
      <c r="L1665" s="16"/>
      <c r="N1665" s="20"/>
      <c r="O1665" s="18"/>
    </row>
    <row r="1666" spans="1:15" x14ac:dyDescent="0.2">
      <c r="A1666" s="10"/>
      <c r="B1666" s="11"/>
      <c r="C1666" s="12"/>
      <c r="D1666" s="11"/>
      <c r="E1666" s="13"/>
      <c r="F1666" s="14"/>
      <c r="G1666" s="11"/>
      <c r="H1666" s="16"/>
      <c r="J1666" s="17"/>
      <c r="K1666" s="20"/>
      <c r="L1666" s="16"/>
      <c r="N1666" s="20"/>
      <c r="O1666" s="18"/>
    </row>
    <row r="1667" spans="1:15" x14ac:dyDescent="0.2">
      <c r="A1667" s="10"/>
      <c r="B1667" s="11"/>
      <c r="C1667" s="12"/>
      <c r="D1667" s="11"/>
      <c r="E1667" s="13"/>
      <c r="F1667" s="14"/>
      <c r="G1667" s="11"/>
      <c r="H1667" s="16"/>
      <c r="J1667" s="17"/>
      <c r="K1667" s="20"/>
      <c r="L1667" s="16"/>
      <c r="N1667" s="20"/>
      <c r="O1667" s="18"/>
    </row>
    <row r="1668" spans="1:15" x14ac:dyDescent="0.2">
      <c r="A1668" s="10"/>
      <c r="B1668" s="11"/>
      <c r="C1668" s="12"/>
      <c r="D1668" s="11"/>
      <c r="E1668" s="13"/>
      <c r="F1668" s="14"/>
      <c r="G1668" s="11"/>
      <c r="H1668" s="16"/>
      <c r="J1668" s="17"/>
      <c r="K1668" s="20"/>
      <c r="L1668" s="16"/>
      <c r="N1668" s="20"/>
      <c r="O1668" s="18"/>
    </row>
    <row r="1669" spans="1:15" x14ac:dyDescent="0.2">
      <c r="A1669" s="10"/>
      <c r="B1669" s="11"/>
      <c r="C1669" s="12"/>
      <c r="D1669" s="11"/>
      <c r="E1669" s="13"/>
      <c r="F1669" s="14"/>
      <c r="G1669" s="11"/>
      <c r="H1669" s="16"/>
      <c r="J1669" s="17"/>
      <c r="K1669" s="20"/>
      <c r="L1669" s="16"/>
      <c r="N1669" s="20"/>
      <c r="O1669" s="18"/>
    </row>
    <row r="1670" spans="1:15" x14ac:dyDescent="0.2">
      <c r="A1670" s="10"/>
      <c r="B1670" s="11"/>
      <c r="C1670" s="12"/>
      <c r="D1670" s="11"/>
      <c r="E1670" s="13"/>
      <c r="F1670" s="14"/>
      <c r="G1670" s="11"/>
      <c r="H1670" s="16"/>
      <c r="J1670" s="17"/>
      <c r="K1670" s="20"/>
      <c r="L1670" s="16"/>
      <c r="N1670" s="20"/>
      <c r="O1670" s="18"/>
    </row>
    <row r="1671" spans="1:15" x14ac:dyDescent="0.2">
      <c r="A1671" s="10"/>
      <c r="B1671" s="11"/>
      <c r="C1671" s="12"/>
      <c r="D1671" s="11"/>
      <c r="E1671" s="13"/>
      <c r="F1671" s="14"/>
      <c r="G1671" s="11"/>
      <c r="H1671" s="16"/>
      <c r="J1671" s="17"/>
      <c r="K1671" s="20"/>
      <c r="L1671" s="16"/>
      <c r="N1671" s="20"/>
      <c r="O1671" s="18"/>
    </row>
    <row r="1672" spans="1:15" x14ac:dyDescent="0.2">
      <c r="A1672" s="10"/>
      <c r="B1672" s="11"/>
      <c r="C1672" s="12"/>
      <c r="D1672" s="11"/>
      <c r="E1672" s="13"/>
      <c r="F1672" s="14"/>
      <c r="G1672" s="11"/>
      <c r="H1672" s="16"/>
      <c r="J1672" s="17"/>
      <c r="K1672" s="20"/>
      <c r="L1672" s="16"/>
      <c r="N1672" s="20"/>
      <c r="O1672" s="18"/>
    </row>
    <row r="1673" spans="1:15" x14ac:dyDescent="0.2">
      <c r="A1673" s="10"/>
      <c r="B1673" s="11"/>
      <c r="C1673" s="12"/>
      <c r="D1673" s="11"/>
      <c r="E1673" s="13"/>
      <c r="F1673" s="14"/>
      <c r="G1673" s="11"/>
      <c r="H1673" s="16"/>
      <c r="J1673" s="17"/>
      <c r="K1673" s="20"/>
      <c r="L1673" s="16"/>
      <c r="N1673" s="20"/>
      <c r="O1673" s="18"/>
    </row>
    <row r="1674" spans="1:15" x14ac:dyDescent="0.2">
      <c r="A1674" s="10"/>
      <c r="B1674" s="11"/>
      <c r="C1674" s="12"/>
      <c r="D1674" s="11"/>
      <c r="E1674" s="13"/>
      <c r="F1674" s="14"/>
      <c r="G1674" s="11"/>
      <c r="H1674" s="16"/>
      <c r="J1674" s="17"/>
      <c r="K1674" s="20"/>
      <c r="L1674" s="16"/>
      <c r="N1674" s="20"/>
      <c r="O1674" s="18"/>
    </row>
    <row r="1675" spans="1:15" x14ac:dyDescent="0.2">
      <c r="A1675" s="10"/>
      <c r="B1675" s="11"/>
      <c r="C1675" s="12"/>
      <c r="D1675" s="11"/>
      <c r="E1675" s="13"/>
      <c r="F1675" s="14"/>
      <c r="G1675" s="11"/>
      <c r="H1675" s="16"/>
      <c r="J1675" s="17"/>
      <c r="K1675" s="20"/>
      <c r="L1675" s="16"/>
      <c r="N1675" s="20"/>
      <c r="O1675" s="18"/>
    </row>
    <row r="1676" spans="1:15" x14ac:dyDescent="0.2">
      <c r="A1676" s="10"/>
      <c r="B1676" s="11"/>
      <c r="C1676" s="12"/>
      <c r="D1676" s="11"/>
      <c r="E1676" s="13"/>
      <c r="F1676" s="14"/>
      <c r="G1676" s="11"/>
      <c r="H1676" s="16"/>
      <c r="J1676" s="17"/>
      <c r="K1676" s="20"/>
      <c r="L1676" s="16"/>
      <c r="N1676" s="20"/>
      <c r="O1676" s="18"/>
    </row>
    <row r="1677" spans="1:15" x14ac:dyDescent="0.2">
      <c r="A1677" s="10"/>
      <c r="B1677" s="11"/>
      <c r="C1677" s="12"/>
      <c r="D1677" s="11"/>
      <c r="E1677" s="13"/>
      <c r="F1677" s="14"/>
      <c r="G1677" s="11"/>
      <c r="H1677" s="16"/>
      <c r="J1677" s="17"/>
      <c r="K1677" s="20"/>
      <c r="L1677" s="16"/>
      <c r="N1677" s="20"/>
      <c r="O1677" s="18"/>
    </row>
    <row r="1678" spans="1:15" x14ac:dyDescent="0.2">
      <c r="A1678" s="10"/>
      <c r="B1678" s="11"/>
      <c r="C1678" s="12"/>
      <c r="D1678" s="11"/>
      <c r="E1678" s="13"/>
      <c r="F1678" s="14"/>
      <c r="G1678" s="11"/>
      <c r="H1678" s="16"/>
      <c r="J1678" s="17"/>
      <c r="K1678" s="20"/>
      <c r="L1678" s="16"/>
      <c r="N1678" s="20"/>
      <c r="O1678" s="18"/>
    </row>
    <row r="1679" spans="1:15" x14ac:dyDescent="0.2">
      <c r="A1679" s="10"/>
      <c r="B1679" s="11"/>
      <c r="C1679" s="12"/>
      <c r="D1679" s="11"/>
      <c r="E1679" s="13"/>
      <c r="F1679" s="14"/>
      <c r="G1679" s="11"/>
      <c r="H1679" s="16"/>
      <c r="J1679" s="17"/>
      <c r="K1679" s="20"/>
      <c r="L1679" s="16"/>
      <c r="N1679" s="20"/>
      <c r="O1679" s="18"/>
    </row>
    <row r="1680" spans="1:15" x14ac:dyDescent="0.2">
      <c r="A1680" s="10"/>
      <c r="B1680" s="11"/>
      <c r="C1680" s="12"/>
      <c r="D1680" s="11"/>
      <c r="E1680" s="13"/>
      <c r="F1680" s="14"/>
      <c r="G1680" s="11"/>
      <c r="H1680" s="16"/>
      <c r="J1680" s="17"/>
      <c r="K1680" s="20"/>
      <c r="L1680" s="16"/>
      <c r="N1680" s="20"/>
      <c r="O1680" s="18"/>
    </row>
    <row r="1681" spans="1:15" x14ac:dyDescent="0.2">
      <c r="A1681" s="10"/>
      <c r="B1681" s="11"/>
      <c r="C1681" s="12"/>
      <c r="D1681" s="11"/>
      <c r="E1681" s="13"/>
      <c r="F1681" s="14"/>
      <c r="G1681" s="11"/>
      <c r="H1681" s="16"/>
      <c r="J1681" s="17"/>
      <c r="K1681" s="20"/>
      <c r="L1681" s="16"/>
      <c r="N1681" s="20"/>
      <c r="O1681" s="18"/>
    </row>
    <row r="1682" spans="1:15" x14ac:dyDescent="0.2">
      <c r="A1682" s="10"/>
      <c r="B1682" s="11"/>
      <c r="C1682" s="12"/>
      <c r="D1682" s="11"/>
      <c r="E1682" s="13"/>
      <c r="F1682" s="14"/>
      <c r="G1682" s="11"/>
      <c r="H1682" s="16"/>
      <c r="J1682" s="17"/>
      <c r="K1682" s="20"/>
      <c r="L1682" s="16"/>
      <c r="N1682" s="20"/>
      <c r="O1682" s="18"/>
    </row>
    <row r="1683" spans="1:15" x14ac:dyDescent="0.2">
      <c r="A1683" s="10"/>
      <c r="B1683" s="11"/>
      <c r="C1683" s="12"/>
      <c r="D1683" s="11"/>
      <c r="E1683" s="13"/>
      <c r="F1683" s="14"/>
      <c r="G1683" s="11"/>
      <c r="H1683" s="16"/>
      <c r="J1683" s="17"/>
      <c r="K1683" s="20"/>
      <c r="L1683" s="16"/>
      <c r="N1683" s="20"/>
      <c r="O1683" s="18"/>
    </row>
    <row r="1684" spans="1:15" x14ac:dyDescent="0.2">
      <c r="A1684" s="10"/>
      <c r="B1684" s="11"/>
      <c r="C1684" s="12"/>
      <c r="D1684" s="11"/>
      <c r="E1684" s="13"/>
      <c r="F1684" s="14"/>
      <c r="G1684" s="11"/>
      <c r="H1684" s="16"/>
      <c r="J1684" s="17"/>
      <c r="K1684" s="20"/>
      <c r="L1684" s="16"/>
      <c r="N1684" s="20"/>
      <c r="O1684" s="18"/>
    </row>
    <row r="1685" spans="1:15" x14ac:dyDescent="0.2">
      <c r="A1685" s="10"/>
      <c r="B1685" s="11"/>
      <c r="C1685" s="12"/>
      <c r="D1685" s="11"/>
      <c r="E1685" s="13"/>
      <c r="F1685" s="14"/>
      <c r="G1685" s="11"/>
      <c r="H1685" s="16"/>
      <c r="J1685" s="17"/>
      <c r="K1685" s="20"/>
      <c r="L1685" s="16"/>
      <c r="N1685" s="20"/>
      <c r="O1685" s="18"/>
    </row>
    <row r="1686" spans="1:15" x14ac:dyDescent="0.2">
      <c r="A1686" s="10"/>
      <c r="B1686" s="11"/>
      <c r="C1686" s="12"/>
      <c r="D1686" s="11"/>
      <c r="E1686" s="13"/>
      <c r="F1686" s="14"/>
      <c r="G1686" s="11"/>
      <c r="H1686" s="16"/>
      <c r="J1686" s="17"/>
      <c r="K1686" s="20"/>
      <c r="L1686" s="16"/>
      <c r="N1686" s="20"/>
      <c r="O1686" s="18"/>
    </row>
    <row r="1687" spans="1:15" x14ac:dyDescent="0.2">
      <c r="A1687" s="10"/>
      <c r="B1687" s="11"/>
      <c r="C1687" s="12"/>
      <c r="D1687" s="11"/>
      <c r="E1687" s="13"/>
      <c r="F1687" s="14"/>
      <c r="G1687" s="11"/>
      <c r="H1687" s="16"/>
      <c r="J1687" s="17"/>
      <c r="K1687" s="20"/>
      <c r="L1687" s="16"/>
      <c r="N1687" s="20"/>
      <c r="O1687" s="18"/>
    </row>
    <row r="1688" spans="1:15" x14ac:dyDescent="0.2">
      <c r="A1688" s="10"/>
      <c r="B1688" s="11"/>
      <c r="C1688" s="12"/>
      <c r="D1688" s="11"/>
      <c r="E1688" s="13"/>
      <c r="F1688" s="14"/>
      <c r="G1688" s="11"/>
      <c r="H1688" s="16"/>
      <c r="J1688" s="17"/>
      <c r="K1688" s="20"/>
      <c r="L1688" s="16"/>
      <c r="N1688" s="20"/>
      <c r="O1688" s="18"/>
    </row>
    <row r="1689" spans="1:15" x14ac:dyDescent="0.2">
      <c r="A1689" s="10"/>
      <c r="B1689" s="11"/>
      <c r="C1689" s="12"/>
      <c r="D1689" s="11"/>
      <c r="E1689" s="13"/>
      <c r="F1689" s="14"/>
      <c r="G1689" s="11"/>
      <c r="H1689" s="16"/>
      <c r="J1689" s="17"/>
      <c r="K1689" s="20"/>
      <c r="L1689" s="16"/>
      <c r="N1689" s="20"/>
      <c r="O1689" s="18"/>
    </row>
    <row r="1690" spans="1:15" x14ac:dyDescent="0.2">
      <c r="A1690" s="10"/>
      <c r="B1690" s="11"/>
      <c r="C1690" s="12"/>
      <c r="D1690" s="11"/>
      <c r="E1690" s="13"/>
      <c r="F1690" s="14"/>
      <c r="G1690" s="11"/>
      <c r="H1690" s="16"/>
      <c r="J1690" s="17"/>
      <c r="K1690" s="20"/>
      <c r="L1690" s="16"/>
      <c r="N1690" s="20"/>
      <c r="O1690" s="18"/>
    </row>
    <row r="1691" spans="1:15" x14ac:dyDescent="0.2">
      <c r="A1691" s="10"/>
      <c r="B1691" s="11"/>
      <c r="C1691" s="12"/>
      <c r="D1691" s="11"/>
      <c r="E1691" s="13"/>
      <c r="F1691" s="14"/>
      <c r="G1691" s="11"/>
      <c r="H1691" s="16"/>
      <c r="J1691" s="17"/>
      <c r="K1691" s="20"/>
      <c r="L1691" s="16"/>
      <c r="N1691" s="20"/>
      <c r="O1691" s="18"/>
    </row>
    <row r="1692" spans="1:15" x14ac:dyDescent="0.2">
      <c r="A1692" s="10"/>
      <c r="B1692" s="11"/>
      <c r="C1692" s="12"/>
      <c r="D1692" s="11"/>
      <c r="E1692" s="13"/>
      <c r="F1692" s="14"/>
      <c r="G1692" s="11"/>
      <c r="H1692" s="16"/>
      <c r="J1692" s="17"/>
      <c r="K1692" s="20"/>
      <c r="L1692" s="16"/>
      <c r="N1692" s="20"/>
      <c r="O1692" s="18"/>
    </row>
    <row r="1693" spans="1:15" x14ac:dyDescent="0.2">
      <c r="A1693" s="10"/>
      <c r="B1693" s="11"/>
      <c r="C1693" s="12"/>
      <c r="D1693" s="11"/>
      <c r="E1693" s="13"/>
      <c r="F1693" s="14"/>
      <c r="G1693" s="11"/>
      <c r="H1693" s="16"/>
      <c r="J1693" s="17"/>
      <c r="K1693" s="20"/>
      <c r="L1693" s="16"/>
      <c r="N1693" s="20"/>
      <c r="O1693" s="18"/>
    </row>
    <row r="1694" spans="1:15" x14ac:dyDescent="0.2">
      <c r="A1694" s="10"/>
      <c r="B1694" s="11"/>
      <c r="C1694" s="12"/>
      <c r="D1694" s="11"/>
      <c r="E1694" s="13"/>
      <c r="F1694" s="14"/>
      <c r="G1694" s="11"/>
      <c r="H1694" s="16"/>
      <c r="J1694" s="17"/>
      <c r="K1694" s="20"/>
      <c r="L1694" s="16"/>
      <c r="N1694" s="20"/>
      <c r="O1694" s="18"/>
    </row>
    <row r="1695" spans="1:15" x14ac:dyDescent="0.2">
      <c r="A1695" s="10"/>
      <c r="B1695" s="11"/>
      <c r="C1695" s="12"/>
      <c r="D1695" s="11"/>
      <c r="E1695" s="13"/>
      <c r="F1695" s="14"/>
      <c r="G1695" s="11"/>
      <c r="H1695" s="16"/>
      <c r="J1695" s="17"/>
      <c r="K1695" s="20"/>
      <c r="L1695" s="16"/>
      <c r="N1695" s="20"/>
      <c r="O1695" s="18"/>
    </row>
    <row r="1696" spans="1:15" x14ac:dyDescent="0.2">
      <c r="A1696" s="10"/>
      <c r="B1696" s="11"/>
      <c r="C1696" s="12"/>
      <c r="D1696" s="11"/>
      <c r="E1696" s="13"/>
      <c r="F1696" s="14"/>
      <c r="G1696" s="11"/>
      <c r="H1696" s="16"/>
      <c r="J1696" s="17"/>
      <c r="K1696" s="20"/>
      <c r="L1696" s="16"/>
      <c r="N1696" s="20"/>
      <c r="O1696" s="18"/>
    </row>
    <row r="1697" spans="1:15" x14ac:dyDescent="0.2">
      <c r="A1697" s="10"/>
      <c r="B1697" s="11"/>
      <c r="C1697" s="12"/>
      <c r="D1697" s="11"/>
      <c r="E1697" s="13"/>
      <c r="F1697" s="14"/>
      <c r="G1697" s="11"/>
      <c r="H1697" s="16"/>
      <c r="J1697" s="17"/>
      <c r="K1697" s="20"/>
      <c r="L1697" s="16"/>
      <c r="N1697" s="20"/>
      <c r="O1697" s="18"/>
    </row>
    <row r="1698" spans="1:15" x14ac:dyDescent="0.2">
      <c r="A1698" s="10"/>
      <c r="B1698" s="11"/>
      <c r="C1698" s="12"/>
      <c r="D1698" s="11"/>
      <c r="E1698" s="13"/>
      <c r="F1698" s="14"/>
      <c r="G1698" s="11"/>
      <c r="H1698" s="16"/>
      <c r="J1698" s="17"/>
      <c r="K1698" s="20"/>
      <c r="L1698" s="16"/>
      <c r="N1698" s="20"/>
      <c r="O1698" s="18"/>
    </row>
    <row r="1699" spans="1:15" x14ac:dyDescent="0.2">
      <c r="A1699" s="10"/>
      <c r="B1699" s="11"/>
      <c r="C1699" s="12"/>
      <c r="D1699" s="11"/>
      <c r="E1699" s="13"/>
      <c r="F1699" s="14"/>
      <c r="G1699" s="11"/>
      <c r="H1699" s="16"/>
      <c r="J1699" s="17"/>
      <c r="K1699" s="20"/>
      <c r="L1699" s="16"/>
      <c r="N1699" s="20"/>
      <c r="O1699" s="18"/>
    </row>
    <row r="1700" spans="1:15" x14ac:dyDescent="0.2">
      <c r="A1700" s="10"/>
      <c r="B1700" s="11"/>
      <c r="C1700" s="12"/>
      <c r="D1700" s="11"/>
      <c r="E1700" s="13"/>
      <c r="F1700" s="14"/>
      <c r="G1700" s="11"/>
      <c r="H1700" s="16"/>
      <c r="J1700" s="17"/>
      <c r="K1700" s="20"/>
      <c r="L1700" s="16"/>
      <c r="N1700" s="20"/>
      <c r="O1700" s="18"/>
    </row>
    <row r="1701" spans="1:15" x14ac:dyDescent="0.2">
      <c r="A1701" s="10"/>
      <c r="B1701" s="11"/>
      <c r="C1701" s="12"/>
      <c r="D1701" s="11"/>
      <c r="E1701" s="13"/>
      <c r="F1701" s="14"/>
      <c r="G1701" s="11"/>
      <c r="H1701" s="16"/>
      <c r="J1701" s="17"/>
      <c r="K1701" s="20"/>
      <c r="L1701" s="16"/>
      <c r="N1701" s="20"/>
      <c r="O1701" s="18"/>
    </row>
    <row r="1702" spans="1:15" x14ac:dyDescent="0.2">
      <c r="A1702" s="10"/>
      <c r="B1702" s="11"/>
      <c r="C1702" s="12"/>
      <c r="D1702" s="11"/>
      <c r="E1702" s="13"/>
      <c r="F1702" s="14"/>
      <c r="G1702" s="11"/>
      <c r="H1702" s="16"/>
      <c r="J1702" s="17"/>
      <c r="K1702" s="20"/>
      <c r="L1702" s="16"/>
      <c r="N1702" s="20"/>
      <c r="O1702" s="18"/>
    </row>
    <row r="1703" spans="1:15" x14ac:dyDescent="0.2">
      <c r="A1703" s="10"/>
      <c r="B1703" s="11"/>
      <c r="C1703" s="12"/>
      <c r="D1703" s="11"/>
      <c r="E1703" s="13"/>
      <c r="F1703" s="14"/>
      <c r="G1703" s="11"/>
      <c r="H1703" s="16"/>
      <c r="J1703" s="17"/>
      <c r="K1703" s="20"/>
      <c r="L1703" s="16"/>
      <c r="N1703" s="20"/>
      <c r="O1703" s="18"/>
    </row>
    <row r="1704" spans="1:15" x14ac:dyDescent="0.2">
      <c r="A1704" s="10"/>
      <c r="B1704" s="11"/>
      <c r="C1704" s="12"/>
      <c r="D1704" s="11"/>
      <c r="E1704" s="13"/>
      <c r="F1704" s="14"/>
      <c r="G1704" s="11"/>
      <c r="H1704" s="16"/>
      <c r="J1704" s="17"/>
      <c r="K1704" s="20"/>
      <c r="L1704" s="16"/>
      <c r="N1704" s="20"/>
      <c r="O1704" s="18"/>
    </row>
    <row r="1705" spans="1:15" x14ac:dyDescent="0.2">
      <c r="A1705" s="10"/>
      <c r="B1705" s="11"/>
      <c r="C1705" s="12"/>
      <c r="D1705" s="11"/>
      <c r="E1705" s="13"/>
      <c r="F1705" s="14"/>
      <c r="G1705" s="11"/>
      <c r="H1705" s="16"/>
      <c r="J1705" s="17"/>
      <c r="K1705" s="20"/>
      <c r="L1705" s="16"/>
      <c r="N1705" s="20"/>
      <c r="O1705" s="18"/>
    </row>
    <row r="1706" spans="1:15" x14ac:dyDescent="0.2">
      <c r="A1706" s="10"/>
      <c r="B1706" s="11"/>
      <c r="C1706" s="12"/>
      <c r="D1706" s="11"/>
      <c r="E1706" s="13"/>
      <c r="F1706" s="14"/>
      <c r="G1706" s="11"/>
      <c r="H1706" s="16"/>
      <c r="J1706" s="17"/>
      <c r="K1706" s="20"/>
      <c r="L1706" s="16"/>
      <c r="N1706" s="20"/>
      <c r="O1706" s="18"/>
    </row>
    <row r="1707" spans="1:15" x14ac:dyDescent="0.2">
      <c r="A1707" s="10"/>
      <c r="B1707" s="11"/>
      <c r="C1707" s="12"/>
      <c r="D1707" s="11"/>
      <c r="E1707" s="13"/>
      <c r="F1707" s="14"/>
      <c r="G1707" s="11"/>
      <c r="H1707" s="16"/>
      <c r="J1707" s="17"/>
      <c r="K1707" s="20"/>
      <c r="L1707" s="16"/>
      <c r="N1707" s="20"/>
      <c r="O1707" s="18"/>
    </row>
    <row r="1708" spans="1:15" x14ac:dyDescent="0.2">
      <c r="A1708" s="10"/>
      <c r="B1708" s="11"/>
      <c r="C1708" s="12"/>
      <c r="D1708" s="11"/>
      <c r="E1708" s="13"/>
      <c r="F1708" s="14"/>
      <c r="G1708" s="11"/>
      <c r="H1708" s="16"/>
      <c r="J1708" s="17"/>
      <c r="K1708" s="20"/>
      <c r="L1708" s="16"/>
      <c r="N1708" s="20"/>
      <c r="O1708" s="18"/>
    </row>
    <row r="1709" spans="1:15" x14ac:dyDescent="0.2">
      <c r="A1709" s="10"/>
      <c r="B1709" s="11"/>
      <c r="C1709" s="12"/>
      <c r="D1709" s="11"/>
      <c r="E1709" s="13"/>
      <c r="F1709" s="14"/>
      <c r="G1709" s="11"/>
      <c r="H1709" s="16"/>
      <c r="J1709" s="17"/>
      <c r="K1709" s="20"/>
      <c r="L1709" s="16"/>
      <c r="N1709" s="20"/>
      <c r="O1709" s="18"/>
    </row>
    <row r="1710" spans="1:15" x14ac:dyDescent="0.2">
      <c r="A1710" s="10"/>
      <c r="B1710" s="11"/>
      <c r="C1710" s="12"/>
      <c r="D1710" s="11"/>
      <c r="E1710" s="13"/>
      <c r="F1710" s="14"/>
      <c r="G1710" s="11"/>
      <c r="H1710" s="16"/>
      <c r="J1710" s="17"/>
      <c r="K1710" s="20"/>
      <c r="L1710" s="16"/>
      <c r="N1710" s="20"/>
      <c r="O1710" s="18"/>
    </row>
    <row r="1711" spans="1:15" x14ac:dyDescent="0.2">
      <c r="A1711" s="10"/>
      <c r="B1711" s="11"/>
      <c r="C1711" s="12"/>
      <c r="D1711" s="11"/>
      <c r="E1711" s="13"/>
      <c r="F1711" s="14"/>
      <c r="G1711" s="11"/>
      <c r="H1711" s="16"/>
      <c r="J1711" s="17"/>
      <c r="K1711" s="20"/>
      <c r="L1711" s="16"/>
      <c r="N1711" s="20"/>
      <c r="O1711" s="18"/>
    </row>
    <row r="1712" spans="1:15" x14ac:dyDescent="0.2">
      <c r="A1712" s="10"/>
      <c r="B1712" s="11"/>
      <c r="C1712" s="12"/>
      <c r="D1712" s="11"/>
      <c r="E1712" s="13"/>
      <c r="F1712" s="14"/>
      <c r="G1712" s="11"/>
      <c r="H1712" s="16"/>
      <c r="J1712" s="17"/>
      <c r="K1712" s="20"/>
      <c r="L1712" s="16"/>
      <c r="N1712" s="20"/>
      <c r="O1712" s="18"/>
    </row>
    <row r="1713" spans="1:15" x14ac:dyDescent="0.2">
      <c r="A1713" s="10"/>
      <c r="B1713" s="11"/>
      <c r="C1713" s="12"/>
      <c r="D1713" s="11"/>
      <c r="E1713" s="13"/>
      <c r="F1713" s="14"/>
      <c r="G1713" s="11"/>
      <c r="H1713" s="16"/>
      <c r="J1713" s="17"/>
      <c r="K1713" s="20"/>
      <c r="L1713" s="16"/>
      <c r="N1713" s="20"/>
      <c r="O1713" s="18"/>
    </row>
    <row r="1714" spans="1:15" x14ac:dyDescent="0.2">
      <c r="A1714" s="10"/>
      <c r="B1714" s="11"/>
      <c r="C1714" s="12"/>
      <c r="D1714" s="11"/>
      <c r="E1714" s="13"/>
      <c r="F1714" s="14"/>
      <c r="G1714" s="11"/>
      <c r="H1714" s="16"/>
      <c r="J1714" s="17"/>
      <c r="K1714" s="20"/>
      <c r="L1714" s="16"/>
      <c r="N1714" s="20"/>
      <c r="O1714" s="18"/>
    </row>
    <row r="1715" spans="1:15" x14ac:dyDescent="0.2">
      <c r="A1715" s="10"/>
      <c r="B1715" s="11"/>
      <c r="C1715" s="12"/>
      <c r="D1715" s="11"/>
      <c r="E1715" s="13"/>
      <c r="F1715" s="14"/>
      <c r="G1715" s="11"/>
      <c r="H1715" s="16"/>
      <c r="J1715" s="17"/>
      <c r="K1715" s="20"/>
      <c r="L1715" s="16"/>
      <c r="N1715" s="20"/>
      <c r="O1715" s="18"/>
    </row>
    <row r="1716" spans="1:15" x14ac:dyDescent="0.2">
      <c r="A1716" s="10"/>
      <c r="B1716" s="11"/>
      <c r="C1716" s="12"/>
      <c r="D1716" s="11"/>
      <c r="E1716" s="13"/>
      <c r="F1716" s="14"/>
      <c r="G1716" s="11"/>
      <c r="H1716" s="16"/>
      <c r="J1716" s="17"/>
      <c r="K1716" s="20"/>
      <c r="L1716" s="16"/>
      <c r="N1716" s="20"/>
      <c r="O1716" s="18"/>
    </row>
    <row r="1717" spans="1:15" x14ac:dyDescent="0.2">
      <c r="A1717" s="10"/>
      <c r="B1717" s="11"/>
      <c r="C1717" s="12"/>
      <c r="D1717" s="11"/>
      <c r="E1717" s="13"/>
      <c r="F1717" s="14"/>
      <c r="G1717" s="11"/>
      <c r="H1717" s="16"/>
      <c r="J1717" s="17"/>
      <c r="K1717" s="20"/>
      <c r="L1717" s="16"/>
      <c r="N1717" s="20"/>
      <c r="O1717" s="18"/>
    </row>
    <row r="1718" spans="1:15" x14ac:dyDescent="0.2">
      <c r="A1718" s="10"/>
      <c r="B1718" s="11"/>
      <c r="C1718" s="12"/>
      <c r="D1718" s="11"/>
      <c r="E1718" s="13"/>
      <c r="F1718" s="14"/>
      <c r="G1718" s="11"/>
      <c r="H1718" s="16"/>
      <c r="J1718" s="17"/>
      <c r="K1718" s="20"/>
      <c r="L1718" s="16"/>
      <c r="N1718" s="20"/>
      <c r="O1718" s="18"/>
    </row>
    <row r="1719" spans="1:15" x14ac:dyDescent="0.2">
      <c r="A1719" s="10"/>
      <c r="B1719" s="11"/>
      <c r="C1719" s="12"/>
      <c r="D1719" s="11"/>
      <c r="E1719" s="13"/>
      <c r="F1719" s="14"/>
      <c r="G1719" s="11"/>
      <c r="H1719" s="16"/>
      <c r="J1719" s="17"/>
      <c r="K1719" s="20"/>
      <c r="L1719" s="16"/>
      <c r="N1719" s="20"/>
      <c r="O1719" s="18"/>
    </row>
    <row r="1720" spans="1:15" x14ac:dyDescent="0.2">
      <c r="A1720" s="10"/>
      <c r="B1720" s="11"/>
      <c r="C1720" s="12"/>
      <c r="D1720" s="11"/>
      <c r="E1720" s="13"/>
      <c r="F1720" s="14"/>
      <c r="G1720" s="11"/>
      <c r="H1720" s="16"/>
      <c r="J1720" s="17"/>
      <c r="K1720" s="20"/>
      <c r="L1720" s="16"/>
      <c r="N1720" s="20"/>
      <c r="O1720" s="18"/>
    </row>
    <row r="1721" spans="1:15" x14ac:dyDescent="0.2">
      <c r="A1721" s="10"/>
      <c r="B1721" s="11"/>
      <c r="C1721" s="12"/>
      <c r="D1721" s="11"/>
      <c r="E1721" s="13"/>
      <c r="F1721" s="14"/>
      <c r="G1721" s="11"/>
      <c r="H1721" s="16"/>
      <c r="J1721" s="17"/>
      <c r="K1721" s="20"/>
      <c r="L1721" s="16"/>
      <c r="N1721" s="20"/>
      <c r="O1721" s="18"/>
    </row>
    <row r="1722" spans="1:15" x14ac:dyDescent="0.2">
      <c r="A1722" s="10"/>
      <c r="B1722" s="11"/>
      <c r="C1722" s="12"/>
      <c r="D1722" s="11"/>
      <c r="E1722" s="13"/>
      <c r="F1722" s="14"/>
      <c r="G1722" s="11"/>
      <c r="H1722" s="16"/>
      <c r="J1722" s="17"/>
      <c r="K1722" s="20"/>
      <c r="L1722" s="16"/>
      <c r="N1722" s="20"/>
      <c r="O1722" s="18"/>
    </row>
    <row r="1723" spans="1:15" x14ac:dyDescent="0.2">
      <c r="A1723" s="10"/>
      <c r="B1723" s="11"/>
      <c r="C1723" s="12"/>
      <c r="D1723" s="11"/>
      <c r="E1723" s="13"/>
      <c r="F1723" s="14"/>
      <c r="G1723" s="11"/>
      <c r="H1723" s="16"/>
      <c r="J1723" s="17"/>
      <c r="K1723" s="20"/>
      <c r="L1723" s="16"/>
      <c r="N1723" s="20"/>
      <c r="O1723" s="18"/>
    </row>
    <row r="1724" spans="1:15" x14ac:dyDescent="0.2">
      <c r="A1724" s="10"/>
      <c r="B1724" s="11"/>
      <c r="C1724" s="12"/>
      <c r="D1724" s="11"/>
      <c r="E1724" s="13"/>
      <c r="F1724" s="14"/>
      <c r="G1724" s="11"/>
      <c r="H1724" s="16"/>
      <c r="J1724" s="17"/>
      <c r="K1724" s="20"/>
      <c r="L1724" s="16"/>
      <c r="N1724" s="20"/>
      <c r="O1724" s="18"/>
    </row>
    <row r="1725" spans="1:15" x14ac:dyDescent="0.2">
      <c r="A1725" s="10"/>
      <c r="B1725" s="11"/>
      <c r="C1725" s="12"/>
      <c r="D1725" s="11"/>
      <c r="E1725" s="13"/>
      <c r="F1725" s="14"/>
      <c r="G1725" s="11"/>
      <c r="H1725" s="16"/>
      <c r="J1725" s="17"/>
      <c r="K1725" s="20"/>
      <c r="L1725" s="16"/>
      <c r="N1725" s="20"/>
      <c r="O1725" s="18"/>
    </row>
    <row r="1726" spans="1:15" x14ac:dyDescent="0.2">
      <c r="A1726" s="10"/>
      <c r="B1726" s="11"/>
      <c r="C1726" s="12"/>
      <c r="D1726" s="11"/>
      <c r="E1726" s="13"/>
      <c r="F1726" s="14"/>
      <c r="G1726" s="11"/>
      <c r="H1726" s="16"/>
      <c r="J1726" s="17"/>
      <c r="K1726" s="20"/>
      <c r="L1726" s="16"/>
      <c r="N1726" s="20"/>
      <c r="O1726" s="18"/>
    </row>
    <row r="1727" spans="1:15" x14ac:dyDescent="0.2">
      <c r="A1727" s="10"/>
      <c r="B1727" s="11"/>
      <c r="C1727" s="12"/>
      <c r="D1727" s="11"/>
      <c r="E1727" s="13"/>
      <c r="F1727" s="14"/>
      <c r="G1727" s="11"/>
      <c r="H1727" s="16"/>
      <c r="J1727" s="17"/>
      <c r="K1727" s="20"/>
      <c r="L1727" s="16"/>
      <c r="N1727" s="20"/>
      <c r="O1727" s="18"/>
    </row>
    <row r="1728" spans="1:15" x14ac:dyDescent="0.2">
      <c r="A1728" s="10"/>
      <c r="B1728" s="11"/>
      <c r="C1728" s="12"/>
      <c r="D1728" s="11"/>
      <c r="E1728" s="13"/>
      <c r="F1728" s="14"/>
      <c r="G1728" s="11"/>
      <c r="H1728" s="16"/>
      <c r="J1728" s="17"/>
      <c r="K1728" s="20"/>
      <c r="L1728" s="16"/>
      <c r="N1728" s="20"/>
      <c r="O1728" s="18"/>
    </row>
    <row r="1729" spans="1:15" x14ac:dyDescent="0.2">
      <c r="A1729" s="10"/>
      <c r="B1729" s="11"/>
      <c r="C1729" s="12"/>
      <c r="D1729" s="11"/>
      <c r="E1729" s="13"/>
      <c r="F1729" s="14"/>
      <c r="G1729" s="11"/>
      <c r="H1729" s="16"/>
      <c r="J1729" s="17"/>
      <c r="K1729" s="20"/>
      <c r="L1729" s="16"/>
      <c r="N1729" s="20"/>
      <c r="O1729" s="18"/>
    </row>
    <row r="1730" spans="1:15" x14ac:dyDescent="0.2">
      <c r="A1730" s="10"/>
      <c r="B1730" s="11"/>
      <c r="C1730" s="12"/>
      <c r="D1730" s="11"/>
      <c r="E1730" s="13"/>
      <c r="F1730" s="14"/>
      <c r="G1730" s="11"/>
      <c r="H1730" s="16"/>
      <c r="J1730" s="17"/>
      <c r="K1730" s="20"/>
      <c r="L1730" s="16"/>
      <c r="N1730" s="20"/>
      <c r="O1730" s="18"/>
    </row>
    <row r="1731" spans="1:15" x14ac:dyDescent="0.2">
      <c r="A1731" s="10"/>
      <c r="B1731" s="11"/>
      <c r="C1731" s="12"/>
      <c r="D1731" s="11"/>
      <c r="E1731" s="13"/>
      <c r="F1731" s="14"/>
      <c r="G1731" s="11"/>
      <c r="H1731" s="16"/>
      <c r="J1731" s="17"/>
      <c r="K1731" s="20"/>
      <c r="L1731" s="16"/>
      <c r="N1731" s="20"/>
      <c r="O1731" s="18"/>
    </row>
    <row r="1732" spans="1:15" x14ac:dyDescent="0.2">
      <c r="A1732" s="10"/>
      <c r="B1732" s="11"/>
      <c r="C1732" s="12"/>
      <c r="D1732" s="11"/>
      <c r="E1732" s="13"/>
      <c r="F1732" s="14"/>
      <c r="G1732" s="11"/>
      <c r="H1732" s="16"/>
      <c r="J1732" s="17"/>
      <c r="K1732" s="20"/>
      <c r="L1732" s="16"/>
      <c r="N1732" s="20"/>
      <c r="O1732" s="18"/>
    </row>
    <row r="1733" spans="1:15" x14ac:dyDescent="0.2">
      <c r="A1733" s="10"/>
      <c r="B1733" s="11"/>
      <c r="C1733" s="12"/>
      <c r="D1733" s="11"/>
      <c r="E1733" s="13"/>
      <c r="F1733" s="14"/>
      <c r="G1733" s="11"/>
      <c r="H1733" s="16"/>
      <c r="J1733" s="17"/>
      <c r="K1733" s="20"/>
      <c r="L1733" s="16"/>
      <c r="N1733" s="20"/>
      <c r="O1733" s="18"/>
    </row>
    <row r="1734" spans="1:15" x14ac:dyDescent="0.2">
      <c r="A1734" s="10"/>
      <c r="B1734" s="11"/>
      <c r="C1734" s="12"/>
      <c r="D1734" s="11"/>
      <c r="E1734" s="13"/>
      <c r="F1734" s="14"/>
      <c r="G1734" s="11"/>
      <c r="H1734" s="16"/>
      <c r="J1734" s="17"/>
      <c r="K1734" s="20"/>
      <c r="L1734" s="16"/>
      <c r="N1734" s="20"/>
      <c r="O1734" s="18"/>
    </row>
    <row r="1735" spans="1:15" x14ac:dyDescent="0.2">
      <c r="A1735" s="10"/>
      <c r="B1735" s="11"/>
      <c r="C1735" s="12"/>
      <c r="D1735" s="11"/>
      <c r="E1735" s="13"/>
      <c r="F1735" s="14"/>
      <c r="G1735" s="11"/>
      <c r="H1735" s="16"/>
      <c r="J1735" s="17"/>
      <c r="K1735" s="20"/>
      <c r="L1735" s="16"/>
      <c r="N1735" s="20"/>
      <c r="O1735" s="18"/>
    </row>
    <row r="1736" spans="1:15" x14ac:dyDescent="0.2">
      <c r="A1736" s="10"/>
      <c r="B1736" s="11"/>
      <c r="C1736" s="12"/>
      <c r="D1736" s="11"/>
      <c r="E1736" s="13"/>
      <c r="F1736" s="14"/>
      <c r="G1736" s="11"/>
      <c r="H1736" s="16"/>
      <c r="J1736" s="17"/>
      <c r="K1736" s="20"/>
      <c r="L1736" s="16"/>
      <c r="N1736" s="20"/>
      <c r="O1736" s="18"/>
    </row>
    <row r="1737" spans="1:15" x14ac:dyDescent="0.2">
      <c r="A1737" s="10"/>
      <c r="B1737" s="11"/>
      <c r="C1737" s="12"/>
      <c r="D1737" s="11"/>
      <c r="E1737" s="13"/>
      <c r="F1737" s="14"/>
      <c r="G1737" s="11"/>
      <c r="H1737" s="16"/>
      <c r="J1737" s="17"/>
      <c r="K1737" s="20"/>
      <c r="L1737" s="16"/>
      <c r="N1737" s="20"/>
      <c r="O1737" s="18"/>
    </row>
    <row r="1738" spans="1:15" x14ac:dyDescent="0.2">
      <c r="A1738" s="10"/>
      <c r="B1738" s="11"/>
      <c r="C1738" s="12"/>
      <c r="D1738" s="11"/>
      <c r="E1738" s="13"/>
      <c r="F1738" s="14"/>
      <c r="G1738" s="11"/>
      <c r="H1738" s="16"/>
      <c r="J1738" s="17"/>
      <c r="K1738" s="20"/>
      <c r="L1738" s="16"/>
      <c r="N1738" s="20"/>
      <c r="O1738" s="18"/>
    </row>
    <row r="1739" spans="1:15" x14ac:dyDescent="0.2">
      <c r="A1739" s="10"/>
      <c r="B1739" s="11"/>
      <c r="C1739" s="12"/>
      <c r="D1739" s="11"/>
      <c r="E1739" s="13"/>
      <c r="F1739" s="14"/>
      <c r="G1739" s="11"/>
      <c r="H1739" s="16"/>
      <c r="J1739" s="17"/>
      <c r="K1739" s="20"/>
      <c r="L1739" s="16"/>
      <c r="N1739" s="20"/>
      <c r="O1739" s="18"/>
    </row>
    <row r="1740" spans="1:15" x14ac:dyDescent="0.2">
      <c r="A1740" s="10"/>
      <c r="B1740" s="11"/>
      <c r="C1740" s="12"/>
      <c r="D1740" s="11"/>
      <c r="E1740" s="13"/>
      <c r="F1740" s="14"/>
      <c r="G1740" s="11"/>
      <c r="H1740" s="16"/>
      <c r="J1740" s="17"/>
      <c r="K1740" s="20"/>
      <c r="L1740" s="16"/>
      <c r="N1740" s="20"/>
      <c r="O1740" s="18"/>
    </row>
    <row r="1741" spans="1:15" x14ac:dyDescent="0.2">
      <c r="A1741" s="10"/>
      <c r="B1741" s="11"/>
      <c r="C1741" s="12"/>
      <c r="D1741" s="11"/>
      <c r="E1741" s="13"/>
      <c r="F1741" s="14"/>
      <c r="G1741" s="11"/>
      <c r="H1741" s="16"/>
      <c r="J1741" s="17"/>
      <c r="K1741" s="20"/>
      <c r="L1741" s="16"/>
      <c r="N1741" s="20"/>
      <c r="O1741" s="18"/>
    </row>
    <row r="1742" spans="1:15" x14ac:dyDescent="0.2">
      <c r="A1742" s="10"/>
      <c r="B1742" s="11"/>
      <c r="C1742" s="12"/>
      <c r="D1742" s="11"/>
      <c r="E1742" s="13"/>
      <c r="F1742" s="14"/>
      <c r="G1742" s="11"/>
      <c r="H1742" s="16"/>
      <c r="J1742" s="17"/>
      <c r="K1742" s="20"/>
      <c r="L1742" s="16"/>
      <c r="N1742" s="20"/>
      <c r="O1742" s="18"/>
    </row>
    <row r="1743" spans="1:15" x14ac:dyDescent="0.2">
      <c r="A1743" s="10"/>
      <c r="B1743" s="11"/>
      <c r="C1743" s="12"/>
      <c r="D1743" s="11"/>
      <c r="E1743" s="13"/>
      <c r="F1743" s="14"/>
      <c r="G1743" s="11"/>
      <c r="H1743" s="16"/>
      <c r="J1743" s="17"/>
      <c r="K1743" s="20"/>
      <c r="L1743" s="16"/>
      <c r="N1743" s="20"/>
      <c r="O1743" s="18"/>
    </row>
    <row r="1744" spans="1:15" x14ac:dyDescent="0.2">
      <c r="A1744" s="10"/>
      <c r="B1744" s="11"/>
      <c r="C1744" s="12"/>
      <c r="D1744" s="11"/>
      <c r="E1744" s="13"/>
      <c r="F1744" s="14"/>
      <c r="G1744" s="11"/>
      <c r="H1744" s="16"/>
      <c r="J1744" s="17"/>
      <c r="K1744" s="20"/>
      <c r="L1744" s="16"/>
      <c r="N1744" s="20"/>
      <c r="O1744" s="18"/>
    </row>
    <row r="1745" spans="1:15" x14ac:dyDescent="0.2">
      <c r="A1745" s="10"/>
      <c r="B1745" s="11"/>
      <c r="C1745" s="12"/>
      <c r="D1745" s="11"/>
      <c r="E1745" s="13"/>
      <c r="F1745" s="14"/>
      <c r="G1745" s="11"/>
      <c r="H1745" s="16"/>
      <c r="J1745" s="17"/>
      <c r="K1745" s="20"/>
      <c r="L1745" s="16"/>
      <c r="N1745" s="20"/>
      <c r="O1745" s="18"/>
    </row>
    <row r="1746" spans="1:15" x14ac:dyDescent="0.2">
      <c r="A1746" s="10"/>
      <c r="B1746" s="11"/>
      <c r="C1746" s="12"/>
      <c r="D1746" s="11"/>
      <c r="E1746" s="13"/>
      <c r="F1746" s="14"/>
      <c r="G1746" s="11"/>
      <c r="H1746" s="16"/>
      <c r="J1746" s="17"/>
      <c r="K1746" s="20"/>
      <c r="L1746" s="16"/>
      <c r="N1746" s="20"/>
      <c r="O1746" s="18"/>
    </row>
    <row r="1747" spans="1:15" x14ac:dyDescent="0.2">
      <c r="A1747" s="10"/>
      <c r="B1747" s="11"/>
      <c r="C1747" s="12"/>
      <c r="D1747" s="11"/>
      <c r="E1747" s="13"/>
      <c r="F1747" s="14"/>
      <c r="G1747" s="11"/>
      <c r="H1747" s="16"/>
      <c r="J1747" s="17"/>
      <c r="K1747" s="20"/>
      <c r="L1747" s="16"/>
      <c r="N1747" s="20"/>
      <c r="O1747" s="18"/>
    </row>
    <row r="1748" spans="1:15" x14ac:dyDescent="0.2">
      <c r="A1748" s="10"/>
      <c r="B1748" s="11"/>
      <c r="C1748" s="12"/>
      <c r="D1748" s="11"/>
      <c r="E1748" s="13"/>
      <c r="F1748" s="14"/>
      <c r="G1748" s="11"/>
      <c r="H1748" s="16"/>
      <c r="J1748" s="17"/>
      <c r="K1748" s="20"/>
      <c r="L1748" s="16"/>
      <c r="N1748" s="20"/>
      <c r="O1748" s="18"/>
    </row>
    <row r="1749" spans="1:15" x14ac:dyDescent="0.2">
      <c r="A1749" s="10"/>
      <c r="B1749" s="11"/>
      <c r="C1749" s="12"/>
      <c r="D1749" s="11"/>
      <c r="E1749" s="13"/>
      <c r="F1749" s="14"/>
      <c r="G1749" s="11"/>
      <c r="H1749" s="16"/>
      <c r="J1749" s="17"/>
      <c r="K1749" s="20"/>
      <c r="L1749" s="16"/>
      <c r="N1749" s="20"/>
      <c r="O1749" s="18"/>
    </row>
    <row r="1750" spans="1:15" x14ac:dyDescent="0.2">
      <c r="A1750" s="10"/>
      <c r="B1750" s="11"/>
      <c r="C1750" s="12"/>
      <c r="D1750" s="11"/>
      <c r="E1750" s="13"/>
      <c r="F1750" s="14"/>
      <c r="G1750" s="11"/>
      <c r="H1750" s="16"/>
      <c r="J1750" s="17"/>
      <c r="K1750" s="20"/>
      <c r="L1750" s="16"/>
      <c r="N1750" s="20"/>
      <c r="O1750" s="18"/>
    </row>
    <row r="1751" spans="1:15" x14ac:dyDescent="0.2">
      <c r="A1751" s="10"/>
      <c r="B1751" s="11"/>
      <c r="C1751" s="12"/>
      <c r="D1751" s="11"/>
      <c r="E1751" s="13"/>
      <c r="F1751" s="14"/>
      <c r="G1751" s="11"/>
      <c r="H1751" s="16"/>
      <c r="J1751" s="17"/>
      <c r="K1751" s="20"/>
      <c r="L1751" s="16"/>
      <c r="N1751" s="20"/>
      <c r="O1751" s="18"/>
    </row>
    <row r="1752" spans="1:15" x14ac:dyDescent="0.2">
      <c r="A1752" s="10"/>
      <c r="B1752" s="11"/>
      <c r="C1752" s="12"/>
      <c r="D1752" s="11"/>
      <c r="E1752" s="13"/>
      <c r="F1752" s="14"/>
      <c r="G1752" s="11"/>
      <c r="H1752" s="16"/>
      <c r="J1752" s="17"/>
      <c r="K1752" s="20"/>
      <c r="L1752" s="16"/>
      <c r="N1752" s="20"/>
      <c r="O1752" s="18"/>
    </row>
    <row r="1753" spans="1:15" x14ac:dyDescent="0.2">
      <c r="A1753" s="10"/>
      <c r="B1753" s="11"/>
      <c r="C1753" s="12"/>
      <c r="D1753" s="11"/>
      <c r="E1753" s="13"/>
      <c r="F1753" s="14"/>
      <c r="G1753" s="11"/>
      <c r="H1753" s="16"/>
      <c r="J1753" s="17"/>
      <c r="K1753" s="20"/>
      <c r="L1753" s="16"/>
      <c r="N1753" s="20"/>
      <c r="O1753" s="18"/>
    </row>
    <row r="1754" spans="1:15" x14ac:dyDescent="0.2">
      <c r="A1754" s="10"/>
      <c r="B1754" s="11"/>
      <c r="C1754" s="12"/>
      <c r="D1754" s="11"/>
      <c r="E1754" s="13"/>
      <c r="F1754" s="14"/>
      <c r="G1754" s="11"/>
      <c r="H1754" s="16"/>
      <c r="J1754" s="17"/>
      <c r="K1754" s="20"/>
      <c r="L1754" s="16"/>
      <c r="N1754" s="20"/>
      <c r="O1754" s="18"/>
    </row>
    <row r="1755" spans="1:15" x14ac:dyDescent="0.2">
      <c r="A1755" s="10"/>
      <c r="B1755" s="11"/>
      <c r="C1755" s="12"/>
      <c r="D1755" s="11"/>
      <c r="E1755" s="13"/>
      <c r="F1755" s="14"/>
      <c r="G1755" s="11"/>
      <c r="H1755" s="16"/>
      <c r="J1755" s="17"/>
      <c r="K1755" s="20"/>
      <c r="L1755" s="16"/>
      <c r="N1755" s="20"/>
      <c r="O1755" s="18"/>
    </row>
    <row r="1756" spans="1:15" x14ac:dyDescent="0.2">
      <c r="A1756" s="10"/>
      <c r="B1756" s="11"/>
      <c r="C1756" s="12"/>
      <c r="D1756" s="11"/>
      <c r="E1756" s="13"/>
      <c r="F1756" s="14"/>
      <c r="G1756" s="11"/>
      <c r="H1756" s="16"/>
      <c r="J1756" s="17"/>
      <c r="K1756" s="20"/>
      <c r="L1756" s="16"/>
      <c r="N1756" s="20"/>
      <c r="O1756" s="18"/>
    </row>
    <row r="1757" spans="1:15" x14ac:dyDescent="0.2">
      <c r="A1757" s="10"/>
      <c r="B1757" s="11"/>
      <c r="C1757" s="12"/>
      <c r="D1757" s="11"/>
      <c r="E1757" s="13"/>
      <c r="F1757" s="14"/>
      <c r="G1757" s="11"/>
      <c r="H1757" s="16"/>
      <c r="J1757" s="17"/>
      <c r="K1757" s="20"/>
      <c r="L1757" s="16"/>
      <c r="N1757" s="20"/>
      <c r="O1757" s="18"/>
    </row>
    <row r="1758" spans="1:15" x14ac:dyDescent="0.2">
      <c r="A1758" s="10"/>
      <c r="B1758" s="11"/>
      <c r="C1758" s="12"/>
      <c r="D1758" s="11"/>
      <c r="E1758" s="13"/>
      <c r="F1758" s="14"/>
      <c r="G1758" s="11"/>
      <c r="H1758" s="16"/>
      <c r="J1758" s="17"/>
      <c r="K1758" s="20"/>
      <c r="L1758" s="16"/>
      <c r="N1758" s="20"/>
      <c r="O1758" s="18"/>
    </row>
    <row r="1759" spans="1:15" x14ac:dyDescent="0.2">
      <c r="A1759" s="10"/>
      <c r="B1759" s="11"/>
      <c r="C1759" s="12"/>
      <c r="D1759" s="11"/>
      <c r="E1759" s="13"/>
      <c r="F1759" s="14"/>
      <c r="G1759" s="11"/>
      <c r="H1759" s="16"/>
      <c r="J1759" s="17"/>
      <c r="K1759" s="20"/>
      <c r="L1759" s="16"/>
      <c r="N1759" s="20"/>
      <c r="O1759" s="18"/>
    </row>
    <row r="1760" spans="1:15" x14ac:dyDescent="0.2">
      <c r="A1760" s="10"/>
      <c r="B1760" s="11"/>
      <c r="C1760" s="12"/>
      <c r="D1760" s="11"/>
      <c r="E1760" s="13"/>
      <c r="F1760" s="14"/>
      <c r="G1760" s="11"/>
      <c r="H1760" s="16"/>
      <c r="J1760" s="17"/>
      <c r="K1760" s="20"/>
      <c r="L1760" s="16"/>
      <c r="N1760" s="20"/>
      <c r="O1760" s="18"/>
    </row>
    <row r="1761" spans="1:15" x14ac:dyDescent="0.2">
      <c r="A1761" s="10"/>
      <c r="B1761" s="11"/>
      <c r="C1761" s="12"/>
      <c r="D1761" s="11"/>
      <c r="E1761" s="13"/>
      <c r="F1761" s="14"/>
      <c r="G1761" s="11"/>
      <c r="H1761" s="16"/>
      <c r="J1761" s="17"/>
      <c r="K1761" s="20"/>
      <c r="L1761" s="16"/>
      <c r="N1761" s="20"/>
      <c r="O1761" s="18"/>
    </row>
    <row r="1762" spans="1:15" x14ac:dyDescent="0.2">
      <c r="A1762" s="10"/>
      <c r="B1762" s="11"/>
      <c r="C1762" s="12"/>
      <c r="D1762" s="11"/>
      <c r="E1762" s="13"/>
      <c r="F1762" s="14"/>
      <c r="G1762" s="11"/>
      <c r="H1762" s="16"/>
      <c r="J1762" s="17"/>
      <c r="K1762" s="20"/>
      <c r="L1762" s="16"/>
      <c r="N1762" s="20"/>
      <c r="O1762" s="18"/>
    </row>
    <row r="1763" spans="1:15" x14ac:dyDescent="0.2">
      <c r="A1763" s="10"/>
      <c r="B1763" s="11"/>
      <c r="C1763" s="12"/>
      <c r="D1763" s="11"/>
      <c r="E1763" s="13"/>
      <c r="F1763" s="14"/>
      <c r="G1763" s="11"/>
      <c r="H1763" s="16"/>
      <c r="J1763" s="17"/>
      <c r="K1763" s="20"/>
      <c r="L1763" s="16"/>
      <c r="N1763" s="20"/>
      <c r="O1763" s="18"/>
    </row>
    <row r="1764" spans="1:15" x14ac:dyDescent="0.2">
      <c r="A1764" s="10"/>
      <c r="B1764" s="11"/>
      <c r="C1764" s="12"/>
      <c r="D1764" s="11"/>
      <c r="E1764" s="13"/>
      <c r="F1764" s="14"/>
      <c r="G1764" s="11"/>
      <c r="H1764" s="16"/>
      <c r="J1764" s="17"/>
      <c r="K1764" s="20"/>
      <c r="L1764" s="16"/>
      <c r="N1764" s="20"/>
      <c r="O1764" s="18"/>
    </row>
    <row r="1765" spans="1:15" x14ac:dyDescent="0.2">
      <c r="A1765" s="10"/>
      <c r="B1765" s="11"/>
      <c r="C1765" s="12"/>
      <c r="D1765" s="11"/>
      <c r="E1765" s="13"/>
      <c r="F1765" s="14"/>
      <c r="G1765" s="11"/>
      <c r="H1765" s="16"/>
      <c r="J1765" s="17"/>
      <c r="K1765" s="20"/>
      <c r="L1765" s="16"/>
      <c r="N1765" s="20"/>
      <c r="O1765" s="18"/>
    </row>
    <row r="1766" spans="1:15" x14ac:dyDescent="0.2">
      <c r="A1766" s="10"/>
      <c r="B1766" s="11"/>
      <c r="C1766" s="12"/>
      <c r="D1766" s="11"/>
      <c r="E1766" s="13"/>
      <c r="F1766" s="14"/>
      <c r="G1766" s="11"/>
      <c r="H1766" s="16"/>
      <c r="J1766" s="17"/>
      <c r="K1766" s="20"/>
      <c r="L1766" s="16"/>
      <c r="N1766" s="20"/>
      <c r="O1766" s="18"/>
    </row>
    <row r="1767" spans="1:15" x14ac:dyDescent="0.2">
      <c r="A1767" s="10"/>
      <c r="B1767" s="11"/>
      <c r="C1767" s="12"/>
      <c r="D1767" s="11"/>
      <c r="E1767" s="13"/>
      <c r="F1767" s="14"/>
      <c r="G1767" s="11"/>
      <c r="H1767" s="16"/>
      <c r="J1767" s="17"/>
      <c r="K1767" s="20"/>
      <c r="L1767" s="16"/>
      <c r="N1767" s="20"/>
      <c r="O1767" s="18"/>
    </row>
    <row r="1768" spans="1:15" x14ac:dyDescent="0.2">
      <c r="A1768" s="10"/>
      <c r="B1768" s="11"/>
      <c r="C1768" s="12"/>
      <c r="D1768" s="11"/>
      <c r="E1768" s="13"/>
      <c r="F1768" s="14"/>
      <c r="G1768" s="11"/>
      <c r="H1768" s="16"/>
      <c r="J1768" s="17"/>
      <c r="K1768" s="20"/>
      <c r="L1768" s="16"/>
      <c r="N1768" s="20"/>
      <c r="O1768" s="18"/>
    </row>
    <row r="1769" spans="1:15" x14ac:dyDescent="0.2">
      <c r="A1769" s="10"/>
      <c r="B1769" s="11"/>
      <c r="C1769" s="12"/>
      <c r="D1769" s="11"/>
      <c r="E1769" s="13"/>
      <c r="F1769" s="14"/>
      <c r="G1769" s="11"/>
      <c r="H1769" s="16"/>
      <c r="J1769" s="17"/>
      <c r="K1769" s="20"/>
      <c r="L1769" s="16"/>
      <c r="N1769" s="20"/>
      <c r="O1769" s="18"/>
    </row>
    <row r="1770" spans="1:15" x14ac:dyDescent="0.2">
      <c r="A1770" s="10"/>
      <c r="B1770" s="11"/>
      <c r="C1770" s="12"/>
      <c r="D1770" s="11"/>
      <c r="E1770" s="13"/>
      <c r="F1770" s="14"/>
      <c r="G1770" s="11"/>
      <c r="H1770" s="16"/>
      <c r="J1770" s="17"/>
      <c r="K1770" s="20"/>
      <c r="L1770" s="16"/>
      <c r="N1770" s="20"/>
      <c r="O1770" s="18"/>
    </row>
    <row r="1771" spans="1:15" x14ac:dyDescent="0.2">
      <c r="A1771" s="10"/>
      <c r="B1771" s="11"/>
      <c r="C1771" s="12"/>
      <c r="D1771" s="11"/>
      <c r="E1771" s="13"/>
      <c r="F1771" s="14"/>
      <c r="G1771" s="11"/>
      <c r="H1771" s="16"/>
      <c r="J1771" s="17"/>
      <c r="K1771" s="20"/>
      <c r="L1771" s="16"/>
      <c r="N1771" s="20"/>
      <c r="O1771" s="18"/>
    </row>
    <row r="1772" spans="1:15" x14ac:dyDescent="0.2">
      <c r="A1772" s="10"/>
      <c r="B1772" s="11"/>
      <c r="C1772" s="12"/>
      <c r="D1772" s="11"/>
      <c r="E1772" s="13"/>
      <c r="F1772" s="14"/>
      <c r="G1772" s="11"/>
      <c r="H1772" s="16"/>
      <c r="J1772" s="17"/>
      <c r="K1772" s="20"/>
      <c r="L1772" s="16"/>
      <c r="N1772" s="20"/>
      <c r="O1772" s="18"/>
    </row>
    <row r="1773" spans="1:15" x14ac:dyDescent="0.2">
      <c r="A1773" s="10"/>
      <c r="B1773" s="11"/>
      <c r="C1773" s="12"/>
      <c r="D1773" s="11"/>
      <c r="E1773" s="13"/>
      <c r="F1773" s="14"/>
      <c r="G1773" s="11"/>
      <c r="H1773" s="16"/>
      <c r="J1773" s="17"/>
      <c r="K1773" s="20"/>
      <c r="L1773" s="16"/>
      <c r="N1773" s="20"/>
      <c r="O1773" s="18"/>
    </row>
    <row r="1774" spans="1:15" x14ac:dyDescent="0.2">
      <c r="A1774" s="10"/>
      <c r="B1774" s="11"/>
      <c r="C1774" s="12"/>
      <c r="D1774" s="11"/>
      <c r="E1774" s="13"/>
      <c r="F1774" s="14"/>
      <c r="G1774" s="11"/>
      <c r="H1774" s="16"/>
      <c r="J1774" s="17"/>
      <c r="K1774" s="20"/>
      <c r="L1774" s="16"/>
      <c r="N1774" s="20"/>
      <c r="O1774" s="18"/>
    </row>
    <row r="1775" spans="1:15" x14ac:dyDescent="0.2">
      <c r="A1775" s="10"/>
      <c r="B1775" s="11"/>
      <c r="C1775" s="12"/>
      <c r="D1775" s="11"/>
      <c r="E1775" s="13"/>
      <c r="F1775" s="14"/>
      <c r="G1775" s="11"/>
      <c r="H1775" s="16"/>
      <c r="J1775" s="17"/>
      <c r="K1775" s="20"/>
      <c r="L1775" s="16"/>
      <c r="N1775" s="20"/>
      <c r="O1775" s="18"/>
    </row>
    <row r="1776" spans="1:15" x14ac:dyDescent="0.2">
      <c r="A1776" s="10"/>
      <c r="B1776" s="11"/>
      <c r="C1776" s="12"/>
      <c r="D1776" s="11"/>
      <c r="E1776" s="13"/>
      <c r="F1776" s="14"/>
      <c r="G1776" s="11"/>
      <c r="H1776" s="16"/>
      <c r="J1776" s="17"/>
      <c r="K1776" s="20"/>
      <c r="L1776" s="16"/>
      <c r="N1776" s="20"/>
      <c r="O1776" s="18"/>
    </row>
    <row r="1777" spans="1:15" x14ac:dyDescent="0.2">
      <c r="A1777" s="10"/>
      <c r="B1777" s="11"/>
      <c r="C1777" s="12"/>
      <c r="D1777" s="11"/>
      <c r="E1777" s="13"/>
      <c r="F1777" s="14"/>
      <c r="G1777" s="11"/>
      <c r="H1777" s="16"/>
      <c r="J1777" s="17"/>
      <c r="K1777" s="20"/>
      <c r="L1777" s="16"/>
      <c r="N1777" s="20"/>
      <c r="O1777" s="18"/>
    </row>
    <row r="1778" spans="1:15" x14ac:dyDescent="0.2">
      <c r="A1778" s="10"/>
      <c r="B1778" s="11"/>
      <c r="C1778" s="12"/>
      <c r="D1778" s="11"/>
      <c r="E1778" s="13"/>
      <c r="F1778" s="14"/>
      <c r="G1778" s="11"/>
      <c r="H1778" s="16"/>
      <c r="J1778" s="17"/>
      <c r="K1778" s="20"/>
      <c r="L1778" s="16"/>
      <c r="N1778" s="20"/>
      <c r="O1778" s="18"/>
    </row>
    <row r="1779" spans="1:15" x14ac:dyDescent="0.2">
      <c r="A1779" s="10"/>
      <c r="B1779" s="11"/>
      <c r="C1779" s="12"/>
      <c r="D1779" s="11"/>
      <c r="E1779" s="13"/>
      <c r="F1779" s="14"/>
      <c r="G1779" s="11"/>
      <c r="H1779" s="16"/>
      <c r="J1779" s="17"/>
      <c r="K1779" s="20"/>
      <c r="L1779" s="16"/>
      <c r="N1779" s="20"/>
      <c r="O1779" s="18"/>
    </row>
    <row r="1780" spans="1:15" x14ac:dyDescent="0.2">
      <c r="A1780" s="10"/>
      <c r="B1780" s="11"/>
      <c r="C1780" s="12"/>
      <c r="D1780" s="11"/>
      <c r="E1780" s="13"/>
      <c r="F1780" s="14"/>
      <c r="G1780" s="11"/>
      <c r="H1780" s="16"/>
      <c r="J1780" s="17"/>
      <c r="K1780" s="20"/>
      <c r="L1780" s="16"/>
      <c r="N1780" s="20"/>
      <c r="O1780" s="18"/>
    </row>
    <row r="1781" spans="1:15" x14ac:dyDescent="0.2">
      <c r="A1781" s="10"/>
      <c r="B1781" s="11"/>
      <c r="C1781" s="12"/>
      <c r="D1781" s="11"/>
      <c r="E1781" s="13"/>
      <c r="F1781" s="14"/>
      <c r="G1781" s="11"/>
      <c r="H1781" s="16"/>
      <c r="J1781" s="17"/>
      <c r="K1781" s="20"/>
      <c r="L1781" s="16"/>
      <c r="N1781" s="20"/>
      <c r="O1781" s="18"/>
    </row>
    <row r="1782" spans="1:15" x14ac:dyDescent="0.2">
      <c r="A1782" s="10"/>
      <c r="B1782" s="11"/>
      <c r="C1782" s="12"/>
      <c r="D1782" s="11"/>
      <c r="E1782" s="13"/>
      <c r="F1782" s="14"/>
      <c r="G1782" s="11"/>
      <c r="H1782" s="16"/>
      <c r="J1782" s="17"/>
      <c r="K1782" s="20"/>
      <c r="L1782" s="16"/>
      <c r="N1782" s="20"/>
      <c r="O1782" s="18"/>
    </row>
    <row r="1783" spans="1:15" x14ac:dyDescent="0.2">
      <c r="A1783" s="10"/>
      <c r="B1783" s="11"/>
      <c r="C1783" s="12"/>
      <c r="D1783" s="11"/>
      <c r="E1783" s="13"/>
      <c r="F1783" s="14"/>
      <c r="G1783" s="11"/>
      <c r="H1783" s="16"/>
      <c r="J1783" s="17"/>
      <c r="K1783" s="20"/>
      <c r="L1783" s="16"/>
      <c r="N1783" s="20"/>
      <c r="O1783" s="18"/>
    </row>
    <row r="1784" spans="1:15" x14ac:dyDescent="0.2">
      <c r="A1784" s="10"/>
      <c r="B1784" s="11"/>
      <c r="C1784" s="12"/>
      <c r="D1784" s="11"/>
      <c r="E1784" s="13"/>
      <c r="F1784" s="14"/>
      <c r="G1784" s="11"/>
      <c r="H1784" s="16"/>
      <c r="J1784" s="17"/>
      <c r="K1784" s="20"/>
      <c r="L1784" s="16"/>
      <c r="N1784" s="20"/>
      <c r="O1784" s="18"/>
    </row>
    <row r="1785" spans="1:15" x14ac:dyDescent="0.2">
      <c r="A1785" s="10"/>
      <c r="B1785" s="11"/>
      <c r="C1785" s="12"/>
      <c r="D1785" s="11"/>
      <c r="E1785" s="13"/>
      <c r="F1785" s="14"/>
      <c r="G1785" s="11"/>
      <c r="H1785" s="16"/>
      <c r="J1785" s="17"/>
      <c r="K1785" s="20"/>
      <c r="L1785" s="16"/>
      <c r="N1785" s="20"/>
      <c r="O1785" s="18"/>
    </row>
    <row r="1786" spans="1:15" x14ac:dyDescent="0.2">
      <c r="A1786" s="10"/>
      <c r="B1786" s="11"/>
      <c r="C1786" s="12"/>
      <c r="D1786" s="11"/>
      <c r="E1786" s="13"/>
      <c r="F1786" s="14"/>
      <c r="G1786" s="11"/>
      <c r="H1786" s="16"/>
      <c r="J1786" s="17"/>
      <c r="K1786" s="20"/>
      <c r="L1786" s="16"/>
      <c r="N1786" s="20"/>
      <c r="O1786" s="18"/>
    </row>
    <row r="1787" spans="1:15" x14ac:dyDescent="0.2">
      <c r="A1787" s="10"/>
      <c r="B1787" s="11"/>
      <c r="C1787" s="12"/>
      <c r="D1787" s="11"/>
      <c r="E1787" s="13"/>
      <c r="F1787" s="14"/>
      <c r="G1787" s="11"/>
      <c r="H1787" s="16"/>
      <c r="J1787" s="17"/>
      <c r="K1787" s="20"/>
      <c r="L1787" s="16"/>
      <c r="N1787" s="20"/>
      <c r="O1787" s="18"/>
    </row>
    <row r="1788" spans="1:15" x14ac:dyDescent="0.2">
      <c r="A1788" s="10"/>
      <c r="B1788" s="11"/>
      <c r="C1788" s="12"/>
      <c r="D1788" s="11"/>
      <c r="E1788" s="13"/>
      <c r="F1788" s="14"/>
      <c r="G1788" s="11"/>
      <c r="H1788" s="16"/>
      <c r="J1788" s="17"/>
      <c r="K1788" s="20"/>
      <c r="L1788" s="16"/>
      <c r="N1788" s="20"/>
      <c r="O1788" s="18"/>
    </row>
    <row r="1789" spans="1:15" x14ac:dyDescent="0.2">
      <c r="A1789" s="10"/>
      <c r="B1789" s="11"/>
      <c r="C1789" s="12"/>
      <c r="D1789" s="11"/>
      <c r="E1789" s="13"/>
      <c r="F1789" s="14"/>
      <c r="G1789" s="11"/>
      <c r="H1789" s="16"/>
      <c r="J1789" s="17"/>
      <c r="K1789" s="20"/>
      <c r="L1789" s="16"/>
      <c r="N1789" s="20"/>
      <c r="O1789" s="18"/>
    </row>
    <row r="1790" spans="1:15" x14ac:dyDescent="0.2">
      <c r="A1790" s="10"/>
      <c r="B1790" s="11"/>
      <c r="C1790" s="12"/>
      <c r="D1790" s="11"/>
      <c r="E1790" s="13"/>
      <c r="F1790" s="14"/>
      <c r="G1790" s="11"/>
      <c r="H1790" s="16"/>
      <c r="J1790" s="17"/>
      <c r="K1790" s="20"/>
      <c r="L1790" s="16"/>
      <c r="N1790" s="20"/>
      <c r="O1790" s="18"/>
    </row>
    <row r="1791" spans="1:15" x14ac:dyDescent="0.2">
      <c r="A1791" s="10"/>
      <c r="B1791" s="11"/>
      <c r="C1791" s="12"/>
      <c r="D1791" s="11"/>
      <c r="E1791" s="13"/>
      <c r="F1791" s="14"/>
      <c r="G1791" s="11"/>
      <c r="H1791" s="16"/>
      <c r="J1791" s="17"/>
      <c r="K1791" s="20"/>
      <c r="L1791" s="16"/>
      <c r="N1791" s="20"/>
      <c r="O1791" s="18"/>
    </row>
    <row r="1792" spans="1:15" x14ac:dyDescent="0.2">
      <c r="A1792" s="10"/>
      <c r="B1792" s="11"/>
      <c r="C1792" s="12"/>
      <c r="D1792" s="11"/>
      <c r="E1792" s="13"/>
      <c r="F1792" s="14"/>
      <c r="G1792" s="11"/>
      <c r="H1792" s="16"/>
      <c r="J1792" s="17"/>
      <c r="K1792" s="20"/>
      <c r="L1792" s="16"/>
      <c r="N1792" s="20"/>
      <c r="O1792" s="18"/>
    </row>
    <row r="1793" spans="1:15" x14ac:dyDescent="0.2">
      <c r="A1793" s="10"/>
      <c r="B1793" s="11"/>
      <c r="C1793" s="12"/>
      <c r="D1793" s="11"/>
      <c r="E1793" s="13"/>
      <c r="F1793" s="14"/>
      <c r="G1793" s="11"/>
      <c r="H1793" s="16"/>
      <c r="J1793" s="17"/>
      <c r="K1793" s="20"/>
      <c r="L1793" s="16"/>
      <c r="N1793" s="20"/>
      <c r="O1793" s="18"/>
    </row>
    <row r="1794" spans="1:15" x14ac:dyDescent="0.2">
      <c r="A1794" s="10"/>
      <c r="B1794" s="11"/>
      <c r="C1794" s="12"/>
      <c r="D1794" s="11"/>
      <c r="E1794" s="13"/>
      <c r="F1794" s="14"/>
      <c r="G1794" s="11"/>
      <c r="H1794" s="16"/>
      <c r="J1794" s="17"/>
      <c r="K1794" s="20"/>
      <c r="L1794" s="16"/>
      <c r="N1794" s="20"/>
      <c r="O1794" s="18"/>
    </row>
    <row r="1795" spans="1:15" x14ac:dyDescent="0.2">
      <c r="A1795" s="10"/>
      <c r="B1795" s="11"/>
      <c r="C1795" s="12"/>
      <c r="D1795" s="11"/>
      <c r="E1795" s="13"/>
      <c r="F1795" s="14"/>
      <c r="G1795" s="11"/>
      <c r="H1795" s="16"/>
      <c r="J1795" s="17"/>
      <c r="K1795" s="20"/>
      <c r="L1795" s="16"/>
      <c r="N1795" s="20"/>
      <c r="O1795" s="18"/>
    </row>
    <row r="1796" spans="1:15" x14ac:dyDescent="0.2">
      <c r="A1796" s="10"/>
      <c r="B1796" s="11"/>
      <c r="C1796" s="12"/>
      <c r="D1796" s="11"/>
      <c r="E1796" s="13"/>
      <c r="F1796" s="14"/>
      <c r="G1796" s="11"/>
      <c r="H1796" s="16"/>
      <c r="J1796" s="17"/>
      <c r="K1796" s="20"/>
      <c r="L1796" s="16"/>
      <c r="N1796" s="20"/>
      <c r="O1796" s="18"/>
    </row>
    <row r="1797" spans="1:15" x14ac:dyDescent="0.2">
      <c r="A1797" s="10"/>
      <c r="B1797" s="11"/>
      <c r="C1797" s="12"/>
      <c r="D1797" s="11"/>
      <c r="E1797" s="13"/>
      <c r="F1797" s="14"/>
      <c r="G1797" s="11"/>
      <c r="H1797" s="16"/>
      <c r="J1797" s="17"/>
      <c r="K1797" s="20"/>
      <c r="L1797" s="16"/>
      <c r="N1797" s="20"/>
      <c r="O1797" s="18"/>
    </row>
    <row r="1798" spans="1:15" x14ac:dyDescent="0.2">
      <c r="A1798" s="10"/>
      <c r="B1798" s="11"/>
      <c r="C1798" s="12"/>
      <c r="D1798" s="11"/>
      <c r="E1798" s="13"/>
      <c r="F1798" s="14"/>
      <c r="G1798" s="11"/>
      <c r="H1798" s="16"/>
      <c r="J1798" s="17"/>
      <c r="K1798" s="20"/>
      <c r="L1798" s="16"/>
      <c r="N1798" s="20"/>
      <c r="O1798" s="18"/>
    </row>
    <row r="1799" spans="1:15" x14ac:dyDescent="0.2">
      <c r="A1799" s="10"/>
      <c r="B1799" s="11"/>
      <c r="C1799" s="12"/>
      <c r="D1799" s="11"/>
      <c r="E1799" s="13"/>
      <c r="F1799" s="14"/>
      <c r="G1799" s="11"/>
      <c r="H1799" s="16"/>
      <c r="J1799" s="17"/>
      <c r="K1799" s="20"/>
      <c r="L1799" s="16"/>
      <c r="N1799" s="20"/>
      <c r="O1799" s="18"/>
    </row>
    <row r="1800" spans="1:15" x14ac:dyDescent="0.2">
      <c r="A1800" s="10"/>
      <c r="B1800" s="11"/>
      <c r="C1800" s="12"/>
      <c r="D1800" s="11"/>
      <c r="E1800" s="13"/>
      <c r="F1800" s="14"/>
      <c r="G1800" s="11"/>
      <c r="H1800" s="16"/>
      <c r="J1800" s="17"/>
      <c r="K1800" s="20"/>
      <c r="L1800" s="16"/>
      <c r="N1800" s="20"/>
      <c r="O1800" s="18"/>
    </row>
    <row r="1801" spans="1:15" x14ac:dyDescent="0.2">
      <c r="A1801" s="10"/>
      <c r="B1801" s="11"/>
      <c r="C1801" s="12"/>
      <c r="D1801" s="11"/>
      <c r="E1801" s="13"/>
      <c r="F1801" s="14"/>
      <c r="G1801" s="11"/>
      <c r="H1801" s="16"/>
      <c r="J1801" s="17"/>
      <c r="K1801" s="20"/>
      <c r="L1801" s="16"/>
      <c r="N1801" s="20"/>
      <c r="O1801" s="18"/>
    </row>
    <row r="1802" spans="1:15" x14ac:dyDescent="0.2">
      <c r="A1802" s="10"/>
      <c r="B1802" s="11"/>
      <c r="C1802" s="12"/>
      <c r="D1802" s="11"/>
      <c r="E1802" s="13"/>
      <c r="F1802" s="14"/>
      <c r="G1802" s="11"/>
      <c r="H1802" s="16"/>
      <c r="J1802" s="17"/>
      <c r="K1802" s="20"/>
      <c r="L1802" s="16"/>
      <c r="N1802" s="20"/>
      <c r="O1802" s="18"/>
    </row>
    <row r="1803" spans="1:15" x14ac:dyDescent="0.2">
      <c r="A1803" s="10"/>
      <c r="B1803" s="11"/>
      <c r="C1803" s="12"/>
      <c r="D1803" s="11"/>
      <c r="E1803" s="13"/>
      <c r="F1803" s="14"/>
      <c r="G1803" s="11"/>
      <c r="H1803" s="16"/>
      <c r="J1803" s="17"/>
      <c r="K1803" s="20"/>
      <c r="L1803" s="16"/>
      <c r="N1803" s="20"/>
      <c r="O1803" s="18"/>
    </row>
    <row r="1804" spans="1:15" x14ac:dyDescent="0.2">
      <c r="A1804" s="10"/>
      <c r="B1804" s="11"/>
      <c r="C1804" s="12"/>
      <c r="D1804" s="11"/>
      <c r="E1804" s="13"/>
      <c r="F1804" s="14"/>
      <c r="G1804" s="11"/>
      <c r="H1804" s="16"/>
      <c r="J1804" s="17"/>
      <c r="K1804" s="20"/>
      <c r="L1804" s="16"/>
      <c r="N1804" s="20"/>
      <c r="O1804" s="18"/>
    </row>
    <row r="1805" spans="1:15" x14ac:dyDescent="0.2">
      <c r="A1805" s="10"/>
      <c r="B1805" s="11"/>
      <c r="C1805" s="12"/>
      <c r="D1805" s="11"/>
      <c r="E1805" s="13"/>
      <c r="F1805" s="14"/>
      <c r="G1805" s="11"/>
      <c r="H1805" s="16"/>
      <c r="J1805" s="17"/>
      <c r="K1805" s="20"/>
      <c r="L1805" s="16"/>
      <c r="N1805" s="20"/>
      <c r="O1805" s="18"/>
    </row>
    <row r="1806" spans="1:15" x14ac:dyDescent="0.2">
      <c r="A1806" s="10"/>
      <c r="B1806" s="11"/>
      <c r="C1806" s="12"/>
      <c r="D1806" s="11"/>
      <c r="E1806" s="13"/>
      <c r="F1806" s="14"/>
      <c r="G1806" s="11"/>
      <c r="H1806" s="16"/>
      <c r="J1806" s="17"/>
      <c r="K1806" s="20"/>
      <c r="L1806" s="16"/>
      <c r="N1806" s="20"/>
      <c r="O1806" s="18"/>
    </row>
    <row r="1807" spans="1:15" x14ac:dyDescent="0.2">
      <c r="A1807" s="10"/>
      <c r="B1807" s="11"/>
      <c r="C1807" s="12"/>
      <c r="D1807" s="11"/>
      <c r="E1807" s="13"/>
      <c r="F1807" s="14"/>
      <c r="G1807" s="11"/>
      <c r="H1807" s="16"/>
      <c r="J1807" s="17"/>
      <c r="K1807" s="20"/>
      <c r="L1807" s="16"/>
      <c r="N1807" s="20"/>
      <c r="O1807" s="18"/>
    </row>
    <row r="1808" spans="1:15" x14ac:dyDescent="0.2">
      <c r="A1808" s="10"/>
      <c r="B1808" s="11"/>
      <c r="C1808" s="12"/>
      <c r="D1808" s="11"/>
      <c r="E1808" s="13"/>
      <c r="F1808" s="14"/>
      <c r="G1808" s="11"/>
      <c r="H1808" s="16"/>
      <c r="J1808" s="17"/>
      <c r="K1808" s="20"/>
      <c r="L1808" s="16"/>
      <c r="N1808" s="20"/>
      <c r="O1808" s="18"/>
    </row>
    <row r="1809" spans="1:15" x14ac:dyDescent="0.2">
      <c r="A1809" s="10"/>
      <c r="B1809" s="11"/>
      <c r="C1809" s="12"/>
      <c r="D1809" s="11"/>
      <c r="E1809" s="13"/>
      <c r="F1809" s="14"/>
      <c r="G1809" s="11"/>
      <c r="H1809" s="16"/>
      <c r="J1809" s="17"/>
      <c r="K1809" s="20"/>
      <c r="L1809" s="16"/>
      <c r="N1809" s="20"/>
      <c r="O1809" s="18"/>
    </row>
    <row r="1810" spans="1:15" x14ac:dyDescent="0.2">
      <c r="A1810" s="10"/>
      <c r="B1810" s="11"/>
      <c r="C1810" s="12"/>
      <c r="D1810" s="11"/>
      <c r="E1810" s="13"/>
      <c r="F1810" s="14"/>
      <c r="G1810" s="11"/>
      <c r="H1810" s="16"/>
      <c r="J1810" s="17"/>
      <c r="K1810" s="20"/>
      <c r="L1810" s="16"/>
      <c r="N1810" s="20"/>
      <c r="O1810" s="18"/>
    </row>
    <row r="1811" spans="1:15" x14ac:dyDescent="0.2">
      <c r="A1811" s="10"/>
      <c r="B1811" s="11"/>
      <c r="C1811" s="12"/>
      <c r="D1811" s="11"/>
      <c r="E1811" s="13"/>
      <c r="F1811" s="14"/>
      <c r="G1811" s="11"/>
      <c r="H1811" s="16"/>
      <c r="J1811" s="17"/>
      <c r="K1811" s="20"/>
      <c r="L1811" s="16"/>
      <c r="N1811" s="20"/>
      <c r="O1811" s="18"/>
    </row>
    <row r="1812" spans="1:15" x14ac:dyDescent="0.2">
      <c r="A1812" s="10"/>
      <c r="B1812" s="11"/>
      <c r="C1812" s="12"/>
      <c r="D1812" s="11"/>
      <c r="E1812" s="13"/>
      <c r="F1812" s="14"/>
      <c r="G1812" s="11"/>
      <c r="H1812" s="16"/>
      <c r="J1812" s="17"/>
      <c r="K1812" s="20"/>
      <c r="L1812" s="16"/>
      <c r="N1812" s="20"/>
      <c r="O1812" s="18"/>
    </row>
    <row r="1813" spans="1:15" x14ac:dyDescent="0.2">
      <c r="A1813" s="10"/>
      <c r="B1813" s="11"/>
      <c r="C1813" s="12"/>
      <c r="D1813" s="11"/>
      <c r="E1813" s="13"/>
      <c r="F1813" s="14"/>
      <c r="G1813" s="11"/>
      <c r="H1813" s="16"/>
      <c r="J1813" s="17"/>
      <c r="K1813" s="20"/>
      <c r="L1813" s="16"/>
      <c r="N1813" s="20"/>
      <c r="O1813" s="18"/>
    </row>
    <row r="1814" spans="1:15" x14ac:dyDescent="0.2">
      <c r="A1814" s="10"/>
      <c r="B1814" s="11"/>
      <c r="C1814" s="12"/>
      <c r="D1814" s="11"/>
      <c r="E1814" s="13"/>
      <c r="F1814" s="14"/>
      <c r="G1814" s="11"/>
      <c r="H1814" s="16"/>
      <c r="J1814" s="17"/>
      <c r="K1814" s="20"/>
      <c r="L1814" s="16"/>
      <c r="N1814" s="20"/>
      <c r="O1814" s="18"/>
    </row>
    <row r="1815" spans="1:15" x14ac:dyDescent="0.2">
      <c r="A1815" s="10"/>
      <c r="B1815" s="11"/>
      <c r="C1815" s="12"/>
      <c r="D1815" s="11"/>
      <c r="E1815" s="13"/>
      <c r="F1815" s="14"/>
      <c r="G1815" s="11"/>
      <c r="H1815" s="16"/>
      <c r="J1815" s="17"/>
      <c r="K1815" s="20"/>
      <c r="L1815" s="16"/>
      <c r="N1815" s="20"/>
      <c r="O1815" s="18"/>
    </row>
    <row r="1816" spans="1:15" x14ac:dyDescent="0.2">
      <c r="A1816" s="10"/>
      <c r="B1816" s="11"/>
      <c r="C1816" s="12"/>
      <c r="D1816" s="11"/>
      <c r="E1816" s="13"/>
      <c r="F1816" s="14"/>
      <c r="G1816" s="11"/>
      <c r="H1816" s="16"/>
      <c r="J1816" s="17"/>
      <c r="K1816" s="20"/>
      <c r="L1816" s="16"/>
      <c r="N1816" s="20"/>
      <c r="O1816" s="18"/>
    </row>
    <row r="1817" spans="1:15" x14ac:dyDescent="0.2">
      <c r="A1817" s="10"/>
      <c r="B1817" s="11"/>
      <c r="C1817" s="12"/>
      <c r="D1817" s="11"/>
      <c r="E1817" s="13"/>
      <c r="F1817" s="14"/>
      <c r="G1817" s="11"/>
      <c r="H1817" s="16"/>
      <c r="J1817" s="17"/>
      <c r="K1817" s="20"/>
      <c r="L1817" s="16"/>
      <c r="N1817" s="20"/>
      <c r="O1817" s="18"/>
    </row>
    <row r="1818" spans="1:15" x14ac:dyDescent="0.2">
      <c r="A1818" s="10"/>
      <c r="B1818" s="11"/>
      <c r="C1818" s="12"/>
      <c r="D1818" s="11"/>
      <c r="E1818" s="13"/>
      <c r="F1818" s="14"/>
      <c r="G1818" s="11"/>
      <c r="H1818" s="16"/>
      <c r="J1818" s="17"/>
      <c r="K1818" s="20"/>
      <c r="L1818" s="16"/>
      <c r="N1818" s="20"/>
      <c r="O1818" s="18"/>
    </row>
    <row r="1819" spans="1:15" x14ac:dyDescent="0.2">
      <c r="A1819" s="10"/>
      <c r="B1819" s="11"/>
      <c r="C1819" s="12"/>
      <c r="D1819" s="11"/>
      <c r="E1819" s="13"/>
      <c r="F1819" s="14"/>
      <c r="G1819" s="11"/>
      <c r="H1819" s="16"/>
      <c r="J1819" s="17"/>
      <c r="K1819" s="20"/>
      <c r="L1819" s="16"/>
      <c r="N1819" s="20"/>
      <c r="O1819" s="18"/>
    </row>
    <row r="1820" spans="1:15" x14ac:dyDescent="0.2">
      <c r="A1820" s="10"/>
      <c r="B1820" s="11"/>
      <c r="C1820" s="12"/>
      <c r="D1820" s="11"/>
      <c r="E1820" s="13"/>
      <c r="F1820" s="14"/>
      <c r="G1820" s="11"/>
      <c r="H1820" s="16"/>
      <c r="J1820" s="17"/>
      <c r="K1820" s="20"/>
      <c r="L1820" s="16"/>
      <c r="N1820" s="20"/>
      <c r="O1820" s="18"/>
    </row>
    <row r="1821" spans="1:15" x14ac:dyDescent="0.2">
      <c r="A1821" s="10"/>
      <c r="B1821" s="11"/>
      <c r="C1821" s="12"/>
      <c r="D1821" s="11"/>
      <c r="E1821" s="13"/>
      <c r="F1821" s="14"/>
      <c r="G1821" s="11"/>
      <c r="H1821" s="16"/>
      <c r="J1821" s="17"/>
      <c r="K1821" s="20"/>
      <c r="L1821" s="16"/>
      <c r="N1821" s="20"/>
      <c r="O1821" s="18"/>
    </row>
    <row r="1822" spans="1:15" x14ac:dyDescent="0.2">
      <c r="A1822" s="10"/>
      <c r="B1822" s="11"/>
      <c r="C1822" s="12"/>
      <c r="D1822" s="11"/>
      <c r="E1822" s="13"/>
      <c r="F1822" s="14"/>
      <c r="G1822" s="11"/>
      <c r="H1822" s="16"/>
      <c r="J1822" s="17"/>
      <c r="K1822" s="20"/>
      <c r="L1822" s="16"/>
      <c r="N1822" s="20"/>
      <c r="O1822" s="18"/>
    </row>
    <row r="1823" spans="1:15" x14ac:dyDescent="0.2">
      <c r="A1823" s="10"/>
      <c r="B1823" s="11"/>
      <c r="C1823" s="12"/>
      <c r="D1823" s="11"/>
      <c r="E1823" s="13"/>
      <c r="F1823" s="14"/>
      <c r="G1823" s="11"/>
      <c r="H1823" s="16"/>
      <c r="J1823" s="17"/>
      <c r="K1823" s="20"/>
      <c r="L1823" s="16"/>
      <c r="N1823" s="20"/>
      <c r="O1823" s="18"/>
    </row>
    <row r="1824" spans="1:15" x14ac:dyDescent="0.2">
      <c r="A1824" s="10"/>
      <c r="B1824" s="11"/>
      <c r="C1824" s="12"/>
      <c r="D1824" s="11"/>
      <c r="E1824" s="13"/>
      <c r="F1824" s="14"/>
      <c r="G1824" s="11"/>
      <c r="H1824" s="16"/>
      <c r="J1824" s="17"/>
      <c r="K1824" s="20"/>
      <c r="L1824" s="16"/>
      <c r="N1824" s="20"/>
      <c r="O1824" s="18"/>
    </row>
    <row r="1825" spans="1:15" x14ac:dyDescent="0.2">
      <c r="A1825" s="10"/>
      <c r="B1825" s="11"/>
      <c r="C1825" s="12"/>
      <c r="D1825" s="11"/>
      <c r="E1825" s="13"/>
      <c r="F1825" s="14"/>
      <c r="G1825" s="11"/>
      <c r="H1825" s="16"/>
      <c r="J1825" s="17"/>
      <c r="K1825" s="20"/>
      <c r="L1825" s="16"/>
      <c r="N1825" s="20"/>
      <c r="O1825" s="18"/>
    </row>
    <row r="1826" spans="1:15" x14ac:dyDescent="0.2">
      <c r="A1826" s="10"/>
      <c r="B1826" s="11"/>
      <c r="C1826" s="12"/>
      <c r="D1826" s="11"/>
      <c r="E1826" s="13"/>
      <c r="F1826" s="14"/>
      <c r="G1826" s="11"/>
      <c r="H1826" s="16"/>
      <c r="J1826" s="17"/>
      <c r="K1826" s="20"/>
      <c r="L1826" s="16"/>
      <c r="N1826" s="20"/>
      <c r="O1826" s="18"/>
    </row>
    <row r="1827" spans="1:15" x14ac:dyDescent="0.2">
      <c r="A1827" s="10"/>
      <c r="B1827" s="11"/>
      <c r="C1827" s="12"/>
      <c r="D1827" s="11"/>
      <c r="E1827" s="13"/>
      <c r="F1827" s="14"/>
      <c r="G1827" s="11"/>
      <c r="H1827" s="16"/>
      <c r="J1827" s="17"/>
      <c r="K1827" s="20"/>
      <c r="L1827" s="16"/>
      <c r="N1827" s="20"/>
      <c r="O1827" s="18"/>
    </row>
    <row r="1828" spans="1:15" x14ac:dyDescent="0.2">
      <c r="A1828" s="10"/>
      <c r="B1828" s="11"/>
      <c r="C1828" s="12"/>
      <c r="D1828" s="11"/>
      <c r="E1828" s="13"/>
      <c r="F1828" s="14"/>
      <c r="G1828" s="11"/>
      <c r="H1828" s="16"/>
      <c r="J1828" s="17"/>
      <c r="K1828" s="20"/>
      <c r="L1828" s="16"/>
      <c r="N1828" s="20"/>
      <c r="O1828" s="18"/>
    </row>
    <row r="1829" spans="1:15" x14ac:dyDescent="0.2">
      <c r="A1829" s="10"/>
      <c r="B1829" s="11"/>
      <c r="C1829" s="12"/>
      <c r="D1829" s="11"/>
      <c r="E1829" s="13"/>
      <c r="F1829" s="14"/>
      <c r="G1829" s="11"/>
      <c r="H1829" s="16"/>
      <c r="J1829" s="17"/>
      <c r="K1829" s="20"/>
      <c r="L1829" s="16"/>
      <c r="N1829" s="20"/>
      <c r="O1829" s="18"/>
    </row>
    <row r="1830" spans="1:15" x14ac:dyDescent="0.2">
      <c r="A1830" s="10"/>
      <c r="B1830" s="11"/>
      <c r="C1830" s="12"/>
      <c r="D1830" s="11"/>
      <c r="E1830" s="13"/>
      <c r="F1830" s="14"/>
      <c r="G1830" s="11"/>
      <c r="H1830" s="16"/>
      <c r="J1830" s="17"/>
      <c r="K1830" s="20"/>
      <c r="L1830" s="16"/>
      <c r="N1830" s="20"/>
      <c r="O1830" s="18"/>
    </row>
    <row r="1831" spans="1:15" x14ac:dyDescent="0.2">
      <c r="A1831" s="10"/>
      <c r="B1831" s="11"/>
      <c r="C1831" s="12"/>
      <c r="D1831" s="11"/>
      <c r="E1831" s="13"/>
      <c r="F1831" s="14"/>
      <c r="G1831" s="11"/>
      <c r="H1831" s="16"/>
      <c r="J1831" s="17"/>
      <c r="K1831" s="20"/>
      <c r="L1831" s="16"/>
      <c r="N1831" s="20"/>
      <c r="O1831" s="18"/>
    </row>
    <row r="1832" spans="1:15" x14ac:dyDescent="0.2">
      <c r="A1832" s="10"/>
      <c r="B1832" s="11"/>
      <c r="C1832" s="12"/>
      <c r="D1832" s="11"/>
      <c r="E1832" s="13"/>
      <c r="F1832" s="14"/>
      <c r="G1832" s="11"/>
      <c r="H1832" s="16"/>
      <c r="J1832" s="17"/>
      <c r="K1832" s="20"/>
      <c r="L1832" s="16"/>
      <c r="N1832" s="20"/>
      <c r="O1832" s="18"/>
    </row>
    <row r="1833" spans="1:15" x14ac:dyDescent="0.2">
      <c r="A1833" s="10"/>
      <c r="B1833" s="11"/>
      <c r="C1833" s="12"/>
      <c r="D1833" s="11"/>
      <c r="E1833" s="13"/>
      <c r="F1833" s="14"/>
      <c r="G1833" s="11"/>
      <c r="H1833" s="16"/>
      <c r="J1833" s="17"/>
      <c r="K1833" s="20"/>
      <c r="L1833" s="16"/>
      <c r="N1833" s="20"/>
      <c r="O1833" s="18"/>
    </row>
    <row r="1834" spans="1:15" x14ac:dyDescent="0.2">
      <c r="A1834" s="10"/>
      <c r="B1834" s="11"/>
      <c r="C1834" s="12"/>
      <c r="D1834" s="11"/>
      <c r="E1834" s="13"/>
      <c r="F1834" s="14"/>
      <c r="G1834" s="11"/>
      <c r="H1834" s="16"/>
      <c r="J1834" s="17"/>
      <c r="K1834" s="20"/>
      <c r="L1834" s="16"/>
      <c r="N1834" s="20"/>
      <c r="O1834" s="18"/>
    </row>
    <row r="1835" spans="1:15" x14ac:dyDescent="0.2">
      <c r="A1835" s="10"/>
      <c r="B1835" s="11"/>
      <c r="C1835" s="12"/>
      <c r="D1835" s="11"/>
      <c r="E1835" s="13"/>
      <c r="F1835" s="14"/>
      <c r="G1835" s="11"/>
      <c r="H1835" s="16"/>
      <c r="J1835" s="17"/>
      <c r="K1835" s="20"/>
      <c r="L1835" s="16"/>
      <c r="N1835" s="20"/>
      <c r="O1835" s="18"/>
    </row>
    <row r="1836" spans="1:15" x14ac:dyDescent="0.2">
      <c r="A1836" s="10"/>
      <c r="B1836" s="11"/>
      <c r="C1836" s="12"/>
      <c r="D1836" s="11"/>
      <c r="E1836" s="13"/>
      <c r="F1836" s="14"/>
      <c r="G1836" s="11"/>
      <c r="H1836" s="16"/>
      <c r="J1836" s="17"/>
      <c r="K1836" s="20"/>
      <c r="L1836" s="16"/>
      <c r="N1836" s="20"/>
      <c r="O1836" s="18"/>
    </row>
    <row r="1837" spans="1:15" x14ac:dyDescent="0.2">
      <c r="A1837" s="10"/>
      <c r="B1837" s="11"/>
      <c r="C1837" s="12"/>
      <c r="D1837" s="11"/>
      <c r="E1837" s="13"/>
      <c r="F1837" s="14"/>
      <c r="G1837" s="11"/>
      <c r="H1837" s="16"/>
      <c r="J1837" s="17"/>
      <c r="K1837" s="20"/>
      <c r="L1837" s="16"/>
      <c r="N1837" s="20"/>
      <c r="O1837" s="18"/>
    </row>
    <row r="1838" spans="1:15" x14ac:dyDescent="0.2">
      <c r="A1838" s="10"/>
      <c r="B1838" s="11"/>
      <c r="C1838" s="12"/>
      <c r="D1838" s="11"/>
      <c r="E1838" s="13"/>
      <c r="F1838" s="14"/>
      <c r="G1838" s="11"/>
      <c r="H1838" s="16"/>
      <c r="J1838" s="17"/>
      <c r="K1838" s="20"/>
      <c r="L1838" s="16"/>
      <c r="N1838" s="20"/>
      <c r="O1838" s="18"/>
    </row>
    <row r="1839" spans="1:15" x14ac:dyDescent="0.2">
      <c r="A1839" s="10"/>
      <c r="B1839" s="11"/>
      <c r="C1839" s="12"/>
      <c r="D1839" s="11"/>
      <c r="E1839" s="13"/>
      <c r="F1839" s="14"/>
      <c r="G1839" s="11"/>
      <c r="H1839" s="16"/>
      <c r="J1839" s="17"/>
      <c r="K1839" s="20"/>
      <c r="L1839" s="16"/>
      <c r="N1839" s="20"/>
      <c r="O1839" s="18"/>
    </row>
    <row r="1840" spans="1:15" x14ac:dyDescent="0.2">
      <c r="A1840" s="10"/>
      <c r="B1840" s="11"/>
      <c r="C1840" s="12"/>
      <c r="D1840" s="11"/>
      <c r="E1840" s="13"/>
      <c r="F1840" s="14"/>
      <c r="G1840" s="11"/>
      <c r="H1840" s="16"/>
      <c r="J1840" s="17"/>
      <c r="K1840" s="20"/>
      <c r="L1840" s="16"/>
      <c r="N1840" s="20"/>
      <c r="O1840" s="18"/>
    </row>
    <row r="1841" spans="1:15" x14ac:dyDescent="0.2">
      <c r="A1841" s="10"/>
      <c r="B1841" s="11"/>
      <c r="C1841" s="12"/>
      <c r="D1841" s="11"/>
      <c r="E1841" s="13"/>
      <c r="F1841" s="14"/>
      <c r="G1841" s="11"/>
      <c r="H1841" s="16"/>
      <c r="J1841" s="17"/>
      <c r="K1841" s="20"/>
      <c r="L1841" s="16"/>
      <c r="N1841" s="20"/>
      <c r="O1841" s="18"/>
    </row>
    <row r="1842" spans="1:15" x14ac:dyDescent="0.2">
      <c r="A1842" s="10"/>
      <c r="B1842" s="11"/>
      <c r="C1842" s="12"/>
      <c r="D1842" s="11"/>
      <c r="E1842" s="13"/>
      <c r="F1842" s="14"/>
      <c r="G1842" s="11"/>
      <c r="H1842" s="16"/>
      <c r="J1842" s="17"/>
      <c r="K1842" s="20"/>
      <c r="L1842" s="16"/>
      <c r="N1842" s="20"/>
      <c r="O1842" s="18"/>
    </row>
    <row r="1843" spans="1:15" x14ac:dyDescent="0.2">
      <c r="A1843" s="10"/>
      <c r="B1843" s="11"/>
      <c r="C1843" s="12"/>
      <c r="D1843" s="11"/>
      <c r="E1843" s="13"/>
      <c r="F1843" s="14"/>
      <c r="G1843" s="11"/>
      <c r="H1843" s="16"/>
      <c r="J1843" s="17"/>
      <c r="K1843" s="20"/>
      <c r="L1843" s="16"/>
      <c r="N1843" s="20"/>
      <c r="O1843" s="18"/>
    </row>
    <row r="1844" spans="1:15" x14ac:dyDescent="0.2">
      <c r="A1844" s="10"/>
      <c r="B1844" s="11"/>
      <c r="C1844" s="12"/>
      <c r="D1844" s="11"/>
      <c r="E1844" s="13"/>
      <c r="F1844" s="14"/>
      <c r="G1844" s="11"/>
      <c r="H1844" s="16"/>
      <c r="J1844" s="17"/>
      <c r="K1844" s="20"/>
      <c r="L1844" s="16"/>
      <c r="N1844" s="20"/>
      <c r="O1844" s="18"/>
    </row>
    <row r="1845" spans="1:15" x14ac:dyDescent="0.2">
      <c r="A1845" s="10"/>
      <c r="B1845" s="11"/>
      <c r="C1845" s="12"/>
      <c r="D1845" s="11"/>
      <c r="E1845" s="13"/>
      <c r="F1845" s="14"/>
      <c r="G1845" s="11"/>
      <c r="H1845" s="16"/>
      <c r="J1845" s="17"/>
      <c r="K1845" s="20"/>
      <c r="L1845" s="16"/>
      <c r="N1845" s="20"/>
      <c r="O1845" s="18"/>
    </row>
    <row r="1846" spans="1:15" x14ac:dyDescent="0.2">
      <c r="A1846" s="10"/>
      <c r="B1846" s="11"/>
      <c r="C1846" s="12"/>
      <c r="D1846" s="11"/>
      <c r="E1846" s="13"/>
      <c r="F1846" s="14"/>
      <c r="G1846" s="11"/>
      <c r="H1846" s="16"/>
      <c r="J1846" s="17"/>
      <c r="K1846" s="20"/>
      <c r="L1846" s="16"/>
      <c r="N1846" s="20"/>
      <c r="O1846" s="18"/>
    </row>
    <row r="1847" spans="1:15" x14ac:dyDescent="0.2">
      <c r="A1847" s="10"/>
      <c r="B1847" s="11"/>
      <c r="C1847" s="12"/>
      <c r="D1847" s="11"/>
      <c r="E1847" s="13"/>
      <c r="F1847" s="14"/>
      <c r="G1847" s="11"/>
      <c r="H1847" s="16"/>
      <c r="J1847" s="17"/>
      <c r="K1847" s="20"/>
      <c r="L1847" s="16"/>
      <c r="N1847" s="20"/>
      <c r="O1847" s="18"/>
    </row>
    <row r="1848" spans="1:15" x14ac:dyDescent="0.2">
      <c r="A1848" s="10"/>
      <c r="B1848" s="11"/>
      <c r="C1848" s="12"/>
      <c r="D1848" s="11"/>
      <c r="E1848" s="13"/>
      <c r="F1848" s="14"/>
      <c r="G1848" s="11"/>
      <c r="H1848" s="16"/>
      <c r="J1848" s="17"/>
      <c r="K1848" s="20"/>
      <c r="L1848" s="16"/>
      <c r="N1848" s="20"/>
      <c r="O1848" s="18"/>
    </row>
    <row r="1849" spans="1:15" x14ac:dyDescent="0.2">
      <c r="A1849" s="10"/>
      <c r="B1849" s="11"/>
      <c r="C1849" s="12"/>
      <c r="D1849" s="11"/>
      <c r="E1849" s="13"/>
      <c r="F1849" s="14"/>
      <c r="G1849" s="11"/>
      <c r="H1849" s="16"/>
      <c r="J1849" s="17"/>
      <c r="K1849" s="20"/>
      <c r="L1849" s="16"/>
      <c r="N1849" s="20"/>
      <c r="O1849" s="18"/>
    </row>
    <row r="1850" spans="1:15" x14ac:dyDescent="0.2">
      <c r="A1850" s="10"/>
      <c r="B1850" s="11"/>
      <c r="C1850" s="12"/>
      <c r="D1850" s="11"/>
      <c r="E1850" s="13"/>
      <c r="F1850" s="14"/>
      <c r="G1850" s="11"/>
      <c r="H1850" s="16"/>
      <c r="J1850" s="17"/>
      <c r="K1850" s="20"/>
      <c r="L1850" s="16"/>
      <c r="N1850" s="20"/>
      <c r="O1850" s="18"/>
    </row>
    <row r="1851" spans="1:15" x14ac:dyDescent="0.2">
      <c r="A1851" s="10"/>
      <c r="B1851" s="11"/>
      <c r="C1851" s="12"/>
      <c r="D1851" s="11"/>
      <c r="E1851" s="13"/>
      <c r="F1851" s="14"/>
      <c r="G1851" s="11"/>
      <c r="H1851" s="16"/>
      <c r="J1851" s="17"/>
      <c r="K1851" s="20"/>
      <c r="L1851" s="16"/>
      <c r="N1851" s="20"/>
      <c r="O1851" s="18"/>
    </row>
    <row r="1852" spans="1:15" x14ac:dyDescent="0.2">
      <c r="A1852" s="10"/>
      <c r="B1852" s="11"/>
      <c r="C1852" s="12"/>
      <c r="D1852" s="11"/>
      <c r="E1852" s="13"/>
      <c r="F1852" s="14"/>
      <c r="G1852" s="11"/>
      <c r="H1852" s="16"/>
      <c r="J1852" s="17"/>
      <c r="K1852" s="20"/>
      <c r="L1852" s="16"/>
      <c r="N1852" s="20"/>
      <c r="O1852" s="18"/>
    </row>
    <row r="1853" spans="1:15" x14ac:dyDescent="0.2">
      <c r="A1853" s="10"/>
      <c r="B1853" s="11"/>
      <c r="C1853" s="12"/>
      <c r="D1853" s="11"/>
      <c r="E1853" s="13"/>
      <c r="F1853" s="14"/>
      <c r="G1853" s="11"/>
      <c r="H1853" s="16"/>
      <c r="J1853" s="17"/>
      <c r="K1853" s="20"/>
      <c r="L1853" s="16"/>
      <c r="N1853" s="20"/>
      <c r="O1853" s="18"/>
    </row>
    <row r="1854" spans="1:15" x14ac:dyDescent="0.2">
      <c r="A1854" s="10"/>
      <c r="B1854" s="11"/>
      <c r="C1854" s="12"/>
      <c r="D1854" s="11"/>
      <c r="E1854" s="13"/>
      <c r="F1854" s="14"/>
      <c r="G1854" s="11"/>
      <c r="H1854" s="16"/>
      <c r="J1854" s="17"/>
      <c r="K1854" s="20"/>
      <c r="L1854" s="16"/>
      <c r="N1854" s="20"/>
      <c r="O1854" s="18"/>
    </row>
    <row r="1855" spans="1:15" x14ac:dyDescent="0.2">
      <c r="A1855" s="10"/>
      <c r="B1855" s="11"/>
      <c r="C1855" s="12"/>
      <c r="D1855" s="11"/>
      <c r="E1855" s="13"/>
      <c r="F1855" s="14"/>
      <c r="G1855" s="11"/>
      <c r="H1855" s="16"/>
      <c r="J1855" s="17"/>
      <c r="K1855" s="20"/>
      <c r="L1855" s="16"/>
      <c r="N1855" s="20"/>
      <c r="O1855" s="18"/>
    </row>
    <row r="1856" spans="1:15" x14ac:dyDescent="0.2">
      <c r="A1856" s="10"/>
      <c r="B1856" s="11"/>
      <c r="C1856" s="12"/>
      <c r="D1856" s="11"/>
      <c r="E1856" s="13"/>
      <c r="F1856" s="14"/>
      <c r="G1856" s="11"/>
      <c r="H1856" s="16"/>
      <c r="J1856" s="17"/>
      <c r="K1856" s="20"/>
      <c r="L1856" s="16"/>
      <c r="N1856" s="20"/>
      <c r="O1856" s="18"/>
    </row>
    <row r="1857" spans="1:15" x14ac:dyDescent="0.2">
      <c r="A1857" s="10"/>
      <c r="B1857" s="11"/>
      <c r="C1857" s="12"/>
      <c r="D1857" s="11"/>
      <c r="E1857" s="13"/>
      <c r="F1857" s="14"/>
      <c r="G1857" s="11"/>
      <c r="H1857" s="16"/>
      <c r="J1857" s="17"/>
      <c r="K1857" s="20"/>
      <c r="L1857" s="16"/>
      <c r="N1857" s="20"/>
      <c r="O1857" s="18"/>
    </row>
    <row r="1858" spans="1:15" x14ac:dyDescent="0.2">
      <c r="A1858" s="10"/>
      <c r="B1858" s="11"/>
      <c r="C1858" s="12"/>
      <c r="D1858" s="11"/>
      <c r="E1858" s="13"/>
      <c r="F1858" s="14"/>
      <c r="G1858" s="11"/>
      <c r="H1858" s="16"/>
      <c r="J1858" s="17"/>
      <c r="K1858" s="20"/>
      <c r="L1858" s="16"/>
      <c r="N1858" s="20"/>
      <c r="O1858" s="18"/>
    </row>
    <row r="1859" spans="1:15" x14ac:dyDescent="0.2">
      <c r="A1859" s="10"/>
      <c r="B1859" s="11"/>
      <c r="C1859" s="12"/>
      <c r="D1859" s="11"/>
      <c r="E1859" s="13"/>
      <c r="F1859" s="14"/>
      <c r="G1859" s="11"/>
      <c r="H1859" s="16"/>
      <c r="J1859" s="17"/>
      <c r="K1859" s="20"/>
      <c r="L1859" s="16"/>
      <c r="N1859" s="20"/>
      <c r="O1859" s="18"/>
    </row>
    <row r="1860" spans="1:15" x14ac:dyDescent="0.2">
      <c r="A1860" s="10"/>
      <c r="B1860" s="11"/>
      <c r="C1860" s="12"/>
      <c r="D1860" s="11"/>
      <c r="E1860" s="13"/>
      <c r="F1860" s="14"/>
      <c r="G1860" s="11"/>
      <c r="H1860" s="16"/>
      <c r="J1860" s="17"/>
      <c r="K1860" s="20"/>
      <c r="L1860" s="16"/>
      <c r="N1860" s="20"/>
      <c r="O1860" s="18"/>
    </row>
    <row r="1861" spans="1:15" x14ac:dyDescent="0.2">
      <c r="A1861" s="10"/>
      <c r="B1861" s="11"/>
      <c r="C1861" s="12"/>
      <c r="D1861" s="11"/>
      <c r="E1861" s="13"/>
      <c r="F1861" s="14"/>
      <c r="G1861" s="11"/>
      <c r="H1861" s="16"/>
      <c r="J1861" s="17"/>
      <c r="K1861" s="20"/>
      <c r="L1861" s="16"/>
      <c r="N1861" s="20"/>
      <c r="O1861" s="18"/>
    </row>
    <row r="1862" spans="1:15" x14ac:dyDescent="0.2">
      <c r="A1862" s="10"/>
      <c r="B1862" s="11"/>
      <c r="C1862" s="12"/>
      <c r="D1862" s="11"/>
      <c r="E1862" s="13"/>
      <c r="F1862" s="14"/>
      <c r="G1862" s="11"/>
      <c r="H1862" s="16"/>
      <c r="J1862" s="17"/>
      <c r="K1862" s="20"/>
      <c r="L1862" s="16"/>
      <c r="N1862" s="20"/>
      <c r="O1862" s="18"/>
    </row>
    <row r="1863" spans="1:15" x14ac:dyDescent="0.2">
      <c r="A1863" s="10"/>
      <c r="B1863" s="11"/>
      <c r="C1863" s="12"/>
      <c r="D1863" s="11"/>
      <c r="E1863" s="13"/>
      <c r="F1863" s="14"/>
      <c r="G1863" s="11"/>
      <c r="H1863" s="16"/>
      <c r="J1863" s="17"/>
      <c r="K1863" s="20"/>
      <c r="L1863" s="16"/>
      <c r="N1863" s="20"/>
      <c r="O1863" s="18"/>
    </row>
    <row r="1864" spans="1:15" x14ac:dyDescent="0.2">
      <c r="A1864" s="10"/>
      <c r="B1864" s="11"/>
      <c r="C1864" s="12"/>
      <c r="D1864" s="11"/>
      <c r="E1864" s="13"/>
      <c r="F1864" s="14"/>
      <c r="G1864" s="11"/>
      <c r="H1864" s="16"/>
      <c r="J1864" s="17"/>
      <c r="K1864" s="20"/>
      <c r="L1864" s="16"/>
      <c r="N1864" s="20"/>
      <c r="O1864" s="18"/>
    </row>
    <row r="1865" spans="1:15" x14ac:dyDescent="0.2">
      <c r="A1865" s="10"/>
      <c r="B1865" s="11"/>
      <c r="C1865" s="12"/>
      <c r="D1865" s="11"/>
      <c r="E1865" s="13"/>
      <c r="F1865" s="14"/>
      <c r="G1865" s="11"/>
      <c r="H1865" s="16"/>
      <c r="J1865" s="17"/>
      <c r="K1865" s="20"/>
      <c r="L1865" s="16"/>
      <c r="N1865" s="20"/>
      <c r="O1865" s="18"/>
    </row>
    <row r="1866" spans="1:15" x14ac:dyDescent="0.2">
      <c r="A1866" s="10"/>
      <c r="B1866" s="11"/>
      <c r="C1866" s="12"/>
      <c r="D1866" s="11"/>
      <c r="E1866" s="13"/>
      <c r="F1866" s="14"/>
      <c r="G1866" s="11"/>
      <c r="H1866" s="16"/>
      <c r="J1866" s="17"/>
      <c r="K1866" s="20"/>
      <c r="L1866" s="16"/>
      <c r="N1866" s="20"/>
      <c r="O1866" s="18"/>
    </row>
    <row r="1867" spans="1:15" x14ac:dyDescent="0.2">
      <c r="A1867" s="10"/>
      <c r="B1867" s="11"/>
      <c r="C1867" s="12"/>
      <c r="D1867" s="11"/>
      <c r="E1867" s="13"/>
      <c r="F1867" s="14"/>
      <c r="G1867" s="11"/>
      <c r="H1867" s="16"/>
      <c r="J1867" s="17"/>
      <c r="K1867" s="20"/>
      <c r="L1867" s="16"/>
      <c r="N1867" s="20"/>
      <c r="O1867" s="18"/>
    </row>
    <row r="1868" spans="1:15" x14ac:dyDescent="0.2">
      <c r="A1868" s="10"/>
      <c r="B1868" s="11"/>
      <c r="C1868" s="12"/>
      <c r="D1868" s="11"/>
      <c r="E1868" s="13"/>
      <c r="F1868" s="14"/>
      <c r="G1868" s="11"/>
      <c r="H1868" s="16"/>
      <c r="J1868" s="17"/>
      <c r="K1868" s="20"/>
      <c r="L1868" s="16"/>
      <c r="N1868" s="20"/>
      <c r="O1868" s="18"/>
    </row>
    <row r="1869" spans="1:15" x14ac:dyDescent="0.2">
      <c r="A1869" s="10"/>
      <c r="B1869" s="11"/>
      <c r="C1869" s="12"/>
      <c r="D1869" s="11"/>
      <c r="E1869" s="13"/>
      <c r="F1869" s="14"/>
      <c r="G1869" s="11"/>
      <c r="H1869" s="16"/>
      <c r="J1869" s="17"/>
      <c r="K1869" s="20"/>
      <c r="L1869" s="16"/>
      <c r="N1869" s="20"/>
      <c r="O1869" s="18"/>
    </row>
    <row r="1870" spans="1:15" x14ac:dyDescent="0.2">
      <c r="A1870" s="10"/>
      <c r="B1870" s="11"/>
      <c r="C1870" s="12"/>
      <c r="D1870" s="11"/>
      <c r="E1870" s="13"/>
      <c r="F1870" s="14"/>
      <c r="G1870" s="11"/>
      <c r="H1870" s="16"/>
      <c r="J1870" s="17"/>
      <c r="K1870" s="20"/>
      <c r="L1870" s="16"/>
      <c r="N1870" s="20"/>
      <c r="O1870" s="18"/>
    </row>
    <row r="1871" spans="1:15" x14ac:dyDescent="0.2">
      <c r="A1871" s="10"/>
      <c r="B1871" s="11"/>
      <c r="C1871" s="12"/>
      <c r="D1871" s="11"/>
      <c r="E1871" s="13"/>
      <c r="F1871" s="14"/>
      <c r="G1871" s="11"/>
      <c r="H1871" s="16"/>
      <c r="J1871" s="17"/>
      <c r="K1871" s="20"/>
      <c r="L1871" s="16"/>
      <c r="N1871" s="20"/>
      <c r="O1871" s="18"/>
    </row>
    <row r="1872" spans="1:15" x14ac:dyDescent="0.2">
      <c r="A1872" s="10"/>
      <c r="B1872" s="11"/>
      <c r="C1872" s="12"/>
      <c r="D1872" s="11"/>
      <c r="E1872" s="13"/>
      <c r="F1872" s="14"/>
      <c r="G1872" s="11"/>
      <c r="H1872" s="16"/>
      <c r="J1872" s="17"/>
      <c r="K1872" s="20"/>
      <c r="L1872" s="16"/>
      <c r="N1872" s="20"/>
      <c r="O1872" s="18"/>
    </row>
    <row r="1873" spans="1:15" x14ac:dyDescent="0.2">
      <c r="A1873" s="10"/>
      <c r="B1873" s="11"/>
      <c r="C1873" s="12"/>
      <c r="D1873" s="11"/>
      <c r="E1873" s="13"/>
      <c r="F1873" s="14"/>
      <c r="G1873" s="11"/>
      <c r="H1873" s="16"/>
      <c r="J1873" s="17"/>
      <c r="K1873" s="20"/>
      <c r="L1873" s="16"/>
      <c r="N1873" s="20"/>
      <c r="O1873" s="18"/>
    </row>
    <row r="1874" spans="1:15" x14ac:dyDescent="0.2">
      <c r="A1874" s="10"/>
      <c r="B1874" s="11"/>
      <c r="C1874" s="12"/>
      <c r="D1874" s="11"/>
      <c r="E1874" s="13"/>
      <c r="F1874" s="14"/>
      <c r="G1874" s="11"/>
      <c r="H1874" s="16"/>
      <c r="J1874" s="17"/>
      <c r="K1874" s="20"/>
      <c r="L1874" s="16"/>
      <c r="N1874" s="20"/>
      <c r="O1874" s="18"/>
    </row>
    <row r="1875" spans="1:15" x14ac:dyDescent="0.2">
      <c r="A1875" s="10"/>
      <c r="B1875" s="11"/>
      <c r="C1875" s="12"/>
      <c r="D1875" s="11"/>
      <c r="E1875" s="13"/>
      <c r="F1875" s="14"/>
      <c r="G1875" s="11"/>
      <c r="H1875" s="16"/>
      <c r="J1875" s="17"/>
      <c r="K1875" s="20"/>
      <c r="L1875" s="16"/>
      <c r="N1875" s="20"/>
      <c r="O1875" s="18"/>
    </row>
    <row r="1876" spans="1:15" x14ac:dyDescent="0.2">
      <c r="A1876" s="10"/>
      <c r="B1876" s="11"/>
      <c r="C1876" s="12"/>
      <c r="D1876" s="11"/>
      <c r="E1876" s="13"/>
      <c r="F1876" s="14"/>
      <c r="G1876" s="11"/>
      <c r="H1876" s="16"/>
      <c r="J1876" s="17"/>
      <c r="K1876" s="20"/>
      <c r="L1876" s="16"/>
      <c r="N1876" s="20"/>
      <c r="O1876" s="18"/>
    </row>
    <row r="1877" spans="1:15" x14ac:dyDescent="0.2">
      <c r="A1877" s="10"/>
      <c r="B1877" s="11"/>
      <c r="C1877" s="12"/>
      <c r="D1877" s="11"/>
      <c r="E1877" s="13"/>
      <c r="F1877" s="14"/>
      <c r="G1877" s="11"/>
      <c r="H1877" s="16"/>
      <c r="J1877" s="17"/>
      <c r="K1877" s="20"/>
      <c r="L1877" s="16"/>
      <c r="N1877" s="20"/>
      <c r="O1877" s="18"/>
    </row>
    <row r="1878" spans="1:15" x14ac:dyDescent="0.2">
      <c r="A1878" s="10"/>
      <c r="B1878" s="11"/>
      <c r="C1878" s="12"/>
      <c r="D1878" s="11"/>
      <c r="E1878" s="13"/>
      <c r="F1878" s="14"/>
      <c r="G1878" s="11"/>
      <c r="H1878" s="16"/>
      <c r="J1878" s="17"/>
      <c r="K1878" s="20"/>
      <c r="L1878" s="16"/>
      <c r="N1878" s="20"/>
      <c r="O1878" s="18"/>
    </row>
    <row r="1879" spans="1:15" x14ac:dyDescent="0.2">
      <c r="A1879" s="10"/>
      <c r="B1879" s="11"/>
      <c r="C1879" s="12"/>
      <c r="D1879" s="11"/>
      <c r="E1879" s="13"/>
      <c r="F1879" s="14"/>
      <c r="G1879" s="11"/>
      <c r="H1879" s="16"/>
      <c r="J1879" s="17"/>
      <c r="K1879" s="20"/>
      <c r="L1879" s="16"/>
      <c r="N1879" s="20"/>
      <c r="O1879" s="18"/>
    </row>
    <row r="1880" spans="1:15" x14ac:dyDescent="0.2">
      <c r="A1880" s="10"/>
      <c r="B1880" s="11"/>
      <c r="C1880" s="12"/>
      <c r="D1880" s="11"/>
      <c r="E1880" s="13"/>
      <c r="F1880" s="14"/>
      <c r="G1880" s="11"/>
      <c r="H1880" s="16"/>
      <c r="J1880" s="17"/>
      <c r="K1880" s="20"/>
      <c r="L1880" s="16"/>
      <c r="N1880" s="20"/>
      <c r="O1880" s="18"/>
    </row>
    <row r="1881" spans="1:15" x14ac:dyDescent="0.2">
      <c r="A1881" s="10"/>
      <c r="B1881" s="11"/>
      <c r="C1881" s="12"/>
      <c r="D1881" s="11"/>
      <c r="E1881" s="13"/>
      <c r="F1881" s="14"/>
      <c r="G1881" s="11"/>
      <c r="H1881" s="16"/>
      <c r="J1881" s="17"/>
      <c r="K1881" s="20"/>
      <c r="L1881" s="16"/>
      <c r="N1881" s="20"/>
      <c r="O1881" s="18"/>
    </row>
    <row r="1882" spans="1:15" x14ac:dyDescent="0.2">
      <c r="A1882" s="10"/>
      <c r="B1882" s="11"/>
      <c r="C1882" s="12"/>
      <c r="D1882" s="11"/>
      <c r="E1882" s="13"/>
      <c r="F1882" s="14"/>
      <c r="G1882" s="11"/>
      <c r="H1882" s="16"/>
      <c r="J1882" s="17"/>
      <c r="K1882" s="20"/>
      <c r="L1882" s="16"/>
      <c r="N1882" s="20"/>
      <c r="O1882" s="18"/>
    </row>
    <row r="1883" spans="1:15" x14ac:dyDescent="0.2">
      <c r="A1883" s="10"/>
      <c r="B1883" s="11"/>
      <c r="C1883" s="12"/>
      <c r="D1883" s="11"/>
      <c r="E1883" s="13"/>
      <c r="F1883" s="14"/>
      <c r="G1883" s="11"/>
      <c r="H1883" s="16"/>
      <c r="J1883" s="17"/>
      <c r="K1883" s="20"/>
      <c r="L1883" s="16"/>
      <c r="N1883" s="20"/>
      <c r="O1883" s="18"/>
    </row>
    <row r="1884" spans="1:15" x14ac:dyDescent="0.2">
      <c r="A1884" s="10"/>
      <c r="B1884" s="11"/>
      <c r="C1884" s="12"/>
      <c r="D1884" s="11"/>
      <c r="E1884" s="13"/>
      <c r="F1884" s="14"/>
      <c r="G1884" s="11"/>
      <c r="H1884" s="16"/>
      <c r="J1884" s="17"/>
      <c r="K1884" s="20"/>
      <c r="L1884" s="16"/>
      <c r="N1884" s="20"/>
      <c r="O1884" s="18"/>
    </row>
    <row r="1885" spans="1:15" x14ac:dyDescent="0.2">
      <c r="A1885" s="10"/>
      <c r="B1885" s="11"/>
      <c r="C1885" s="12"/>
      <c r="D1885" s="11"/>
      <c r="E1885" s="13"/>
      <c r="F1885" s="14"/>
      <c r="G1885" s="11"/>
      <c r="H1885" s="16"/>
      <c r="J1885" s="17"/>
      <c r="K1885" s="20"/>
      <c r="L1885" s="16"/>
      <c r="N1885" s="20"/>
      <c r="O1885" s="18"/>
    </row>
    <row r="1886" spans="1:15" x14ac:dyDescent="0.2">
      <c r="A1886" s="10"/>
      <c r="B1886" s="11"/>
      <c r="C1886" s="12"/>
      <c r="D1886" s="11"/>
      <c r="E1886" s="13"/>
      <c r="F1886" s="14"/>
      <c r="G1886" s="11"/>
      <c r="H1886" s="16"/>
      <c r="J1886" s="17"/>
      <c r="K1886" s="20"/>
      <c r="L1886" s="16"/>
      <c r="N1886" s="20"/>
      <c r="O1886" s="18"/>
    </row>
    <row r="1887" spans="1:15" x14ac:dyDescent="0.2">
      <c r="A1887" s="10"/>
      <c r="B1887" s="11"/>
      <c r="C1887" s="12"/>
      <c r="D1887" s="11"/>
      <c r="E1887" s="13"/>
      <c r="F1887" s="14"/>
      <c r="G1887" s="11"/>
      <c r="H1887" s="16"/>
      <c r="J1887" s="17"/>
      <c r="K1887" s="20"/>
      <c r="L1887" s="16"/>
      <c r="N1887" s="20"/>
      <c r="O1887" s="18"/>
    </row>
    <row r="1888" spans="1:15" x14ac:dyDescent="0.2">
      <c r="A1888" s="10"/>
      <c r="B1888" s="11"/>
      <c r="C1888" s="12"/>
      <c r="D1888" s="11"/>
      <c r="E1888" s="13"/>
      <c r="F1888" s="14"/>
      <c r="G1888" s="11"/>
      <c r="H1888" s="16"/>
      <c r="J1888" s="17"/>
      <c r="K1888" s="20"/>
      <c r="L1888" s="16"/>
      <c r="N1888" s="20"/>
      <c r="O1888" s="18"/>
    </row>
    <row r="1889" spans="1:15" x14ac:dyDescent="0.2">
      <c r="A1889" s="10"/>
      <c r="B1889" s="11"/>
      <c r="C1889" s="12"/>
      <c r="D1889" s="11"/>
      <c r="E1889" s="13"/>
      <c r="F1889" s="14"/>
      <c r="G1889" s="11"/>
      <c r="H1889" s="16"/>
      <c r="J1889" s="17"/>
      <c r="K1889" s="20"/>
      <c r="L1889" s="16"/>
      <c r="N1889" s="20"/>
      <c r="O1889" s="18"/>
    </row>
    <row r="1890" spans="1:15" x14ac:dyDescent="0.2">
      <c r="A1890" s="10"/>
      <c r="B1890" s="11"/>
      <c r="C1890" s="12"/>
      <c r="D1890" s="11"/>
      <c r="E1890" s="13"/>
      <c r="F1890" s="14"/>
      <c r="G1890" s="11"/>
      <c r="H1890" s="16"/>
      <c r="J1890" s="17"/>
      <c r="K1890" s="20"/>
      <c r="L1890" s="16"/>
      <c r="N1890" s="20"/>
      <c r="O1890" s="18"/>
    </row>
    <row r="1891" spans="1:15" x14ac:dyDescent="0.2">
      <c r="A1891" s="10"/>
      <c r="B1891" s="11"/>
      <c r="C1891" s="12"/>
      <c r="D1891" s="11"/>
      <c r="E1891" s="13"/>
      <c r="F1891" s="14"/>
      <c r="G1891" s="11"/>
      <c r="H1891" s="16"/>
      <c r="J1891" s="17"/>
      <c r="K1891" s="20"/>
      <c r="L1891" s="16"/>
      <c r="N1891" s="20"/>
      <c r="O1891" s="18"/>
    </row>
    <row r="1892" spans="1:15" x14ac:dyDescent="0.2">
      <c r="A1892" s="10"/>
      <c r="B1892" s="11"/>
      <c r="C1892" s="12"/>
      <c r="D1892" s="11"/>
      <c r="E1892" s="13"/>
      <c r="F1892" s="14"/>
      <c r="G1892" s="11"/>
      <c r="H1892" s="16"/>
      <c r="J1892" s="17"/>
      <c r="K1892" s="20"/>
      <c r="L1892" s="16"/>
      <c r="N1892" s="20"/>
      <c r="O1892" s="18"/>
    </row>
    <row r="1893" spans="1:15" x14ac:dyDescent="0.2">
      <c r="A1893" s="10"/>
      <c r="B1893" s="11"/>
      <c r="C1893" s="12"/>
      <c r="D1893" s="11"/>
      <c r="E1893" s="13"/>
      <c r="F1893" s="14"/>
      <c r="G1893" s="11"/>
      <c r="H1893" s="16"/>
      <c r="J1893" s="17"/>
      <c r="K1893" s="20"/>
      <c r="L1893" s="16"/>
      <c r="N1893" s="20"/>
      <c r="O1893" s="18"/>
    </row>
    <row r="1894" spans="1:15" x14ac:dyDescent="0.2">
      <c r="A1894" s="10"/>
      <c r="B1894" s="11"/>
      <c r="C1894" s="12"/>
      <c r="D1894" s="11"/>
      <c r="E1894" s="13"/>
      <c r="F1894" s="14"/>
      <c r="G1894" s="11"/>
      <c r="H1894" s="16"/>
      <c r="J1894" s="17"/>
      <c r="K1894" s="20"/>
      <c r="L1894" s="16"/>
      <c r="N1894" s="20"/>
      <c r="O1894" s="18"/>
    </row>
    <row r="1895" spans="1:15" x14ac:dyDescent="0.2">
      <c r="A1895" s="10"/>
      <c r="B1895" s="11"/>
      <c r="C1895" s="12"/>
      <c r="D1895" s="11"/>
      <c r="E1895" s="13"/>
      <c r="F1895" s="14"/>
      <c r="G1895" s="11"/>
      <c r="H1895" s="16"/>
      <c r="J1895" s="17"/>
      <c r="K1895" s="20"/>
      <c r="L1895" s="16"/>
      <c r="N1895" s="20"/>
      <c r="O1895" s="18"/>
    </row>
    <row r="1896" spans="1:15" x14ac:dyDescent="0.2">
      <c r="A1896" s="10"/>
      <c r="B1896" s="11"/>
      <c r="C1896" s="12"/>
      <c r="D1896" s="11"/>
      <c r="E1896" s="13"/>
      <c r="F1896" s="14"/>
      <c r="G1896" s="11"/>
      <c r="H1896" s="16"/>
      <c r="J1896" s="17"/>
      <c r="K1896" s="20"/>
      <c r="L1896" s="16"/>
      <c r="N1896" s="20"/>
      <c r="O1896" s="18"/>
    </row>
    <row r="1897" spans="1:15" x14ac:dyDescent="0.2">
      <c r="A1897" s="10"/>
      <c r="B1897" s="11"/>
      <c r="C1897" s="12"/>
      <c r="D1897" s="11"/>
      <c r="E1897" s="13"/>
      <c r="F1897" s="14"/>
      <c r="G1897" s="11"/>
      <c r="H1897" s="16"/>
      <c r="J1897" s="17"/>
      <c r="K1897" s="20"/>
      <c r="L1897" s="16"/>
      <c r="N1897" s="20"/>
      <c r="O1897" s="18"/>
    </row>
    <row r="1898" spans="1:15" x14ac:dyDescent="0.2">
      <c r="A1898" s="10"/>
      <c r="B1898" s="11"/>
      <c r="C1898" s="12"/>
      <c r="D1898" s="11"/>
      <c r="E1898" s="13"/>
      <c r="F1898" s="14"/>
      <c r="G1898" s="11"/>
      <c r="H1898" s="16"/>
      <c r="J1898" s="17"/>
      <c r="K1898" s="20"/>
      <c r="L1898" s="16"/>
      <c r="N1898" s="20"/>
      <c r="O1898" s="18"/>
    </row>
    <row r="1899" spans="1:15" x14ac:dyDescent="0.2">
      <c r="A1899" s="10"/>
      <c r="B1899" s="11"/>
      <c r="C1899" s="12"/>
      <c r="D1899" s="11"/>
      <c r="E1899" s="13"/>
      <c r="F1899" s="14"/>
      <c r="G1899" s="11"/>
      <c r="H1899" s="16"/>
      <c r="J1899" s="17"/>
      <c r="K1899" s="20"/>
      <c r="L1899" s="16"/>
      <c r="N1899" s="20"/>
      <c r="O1899" s="18"/>
    </row>
    <row r="1900" spans="1:15" x14ac:dyDescent="0.2">
      <c r="A1900" s="10"/>
      <c r="B1900" s="11"/>
      <c r="C1900" s="12"/>
      <c r="D1900" s="11"/>
      <c r="E1900" s="13"/>
      <c r="F1900" s="14"/>
      <c r="G1900" s="11"/>
      <c r="H1900" s="16"/>
      <c r="J1900" s="17"/>
      <c r="K1900" s="20"/>
      <c r="L1900" s="16"/>
      <c r="N1900" s="20"/>
      <c r="O1900" s="18"/>
    </row>
    <row r="1901" spans="1:15" x14ac:dyDescent="0.2">
      <c r="A1901" s="10"/>
      <c r="B1901" s="11"/>
      <c r="C1901" s="12"/>
      <c r="D1901" s="11"/>
      <c r="E1901" s="13"/>
      <c r="F1901" s="14"/>
      <c r="G1901" s="11"/>
      <c r="H1901" s="16"/>
      <c r="J1901" s="17"/>
      <c r="K1901" s="20"/>
      <c r="L1901" s="16"/>
      <c r="N1901" s="20"/>
      <c r="O1901" s="18"/>
    </row>
    <row r="1902" spans="1:15" x14ac:dyDescent="0.2">
      <c r="A1902" s="10"/>
      <c r="B1902" s="11"/>
      <c r="C1902" s="12"/>
      <c r="D1902" s="11"/>
      <c r="E1902" s="13"/>
      <c r="F1902" s="14"/>
      <c r="G1902" s="11"/>
      <c r="H1902" s="16"/>
      <c r="J1902" s="17"/>
      <c r="K1902" s="20"/>
      <c r="L1902" s="16"/>
      <c r="N1902" s="20"/>
      <c r="O1902" s="18"/>
    </row>
    <row r="1903" spans="1:15" x14ac:dyDescent="0.2">
      <c r="A1903" s="10"/>
      <c r="B1903" s="11"/>
      <c r="C1903" s="12"/>
      <c r="D1903" s="11"/>
      <c r="E1903" s="13"/>
      <c r="F1903" s="14"/>
      <c r="G1903" s="11"/>
      <c r="H1903" s="16"/>
      <c r="J1903" s="17"/>
      <c r="K1903" s="20"/>
      <c r="L1903" s="16"/>
      <c r="N1903" s="20"/>
      <c r="O1903" s="18"/>
    </row>
    <row r="1904" spans="1:15" x14ac:dyDescent="0.2">
      <c r="A1904" s="10"/>
      <c r="B1904" s="11"/>
      <c r="C1904" s="12"/>
      <c r="D1904" s="11"/>
      <c r="E1904" s="13"/>
      <c r="F1904" s="14"/>
      <c r="G1904" s="11"/>
      <c r="H1904" s="16"/>
      <c r="J1904" s="17"/>
      <c r="K1904" s="20"/>
      <c r="L1904" s="16"/>
      <c r="N1904" s="20"/>
      <c r="O1904" s="18"/>
    </row>
    <row r="1905" spans="1:15" x14ac:dyDescent="0.2">
      <c r="A1905" s="10"/>
      <c r="B1905" s="11"/>
      <c r="C1905" s="12"/>
      <c r="D1905" s="11"/>
      <c r="E1905" s="13"/>
      <c r="F1905" s="14"/>
      <c r="G1905" s="11"/>
      <c r="H1905" s="16"/>
      <c r="J1905" s="17"/>
      <c r="K1905" s="20"/>
      <c r="L1905" s="16"/>
      <c r="N1905" s="20"/>
      <c r="O1905" s="18"/>
    </row>
    <row r="1906" spans="1:15" x14ac:dyDescent="0.2">
      <c r="A1906" s="10"/>
      <c r="B1906" s="11"/>
      <c r="C1906" s="12"/>
      <c r="D1906" s="11"/>
      <c r="E1906" s="13"/>
      <c r="F1906" s="14"/>
      <c r="G1906" s="11"/>
      <c r="H1906" s="16"/>
      <c r="J1906" s="17"/>
      <c r="K1906" s="20"/>
      <c r="L1906" s="16"/>
      <c r="N1906" s="20"/>
      <c r="O1906" s="18"/>
    </row>
    <row r="1907" spans="1:15" x14ac:dyDescent="0.2">
      <c r="A1907" s="10"/>
      <c r="B1907" s="11"/>
      <c r="C1907" s="12"/>
      <c r="D1907" s="11"/>
      <c r="E1907" s="13"/>
      <c r="F1907" s="14"/>
      <c r="G1907" s="11"/>
      <c r="H1907" s="16"/>
      <c r="J1907" s="17"/>
      <c r="K1907" s="20"/>
      <c r="L1907" s="16"/>
      <c r="N1907" s="20"/>
      <c r="O1907" s="18"/>
    </row>
    <row r="1908" spans="1:15" x14ac:dyDescent="0.2">
      <c r="A1908" s="10"/>
      <c r="B1908" s="11"/>
      <c r="C1908" s="12"/>
      <c r="D1908" s="11"/>
      <c r="E1908" s="13"/>
      <c r="F1908" s="14"/>
      <c r="G1908" s="11"/>
      <c r="H1908" s="16"/>
      <c r="J1908" s="17"/>
      <c r="K1908" s="20"/>
      <c r="L1908" s="16"/>
      <c r="N1908" s="20"/>
      <c r="O1908" s="18"/>
    </row>
    <row r="1909" spans="1:15" x14ac:dyDescent="0.2">
      <c r="A1909" s="10"/>
      <c r="B1909" s="11"/>
      <c r="C1909" s="12"/>
      <c r="D1909" s="11"/>
      <c r="E1909" s="13"/>
      <c r="F1909" s="14"/>
      <c r="G1909" s="11"/>
      <c r="H1909" s="16"/>
      <c r="J1909" s="17"/>
      <c r="K1909" s="20"/>
      <c r="L1909" s="16"/>
      <c r="N1909" s="20"/>
      <c r="O1909" s="18"/>
    </row>
    <row r="1910" spans="1:15" x14ac:dyDescent="0.2">
      <c r="A1910" s="10"/>
      <c r="B1910" s="11"/>
      <c r="C1910" s="12"/>
      <c r="D1910" s="11"/>
      <c r="E1910" s="13"/>
      <c r="F1910" s="14"/>
      <c r="G1910" s="11"/>
      <c r="H1910" s="16"/>
      <c r="J1910" s="17"/>
      <c r="K1910" s="20"/>
      <c r="L1910" s="16"/>
      <c r="N1910" s="20"/>
      <c r="O1910" s="18"/>
    </row>
    <row r="1911" spans="1:15" x14ac:dyDescent="0.2">
      <c r="A1911" s="10"/>
      <c r="B1911" s="11"/>
      <c r="C1911" s="12"/>
      <c r="D1911" s="11"/>
      <c r="E1911" s="13"/>
      <c r="F1911" s="14"/>
      <c r="G1911" s="11"/>
      <c r="H1911" s="16"/>
      <c r="J1911" s="17"/>
      <c r="K1911" s="20"/>
      <c r="L1911" s="16"/>
      <c r="N1911" s="20"/>
      <c r="O1911" s="18"/>
    </row>
    <row r="1912" spans="1:15" x14ac:dyDescent="0.2">
      <c r="A1912" s="10"/>
      <c r="B1912" s="11"/>
      <c r="C1912" s="12"/>
      <c r="D1912" s="11"/>
      <c r="E1912" s="13"/>
      <c r="F1912" s="14"/>
      <c r="G1912" s="11"/>
      <c r="H1912" s="16"/>
      <c r="J1912" s="17"/>
      <c r="K1912" s="20"/>
      <c r="L1912" s="16"/>
      <c r="N1912" s="20"/>
      <c r="O1912" s="18"/>
    </row>
    <row r="1913" spans="1:15" x14ac:dyDescent="0.2">
      <c r="A1913" s="10"/>
      <c r="B1913" s="11"/>
      <c r="C1913" s="12"/>
      <c r="D1913" s="11"/>
      <c r="E1913" s="13"/>
      <c r="F1913" s="14"/>
      <c r="G1913" s="11"/>
      <c r="H1913" s="16"/>
      <c r="J1913" s="17"/>
      <c r="K1913" s="20"/>
      <c r="L1913" s="16"/>
      <c r="N1913" s="20"/>
      <c r="O1913" s="18"/>
    </row>
    <row r="1914" spans="1:15" x14ac:dyDescent="0.2">
      <c r="A1914" s="10"/>
      <c r="B1914" s="11"/>
      <c r="C1914" s="12"/>
      <c r="D1914" s="11"/>
      <c r="E1914" s="13"/>
      <c r="F1914" s="14"/>
      <c r="G1914" s="11"/>
      <c r="H1914" s="16"/>
      <c r="J1914" s="17"/>
      <c r="K1914" s="20"/>
      <c r="L1914" s="16"/>
      <c r="N1914" s="20"/>
      <c r="O1914" s="18"/>
    </row>
    <row r="1915" spans="1:15" x14ac:dyDescent="0.2">
      <c r="A1915" s="10"/>
      <c r="B1915" s="11"/>
      <c r="C1915" s="12"/>
      <c r="D1915" s="11"/>
      <c r="E1915" s="13"/>
      <c r="F1915" s="14"/>
      <c r="G1915" s="11"/>
      <c r="H1915" s="16"/>
      <c r="J1915" s="17"/>
      <c r="K1915" s="20"/>
      <c r="L1915" s="16"/>
      <c r="N1915" s="20"/>
      <c r="O1915" s="18"/>
    </row>
    <row r="1916" spans="1:15" x14ac:dyDescent="0.2">
      <c r="A1916" s="10"/>
      <c r="B1916" s="11"/>
      <c r="C1916" s="12"/>
      <c r="D1916" s="11"/>
      <c r="E1916" s="13"/>
      <c r="F1916" s="14"/>
      <c r="G1916" s="11"/>
      <c r="H1916" s="16"/>
      <c r="J1916" s="17"/>
      <c r="K1916" s="20"/>
      <c r="L1916" s="16"/>
      <c r="N1916" s="20"/>
      <c r="O1916" s="18"/>
    </row>
    <row r="1917" spans="1:15" x14ac:dyDescent="0.2">
      <c r="A1917" s="10"/>
      <c r="B1917" s="11"/>
      <c r="C1917" s="12"/>
      <c r="D1917" s="11"/>
      <c r="E1917" s="13"/>
      <c r="F1917" s="14"/>
      <c r="G1917" s="11"/>
      <c r="H1917" s="16"/>
      <c r="J1917" s="17"/>
      <c r="K1917" s="20"/>
      <c r="L1917" s="16"/>
      <c r="N1917" s="20"/>
      <c r="O1917" s="18"/>
    </row>
    <row r="1918" spans="1:15" x14ac:dyDescent="0.2">
      <c r="A1918" s="10"/>
      <c r="B1918" s="11"/>
      <c r="C1918" s="12"/>
      <c r="D1918" s="11"/>
      <c r="E1918" s="13"/>
      <c r="F1918" s="14"/>
      <c r="G1918" s="11"/>
      <c r="H1918" s="16"/>
      <c r="J1918" s="17"/>
      <c r="K1918" s="20"/>
      <c r="L1918" s="16"/>
      <c r="N1918" s="20"/>
      <c r="O1918" s="18"/>
    </row>
    <row r="1919" spans="1:15" x14ac:dyDescent="0.2">
      <c r="A1919" s="10"/>
      <c r="B1919" s="11"/>
      <c r="C1919" s="12"/>
      <c r="D1919" s="11"/>
      <c r="E1919" s="13"/>
      <c r="F1919" s="14"/>
      <c r="G1919" s="11"/>
      <c r="H1919" s="16"/>
      <c r="J1919" s="17"/>
      <c r="K1919" s="20"/>
      <c r="L1919" s="16"/>
      <c r="N1919" s="20"/>
      <c r="O1919" s="18"/>
    </row>
    <row r="1920" spans="1:15" x14ac:dyDescent="0.2">
      <c r="A1920" s="10"/>
      <c r="B1920" s="11"/>
      <c r="C1920" s="12"/>
      <c r="D1920" s="11"/>
      <c r="E1920" s="13"/>
      <c r="F1920" s="14"/>
      <c r="G1920" s="11"/>
      <c r="H1920" s="16"/>
      <c r="J1920" s="17"/>
      <c r="K1920" s="20"/>
      <c r="L1920" s="16"/>
      <c r="N1920" s="20"/>
      <c r="O1920" s="18"/>
    </row>
    <row r="1921" spans="1:15" x14ac:dyDescent="0.2">
      <c r="A1921" s="10"/>
      <c r="B1921" s="11"/>
      <c r="C1921" s="12"/>
      <c r="D1921" s="11"/>
      <c r="E1921" s="13"/>
      <c r="F1921" s="14"/>
      <c r="G1921" s="11"/>
      <c r="H1921" s="16"/>
      <c r="J1921" s="17"/>
      <c r="K1921" s="20"/>
      <c r="L1921" s="16"/>
      <c r="N1921" s="20"/>
      <c r="O1921" s="18"/>
    </row>
    <row r="1922" spans="1:15" x14ac:dyDescent="0.2">
      <c r="A1922" s="10"/>
      <c r="B1922" s="11"/>
      <c r="C1922" s="12"/>
      <c r="D1922" s="11"/>
      <c r="E1922" s="13"/>
      <c r="F1922" s="14"/>
      <c r="G1922" s="11"/>
      <c r="H1922" s="16"/>
      <c r="J1922" s="17"/>
      <c r="K1922" s="20"/>
      <c r="L1922" s="16"/>
      <c r="N1922" s="20"/>
      <c r="O1922" s="18"/>
    </row>
    <row r="1923" spans="1:15" x14ac:dyDescent="0.2">
      <c r="A1923" s="10"/>
      <c r="B1923" s="11"/>
      <c r="C1923" s="12"/>
      <c r="D1923" s="11"/>
      <c r="E1923" s="13"/>
      <c r="F1923" s="14"/>
      <c r="G1923" s="11"/>
      <c r="H1923" s="16"/>
      <c r="J1923" s="17"/>
      <c r="K1923" s="20"/>
      <c r="L1923" s="16"/>
      <c r="N1923" s="20"/>
      <c r="O1923" s="18"/>
    </row>
    <row r="1924" spans="1:15" x14ac:dyDescent="0.2">
      <c r="A1924" s="10"/>
      <c r="B1924" s="11"/>
      <c r="C1924" s="12"/>
      <c r="D1924" s="11"/>
      <c r="E1924" s="13"/>
      <c r="F1924" s="14"/>
      <c r="G1924" s="11"/>
      <c r="H1924" s="16"/>
      <c r="J1924" s="17"/>
      <c r="K1924" s="20"/>
      <c r="L1924" s="16"/>
      <c r="N1924" s="20"/>
      <c r="O1924" s="18"/>
    </row>
    <row r="1925" spans="1:15" x14ac:dyDescent="0.2">
      <c r="A1925" s="10"/>
      <c r="B1925" s="11"/>
      <c r="C1925" s="12"/>
      <c r="D1925" s="11"/>
      <c r="E1925" s="13"/>
      <c r="F1925" s="14"/>
      <c r="G1925" s="11"/>
      <c r="H1925" s="16"/>
      <c r="J1925" s="17"/>
      <c r="K1925" s="20"/>
      <c r="L1925" s="16"/>
      <c r="N1925" s="20"/>
      <c r="O1925" s="18"/>
    </row>
    <row r="1926" spans="1:15" x14ac:dyDescent="0.2">
      <c r="A1926" s="10"/>
      <c r="B1926" s="11"/>
      <c r="C1926" s="12"/>
      <c r="D1926" s="11"/>
      <c r="E1926" s="13"/>
      <c r="F1926" s="14"/>
      <c r="G1926" s="11"/>
      <c r="H1926" s="16"/>
      <c r="J1926" s="17"/>
      <c r="K1926" s="20"/>
      <c r="L1926" s="16"/>
      <c r="N1926" s="20"/>
      <c r="O1926" s="18"/>
    </row>
    <row r="1927" spans="1:15" x14ac:dyDescent="0.2">
      <c r="A1927" s="10"/>
      <c r="B1927" s="11"/>
      <c r="C1927" s="12"/>
      <c r="D1927" s="11"/>
      <c r="E1927" s="13"/>
      <c r="F1927" s="14"/>
      <c r="G1927" s="11"/>
      <c r="H1927" s="16"/>
      <c r="J1927" s="17"/>
      <c r="K1927" s="20"/>
      <c r="L1927" s="16"/>
      <c r="N1927" s="20"/>
      <c r="O1927" s="18"/>
    </row>
    <row r="1928" spans="1:15" x14ac:dyDescent="0.2">
      <c r="A1928" s="10"/>
      <c r="B1928" s="11"/>
      <c r="C1928" s="12"/>
      <c r="D1928" s="11"/>
      <c r="E1928" s="13"/>
      <c r="F1928" s="14"/>
      <c r="G1928" s="11"/>
      <c r="H1928" s="16"/>
      <c r="J1928" s="17"/>
      <c r="K1928" s="20"/>
      <c r="L1928" s="16"/>
      <c r="N1928" s="20"/>
      <c r="O1928" s="18"/>
    </row>
    <row r="1929" spans="1:15" x14ac:dyDescent="0.2">
      <c r="A1929" s="10"/>
      <c r="B1929" s="11"/>
      <c r="C1929" s="12"/>
      <c r="D1929" s="11"/>
      <c r="E1929" s="13"/>
      <c r="F1929" s="14"/>
      <c r="G1929" s="11"/>
      <c r="H1929" s="16"/>
      <c r="J1929" s="17"/>
      <c r="K1929" s="20"/>
      <c r="L1929" s="16"/>
      <c r="N1929" s="20"/>
      <c r="O1929" s="18"/>
    </row>
    <row r="1930" spans="1:15" x14ac:dyDescent="0.2">
      <c r="A1930" s="10"/>
      <c r="B1930" s="11"/>
      <c r="C1930" s="12"/>
      <c r="D1930" s="11"/>
      <c r="E1930" s="13"/>
      <c r="F1930" s="14"/>
      <c r="G1930" s="11"/>
      <c r="H1930" s="16"/>
      <c r="J1930" s="17"/>
      <c r="K1930" s="20"/>
      <c r="L1930" s="16"/>
      <c r="N1930" s="20"/>
      <c r="O1930" s="18"/>
    </row>
    <row r="1931" spans="1:15" x14ac:dyDescent="0.2">
      <c r="A1931" s="10"/>
      <c r="B1931" s="11"/>
      <c r="C1931" s="12"/>
      <c r="D1931" s="11"/>
      <c r="E1931" s="13"/>
      <c r="F1931" s="14"/>
      <c r="G1931" s="11"/>
      <c r="H1931" s="16"/>
      <c r="J1931" s="17"/>
      <c r="K1931" s="20"/>
      <c r="L1931" s="16"/>
      <c r="N1931" s="20"/>
      <c r="O1931" s="18"/>
    </row>
    <row r="1932" spans="1:15" x14ac:dyDescent="0.2">
      <c r="A1932" s="10"/>
      <c r="B1932" s="11"/>
      <c r="C1932" s="12"/>
      <c r="D1932" s="11"/>
      <c r="E1932" s="13"/>
      <c r="F1932" s="14"/>
      <c r="G1932" s="11"/>
      <c r="H1932" s="16"/>
      <c r="J1932" s="17"/>
      <c r="K1932" s="20"/>
      <c r="L1932" s="16"/>
      <c r="N1932" s="20"/>
      <c r="O1932" s="18"/>
    </row>
    <row r="1933" spans="1:15" x14ac:dyDescent="0.2">
      <c r="A1933" s="10"/>
      <c r="B1933" s="11"/>
      <c r="C1933" s="12"/>
      <c r="D1933" s="11"/>
      <c r="E1933" s="13"/>
      <c r="F1933" s="14"/>
      <c r="G1933" s="11"/>
      <c r="H1933" s="16"/>
      <c r="J1933" s="17"/>
      <c r="K1933" s="20"/>
      <c r="L1933" s="16"/>
      <c r="N1933" s="20"/>
      <c r="O1933" s="18"/>
    </row>
    <row r="1934" spans="1:15" x14ac:dyDescent="0.2">
      <c r="A1934" s="10"/>
      <c r="B1934" s="11"/>
      <c r="C1934" s="12"/>
      <c r="D1934" s="11"/>
      <c r="E1934" s="13"/>
      <c r="F1934" s="14"/>
      <c r="G1934" s="11"/>
      <c r="H1934" s="16"/>
      <c r="J1934" s="17"/>
      <c r="K1934" s="20"/>
      <c r="L1934" s="16"/>
      <c r="N1934" s="20"/>
      <c r="O1934" s="18"/>
    </row>
    <row r="1935" spans="1:15" x14ac:dyDescent="0.2">
      <c r="A1935" s="10"/>
      <c r="B1935" s="11"/>
      <c r="C1935" s="12"/>
      <c r="D1935" s="11"/>
      <c r="E1935" s="13"/>
      <c r="F1935" s="14"/>
      <c r="G1935" s="11"/>
      <c r="H1935" s="16"/>
      <c r="J1935" s="17"/>
      <c r="K1935" s="20"/>
      <c r="L1935" s="16"/>
      <c r="N1935" s="20"/>
      <c r="O1935" s="18"/>
    </row>
    <row r="1936" spans="1:15" x14ac:dyDescent="0.2">
      <c r="A1936" s="10"/>
      <c r="B1936" s="11"/>
      <c r="C1936" s="12"/>
      <c r="D1936" s="11"/>
      <c r="E1936" s="13"/>
      <c r="F1936" s="14"/>
      <c r="G1936" s="11"/>
      <c r="H1936" s="16"/>
      <c r="J1936" s="17"/>
      <c r="K1936" s="20"/>
      <c r="L1936" s="16"/>
      <c r="N1936" s="20"/>
      <c r="O1936" s="18"/>
    </row>
    <row r="1937" spans="1:15" x14ac:dyDescent="0.2">
      <c r="A1937" s="10"/>
      <c r="B1937" s="11"/>
      <c r="C1937" s="12"/>
      <c r="D1937" s="11"/>
      <c r="E1937" s="13"/>
      <c r="F1937" s="14"/>
      <c r="G1937" s="11"/>
      <c r="H1937" s="16"/>
      <c r="J1937" s="17"/>
      <c r="K1937" s="20"/>
      <c r="L1937" s="16"/>
      <c r="N1937" s="20"/>
      <c r="O1937" s="18"/>
    </row>
    <row r="1938" spans="1:15" x14ac:dyDescent="0.2">
      <c r="A1938" s="10"/>
      <c r="B1938" s="11"/>
      <c r="C1938" s="12"/>
      <c r="D1938" s="11"/>
      <c r="E1938" s="13"/>
      <c r="F1938" s="14"/>
      <c r="G1938" s="11"/>
      <c r="H1938" s="16"/>
      <c r="J1938" s="17"/>
      <c r="K1938" s="20"/>
      <c r="L1938" s="16"/>
      <c r="N1938" s="20"/>
      <c r="O1938" s="18"/>
    </row>
    <row r="1939" spans="1:15" x14ac:dyDescent="0.2">
      <c r="A1939" s="10"/>
      <c r="B1939" s="11"/>
      <c r="C1939" s="12"/>
      <c r="D1939" s="11"/>
      <c r="E1939" s="13"/>
      <c r="F1939" s="14"/>
      <c r="G1939" s="11"/>
      <c r="H1939" s="16"/>
      <c r="J1939" s="17"/>
      <c r="K1939" s="20"/>
      <c r="L1939" s="16"/>
      <c r="N1939" s="20"/>
      <c r="O1939" s="18"/>
    </row>
    <row r="1940" spans="1:15" x14ac:dyDescent="0.2">
      <c r="A1940" s="10"/>
      <c r="B1940" s="11"/>
      <c r="C1940" s="12"/>
      <c r="D1940" s="11"/>
      <c r="E1940" s="13"/>
      <c r="F1940" s="14"/>
      <c r="G1940" s="11"/>
      <c r="H1940" s="16"/>
      <c r="J1940" s="17"/>
      <c r="K1940" s="20"/>
      <c r="L1940" s="16"/>
      <c r="N1940" s="20"/>
      <c r="O1940" s="18"/>
    </row>
    <row r="1941" spans="1:15" x14ac:dyDescent="0.2">
      <c r="A1941" s="10"/>
      <c r="B1941" s="11"/>
      <c r="C1941" s="12"/>
      <c r="D1941" s="11"/>
      <c r="E1941" s="13"/>
      <c r="F1941" s="14"/>
      <c r="G1941" s="11"/>
      <c r="H1941" s="16"/>
      <c r="J1941" s="17"/>
      <c r="K1941" s="20"/>
      <c r="L1941" s="16"/>
      <c r="N1941" s="20"/>
      <c r="O1941" s="18"/>
    </row>
    <row r="1942" spans="1:15" x14ac:dyDescent="0.2">
      <c r="A1942" s="10"/>
      <c r="B1942" s="11"/>
      <c r="C1942" s="12"/>
      <c r="D1942" s="11"/>
      <c r="E1942" s="13"/>
      <c r="F1942" s="14"/>
      <c r="G1942" s="11"/>
      <c r="H1942" s="16"/>
      <c r="J1942" s="17"/>
      <c r="K1942" s="20"/>
      <c r="L1942" s="16"/>
      <c r="N1942" s="20"/>
      <c r="O1942" s="18"/>
    </row>
    <row r="1943" spans="1:15" x14ac:dyDescent="0.2">
      <c r="A1943" s="10"/>
      <c r="B1943" s="11"/>
      <c r="C1943" s="12"/>
      <c r="D1943" s="11"/>
      <c r="E1943" s="13"/>
      <c r="F1943" s="14"/>
      <c r="G1943" s="11"/>
      <c r="H1943" s="16"/>
      <c r="J1943" s="17"/>
      <c r="K1943" s="20"/>
      <c r="L1943" s="16"/>
      <c r="N1943" s="20"/>
      <c r="O1943" s="18"/>
    </row>
    <row r="1944" spans="1:15" x14ac:dyDescent="0.2">
      <c r="A1944" s="10"/>
      <c r="B1944" s="11"/>
      <c r="C1944" s="12"/>
      <c r="D1944" s="11"/>
      <c r="E1944" s="13"/>
      <c r="F1944" s="14"/>
      <c r="G1944" s="11"/>
      <c r="H1944" s="16"/>
      <c r="J1944" s="17"/>
      <c r="K1944" s="20"/>
      <c r="L1944" s="16"/>
      <c r="N1944" s="20"/>
      <c r="O1944" s="18"/>
    </row>
    <row r="1945" spans="1:15" x14ac:dyDescent="0.2">
      <c r="A1945" s="10"/>
      <c r="B1945" s="11"/>
      <c r="C1945" s="12"/>
      <c r="D1945" s="11"/>
      <c r="E1945" s="13"/>
      <c r="F1945" s="14"/>
      <c r="G1945" s="11"/>
      <c r="H1945" s="16"/>
      <c r="J1945" s="17"/>
      <c r="K1945" s="20"/>
      <c r="L1945" s="16"/>
      <c r="N1945" s="20"/>
      <c r="O1945" s="18"/>
    </row>
    <row r="1946" spans="1:15" x14ac:dyDescent="0.2">
      <c r="A1946" s="10"/>
      <c r="B1946" s="11"/>
      <c r="C1946" s="12"/>
      <c r="D1946" s="11"/>
      <c r="E1946" s="13"/>
      <c r="F1946" s="14"/>
      <c r="G1946" s="11"/>
      <c r="H1946" s="16"/>
      <c r="J1946" s="17"/>
      <c r="K1946" s="20"/>
      <c r="L1946" s="16"/>
      <c r="N1946" s="20"/>
      <c r="O1946" s="18"/>
    </row>
    <row r="1947" spans="1:15" x14ac:dyDescent="0.2">
      <c r="A1947" s="10"/>
      <c r="B1947" s="11"/>
      <c r="C1947" s="12"/>
      <c r="D1947" s="11"/>
      <c r="E1947" s="13"/>
      <c r="F1947" s="14"/>
      <c r="G1947" s="11"/>
      <c r="H1947" s="16"/>
      <c r="J1947" s="17"/>
      <c r="K1947" s="20"/>
      <c r="L1947" s="16"/>
      <c r="N1947" s="20"/>
      <c r="O1947" s="18"/>
    </row>
    <row r="1948" spans="1:15" x14ac:dyDescent="0.2">
      <c r="A1948" s="10"/>
      <c r="B1948" s="11"/>
      <c r="C1948" s="12"/>
      <c r="D1948" s="11"/>
      <c r="E1948" s="13"/>
      <c r="F1948" s="14"/>
      <c r="G1948" s="11"/>
      <c r="H1948" s="16"/>
      <c r="J1948" s="17"/>
      <c r="K1948" s="20"/>
      <c r="L1948" s="16"/>
      <c r="N1948" s="20"/>
      <c r="O1948" s="18"/>
    </row>
    <row r="1949" spans="1:15" x14ac:dyDescent="0.2">
      <c r="A1949" s="10"/>
      <c r="B1949" s="11"/>
      <c r="C1949" s="12"/>
      <c r="D1949" s="11"/>
      <c r="E1949" s="13"/>
      <c r="F1949" s="14"/>
      <c r="G1949" s="11"/>
      <c r="H1949" s="16"/>
      <c r="J1949" s="17"/>
      <c r="K1949" s="20"/>
      <c r="L1949" s="16"/>
      <c r="N1949" s="20"/>
      <c r="O1949" s="18"/>
    </row>
    <row r="1950" spans="1:15" x14ac:dyDescent="0.2">
      <c r="A1950" s="10"/>
      <c r="B1950" s="11"/>
      <c r="C1950" s="12"/>
      <c r="D1950" s="11"/>
      <c r="E1950" s="13"/>
      <c r="F1950" s="14"/>
      <c r="G1950" s="11"/>
      <c r="H1950" s="16"/>
      <c r="J1950" s="17"/>
      <c r="K1950" s="20"/>
      <c r="L1950" s="16"/>
      <c r="N1950" s="20"/>
      <c r="O1950" s="18"/>
    </row>
    <row r="1951" spans="1:15" x14ac:dyDescent="0.2">
      <c r="A1951" s="10"/>
      <c r="B1951" s="11"/>
      <c r="C1951" s="12"/>
      <c r="D1951" s="11"/>
      <c r="E1951" s="13"/>
      <c r="F1951" s="14"/>
      <c r="G1951" s="11"/>
      <c r="H1951" s="16"/>
      <c r="J1951" s="17"/>
      <c r="K1951" s="20"/>
      <c r="L1951" s="16"/>
      <c r="N1951" s="20"/>
      <c r="O1951" s="18"/>
    </row>
    <row r="1952" spans="1:15" x14ac:dyDescent="0.2">
      <c r="A1952" s="10"/>
      <c r="B1952" s="11"/>
      <c r="C1952" s="12"/>
      <c r="D1952" s="11"/>
      <c r="E1952" s="13"/>
      <c r="F1952" s="14"/>
      <c r="G1952" s="11"/>
      <c r="H1952" s="16"/>
      <c r="J1952" s="17"/>
      <c r="K1952" s="20"/>
      <c r="L1952" s="16"/>
      <c r="N1952" s="20"/>
      <c r="O1952" s="18"/>
    </row>
    <row r="1953" spans="1:15" x14ac:dyDescent="0.2">
      <c r="A1953" s="10"/>
      <c r="B1953" s="11"/>
      <c r="C1953" s="12"/>
      <c r="D1953" s="11"/>
      <c r="E1953" s="13"/>
      <c r="F1953" s="14"/>
      <c r="G1953" s="11"/>
      <c r="H1953" s="16"/>
      <c r="J1953" s="17"/>
      <c r="K1953" s="20"/>
      <c r="L1953" s="16"/>
      <c r="N1953" s="20"/>
      <c r="O1953" s="18"/>
    </row>
    <row r="1954" spans="1:15" x14ac:dyDescent="0.2">
      <c r="A1954" s="10"/>
      <c r="B1954" s="11"/>
      <c r="C1954" s="12"/>
      <c r="D1954" s="11"/>
      <c r="E1954" s="13"/>
      <c r="F1954" s="14"/>
      <c r="G1954" s="11"/>
      <c r="H1954" s="16"/>
      <c r="J1954" s="17"/>
      <c r="K1954" s="20"/>
      <c r="L1954" s="16"/>
      <c r="N1954" s="20"/>
      <c r="O1954" s="18"/>
    </row>
    <row r="1955" spans="1:15" x14ac:dyDescent="0.2">
      <c r="A1955" s="10"/>
      <c r="B1955" s="11"/>
      <c r="C1955" s="12"/>
      <c r="D1955" s="11"/>
      <c r="E1955" s="13"/>
      <c r="F1955" s="14"/>
      <c r="G1955" s="11"/>
      <c r="H1955" s="16"/>
      <c r="J1955" s="17"/>
      <c r="K1955" s="20"/>
      <c r="L1955" s="16"/>
      <c r="N1955" s="20"/>
      <c r="O1955" s="18"/>
    </row>
    <row r="1956" spans="1:15" x14ac:dyDescent="0.2">
      <c r="A1956" s="10"/>
      <c r="B1956" s="11"/>
      <c r="C1956" s="12"/>
      <c r="D1956" s="11"/>
      <c r="E1956" s="13"/>
      <c r="F1956" s="14"/>
      <c r="G1956" s="11"/>
      <c r="H1956" s="16"/>
      <c r="J1956" s="17"/>
      <c r="K1956" s="20"/>
      <c r="L1956" s="16"/>
      <c r="N1956" s="20"/>
      <c r="O1956" s="18"/>
    </row>
    <row r="1957" spans="1:15" x14ac:dyDescent="0.2">
      <c r="A1957" s="10"/>
      <c r="B1957" s="11"/>
      <c r="C1957" s="12"/>
      <c r="D1957" s="11"/>
      <c r="E1957" s="13"/>
      <c r="F1957" s="14"/>
      <c r="G1957" s="11"/>
      <c r="H1957" s="16"/>
      <c r="J1957" s="17"/>
      <c r="K1957" s="20"/>
      <c r="L1957" s="16"/>
      <c r="N1957" s="20"/>
      <c r="O1957" s="18"/>
    </row>
    <row r="1958" spans="1:15" x14ac:dyDescent="0.2">
      <c r="A1958" s="10"/>
      <c r="B1958" s="11"/>
      <c r="C1958" s="12"/>
      <c r="D1958" s="11"/>
      <c r="E1958" s="13"/>
      <c r="F1958" s="14"/>
      <c r="G1958" s="11"/>
      <c r="H1958" s="16"/>
      <c r="J1958" s="17"/>
      <c r="K1958" s="20"/>
      <c r="L1958" s="16"/>
      <c r="N1958" s="20"/>
      <c r="O1958" s="18"/>
    </row>
    <row r="1959" spans="1:15" x14ac:dyDescent="0.2">
      <c r="A1959" s="10"/>
      <c r="B1959" s="11"/>
      <c r="C1959" s="12"/>
      <c r="D1959" s="11"/>
      <c r="E1959" s="13"/>
      <c r="F1959" s="14"/>
      <c r="G1959" s="11"/>
      <c r="H1959" s="16"/>
      <c r="J1959" s="17"/>
      <c r="K1959" s="20"/>
      <c r="L1959" s="16"/>
      <c r="N1959" s="20"/>
      <c r="O1959" s="18"/>
    </row>
    <row r="1960" spans="1:15" x14ac:dyDescent="0.2">
      <c r="A1960" s="10"/>
      <c r="B1960" s="11"/>
      <c r="C1960" s="12"/>
      <c r="D1960" s="11"/>
      <c r="E1960" s="13"/>
      <c r="F1960" s="14"/>
      <c r="G1960" s="11"/>
      <c r="H1960" s="16"/>
      <c r="J1960" s="17"/>
      <c r="K1960" s="20"/>
      <c r="L1960" s="16"/>
      <c r="N1960" s="20"/>
      <c r="O1960" s="18"/>
    </row>
    <row r="1961" spans="1:15" x14ac:dyDescent="0.2">
      <c r="A1961" s="10"/>
      <c r="B1961" s="11"/>
      <c r="C1961" s="12"/>
      <c r="D1961" s="11"/>
      <c r="E1961" s="13"/>
      <c r="F1961" s="14"/>
      <c r="G1961" s="11"/>
      <c r="H1961" s="16"/>
      <c r="J1961" s="17"/>
      <c r="K1961" s="20"/>
      <c r="L1961" s="16"/>
      <c r="N1961" s="20"/>
      <c r="O1961" s="18"/>
    </row>
    <row r="1962" spans="1:15" x14ac:dyDescent="0.2">
      <c r="A1962" s="10"/>
      <c r="B1962" s="11"/>
      <c r="C1962" s="12"/>
      <c r="D1962" s="11"/>
      <c r="E1962" s="13"/>
      <c r="F1962" s="14"/>
      <c r="G1962" s="11"/>
      <c r="H1962" s="16"/>
      <c r="J1962" s="17"/>
      <c r="K1962" s="20"/>
      <c r="L1962" s="16"/>
      <c r="N1962" s="20"/>
      <c r="O1962" s="18"/>
    </row>
    <row r="1963" spans="1:15" x14ac:dyDescent="0.2">
      <c r="A1963" s="10"/>
      <c r="B1963" s="11"/>
      <c r="C1963" s="12"/>
      <c r="D1963" s="11"/>
      <c r="E1963" s="13"/>
      <c r="F1963" s="14"/>
      <c r="G1963" s="11"/>
      <c r="H1963" s="16"/>
      <c r="J1963" s="17"/>
      <c r="K1963" s="20"/>
      <c r="L1963" s="16"/>
      <c r="N1963" s="20"/>
      <c r="O1963" s="18"/>
    </row>
    <row r="1964" spans="1:15" x14ac:dyDescent="0.2">
      <c r="A1964" s="10"/>
      <c r="B1964" s="11"/>
      <c r="C1964" s="12"/>
      <c r="D1964" s="11"/>
      <c r="E1964" s="13"/>
      <c r="F1964" s="14"/>
      <c r="G1964" s="11"/>
      <c r="H1964" s="16"/>
      <c r="J1964" s="17"/>
      <c r="K1964" s="20"/>
      <c r="L1964" s="16"/>
      <c r="N1964" s="20"/>
      <c r="O1964" s="18"/>
    </row>
    <row r="1965" spans="1:15" x14ac:dyDescent="0.2">
      <c r="A1965" s="10"/>
      <c r="B1965" s="11"/>
      <c r="C1965" s="12"/>
      <c r="D1965" s="11"/>
      <c r="E1965" s="13"/>
      <c r="F1965" s="14"/>
      <c r="G1965" s="11"/>
      <c r="H1965" s="16"/>
      <c r="J1965" s="17"/>
      <c r="K1965" s="20"/>
      <c r="L1965" s="16"/>
      <c r="N1965" s="20"/>
      <c r="O1965" s="18"/>
    </row>
    <row r="1966" spans="1:15" x14ac:dyDescent="0.2">
      <c r="A1966" s="10"/>
      <c r="B1966" s="11"/>
      <c r="C1966" s="12"/>
      <c r="D1966" s="11"/>
      <c r="E1966" s="13"/>
      <c r="F1966" s="14"/>
      <c r="G1966" s="11"/>
      <c r="H1966" s="16"/>
      <c r="J1966" s="17"/>
      <c r="K1966" s="20"/>
      <c r="L1966" s="16"/>
      <c r="N1966" s="20"/>
      <c r="O1966" s="18"/>
    </row>
    <row r="1967" spans="1:15" x14ac:dyDescent="0.2">
      <c r="A1967" s="10"/>
      <c r="B1967" s="11"/>
      <c r="C1967" s="12"/>
      <c r="D1967" s="11"/>
      <c r="E1967" s="13"/>
      <c r="F1967" s="14"/>
      <c r="G1967" s="11"/>
      <c r="H1967" s="16"/>
      <c r="J1967" s="17"/>
      <c r="K1967" s="20"/>
      <c r="L1967" s="16"/>
      <c r="N1967" s="20"/>
      <c r="O1967" s="18"/>
    </row>
    <row r="1968" spans="1:15" x14ac:dyDescent="0.2">
      <c r="A1968" s="10"/>
      <c r="B1968" s="11"/>
      <c r="C1968" s="12"/>
      <c r="D1968" s="11"/>
      <c r="E1968" s="13"/>
      <c r="F1968" s="14"/>
      <c r="G1968" s="11"/>
      <c r="H1968" s="16"/>
      <c r="J1968" s="17"/>
      <c r="K1968" s="20"/>
      <c r="L1968" s="16"/>
      <c r="N1968" s="20"/>
      <c r="O1968" s="18"/>
    </row>
    <row r="1969" spans="1:15" x14ac:dyDescent="0.2">
      <c r="A1969" s="10"/>
      <c r="B1969" s="11"/>
      <c r="C1969" s="12"/>
      <c r="D1969" s="11"/>
      <c r="E1969" s="13"/>
      <c r="F1969" s="14"/>
      <c r="G1969" s="11"/>
      <c r="H1969" s="16"/>
      <c r="J1969" s="17"/>
      <c r="K1969" s="20"/>
      <c r="L1969" s="16"/>
      <c r="N1969" s="20"/>
      <c r="O1969" s="18"/>
    </row>
    <row r="1970" spans="1:15" x14ac:dyDescent="0.2">
      <c r="A1970" s="10"/>
      <c r="B1970" s="11"/>
      <c r="C1970" s="12"/>
      <c r="D1970" s="11"/>
      <c r="E1970" s="13"/>
      <c r="F1970" s="14"/>
      <c r="G1970" s="11"/>
      <c r="H1970" s="16"/>
      <c r="J1970" s="17"/>
      <c r="K1970" s="20"/>
      <c r="L1970" s="16"/>
      <c r="N1970" s="20"/>
      <c r="O1970" s="18"/>
    </row>
    <row r="1971" spans="1:15" x14ac:dyDescent="0.2">
      <c r="A1971" s="10"/>
      <c r="B1971" s="11"/>
      <c r="C1971" s="12"/>
      <c r="D1971" s="11"/>
      <c r="E1971" s="13"/>
      <c r="F1971" s="14"/>
      <c r="G1971" s="11"/>
      <c r="H1971" s="16"/>
      <c r="J1971" s="17"/>
      <c r="K1971" s="20"/>
      <c r="L1971" s="16"/>
      <c r="N1971" s="20"/>
      <c r="O1971" s="18"/>
    </row>
    <row r="1972" spans="1:15" x14ac:dyDescent="0.2">
      <c r="A1972" s="10"/>
      <c r="B1972" s="11"/>
      <c r="C1972" s="12"/>
      <c r="D1972" s="11"/>
      <c r="E1972" s="13"/>
      <c r="F1972" s="14"/>
      <c r="G1972" s="11"/>
      <c r="H1972" s="16"/>
      <c r="J1972" s="17"/>
      <c r="K1972" s="20"/>
      <c r="L1972" s="16"/>
      <c r="N1972" s="20"/>
      <c r="O1972" s="18"/>
    </row>
    <row r="1973" spans="1:15" x14ac:dyDescent="0.2">
      <c r="A1973" s="10"/>
      <c r="B1973" s="11"/>
      <c r="C1973" s="12"/>
      <c r="D1973" s="11"/>
      <c r="E1973" s="13"/>
      <c r="F1973" s="14"/>
      <c r="G1973" s="11"/>
      <c r="H1973" s="16"/>
      <c r="J1973" s="17"/>
      <c r="K1973" s="20"/>
      <c r="L1973" s="16"/>
      <c r="N1973" s="20"/>
      <c r="O1973" s="18"/>
    </row>
    <row r="1974" spans="1:15" x14ac:dyDescent="0.2">
      <c r="A1974" s="10"/>
      <c r="B1974" s="11"/>
      <c r="C1974" s="12"/>
      <c r="D1974" s="11"/>
      <c r="E1974" s="13"/>
      <c r="F1974" s="14"/>
      <c r="G1974" s="11"/>
      <c r="H1974" s="16"/>
      <c r="J1974" s="17"/>
      <c r="K1974" s="20"/>
      <c r="L1974" s="16"/>
      <c r="N1974" s="20"/>
      <c r="O1974" s="18"/>
    </row>
    <row r="1975" spans="1:15" x14ac:dyDescent="0.2">
      <c r="A1975" s="10"/>
      <c r="B1975" s="11"/>
      <c r="C1975" s="12"/>
      <c r="D1975" s="11"/>
      <c r="E1975" s="13"/>
      <c r="F1975" s="14"/>
      <c r="G1975" s="11"/>
      <c r="H1975" s="16"/>
      <c r="J1975" s="17"/>
      <c r="K1975" s="20"/>
      <c r="L1975" s="16"/>
      <c r="N1975" s="20"/>
      <c r="O1975" s="18"/>
    </row>
    <row r="1976" spans="1:15" x14ac:dyDescent="0.2">
      <c r="A1976" s="10"/>
      <c r="B1976" s="11"/>
      <c r="C1976" s="12"/>
      <c r="D1976" s="11"/>
      <c r="E1976" s="13"/>
      <c r="F1976" s="14"/>
      <c r="G1976" s="11"/>
      <c r="H1976" s="16"/>
      <c r="J1976" s="17"/>
      <c r="K1976" s="20"/>
      <c r="L1976" s="16"/>
      <c r="N1976" s="20"/>
      <c r="O1976" s="18"/>
    </row>
    <row r="1977" spans="1:15" x14ac:dyDescent="0.2">
      <c r="A1977" s="10"/>
      <c r="B1977" s="11"/>
      <c r="C1977" s="12"/>
      <c r="D1977" s="11"/>
      <c r="E1977" s="13"/>
      <c r="F1977" s="14"/>
      <c r="G1977" s="11"/>
      <c r="H1977" s="16"/>
      <c r="J1977" s="17"/>
      <c r="K1977" s="20"/>
      <c r="L1977" s="16"/>
      <c r="N1977" s="20"/>
      <c r="O1977" s="18"/>
    </row>
    <row r="1978" spans="1:15" x14ac:dyDescent="0.2">
      <c r="A1978" s="10"/>
      <c r="B1978" s="11"/>
      <c r="C1978" s="12"/>
      <c r="D1978" s="11"/>
      <c r="E1978" s="13"/>
      <c r="F1978" s="14"/>
      <c r="G1978" s="11"/>
      <c r="H1978" s="16"/>
      <c r="J1978" s="17"/>
      <c r="K1978" s="20"/>
      <c r="L1978" s="16"/>
      <c r="N1978" s="20"/>
      <c r="O1978" s="18"/>
    </row>
    <row r="1979" spans="1:15" x14ac:dyDescent="0.2">
      <c r="A1979" s="10"/>
      <c r="B1979" s="11"/>
      <c r="C1979" s="12"/>
      <c r="D1979" s="11"/>
      <c r="E1979" s="13"/>
      <c r="F1979" s="14"/>
      <c r="G1979" s="11"/>
      <c r="H1979" s="16"/>
      <c r="J1979" s="17"/>
      <c r="K1979" s="20"/>
      <c r="L1979" s="16"/>
      <c r="N1979" s="20"/>
      <c r="O1979" s="18"/>
    </row>
    <row r="1980" spans="1:15" x14ac:dyDescent="0.2">
      <c r="A1980" s="10"/>
      <c r="B1980" s="11"/>
      <c r="C1980" s="12"/>
      <c r="D1980" s="11"/>
      <c r="E1980" s="13"/>
      <c r="F1980" s="14"/>
      <c r="G1980" s="11"/>
      <c r="H1980" s="16"/>
      <c r="J1980" s="17"/>
      <c r="K1980" s="20"/>
      <c r="L1980" s="16"/>
      <c r="N1980" s="20"/>
      <c r="O1980" s="18"/>
    </row>
    <row r="1981" spans="1:15" x14ac:dyDescent="0.2">
      <c r="A1981" s="10"/>
      <c r="B1981" s="11"/>
      <c r="C1981" s="12"/>
      <c r="D1981" s="11"/>
      <c r="E1981" s="13"/>
      <c r="F1981" s="14"/>
      <c r="G1981" s="11"/>
      <c r="H1981" s="16"/>
      <c r="J1981" s="17"/>
      <c r="K1981" s="20"/>
      <c r="L1981" s="16"/>
      <c r="N1981" s="20"/>
      <c r="O1981" s="18"/>
    </row>
    <row r="1982" spans="1:15" x14ac:dyDescent="0.2">
      <c r="A1982" s="10"/>
      <c r="B1982" s="11"/>
      <c r="C1982" s="12"/>
      <c r="D1982" s="11"/>
      <c r="E1982" s="13"/>
      <c r="F1982" s="14"/>
      <c r="G1982" s="11"/>
      <c r="H1982" s="16"/>
      <c r="J1982" s="17"/>
      <c r="K1982" s="20"/>
      <c r="L1982" s="16"/>
      <c r="N1982" s="20"/>
      <c r="O1982" s="18"/>
    </row>
    <row r="1983" spans="1:15" x14ac:dyDescent="0.2">
      <c r="A1983" s="10"/>
      <c r="B1983" s="11"/>
      <c r="C1983" s="12"/>
      <c r="D1983" s="11"/>
      <c r="E1983" s="13"/>
      <c r="F1983" s="14"/>
      <c r="G1983" s="11"/>
      <c r="H1983" s="16"/>
      <c r="J1983" s="17"/>
      <c r="K1983" s="20"/>
      <c r="L1983" s="16"/>
      <c r="N1983" s="20"/>
      <c r="O1983" s="18"/>
    </row>
    <row r="1984" spans="1:15" x14ac:dyDescent="0.2">
      <c r="A1984" s="10"/>
      <c r="B1984" s="11"/>
      <c r="C1984" s="12"/>
      <c r="D1984" s="11"/>
      <c r="E1984" s="13"/>
      <c r="F1984" s="14"/>
      <c r="G1984" s="11"/>
      <c r="H1984" s="16"/>
      <c r="J1984" s="17"/>
      <c r="K1984" s="20"/>
      <c r="L1984" s="16"/>
      <c r="N1984" s="20"/>
      <c r="O1984" s="18"/>
    </row>
    <row r="1985" spans="1:15" x14ac:dyDescent="0.2">
      <c r="A1985" s="10"/>
      <c r="B1985" s="11"/>
      <c r="C1985" s="12"/>
      <c r="D1985" s="11"/>
      <c r="E1985" s="13"/>
      <c r="F1985" s="14"/>
      <c r="G1985" s="11"/>
      <c r="H1985" s="16"/>
      <c r="J1985" s="17"/>
      <c r="K1985" s="20"/>
      <c r="L1985" s="16"/>
      <c r="N1985" s="20"/>
      <c r="O1985" s="18"/>
    </row>
    <row r="1986" spans="1:15" x14ac:dyDescent="0.2">
      <c r="A1986" s="10"/>
      <c r="B1986" s="11"/>
      <c r="C1986" s="12"/>
      <c r="D1986" s="11"/>
      <c r="E1986" s="13"/>
      <c r="F1986" s="14"/>
      <c r="G1986" s="11"/>
      <c r="H1986" s="16"/>
      <c r="J1986" s="17"/>
      <c r="K1986" s="20"/>
      <c r="L1986" s="16"/>
      <c r="N1986" s="20"/>
      <c r="O1986" s="18"/>
    </row>
    <row r="1987" spans="1:15" x14ac:dyDescent="0.2">
      <c r="A1987" s="10"/>
      <c r="B1987" s="11"/>
      <c r="C1987" s="12"/>
      <c r="D1987" s="11"/>
      <c r="E1987" s="13"/>
      <c r="F1987" s="14"/>
      <c r="G1987" s="11"/>
      <c r="H1987" s="16"/>
      <c r="J1987" s="17"/>
      <c r="K1987" s="20"/>
      <c r="L1987" s="16"/>
      <c r="N1987" s="20"/>
      <c r="O1987" s="18"/>
    </row>
    <row r="1988" spans="1:15" x14ac:dyDescent="0.2">
      <c r="A1988" s="10"/>
      <c r="B1988" s="11"/>
      <c r="C1988" s="12"/>
      <c r="D1988" s="11"/>
      <c r="E1988" s="13"/>
      <c r="F1988" s="14"/>
      <c r="G1988" s="11"/>
      <c r="H1988" s="16"/>
      <c r="J1988" s="17"/>
      <c r="K1988" s="20"/>
      <c r="L1988" s="16"/>
      <c r="N1988" s="20"/>
      <c r="O1988" s="18"/>
    </row>
    <row r="1989" spans="1:15" x14ac:dyDescent="0.2">
      <c r="A1989" s="10"/>
      <c r="B1989" s="11"/>
      <c r="C1989" s="12"/>
      <c r="D1989" s="11"/>
      <c r="E1989" s="13"/>
      <c r="F1989" s="14"/>
      <c r="G1989" s="11"/>
      <c r="H1989" s="16"/>
      <c r="J1989" s="17"/>
      <c r="K1989" s="20"/>
      <c r="L1989" s="16"/>
      <c r="N1989" s="20"/>
      <c r="O1989" s="18"/>
    </row>
    <row r="1990" spans="1:15" x14ac:dyDescent="0.2">
      <c r="A1990" s="10"/>
      <c r="B1990" s="11"/>
      <c r="C1990" s="12"/>
      <c r="D1990" s="11"/>
      <c r="E1990" s="13"/>
      <c r="F1990" s="14"/>
      <c r="G1990" s="11"/>
      <c r="H1990" s="16"/>
      <c r="J1990" s="17"/>
      <c r="K1990" s="20"/>
      <c r="L1990" s="16"/>
      <c r="N1990" s="20"/>
      <c r="O1990" s="18"/>
    </row>
    <row r="1991" spans="1:15" x14ac:dyDescent="0.2">
      <c r="A1991" s="10"/>
      <c r="B1991" s="11"/>
      <c r="C1991" s="12"/>
      <c r="D1991" s="11"/>
      <c r="E1991" s="13"/>
      <c r="F1991" s="14"/>
      <c r="G1991" s="11"/>
      <c r="H1991" s="16"/>
      <c r="J1991" s="17"/>
      <c r="K1991" s="20"/>
      <c r="L1991" s="16"/>
      <c r="N1991" s="20"/>
      <c r="O1991" s="18"/>
    </row>
    <row r="1992" spans="1:15" x14ac:dyDescent="0.2">
      <c r="A1992" s="10"/>
      <c r="B1992" s="11"/>
      <c r="C1992" s="12"/>
      <c r="D1992" s="11"/>
      <c r="E1992" s="13"/>
      <c r="F1992" s="14"/>
      <c r="G1992" s="11"/>
      <c r="H1992" s="16"/>
      <c r="J1992" s="17"/>
      <c r="K1992" s="20"/>
      <c r="L1992" s="16"/>
      <c r="N1992" s="20"/>
      <c r="O1992" s="18"/>
    </row>
    <row r="1993" spans="1:15" x14ac:dyDescent="0.2">
      <c r="A1993" s="10"/>
      <c r="B1993" s="11"/>
      <c r="C1993" s="12"/>
      <c r="D1993" s="11"/>
      <c r="E1993" s="13"/>
      <c r="F1993" s="14"/>
      <c r="G1993" s="11"/>
      <c r="H1993" s="16"/>
      <c r="J1993" s="17"/>
      <c r="K1993" s="20"/>
      <c r="L1993" s="16"/>
      <c r="N1993" s="20"/>
      <c r="O1993" s="18"/>
    </row>
    <row r="1994" spans="1:15" x14ac:dyDescent="0.2">
      <c r="A1994" s="10"/>
      <c r="B1994" s="11"/>
      <c r="C1994" s="12"/>
      <c r="D1994" s="11"/>
      <c r="E1994" s="13"/>
      <c r="F1994" s="14"/>
      <c r="G1994" s="11"/>
      <c r="H1994" s="16"/>
      <c r="J1994" s="17"/>
      <c r="K1994" s="20"/>
      <c r="L1994" s="16"/>
      <c r="N1994" s="20"/>
      <c r="O1994" s="18"/>
    </row>
    <row r="1995" spans="1:15" x14ac:dyDescent="0.2">
      <c r="A1995" s="10"/>
      <c r="B1995" s="11"/>
      <c r="C1995" s="12"/>
      <c r="D1995" s="11"/>
      <c r="E1995" s="13"/>
      <c r="F1995" s="14"/>
      <c r="G1995" s="11"/>
      <c r="H1995" s="16"/>
      <c r="J1995" s="17"/>
      <c r="K1995" s="20"/>
      <c r="L1995" s="16"/>
      <c r="N1995" s="20"/>
      <c r="O1995" s="18"/>
    </row>
    <row r="1996" spans="1:15" x14ac:dyDescent="0.2">
      <c r="A1996" s="10"/>
      <c r="B1996" s="11"/>
      <c r="C1996" s="12"/>
      <c r="D1996" s="11"/>
      <c r="E1996" s="13"/>
      <c r="F1996" s="14"/>
      <c r="G1996" s="11"/>
      <c r="H1996" s="16"/>
      <c r="J1996" s="17"/>
      <c r="K1996" s="20"/>
      <c r="L1996" s="16"/>
      <c r="N1996" s="20"/>
      <c r="O1996" s="18"/>
    </row>
    <row r="1997" spans="1:15" x14ac:dyDescent="0.2">
      <c r="A1997" s="10"/>
      <c r="B1997" s="11"/>
      <c r="C1997" s="12"/>
      <c r="D1997" s="11"/>
      <c r="E1997" s="13"/>
      <c r="F1997" s="14"/>
      <c r="G1997" s="11"/>
      <c r="H1997" s="16"/>
      <c r="J1997" s="17"/>
      <c r="K1997" s="20"/>
      <c r="L1997" s="16"/>
      <c r="N1997" s="20"/>
      <c r="O1997" s="18"/>
    </row>
    <row r="1998" spans="1:15" x14ac:dyDescent="0.2">
      <c r="A1998" s="10"/>
      <c r="B1998" s="11"/>
      <c r="C1998" s="12"/>
      <c r="D1998" s="11"/>
      <c r="E1998" s="13"/>
      <c r="F1998" s="14"/>
      <c r="G1998" s="11"/>
      <c r="H1998" s="16"/>
      <c r="J1998" s="17"/>
      <c r="K1998" s="20"/>
      <c r="L1998" s="16"/>
      <c r="N1998" s="20"/>
      <c r="O1998" s="18"/>
    </row>
    <row r="1999" spans="1:15" x14ac:dyDescent="0.2">
      <c r="A1999" s="10"/>
      <c r="B1999" s="11"/>
      <c r="C1999" s="12"/>
      <c r="D1999" s="11"/>
      <c r="E1999" s="13"/>
      <c r="F1999" s="14"/>
      <c r="G1999" s="11"/>
      <c r="H1999" s="16"/>
      <c r="J1999" s="17"/>
      <c r="K1999" s="20"/>
      <c r="L1999" s="16"/>
      <c r="N1999" s="20"/>
      <c r="O1999" s="18"/>
    </row>
    <row r="2000" spans="1:15" x14ac:dyDescent="0.2">
      <c r="A2000" s="10"/>
      <c r="B2000" s="11"/>
      <c r="C2000" s="12"/>
      <c r="D2000" s="11"/>
      <c r="E2000" s="13"/>
      <c r="F2000" s="14"/>
      <c r="G2000" s="11"/>
      <c r="H2000" s="16"/>
      <c r="J2000" s="17"/>
      <c r="K2000" s="20"/>
      <c r="L2000" s="16"/>
      <c r="N2000" s="20"/>
      <c r="O2000" s="18"/>
    </row>
    <row r="2001" spans="1:15" x14ac:dyDescent="0.2">
      <c r="A2001" s="10"/>
      <c r="B2001" s="11"/>
      <c r="C2001" s="12"/>
      <c r="D2001" s="11"/>
      <c r="E2001" s="13"/>
      <c r="F2001" s="14"/>
      <c r="G2001" s="11"/>
      <c r="H2001" s="16"/>
      <c r="J2001" s="17"/>
      <c r="K2001" s="20"/>
      <c r="L2001" s="16"/>
      <c r="N2001" s="20"/>
      <c r="O2001" s="18"/>
    </row>
    <row r="2002" spans="1:15" x14ac:dyDescent="0.2">
      <c r="A2002" s="10"/>
      <c r="B2002" s="11"/>
      <c r="C2002" s="12"/>
      <c r="D2002" s="11"/>
      <c r="E2002" s="13"/>
      <c r="F2002" s="14"/>
      <c r="G2002" s="11"/>
      <c r="H2002" s="16"/>
      <c r="J2002" s="17"/>
      <c r="K2002" s="20"/>
      <c r="L2002" s="16"/>
      <c r="N2002" s="20"/>
      <c r="O2002" s="18"/>
    </row>
    <row r="2003" spans="1:15" x14ac:dyDescent="0.2">
      <c r="A2003" s="10"/>
      <c r="B2003" s="11"/>
      <c r="C2003" s="12"/>
      <c r="D2003" s="11"/>
      <c r="E2003" s="13"/>
      <c r="F2003" s="14"/>
      <c r="G2003" s="11"/>
      <c r="H2003" s="16"/>
      <c r="J2003" s="17"/>
      <c r="K2003" s="20"/>
      <c r="L2003" s="16"/>
      <c r="N2003" s="20"/>
      <c r="O2003" s="18"/>
    </row>
    <row r="2004" spans="1:15" x14ac:dyDescent="0.2">
      <c r="A2004" s="10"/>
      <c r="B2004" s="11"/>
      <c r="C2004" s="12"/>
      <c r="D2004" s="11"/>
      <c r="E2004" s="13"/>
      <c r="F2004" s="14"/>
      <c r="G2004" s="11"/>
      <c r="H2004" s="16"/>
      <c r="J2004" s="17"/>
      <c r="K2004" s="20"/>
      <c r="L2004" s="16"/>
      <c r="N2004" s="20"/>
      <c r="O2004" s="18"/>
    </row>
    <row r="2005" spans="1:15" x14ac:dyDescent="0.2">
      <c r="A2005" s="10"/>
      <c r="B2005" s="11"/>
      <c r="C2005" s="12"/>
      <c r="D2005" s="11"/>
      <c r="E2005" s="13"/>
      <c r="F2005" s="14"/>
      <c r="G2005" s="11"/>
      <c r="H2005" s="16"/>
      <c r="J2005" s="17"/>
      <c r="K2005" s="20"/>
      <c r="L2005" s="16"/>
      <c r="N2005" s="20"/>
      <c r="O2005" s="18"/>
    </row>
    <row r="2006" spans="1:15" x14ac:dyDescent="0.2">
      <c r="A2006" s="10"/>
      <c r="B2006" s="11"/>
      <c r="C2006" s="12"/>
      <c r="D2006" s="11"/>
      <c r="E2006" s="13"/>
      <c r="F2006" s="14"/>
      <c r="G2006" s="11"/>
      <c r="H2006" s="16"/>
      <c r="J2006" s="17"/>
      <c r="K2006" s="20"/>
      <c r="L2006" s="16"/>
      <c r="N2006" s="20"/>
      <c r="O2006" s="18"/>
    </row>
    <row r="2007" spans="1:15" x14ac:dyDescent="0.2">
      <c r="A2007" s="10"/>
      <c r="B2007" s="11"/>
      <c r="C2007" s="12"/>
      <c r="D2007" s="11"/>
      <c r="E2007" s="13"/>
      <c r="F2007" s="14"/>
      <c r="G2007" s="11"/>
      <c r="H2007" s="16"/>
      <c r="J2007" s="17"/>
      <c r="K2007" s="20"/>
      <c r="L2007" s="16"/>
      <c r="N2007" s="20"/>
      <c r="O2007" s="18"/>
    </row>
    <row r="2008" spans="1:15" x14ac:dyDescent="0.2">
      <c r="A2008" s="10"/>
      <c r="B2008" s="11"/>
      <c r="C2008" s="12"/>
      <c r="D2008" s="11"/>
      <c r="E2008" s="13"/>
      <c r="F2008" s="14"/>
      <c r="G2008" s="11"/>
      <c r="H2008" s="16"/>
      <c r="J2008" s="17"/>
      <c r="K2008" s="20"/>
      <c r="L2008" s="16"/>
      <c r="N2008" s="20"/>
      <c r="O2008" s="18"/>
    </row>
    <row r="2009" spans="1:15" x14ac:dyDescent="0.2">
      <c r="A2009" s="10"/>
      <c r="B2009" s="11"/>
      <c r="C2009" s="12"/>
      <c r="D2009" s="11"/>
      <c r="E2009" s="13"/>
      <c r="F2009" s="14"/>
      <c r="G2009" s="11"/>
      <c r="H2009" s="16"/>
      <c r="J2009" s="17"/>
      <c r="K2009" s="20"/>
      <c r="L2009" s="16"/>
      <c r="N2009" s="20"/>
      <c r="O2009" s="18"/>
    </row>
    <row r="2010" spans="1:15" x14ac:dyDescent="0.2">
      <c r="A2010" s="10"/>
      <c r="B2010" s="11"/>
      <c r="C2010" s="12"/>
      <c r="D2010" s="11"/>
      <c r="E2010" s="13"/>
      <c r="F2010" s="14"/>
      <c r="G2010" s="11"/>
      <c r="H2010" s="16"/>
      <c r="J2010" s="17"/>
      <c r="K2010" s="20"/>
      <c r="L2010" s="16"/>
      <c r="N2010" s="20"/>
      <c r="O2010" s="18"/>
    </row>
    <row r="2011" spans="1:15" x14ac:dyDescent="0.2">
      <c r="A2011" s="10"/>
      <c r="B2011" s="11"/>
      <c r="C2011" s="12"/>
      <c r="D2011" s="11"/>
      <c r="E2011" s="13"/>
      <c r="F2011" s="14"/>
      <c r="G2011" s="11"/>
      <c r="H2011" s="16"/>
      <c r="J2011" s="17"/>
      <c r="K2011" s="20"/>
      <c r="L2011" s="16"/>
      <c r="N2011" s="20"/>
      <c r="O2011" s="18"/>
    </row>
    <row r="2012" spans="1:15" x14ac:dyDescent="0.2">
      <c r="A2012" s="10"/>
      <c r="B2012" s="11"/>
      <c r="C2012" s="12"/>
      <c r="D2012" s="11"/>
      <c r="E2012" s="13"/>
      <c r="F2012" s="14"/>
      <c r="G2012" s="11"/>
      <c r="H2012" s="16"/>
      <c r="J2012" s="17"/>
      <c r="K2012" s="20"/>
      <c r="L2012" s="16"/>
      <c r="N2012" s="20"/>
      <c r="O2012" s="18"/>
    </row>
    <row r="2013" spans="1:15" x14ac:dyDescent="0.2">
      <c r="A2013" s="10"/>
      <c r="B2013" s="11"/>
      <c r="C2013" s="12"/>
      <c r="D2013" s="11"/>
      <c r="E2013" s="13"/>
      <c r="F2013" s="14"/>
      <c r="G2013" s="11"/>
      <c r="H2013" s="16"/>
      <c r="J2013" s="17"/>
      <c r="K2013" s="20"/>
      <c r="L2013" s="16"/>
      <c r="N2013" s="20"/>
      <c r="O2013" s="18"/>
    </row>
    <row r="2014" spans="1:15" x14ac:dyDescent="0.2">
      <c r="A2014" s="10"/>
      <c r="B2014" s="11"/>
      <c r="C2014" s="12"/>
      <c r="D2014" s="11"/>
      <c r="E2014" s="13"/>
      <c r="F2014" s="14"/>
      <c r="G2014" s="11"/>
      <c r="H2014" s="16"/>
      <c r="J2014" s="17"/>
      <c r="K2014" s="20"/>
      <c r="L2014" s="16"/>
      <c r="N2014" s="20"/>
      <c r="O2014" s="18"/>
    </row>
    <row r="2015" spans="1:15" x14ac:dyDescent="0.2">
      <c r="A2015" s="10"/>
      <c r="B2015" s="11"/>
      <c r="C2015" s="12"/>
      <c r="D2015" s="11"/>
      <c r="E2015" s="13"/>
      <c r="F2015" s="14"/>
      <c r="G2015" s="11"/>
      <c r="H2015" s="16"/>
      <c r="J2015" s="17"/>
      <c r="K2015" s="20"/>
      <c r="L2015" s="16"/>
      <c r="N2015" s="20"/>
      <c r="O2015" s="18"/>
    </row>
    <row r="2016" spans="1:15" x14ac:dyDescent="0.2">
      <c r="A2016" s="10"/>
      <c r="B2016" s="11"/>
      <c r="C2016" s="12"/>
      <c r="D2016" s="11"/>
      <c r="E2016" s="13"/>
      <c r="F2016" s="14"/>
      <c r="G2016" s="11"/>
      <c r="H2016" s="16"/>
      <c r="J2016" s="17"/>
      <c r="K2016" s="20"/>
      <c r="L2016" s="16"/>
      <c r="N2016" s="20"/>
      <c r="O2016" s="18"/>
    </row>
    <row r="2017" spans="1:15" x14ac:dyDescent="0.2">
      <c r="A2017" s="10"/>
      <c r="B2017" s="11"/>
      <c r="C2017" s="12"/>
      <c r="D2017" s="11"/>
      <c r="E2017" s="13"/>
      <c r="F2017" s="14"/>
      <c r="G2017" s="11"/>
      <c r="H2017" s="16"/>
      <c r="J2017" s="17"/>
      <c r="K2017" s="20"/>
      <c r="L2017" s="16"/>
      <c r="N2017" s="20"/>
      <c r="O2017" s="18"/>
    </row>
    <row r="2018" spans="1:15" x14ac:dyDescent="0.2">
      <c r="A2018" s="10"/>
      <c r="B2018" s="11"/>
      <c r="C2018" s="12"/>
      <c r="D2018" s="11"/>
      <c r="E2018" s="13"/>
      <c r="F2018" s="14"/>
      <c r="G2018" s="11"/>
      <c r="H2018" s="16"/>
      <c r="J2018" s="17"/>
      <c r="K2018" s="20"/>
      <c r="L2018" s="16"/>
      <c r="N2018" s="20"/>
      <c r="O2018" s="18"/>
    </row>
    <row r="2019" spans="1:15" x14ac:dyDescent="0.2">
      <c r="A2019" s="10"/>
      <c r="B2019" s="11"/>
      <c r="C2019" s="12"/>
      <c r="D2019" s="11"/>
      <c r="E2019" s="13"/>
      <c r="F2019" s="14"/>
      <c r="G2019" s="11"/>
      <c r="H2019" s="16"/>
      <c r="J2019" s="17"/>
      <c r="K2019" s="20"/>
      <c r="L2019" s="16"/>
      <c r="N2019" s="20"/>
      <c r="O2019" s="18"/>
    </row>
    <row r="2020" spans="1:15" x14ac:dyDescent="0.2">
      <c r="A2020" s="10"/>
      <c r="B2020" s="11"/>
      <c r="C2020" s="12"/>
      <c r="D2020" s="11"/>
      <c r="E2020" s="13"/>
      <c r="F2020" s="14"/>
      <c r="G2020" s="11"/>
      <c r="H2020" s="16"/>
      <c r="J2020" s="17"/>
      <c r="K2020" s="20"/>
      <c r="L2020" s="16"/>
      <c r="N2020" s="20"/>
      <c r="O2020" s="18"/>
    </row>
    <row r="2021" spans="1:15" x14ac:dyDescent="0.2">
      <c r="A2021" s="10"/>
      <c r="B2021" s="11"/>
      <c r="C2021" s="12"/>
      <c r="D2021" s="11"/>
      <c r="E2021" s="13"/>
      <c r="F2021" s="14"/>
      <c r="G2021" s="11"/>
      <c r="H2021" s="16"/>
      <c r="J2021" s="17"/>
      <c r="K2021" s="20"/>
      <c r="L2021" s="16"/>
      <c r="N2021" s="20"/>
      <c r="O2021" s="18"/>
    </row>
    <row r="2022" spans="1:15" x14ac:dyDescent="0.2">
      <c r="A2022" s="10"/>
      <c r="B2022" s="11"/>
      <c r="C2022" s="12"/>
      <c r="D2022" s="11"/>
      <c r="E2022" s="13"/>
      <c r="F2022" s="14"/>
      <c r="G2022" s="11"/>
      <c r="H2022" s="16"/>
      <c r="J2022" s="17"/>
      <c r="K2022" s="20"/>
      <c r="L2022" s="16"/>
      <c r="N2022" s="20"/>
      <c r="O2022" s="18"/>
    </row>
    <row r="2023" spans="1:15" x14ac:dyDescent="0.2">
      <c r="A2023" s="10"/>
      <c r="B2023" s="11"/>
      <c r="C2023" s="12"/>
      <c r="D2023" s="11"/>
      <c r="E2023" s="13"/>
      <c r="F2023" s="14"/>
      <c r="G2023" s="11"/>
      <c r="H2023" s="16"/>
      <c r="J2023" s="17"/>
      <c r="K2023" s="20"/>
      <c r="L2023" s="16"/>
      <c r="N2023" s="20"/>
      <c r="O2023" s="18"/>
    </row>
    <row r="2024" spans="1:15" x14ac:dyDescent="0.2">
      <c r="A2024" s="10"/>
      <c r="B2024" s="11"/>
      <c r="C2024" s="12"/>
      <c r="D2024" s="11"/>
      <c r="E2024" s="13"/>
      <c r="F2024" s="14"/>
      <c r="G2024" s="11"/>
      <c r="H2024" s="16"/>
      <c r="J2024" s="17"/>
      <c r="K2024" s="20"/>
      <c r="L2024" s="16"/>
      <c r="N2024" s="20"/>
      <c r="O2024" s="18"/>
    </row>
    <row r="2025" spans="1:15" x14ac:dyDescent="0.2">
      <c r="A2025" s="10"/>
      <c r="B2025" s="11"/>
      <c r="C2025" s="12"/>
      <c r="D2025" s="11"/>
      <c r="E2025" s="13"/>
      <c r="F2025" s="14"/>
      <c r="G2025" s="11"/>
      <c r="H2025" s="16"/>
      <c r="J2025" s="17"/>
      <c r="K2025" s="20"/>
      <c r="L2025" s="16"/>
      <c r="N2025" s="20"/>
      <c r="O2025" s="18"/>
    </row>
    <row r="2026" spans="1:15" x14ac:dyDescent="0.2">
      <c r="A2026" s="10"/>
      <c r="B2026" s="11"/>
      <c r="C2026" s="12"/>
      <c r="D2026" s="11"/>
      <c r="E2026" s="13"/>
      <c r="F2026" s="14"/>
      <c r="G2026" s="11"/>
      <c r="H2026" s="16"/>
      <c r="J2026" s="17"/>
      <c r="K2026" s="20"/>
      <c r="L2026" s="16"/>
      <c r="N2026" s="20"/>
      <c r="O2026" s="18"/>
    </row>
    <row r="2027" spans="1:15" x14ac:dyDescent="0.2">
      <c r="A2027" s="10"/>
      <c r="B2027" s="11"/>
      <c r="C2027" s="12"/>
      <c r="D2027" s="11"/>
      <c r="E2027" s="13"/>
      <c r="F2027" s="14"/>
      <c r="G2027" s="11"/>
      <c r="H2027" s="16"/>
      <c r="J2027" s="17"/>
      <c r="K2027" s="20"/>
      <c r="L2027" s="16"/>
      <c r="N2027" s="20"/>
      <c r="O2027" s="18"/>
    </row>
    <row r="2028" spans="1:15" x14ac:dyDescent="0.2">
      <c r="A2028" s="10"/>
      <c r="B2028" s="11"/>
      <c r="C2028" s="12"/>
      <c r="D2028" s="11"/>
      <c r="E2028" s="13"/>
      <c r="F2028" s="14"/>
      <c r="G2028" s="11"/>
      <c r="H2028" s="16"/>
      <c r="J2028" s="17"/>
      <c r="K2028" s="20"/>
      <c r="L2028" s="16"/>
      <c r="N2028" s="20"/>
      <c r="O2028" s="18"/>
    </row>
    <row r="2029" spans="1:15" x14ac:dyDescent="0.2">
      <c r="A2029" s="10"/>
      <c r="B2029" s="11"/>
      <c r="C2029" s="12"/>
      <c r="D2029" s="11"/>
      <c r="E2029" s="13"/>
      <c r="F2029" s="14"/>
      <c r="G2029" s="11"/>
      <c r="H2029" s="16"/>
      <c r="J2029" s="17"/>
      <c r="K2029" s="20"/>
      <c r="L2029" s="16"/>
      <c r="N2029" s="20"/>
      <c r="O2029" s="18"/>
    </row>
    <row r="2030" spans="1:15" x14ac:dyDescent="0.2">
      <c r="A2030" s="10"/>
      <c r="B2030" s="11"/>
      <c r="C2030" s="12"/>
      <c r="D2030" s="11"/>
      <c r="E2030" s="13"/>
      <c r="F2030" s="14"/>
      <c r="G2030" s="11"/>
      <c r="H2030" s="16"/>
      <c r="J2030" s="17"/>
      <c r="K2030" s="20"/>
      <c r="L2030" s="16"/>
      <c r="N2030" s="20"/>
      <c r="O2030" s="18"/>
    </row>
    <row r="2031" spans="1:15" x14ac:dyDescent="0.2">
      <c r="A2031" s="10"/>
      <c r="B2031" s="11"/>
      <c r="C2031" s="12"/>
      <c r="D2031" s="11"/>
      <c r="E2031" s="13"/>
      <c r="F2031" s="14"/>
      <c r="G2031" s="11"/>
      <c r="H2031" s="16"/>
      <c r="J2031" s="17"/>
      <c r="K2031" s="20"/>
      <c r="L2031" s="16"/>
      <c r="N2031" s="20"/>
      <c r="O2031" s="18"/>
    </row>
    <row r="2032" spans="1:15" x14ac:dyDescent="0.2">
      <c r="A2032" s="10"/>
      <c r="B2032" s="11"/>
      <c r="C2032" s="12"/>
      <c r="D2032" s="11"/>
      <c r="E2032" s="13"/>
      <c r="F2032" s="14"/>
      <c r="G2032" s="11"/>
      <c r="H2032" s="16"/>
      <c r="J2032" s="17"/>
      <c r="K2032" s="20"/>
      <c r="L2032" s="16"/>
      <c r="N2032" s="20"/>
      <c r="O2032" s="18"/>
    </row>
    <row r="2033" spans="1:15" x14ac:dyDescent="0.2">
      <c r="A2033" s="10"/>
      <c r="B2033" s="11"/>
      <c r="C2033" s="12"/>
      <c r="D2033" s="11"/>
      <c r="E2033" s="13"/>
      <c r="F2033" s="14"/>
      <c r="G2033" s="11"/>
      <c r="H2033" s="16"/>
      <c r="J2033" s="17"/>
      <c r="K2033" s="20"/>
      <c r="L2033" s="16"/>
      <c r="N2033" s="20"/>
      <c r="O2033" s="18"/>
    </row>
    <row r="2034" spans="1:15" x14ac:dyDescent="0.2">
      <c r="A2034" s="10"/>
      <c r="B2034" s="11"/>
      <c r="C2034" s="12"/>
      <c r="D2034" s="11"/>
      <c r="E2034" s="13"/>
      <c r="F2034" s="14"/>
      <c r="G2034" s="11"/>
      <c r="H2034" s="16"/>
      <c r="J2034" s="17"/>
      <c r="K2034" s="20"/>
      <c r="L2034" s="16"/>
      <c r="N2034" s="20"/>
      <c r="O2034" s="18"/>
    </row>
    <row r="2035" spans="1:15" x14ac:dyDescent="0.2">
      <c r="A2035" s="10"/>
      <c r="B2035" s="11"/>
      <c r="C2035" s="12"/>
      <c r="D2035" s="11"/>
      <c r="E2035" s="13"/>
      <c r="F2035" s="14"/>
      <c r="G2035" s="11"/>
      <c r="H2035" s="16"/>
      <c r="J2035" s="17"/>
      <c r="K2035" s="20"/>
      <c r="L2035" s="16"/>
      <c r="N2035" s="20"/>
      <c r="O2035" s="18"/>
    </row>
    <row r="2036" spans="1:15" x14ac:dyDescent="0.2">
      <c r="A2036" s="10"/>
      <c r="B2036" s="11"/>
      <c r="C2036" s="12"/>
      <c r="D2036" s="11"/>
      <c r="E2036" s="13"/>
      <c r="F2036" s="14"/>
      <c r="G2036" s="11"/>
      <c r="H2036" s="16"/>
      <c r="J2036" s="17"/>
      <c r="K2036" s="20"/>
      <c r="L2036" s="16"/>
      <c r="N2036" s="20"/>
      <c r="O2036" s="18"/>
    </row>
    <row r="2037" spans="1:15" x14ac:dyDescent="0.2">
      <c r="A2037" s="10"/>
      <c r="B2037" s="11"/>
      <c r="C2037" s="12"/>
      <c r="D2037" s="11"/>
      <c r="E2037" s="13"/>
      <c r="F2037" s="14"/>
      <c r="G2037" s="11"/>
      <c r="H2037" s="16"/>
      <c r="J2037" s="17"/>
      <c r="K2037" s="20"/>
      <c r="L2037" s="16"/>
      <c r="N2037" s="20"/>
      <c r="O2037" s="18"/>
    </row>
    <row r="2038" spans="1:15" x14ac:dyDescent="0.2">
      <c r="A2038" s="10"/>
      <c r="B2038" s="11"/>
      <c r="C2038" s="12"/>
      <c r="D2038" s="11"/>
      <c r="E2038" s="13"/>
      <c r="F2038" s="14"/>
      <c r="G2038" s="11"/>
      <c r="H2038" s="16"/>
      <c r="J2038" s="17"/>
      <c r="K2038" s="20"/>
      <c r="L2038" s="16"/>
      <c r="N2038" s="20"/>
      <c r="O2038" s="18"/>
    </row>
    <row r="2039" spans="1:15" x14ac:dyDescent="0.2">
      <c r="A2039" s="10"/>
      <c r="B2039" s="11"/>
      <c r="C2039" s="12"/>
      <c r="D2039" s="11"/>
      <c r="E2039" s="13"/>
      <c r="F2039" s="14"/>
      <c r="G2039" s="11"/>
      <c r="H2039" s="16"/>
      <c r="J2039" s="17"/>
      <c r="K2039" s="20"/>
      <c r="L2039" s="16"/>
      <c r="N2039" s="20"/>
      <c r="O2039" s="18"/>
    </row>
    <row r="2040" spans="1:15" x14ac:dyDescent="0.2">
      <c r="A2040" s="10"/>
      <c r="B2040" s="11"/>
      <c r="C2040" s="12"/>
      <c r="D2040" s="11"/>
      <c r="E2040" s="13"/>
      <c r="F2040" s="14"/>
      <c r="G2040" s="11"/>
      <c r="H2040" s="16"/>
      <c r="J2040" s="17"/>
      <c r="K2040" s="20"/>
      <c r="L2040" s="16"/>
      <c r="N2040" s="20"/>
      <c r="O2040" s="18"/>
    </row>
    <row r="2041" spans="1:15" x14ac:dyDescent="0.2">
      <c r="A2041" s="10"/>
      <c r="B2041" s="11"/>
      <c r="C2041" s="12"/>
      <c r="D2041" s="11"/>
      <c r="E2041" s="13"/>
      <c r="F2041" s="14"/>
      <c r="G2041" s="11"/>
      <c r="H2041" s="16"/>
      <c r="J2041" s="17"/>
      <c r="K2041" s="20"/>
      <c r="L2041" s="16"/>
      <c r="N2041" s="20"/>
      <c r="O2041" s="18"/>
    </row>
    <row r="2042" spans="1:15" x14ac:dyDescent="0.2">
      <c r="A2042" s="10"/>
      <c r="B2042" s="11"/>
      <c r="C2042" s="12"/>
      <c r="D2042" s="11"/>
      <c r="E2042" s="13"/>
      <c r="F2042" s="14"/>
      <c r="G2042" s="11"/>
      <c r="H2042" s="16"/>
      <c r="J2042" s="17"/>
      <c r="K2042" s="20"/>
      <c r="L2042" s="16"/>
      <c r="N2042" s="20"/>
      <c r="O2042" s="18"/>
    </row>
    <row r="2043" spans="1:15" x14ac:dyDescent="0.2">
      <c r="A2043" s="10"/>
      <c r="B2043" s="11"/>
      <c r="C2043" s="12"/>
      <c r="D2043" s="11"/>
      <c r="E2043" s="13"/>
      <c r="F2043" s="14"/>
      <c r="G2043" s="11"/>
      <c r="H2043" s="16"/>
      <c r="J2043" s="17"/>
      <c r="K2043" s="20"/>
      <c r="L2043" s="16"/>
      <c r="N2043" s="20"/>
      <c r="O2043" s="18"/>
    </row>
    <row r="2044" spans="1:15" x14ac:dyDescent="0.2">
      <c r="A2044" s="10"/>
      <c r="B2044" s="11"/>
      <c r="C2044" s="12"/>
      <c r="D2044" s="11"/>
      <c r="E2044" s="13"/>
      <c r="F2044" s="14"/>
      <c r="G2044" s="11"/>
      <c r="H2044" s="16"/>
      <c r="J2044" s="17"/>
      <c r="K2044" s="20"/>
      <c r="L2044" s="16"/>
      <c r="N2044" s="20"/>
      <c r="O2044" s="18"/>
    </row>
    <row r="2045" spans="1:15" x14ac:dyDescent="0.2">
      <c r="A2045" s="10"/>
      <c r="B2045" s="11"/>
      <c r="C2045" s="12"/>
      <c r="D2045" s="11"/>
      <c r="E2045" s="13"/>
      <c r="F2045" s="14"/>
      <c r="G2045" s="11"/>
      <c r="H2045" s="16"/>
      <c r="J2045" s="17"/>
      <c r="K2045" s="20"/>
      <c r="L2045" s="16"/>
      <c r="N2045" s="20"/>
      <c r="O2045" s="18"/>
    </row>
    <row r="2046" spans="1:15" x14ac:dyDescent="0.2">
      <c r="A2046" s="10"/>
      <c r="B2046" s="11"/>
      <c r="C2046" s="12"/>
      <c r="D2046" s="11"/>
      <c r="E2046" s="13"/>
      <c r="F2046" s="14"/>
      <c r="G2046" s="11"/>
      <c r="H2046" s="16"/>
      <c r="J2046" s="17"/>
      <c r="K2046" s="20"/>
      <c r="L2046" s="16"/>
      <c r="N2046" s="20"/>
      <c r="O2046" s="18"/>
    </row>
    <row r="2047" spans="1:15" x14ac:dyDescent="0.2">
      <c r="A2047" s="10"/>
      <c r="B2047" s="11"/>
      <c r="C2047" s="12"/>
      <c r="D2047" s="11"/>
      <c r="E2047" s="13"/>
      <c r="F2047" s="14"/>
      <c r="G2047" s="11"/>
      <c r="H2047" s="16"/>
      <c r="J2047" s="17"/>
      <c r="K2047" s="20"/>
      <c r="L2047" s="16"/>
      <c r="N2047" s="20"/>
      <c r="O2047" s="18"/>
    </row>
    <row r="2048" spans="1:15" x14ac:dyDescent="0.2">
      <c r="A2048" s="10"/>
      <c r="B2048" s="11"/>
      <c r="C2048" s="12"/>
      <c r="D2048" s="11"/>
      <c r="E2048" s="13"/>
      <c r="F2048" s="14"/>
      <c r="G2048" s="11"/>
      <c r="H2048" s="16"/>
      <c r="J2048" s="17"/>
      <c r="K2048" s="20"/>
      <c r="L2048" s="16"/>
      <c r="N2048" s="20"/>
      <c r="O2048" s="18"/>
    </row>
    <row r="2049" spans="1:15" x14ac:dyDescent="0.2">
      <c r="A2049" s="10"/>
      <c r="B2049" s="11"/>
      <c r="C2049" s="12"/>
      <c r="D2049" s="11"/>
      <c r="E2049" s="13"/>
      <c r="F2049" s="14"/>
      <c r="G2049" s="11"/>
      <c r="H2049" s="16"/>
      <c r="J2049" s="17"/>
      <c r="K2049" s="20"/>
      <c r="L2049" s="16"/>
      <c r="N2049" s="20"/>
      <c r="O2049" s="18"/>
    </row>
    <row r="2050" spans="1:15" x14ac:dyDescent="0.2">
      <c r="A2050" s="10"/>
      <c r="B2050" s="11"/>
      <c r="C2050" s="12"/>
      <c r="D2050" s="11"/>
      <c r="E2050" s="13"/>
      <c r="F2050" s="14"/>
      <c r="G2050" s="11"/>
      <c r="H2050" s="16"/>
      <c r="J2050" s="17"/>
      <c r="K2050" s="20"/>
      <c r="L2050" s="16"/>
      <c r="N2050" s="20"/>
      <c r="O2050" s="18"/>
    </row>
    <row r="2051" spans="1:15" x14ac:dyDescent="0.2">
      <c r="A2051" s="10"/>
      <c r="B2051" s="11"/>
      <c r="C2051" s="12"/>
      <c r="D2051" s="11"/>
      <c r="E2051" s="13"/>
      <c r="F2051" s="14"/>
      <c r="G2051" s="11"/>
      <c r="H2051" s="16"/>
      <c r="J2051" s="17"/>
      <c r="K2051" s="20"/>
      <c r="L2051" s="16"/>
      <c r="N2051" s="20"/>
      <c r="O2051" s="18"/>
    </row>
    <row r="2052" spans="1:15" x14ac:dyDescent="0.2">
      <c r="A2052" s="10"/>
      <c r="B2052" s="11"/>
      <c r="C2052" s="12"/>
      <c r="D2052" s="11"/>
      <c r="E2052" s="13"/>
      <c r="F2052" s="14"/>
      <c r="G2052" s="11"/>
      <c r="H2052" s="16"/>
      <c r="J2052" s="17"/>
      <c r="K2052" s="20"/>
      <c r="L2052" s="16"/>
      <c r="N2052" s="20"/>
      <c r="O2052" s="18"/>
    </row>
    <row r="2053" spans="1:15" x14ac:dyDescent="0.2">
      <c r="A2053" s="10"/>
      <c r="B2053" s="11"/>
      <c r="C2053" s="12"/>
      <c r="D2053" s="11"/>
      <c r="E2053" s="13"/>
      <c r="F2053" s="14"/>
      <c r="G2053" s="11"/>
      <c r="H2053" s="16"/>
      <c r="J2053" s="17"/>
      <c r="K2053" s="20"/>
      <c r="L2053" s="16"/>
      <c r="N2053" s="20"/>
      <c r="O2053" s="18"/>
    </row>
    <row r="2054" spans="1:15" x14ac:dyDescent="0.2">
      <c r="A2054" s="10"/>
      <c r="B2054" s="11"/>
      <c r="C2054" s="12"/>
      <c r="D2054" s="11"/>
      <c r="E2054" s="13"/>
      <c r="F2054" s="14"/>
      <c r="G2054" s="11"/>
      <c r="H2054" s="16"/>
      <c r="J2054" s="17"/>
      <c r="K2054" s="20"/>
      <c r="L2054" s="16"/>
      <c r="N2054" s="20"/>
      <c r="O2054" s="18"/>
    </row>
    <row r="2055" spans="1:15" x14ac:dyDescent="0.2">
      <c r="A2055" s="10"/>
      <c r="B2055" s="11"/>
      <c r="C2055" s="12"/>
      <c r="D2055" s="11"/>
      <c r="E2055" s="13"/>
      <c r="F2055" s="14"/>
      <c r="G2055" s="11"/>
      <c r="H2055" s="16"/>
      <c r="J2055" s="17"/>
      <c r="K2055" s="20"/>
      <c r="L2055" s="16"/>
      <c r="N2055" s="20"/>
      <c r="O2055" s="18"/>
    </row>
    <row r="2056" spans="1:15" x14ac:dyDescent="0.2">
      <c r="A2056" s="10"/>
      <c r="B2056" s="11"/>
      <c r="C2056" s="12"/>
      <c r="D2056" s="11"/>
      <c r="E2056" s="13"/>
      <c r="F2056" s="14"/>
      <c r="G2056" s="11"/>
      <c r="H2056" s="16"/>
      <c r="J2056" s="17"/>
      <c r="K2056" s="20"/>
      <c r="L2056" s="16"/>
      <c r="N2056" s="20"/>
      <c r="O2056" s="18"/>
    </row>
    <row r="2057" spans="1:15" x14ac:dyDescent="0.2">
      <c r="A2057" s="10"/>
      <c r="B2057" s="11"/>
      <c r="C2057" s="12"/>
      <c r="D2057" s="11"/>
      <c r="E2057" s="13"/>
      <c r="F2057" s="14"/>
      <c r="G2057" s="11"/>
      <c r="H2057" s="16"/>
      <c r="J2057" s="17"/>
      <c r="K2057" s="20"/>
      <c r="L2057" s="16"/>
      <c r="N2057" s="20"/>
      <c r="O2057" s="18"/>
    </row>
    <row r="2058" spans="1:15" x14ac:dyDescent="0.2">
      <c r="A2058" s="10"/>
      <c r="B2058" s="11"/>
      <c r="C2058" s="12"/>
      <c r="D2058" s="11"/>
      <c r="E2058" s="13"/>
      <c r="F2058" s="14"/>
      <c r="G2058" s="11"/>
      <c r="H2058" s="16"/>
      <c r="J2058" s="17"/>
      <c r="K2058" s="20"/>
      <c r="L2058" s="16"/>
      <c r="N2058" s="20"/>
      <c r="O2058" s="18"/>
    </row>
    <row r="2059" spans="1:15" x14ac:dyDescent="0.2">
      <c r="A2059" s="10"/>
      <c r="B2059" s="11"/>
      <c r="C2059" s="12"/>
      <c r="D2059" s="11"/>
      <c r="E2059" s="13"/>
      <c r="F2059" s="14"/>
      <c r="G2059" s="11"/>
      <c r="H2059" s="16"/>
      <c r="J2059" s="17"/>
      <c r="K2059" s="20"/>
      <c r="L2059" s="16"/>
      <c r="N2059" s="20"/>
      <c r="O2059" s="18"/>
    </row>
    <row r="2060" spans="1:15" x14ac:dyDescent="0.2">
      <c r="A2060" s="10"/>
      <c r="B2060" s="11"/>
      <c r="C2060" s="12"/>
      <c r="D2060" s="11"/>
      <c r="E2060" s="13"/>
      <c r="F2060" s="14"/>
      <c r="G2060" s="11"/>
      <c r="H2060" s="16"/>
      <c r="J2060" s="17"/>
      <c r="K2060" s="20"/>
      <c r="L2060" s="16"/>
      <c r="N2060" s="20"/>
      <c r="O2060" s="18"/>
    </row>
    <row r="2061" spans="1:15" x14ac:dyDescent="0.2">
      <c r="A2061" s="10"/>
      <c r="B2061" s="11"/>
      <c r="C2061" s="12"/>
      <c r="D2061" s="11"/>
      <c r="E2061" s="13"/>
      <c r="F2061" s="14"/>
      <c r="G2061" s="11"/>
      <c r="H2061" s="16"/>
      <c r="J2061" s="17"/>
      <c r="K2061" s="20"/>
      <c r="L2061" s="16"/>
      <c r="N2061" s="20"/>
      <c r="O2061" s="18"/>
    </row>
    <row r="2062" spans="1:15" x14ac:dyDescent="0.2">
      <c r="A2062" s="10"/>
      <c r="B2062" s="11"/>
      <c r="C2062" s="12"/>
      <c r="D2062" s="11"/>
      <c r="E2062" s="13"/>
      <c r="F2062" s="14"/>
      <c r="G2062" s="11"/>
      <c r="H2062" s="16"/>
      <c r="J2062" s="17"/>
      <c r="K2062" s="20"/>
      <c r="L2062" s="16"/>
      <c r="N2062" s="20"/>
      <c r="O2062" s="18"/>
    </row>
    <row r="2063" spans="1:15" x14ac:dyDescent="0.2">
      <c r="A2063" s="10"/>
      <c r="B2063" s="11"/>
      <c r="C2063" s="12"/>
      <c r="D2063" s="11"/>
      <c r="E2063" s="13"/>
      <c r="F2063" s="14"/>
      <c r="G2063" s="11"/>
      <c r="H2063" s="16"/>
      <c r="J2063" s="17"/>
      <c r="K2063" s="20"/>
      <c r="L2063" s="16"/>
      <c r="N2063" s="20"/>
      <c r="O2063" s="18"/>
    </row>
    <row r="2064" spans="1:15" x14ac:dyDescent="0.2">
      <c r="A2064" s="10"/>
      <c r="B2064" s="11"/>
      <c r="C2064" s="12"/>
      <c r="D2064" s="11"/>
      <c r="E2064" s="13"/>
      <c r="F2064" s="14"/>
      <c r="G2064" s="11"/>
      <c r="H2064" s="16"/>
      <c r="J2064" s="17"/>
      <c r="K2064" s="20"/>
      <c r="L2064" s="16"/>
      <c r="N2064" s="20"/>
      <c r="O2064" s="18"/>
    </row>
    <row r="2065" spans="1:15" x14ac:dyDescent="0.2">
      <c r="A2065" s="10"/>
      <c r="B2065" s="11"/>
      <c r="C2065" s="12"/>
      <c r="D2065" s="11"/>
      <c r="E2065" s="13"/>
      <c r="F2065" s="14"/>
      <c r="G2065" s="11"/>
      <c r="H2065" s="16"/>
      <c r="J2065" s="17"/>
      <c r="K2065" s="20"/>
      <c r="L2065" s="16"/>
      <c r="N2065" s="20"/>
      <c r="O2065" s="18"/>
    </row>
    <row r="2066" spans="1:15" x14ac:dyDescent="0.2">
      <c r="A2066" s="10"/>
      <c r="B2066" s="11"/>
      <c r="C2066" s="12"/>
      <c r="D2066" s="11"/>
      <c r="E2066" s="13"/>
      <c r="F2066" s="14"/>
      <c r="G2066" s="11"/>
      <c r="H2066" s="16"/>
      <c r="J2066" s="17"/>
      <c r="K2066" s="20"/>
      <c r="L2066" s="16"/>
      <c r="N2066" s="20"/>
      <c r="O2066" s="18"/>
    </row>
    <row r="2067" spans="1:15" x14ac:dyDescent="0.2">
      <c r="A2067" s="10"/>
      <c r="B2067" s="11"/>
      <c r="C2067" s="12"/>
      <c r="D2067" s="11"/>
      <c r="E2067" s="13"/>
      <c r="F2067" s="14"/>
      <c r="G2067" s="11"/>
      <c r="H2067" s="16"/>
      <c r="J2067" s="17"/>
      <c r="K2067" s="20"/>
      <c r="L2067" s="16"/>
      <c r="N2067" s="20"/>
      <c r="O2067" s="18"/>
    </row>
    <row r="2068" spans="1:15" x14ac:dyDescent="0.2">
      <c r="A2068" s="10"/>
      <c r="B2068" s="11"/>
      <c r="C2068" s="12"/>
      <c r="D2068" s="11"/>
      <c r="E2068" s="13"/>
      <c r="F2068" s="14"/>
      <c r="G2068" s="11"/>
      <c r="H2068" s="16"/>
      <c r="J2068" s="17"/>
      <c r="K2068" s="20"/>
      <c r="L2068" s="16"/>
      <c r="N2068" s="20"/>
      <c r="O2068" s="18"/>
    </row>
    <row r="2069" spans="1:15" x14ac:dyDescent="0.2">
      <c r="A2069" s="10"/>
      <c r="B2069" s="11"/>
      <c r="C2069" s="12"/>
      <c r="D2069" s="11"/>
      <c r="E2069" s="13"/>
      <c r="F2069" s="14"/>
      <c r="G2069" s="11"/>
      <c r="H2069" s="16"/>
      <c r="J2069" s="17"/>
      <c r="K2069" s="20"/>
      <c r="L2069" s="16"/>
      <c r="N2069" s="20"/>
      <c r="O2069" s="18"/>
    </row>
    <row r="2070" spans="1:15" x14ac:dyDescent="0.2">
      <c r="A2070" s="10"/>
      <c r="B2070" s="11"/>
      <c r="C2070" s="12"/>
      <c r="D2070" s="11"/>
      <c r="E2070" s="13"/>
      <c r="F2070" s="14"/>
      <c r="G2070" s="11"/>
      <c r="H2070" s="16"/>
      <c r="J2070" s="17"/>
      <c r="K2070" s="20"/>
      <c r="L2070" s="16"/>
      <c r="N2070" s="20"/>
      <c r="O2070" s="18"/>
    </row>
    <row r="2071" spans="1:15" x14ac:dyDescent="0.2">
      <c r="A2071" s="10"/>
      <c r="B2071" s="11"/>
      <c r="C2071" s="12"/>
      <c r="D2071" s="11"/>
      <c r="E2071" s="13"/>
      <c r="F2071" s="14"/>
      <c r="G2071" s="11"/>
      <c r="H2071" s="16"/>
      <c r="J2071" s="17"/>
      <c r="K2071" s="20"/>
      <c r="L2071" s="16"/>
      <c r="N2071" s="20"/>
      <c r="O2071" s="18"/>
    </row>
    <row r="2072" spans="1:15" x14ac:dyDescent="0.2">
      <c r="A2072" s="10"/>
      <c r="B2072" s="11"/>
      <c r="C2072" s="12"/>
      <c r="D2072" s="11"/>
      <c r="E2072" s="13"/>
      <c r="F2072" s="14"/>
      <c r="G2072" s="11"/>
      <c r="H2072" s="16"/>
      <c r="J2072" s="17"/>
      <c r="K2072" s="20"/>
      <c r="L2072" s="16"/>
      <c r="N2072" s="20"/>
      <c r="O2072" s="18"/>
    </row>
    <row r="2073" spans="1:15" x14ac:dyDescent="0.2">
      <c r="A2073" s="10"/>
      <c r="B2073" s="11"/>
      <c r="C2073" s="12"/>
      <c r="D2073" s="11"/>
      <c r="E2073" s="13"/>
      <c r="F2073" s="14"/>
      <c r="G2073" s="11"/>
      <c r="H2073" s="16"/>
      <c r="J2073" s="17"/>
      <c r="K2073" s="20"/>
      <c r="L2073" s="16"/>
      <c r="N2073" s="20"/>
      <c r="O2073" s="18"/>
    </row>
    <row r="2074" spans="1:15" x14ac:dyDescent="0.2">
      <c r="A2074" s="10"/>
      <c r="B2074" s="11"/>
      <c r="C2074" s="12"/>
      <c r="D2074" s="11"/>
      <c r="E2074" s="13"/>
      <c r="F2074" s="14"/>
      <c r="G2074" s="11"/>
      <c r="H2074" s="16"/>
      <c r="J2074" s="17"/>
      <c r="K2074" s="20"/>
      <c r="L2074" s="16"/>
      <c r="N2074" s="20"/>
      <c r="O2074" s="18"/>
    </row>
    <row r="2075" spans="1:15" x14ac:dyDescent="0.2">
      <c r="A2075" s="10"/>
      <c r="B2075" s="11"/>
      <c r="C2075" s="12"/>
      <c r="D2075" s="11"/>
      <c r="E2075" s="13"/>
      <c r="F2075" s="14"/>
      <c r="G2075" s="11"/>
      <c r="H2075" s="16"/>
      <c r="J2075" s="17"/>
      <c r="K2075" s="20"/>
      <c r="L2075" s="16"/>
      <c r="N2075" s="20"/>
      <c r="O2075" s="18"/>
    </row>
    <row r="2076" spans="1:15" x14ac:dyDescent="0.2">
      <c r="A2076" s="10"/>
      <c r="B2076" s="11"/>
      <c r="C2076" s="12"/>
      <c r="D2076" s="11"/>
      <c r="E2076" s="13"/>
      <c r="F2076" s="14"/>
      <c r="G2076" s="11"/>
      <c r="H2076" s="16"/>
      <c r="J2076" s="17"/>
      <c r="K2076" s="20"/>
      <c r="L2076" s="16"/>
      <c r="N2076" s="20"/>
      <c r="O2076" s="18"/>
    </row>
    <row r="2077" spans="1:15" x14ac:dyDescent="0.2">
      <c r="A2077" s="10"/>
      <c r="B2077" s="11"/>
      <c r="C2077" s="12"/>
      <c r="D2077" s="11"/>
      <c r="E2077" s="13"/>
      <c r="F2077" s="14"/>
      <c r="G2077" s="11"/>
      <c r="H2077" s="16"/>
      <c r="J2077" s="17"/>
      <c r="K2077" s="20"/>
      <c r="L2077" s="16"/>
      <c r="N2077" s="20"/>
      <c r="O2077" s="18"/>
    </row>
    <row r="2078" spans="1:15" x14ac:dyDescent="0.2">
      <c r="A2078" s="10"/>
      <c r="B2078" s="11"/>
      <c r="C2078" s="12"/>
      <c r="D2078" s="11"/>
      <c r="E2078" s="13"/>
      <c r="F2078" s="14"/>
      <c r="G2078" s="11"/>
      <c r="H2078" s="16"/>
      <c r="J2078" s="17"/>
      <c r="K2078" s="20"/>
      <c r="L2078" s="16"/>
      <c r="N2078" s="20"/>
      <c r="O2078" s="18"/>
    </row>
    <row r="2079" spans="1:15" x14ac:dyDescent="0.2">
      <c r="A2079" s="10"/>
      <c r="B2079" s="11"/>
      <c r="C2079" s="12"/>
      <c r="D2079" s="11"/>
      <c r="E2079" s="13"/>
      <c r="F2079" s="14"/>
      <c r="G2079" s="11"/>
      <c r="H2079" s="16"/>
      <c r="J2079" s="17"/>
      <c r="K2079" s="20"/>
      <c r="L2079" s="16"/>
      <c r="N2079" s="20"/>
      <c r="O2079" s="18"/>
    </row>
    <row r="2080" spans="1:15" x14ac:dyDescent="0.2">
      <c r="A2080" s="10"/>
      <c r="B2080" s="11"/>
      <c r="C2080" s="12"/>
      <c r="D2080" s="11"/>
      <c r="E2080" s="13"/>
      <c r="F2080" s="14"/>
      <c r="G2080" s="11"/>
      <c r="H2080" s="16"/>
      <c r="J2080" s="17"/>
      <c r="K2080" s="20"/>
      <c r="L2080" s="16"/>
      <c r="N2080" s="20"/>
      <c r="O2080" s="18"/>
    </row>
    <row r="2081" spans="1:15" x14ac:dyDescent="0.2">
      <c r="A2081" s="10"/>
      <c r="B2081" s="11"/>
      <c r="C2081" s="12"/>
      <c r="D2081" s="11"/>
      <c r="E2081" s="13"/>
      <c r="F2081" s="14"/>
      <c r="G2081" s="11"/>
      <c r="H2081" s="16"/>
      <c r="J2081" s="17"/>
      <c r="K2081" s="20"/>
      <c r="L2081" s="16"/>
      <c r="N2081" s="20"/>
      <c r="O2081" s="18"/>
    </row>
    <row r="2082" spans="1:15" x14ac:dyDescent="0.2">
      <c r="A2082" s="10"/>
      <c r="B2082" s="11"/>
      <c r="C2082" s="12"/>
      <c r="D2082" s="11"/>
      <c r="E2082" s="13"/>
      <c r="F2082" s="14"/>
      <c r="G2082" s="11"/>
      <c r="H2082" s="16"/>
      <c r="J2082" s="17"/>
      <c r="K2082" s="20"/>
      <c r="L2082" s="16"/>
      <c r="N2082" s="20"/>
      <c r="O2082" s="18"/>
    </row>
    <row r="2083" spans="1:15" x14ac:dyDescent="0.2">
      <c r="A2083" s="10"/>
      <c r="B2083" s="11"/>
      <c r="C2083" s="12"/>
      <c r="D2083" s="11"/>
      <c r="E2083" s="13"/>
      <c r="F2083" s="14"/>
      <c r="G2083" s="11"/>
      <c r="H2083" s="16"/>
      <c r="J2083" s="17"/>
      <c r="K2083" s="20"/>
      <c r="L2083" s="16"/>
      <c r="N2083" s="20"/>
      <c r="O2083" s="18"/>
    </row>
    <row r="2084" spans="1:15" x14ac:dyDescent="0.2">
      <c r="A2084" s="10"/>
      <c r="B2084" s="11"/>
      <c r="C2084" s="12"/>
      <c r="D2084" s="11"/>
      <c r="E2084" s="13"/>
      <c r="F2084" s="14"/>
      <c r="G2084" s="11"/>
      <c r="H2084" s="16"/>
      <c r="J2084" s="17"/>
      <c r="K2084" s="20"/>
      <c r="L2084" s="16"/>
      <c r="N2084" s="20"/>
      <c r="O2084" s="18"/>
    </row>
    <row r="2085" spans="1:15" x14ac:dyDescent="0.2">
      <c r="A2085" s="10"/>
      <c r="B2085" s="11"/>
      <c r="C2085" s="12"/>
      <c r="D2085" s="11"/>
      <c r="E2085" s="13"/>
      <c r="F2085" s="14"/>
      <c r="G2085" s="11"/>
      <c r="H2085" s="16"/>
      <c r="J2085" s="17"/>
      <c r="K2085" s="20"/>
      <c r="L2085" s="16"/>
      <c r="N2085" s="20"/>
      <c r="O2085" s="18"/>
    </row>
    <row r="2086" spans="1:15" x14ac:dyDescent="0.2">
      <c r="A2086" s="10"/>
      <c r="B2086" s="11"/>
      <c r="C2086" s="12"/>
      <c r="D2086" s="11"/>
      <c r="E2086" s="13"/>
      <c r="F2086" s="14"/>
      <c r="G2086" s="11"/>
      <c r="H2086" s="16"/>
      <c r="J2086" s="17"/>
      <c r="K2086" s="20"/>
      <c r="L2086" s="16"/>
      <c r="N2086" s="20"/>
      <c r="O2086" s="18"/>
    </row>
    <row r="2087" spans="1:15" x14ac:dyDescent="0.2">
      <c r="A2087" s="10"/>
      <c r="B2087" s="11"/>
      <c r="C2087" s="12"/>
      <c r="D2087" s="11"/>
      <c r="E2087" s="13"/>
      <c r="F2087" s="14"/>
      <c r="G2087" s="11"/>
      <c r="H2087" s="16"/>
      <c r="J2087" s="17"/>
      <c r="K2087" s="20"/>
      <c r="L2087" s="16"/>
      <c r="N2087" s="20"/>
      <c r="O2087" s="18"/>
    </row>
    <row r="2088" spans="1:15" x14ac:dyDescent="0.2">
      <c r="A2088" s="10"/>
      <c r="B2088" s="11"/>
      <c r="C2088" s="12"/>
      <c r="D2088" s="11"/>
      <c r="E2088" s="13"/>
      <c r="F2088" s="14"/>
      <c r="G2088" s="11"/>
      <c r="H2088" s="16"/>
      <c r="J2088" s="17"/>
      <c r="K2088" s="20"/>
      <c r="L2088" s="16"/>
      <c r="N2088" s="20"/>
      <c r="O2088" s="18"/>
    </row>
    <row r="2089" spans="1:15" x14ac:dyDescent="0.2">
      <c r="A2089" s="10"/>
      <c r="B2089" s="11"/>
      <c r="C2089" s="12"/>
      <c r="D2089" s="11"/>
      <c r="E2089" s="13"/>
      <c r="F2089" s="14"/>
      <c r="G2089" s="11"/>
      <c r="H2089" s="16"/>
      <c r="J2089" s="17"/>
      <c r="K2089" s="20"/>
      <c r="L2089" s="16"/>
      <c r="N2089" s="20"/>
      <c r="O2089" s="18"/>
    </row>
    <row r="2090" spans="1:15" x14ac:dyDescent="0.2">
      <c r="A2090" s="10"/>
      <c r="B2090" s="11"/>
      <c r="C2090" s="12"/>
      <c r="D2090" s="11"/>
      <c r="E2090" s="13"/>
      <c r="F2090" s="14"/>
      <c r="G2090" s="11"/>
      <c r="H2090" s="16"/>
      <c r="J2090" s="17"/>
      <c r="K2090" s="20"/>
      <c r="L2090" s="16"/>
      <c r="N2090" s="20"/>
      <c r="O2090" s="18"/>
    </row>
    <row r="2091" spans="1:15" x14ac:dyDescent="0.2">
      <c r="A2091" s="10"/>
      <c r="B2091" s="11"/>
      <c r="C2091" s="12"/>
      <c r="D2091" s="11"/>
      <c r="E2091" s="13"/>
      <c r="F2091" s="14"/>
      <c r="G2091" s="11"/>
      <c r="H2091" s="16"/>
      <c r="J2091" s="17"/>
      <c r="K2091" s="20"/>
      <c r="L2091" s="16"/>
      <c r="N2091" s="20"/>
      <c r="O2091" s="18"/>
    </row>
    <row r="2092" spans="1:15" x14ac:dyDescent="0.2">
      <c r="A2092" s="10"/>
      <c r="B2092" s="11"/>
      <c r="C2092" s="12"/>
      <c r="D2092" s="11"/>
      <c r="E2092" s="13"/>
      <c r="F2092" s="14"/>
      <c r="G2092" s="11"/>
      <c r="H2092" s="16"/>
      <c r="J2092" s="17"/>
      <c r="K2092" s="20"/>
      <c r="L2092" s="16"/>
      <c r="N2092" s="20"/>
      <c r="O2092" s="18"/>
    </row>
    <row r="2093" spans="1:15" x14ac:dyDescent="0.2">
      <c r="A2093" s="10"/>
      <c r="B2093" s="11"/>
      <c r="C2093" s="12"/>
      <c r="D2093" s="11"/>
      <c r="E2093" s="13"/>
      <c r="F2093" s="14"/>
      <c r="G2093" s="11"/>
      <c r="H2093" s="16"/>
      <c r="J2093" s="17"/>
      <c r="K2093" s="20"/>
      <c r="L2093" s="16"/>
      <c r="N2093" s="20"/>
      <c r="O2093" s="18"/>
    </row>
    <row r="2094" spans="1:15" x14ac:dyDescent="0.2">
      <c r="A2094" s="10"/>
      <c r="B2094" s="11"/>
      <c r="C2094" s="12"/>
      <c r="D2094" s="11"/>
      <c r="E2094" s="13"/>
      <c r="F2094" s="14"/>
      <c r="G2094" s="11"/>
      <c r="H2094" s="16"/>
      <c r="J2094" s="17"/>
      <c r="K2094" s="20"/>
      <c r="L2094" s="16"/>
      <c r="N2094" s="20"/>
      <c r="O2094" s="18"/>
    </row>
    <row r="2095" spans="1:15" x14ac:dyDescent="0.2">
      <c r="A2095" s="10"/>
      <c r="B2095" s="11"/>
      <c r="C2095" s="12"/>
      <c r="D2095" s="11"/>
      <c r="E2095" s="13"/>
      <c r="F2095" s="14"/>
      <c r="G2095" s="11"/>
      <c r="H2095" s="16"/>
      <c r="J2095" s="17"/>
      <c r="K2095" s="20"/>
      <c r="L2095" s="16"/>
      <c r="N2095" s="20"/>
      <c r="O2095" s="18"/>
    </row>
    <row r="2096" spans="1:15" x14ac:dyDescent="0.2">
      <c r="A2096" s="10"/>
      <c r="B2096" s="11"/>
      <c r="C2096" s="12"/>
      <c r="D2096" s="11"/>
      <c r="E2096" s="13"/>
      <c r="F2096" s="14"/>
      <c r="G2096" s="11"/>
      <c r="H2096" s="16"/>
      <c r="J2096" s="17"/>
      <c r="K2096" s="20"/>
      <c r="L2096" s="16"/>
      <c r="N2096" s="20"/>
      <c r="O2096" s="18"/>
    </row>
    <row r="2097" spans="1:15" x14ac:dyDescent="0.2">
      <c r="A2097" s="10"/>
      <c r="B2097" s="11"/>
      <c r="C2097" s="12"/>
      <c r="D2097" s="11"/>
      <c r="E2097" s="13"/>
      <c r="F2097" s="14"/>
      <c r="G2097" s="11"/>
      <c r="H2097" s="16"/>
      <c r="J2097" s="17"/>
      <c r="K2097" s="20"/>
      <c r="L2097" s="16"/>
      <c r="N2097" s="20"/>
      <c r="O2097" s="18"/>
    </row>
    <row r="2098" spans="1:15" x14ac:dyDescent="0.2">
      <c r="A2098" s="10"/>
      <c r="B2098" s="11"/>
      <c r="C2098" s="12"/>
      <c r="D2098" s="11"/>
      <c r="E2098" s="13"/>
      <c r="F2098" s="14"/>
      <c r="G2098" s="11"/>
      <c r="H2098" s="16"/>
      <c r="J2098" s="17"/>
      <c r="K2098" s="20"/>
      <c r="L2098" s="16"/>
      <c r="N2098" s="20"/>
      <c r="O2098" s="18"/>
    </row>
    <row r="2099" spans="1:15" x14ac:dyDescent="0.2">
      <c r="A2099" s="10"/>
      <c r="B2099" s="11"/>
      <c r="C2099" s="12"/>
      <c r="D2099" s="11"/>
      <c r="E2099" s="13"/>
      <c r="F2099" s="14"/>
      <c r="G2099" s="11"/>
      <c r="H2099" s="16"/>
      <c r="J2099" s="17"/>
      <c r="K2099" s="20"/>
      <c r="L2099" s="16"/>
      <c r="N2099" s="20"/>
      <c r="O2099" s="18"/>
    </row>
    <row r="2100" spans="1:15" x14ac:dyDescent="0.2">
      <c r="A2100" s="10"/>
      <c r="B2100" s="11"/>
      <c r="C2100" s="12"/>
      <c r="D2100" s="11"/>
      <c r="E2100" s="13"/>
      <c r="F2100" s="14"/>
      <c r="G2100" s="11"/>
      <c r="H2100" s="16"/>
      <c r="J2100" s="17"/>
      <c r="K2100" s="20"/>
      <c r="L2100" s="16"/>
      <c r="N2100" s="20"/>
      <c r="O2100" s="18"/>
    </row>
    <row r="2101" spans="1:15" x14ac:dyDescent="0.2">
      <c r="A2101" s="10"/>
      <c r="B2101" s="11"/>
      <c r="C2101" s="12"/>
      <c r="D2101" s="11"/>
      <c r="E2101" s="13"/>
      <c r="F2101" s="14"/>
      <c r="G2101" s="11"/>
      <c r="H2101" s="16"/>
      <c r="J2101" s="17"/>
      <c r="K2101" s="20"/>
      <c r="L2101" s="16"/>
      <c r="N2101" s="20"/>
      <c r="O2101" s="18"/>
    </row>
    <row r="2102" spans="1:15" x14ac:dyDescent="0.2">
      <c r="A2102" s="10"/>
      <c r="B2102" s="11"/>
      <c r="C2102" s="12"/>
      <c r="D2102" s="11"/>
      <c r="E2102" s="13"/>
      <c r="F2102" s="14"/>
      <c r="G2102" s="11"/>
      <c r="H2102" s="16"/>
      <c r="J2102" s="17"/>
      <c r="K2102" s="20"/>
      <c r="L2102" s="16"/>
      <c r="N2102" s="20"/>
      <c r="O2102" s="18"/>
    </row>
    <row r="2103" spans="1:15" x14ac:dyDescent="0.2">
      <c r="A2103" s="10"/>
      <c r="B2103" s="11"/>
      <c r="C2103" s="12"/>
      <c r="D2103" s="11"/>
      <c r="E2103" s="13"/>
      <c r="F2103" s="14"/>
      <c r="G2103" s="11"/>
      <c r="H2103" s="16"/>
      <c r="J2103" s="17"/>
      <c r="K2103" s="20"/>
      <c r="L2103" s="16"/>
      <c r="N2103" s="20"/>
      <c r="O2103" s="18"/>
    </row>
    <row r="2104" spans="1:15" x14ac:dyDescent="0.2">
      <c r="A2104" s="10"/>
      <c r="B2104" s="11"/>
      <c r="C2104" s="12"/>
      <c r="D2104" s="11"/>
      <c r="E2104" s="13"/>
      <c r="F2104" s="14"/>
      <c r="G2104" s="11"/>
      <c r="H2104" s="16"/>
      <c r="J2104" s="17"/>
      <c r="K2104" s="20"/>
      <c r="L2104" s="16"/>
      <c r="N2104" s="20"/>
      <c r="O2104" s="18"/>
    </row>
    <row r="2105" spans="1:15" x14ac:dyDescent="0.2">
      <c r="A2105" s="10"/>
      <c r="B2105" s="11"/>
      <c r="C2105" s="12"/>
      <c r="D2105" s="11"/>
      <c r="E2105" s="13"/>
      <c r="F2105" s="14"/>
      <c r="G2105" s="11"/>
      <c r="H2105" s="16"/>
      <c r="J2105" s="17"/>
      <c r="K2105" s="20"/>
      <c r="L2105" s="16"/>
      <c r="N2105" s="20"/>
      <c r="O2105" s="18"/>
    </row>
    <row r="2106" spans="1:15" x14ac:dyDescent="0.2">
      <c r="A2106" s="10"/>
      <c r="B2106" s="11"/>
      <c r="C2106" s="12"/>
      <c r="D2106" s="11"/>
      <c r="E2106" s="13"/>
      <c r="F2106" s="14"/>
      <c r="G2106" s="11"/>
      <c r="H2106" s="16"/>
      <c r="J2106" s="17"/>
      <c r="K2106" s="20"/>
      <c r="L2106" s="16"/>
      <c r="N2106" s="20"/>
      <c r="O2106" s="18"/>
    </row>
    <row r="2107" spans="1:15" x14ac:dyDescent="0.2">
      <c r="A2107" s="10"/>
      <c r="B2107" s="11"/>
      <c r="C2107" s="12"/>
      <c r="D2107" s="11"/>
      <c r="E2107" s="13"/>
      <c r="F2107" s="14"/>
      <c r="G2107" s="11"/>
      <c r="H2107" s="16"/>
      <c r="J2107" s="17"/>
      <c r="K2107" s="20"/>
      <c r="L2107" s="16"/>
      <c r="N2107" s="20"/>
      <c r="O2107" s="18"/>
    </row>
    <row r="2108" spans="1:15" x14ac:dyDescent="0.2">
      <c r="A2108" s="10"/>
      <c r="B2108" s="11"/>
      <c r="C2108" s="12"/>
      <c r="D2108" s="11"/>
      <c r="E2108" s="13"/>
      <c r="F2108" s="14"/>
      <c r="G2108" s="11"/>
      <c r="H2108" s="16"/>
      <c r="J2108" s="17"/>
      <c r="K2108" s="20"/>
      <c r="L2108" s="16"/>
      <c r="N2108" s="20"/>
      <c r="O2108" s="18"/>
    </row>
    <row r="2109" spans="1:15" x14ac:dyDescent="0.2">
      <c r="A2109" s="10"/>
      <c r="B2109" s="11"/>
      <c r="C2109" s="12"/>
      <c r="D2109" s="11"/>
      <c r="E2109" s="13"/>
      <c r="F2109" s="14"/>
      <c r="G2109" s="11"/>
      <c r="H2109" s="16"/>
      <c r="J2109" s="17"/>
      <c r="K2109" s="20"/>
      <c r="L2109" s="16"/>
      <c r="N2109" s="20"/>
      <c r="O2109" s="18"/>
    </row>
    <row r="2110" spans="1:15" x14ac:dyDescent="0.2">
      <c r="A2110" s="10"/>
      <c r="B2110" s="11"/>
      <c r="C2110" s="12"/>
      <c r="D2110" s="11"/>
      <c r="E2110" s="13"/>
      <c r="F2110" s="14"/>
      <c r="G2110" s="11"/>
      <c r="H2110" s="16"/>
      <c r="J2110" s="17"/>
      <c r="K2110" s="20"/>
      <c r="L2110" s="16"/>
      <c r="N2110" s="20"/>
      <c r="O2110" s="18"/>
    </row>
    <row r="2111" spans="1:15" x14ac:dyDescent="0.2">
      <c r="A2111" s="10"/>
      <c r="B2111" s="11"/>
      <c r="C2111" s="12"/>
      <c r="D2111" s="11"/>
      <c r="E2111" s="13"/>
      <c r="F2111" s="14"/>
      <c r="G2111" s="11"/>
      <c r="H2111" s="16"/>
      <c r="J2111" s="17"/>
      <c r="K2111" s="20"/>
      <c r="L2111" s="16"/>
      <c r="N2111" s="20"/>
      <c r="O2111" s="18"/>
    </row>
    <row r="2112" spans="1:15" x14ac:dyDescent="0.2">
      <c r="A2112" s="10"/>
      <c r="B2112" s="11"/>
      <c r="C2112" s="12"/>
      <c r="D2112" s="11"/>
      <c r="E2112" s="13"/>
      <c r="F2112" s="14"/>
      <c r="G2112" s="11"/>
      <c r="H2112" s="16"/>
      <c r="J2112" s="17"/>
      <c r="K2112" s="20"/>
      <c r="L2112" s="16"/>
      <c r="N2112" s="20"/>
      <c r="O2112" s="18"/>
    </row>
    <row r="2113" spans="1:15" x14ac:dyDescent="0.2">
      <c r="A2113" s="10"/>
      <c r="B2113" s="11"/>
      <c r="C2113" s="12"/>
      <c r="D2113" s="11"/>
      <c r="E2113" s="13"/>
      <c r="F2113" s="14"/>
      <c r="G2113" s="11"/>
      <c r="H2113" s="16"/>
      <c r="J2113" s="17"/>
      <c r="K2113" s="20"/>
      <c r="L2113" s="16"/>
      <c r="N2113" s="20"/>
      <c r="O2113" s="18"/>
    </row>
    <row r="2114" spans="1:15" x14ac:dyDescent="0.2">
      <c r="A2114" s="10"/>
      <c r="B2114" s="11"/>
      <c r="C2114" s="12"/>
      <c r="D2114" s="11"/>
      <c r="E2114" s="13"/>
      <c r="F2114" s="14"/>
      <c r="G2114" s="11"/>
      <c r="H2114" s="16"/>
      <c r="J2114" s="17"/>
      <c r="K2114" s="20"/>
      <c r="L2114" s="16"/>
      <c r="N2114" s="20"/>
      <c r="O2114" s="18"/>
    </row>
    <row r="2115" spans="1:15" x14ac:dyDescent="0.2">
      <c r="A2115" s="10"/>
      <c r="B2115" s="11"/>
      <c r="C2115" s="12"/>
      <c r="D2115" s="11"/>
      <c r="E2115" s="13"/>
      <c r="F2115" s="14"/>
      <c r="G2115" s="11"/>
      <c r="H2115" s="16"/>
      <c r="J2115" s="17"/>
      <c r="K2115" s="20"/>
      <c r="L2115" s="16"/>
      <c r="N2115" s="20"/>
      <c r="O2115" s="18"/>
    </row>
    <row r="2116" spans="1:15" x14ac:dyDescent="0.2">
      <c r="A2116" s="10"/>
      <c r="B2116" s="11"/>
      <c r="C2116" s="12"/>
      <c r="D2116" s="11"/>
      <c r="E2116" s="13"/>
      <c r="F2116" s="14"/>
      <c r="G2116" s="11"/>
      <c r="H2116" s="16"/>
      <c r="J2116" s="17"/>
      <c r="K2116" s="20"/>
      <c r="L2116" s="16"/>
      <c r="N2116" s="20"/>
      <c r="O2116" s="18"/>
    </row>
    <row r="2117" spans="1:15" x14ac:dyDescent="0.2">
      <c r="A2117" s="10"/>
      <c r="B2117" s="11"/>
      <c r="C2117" s="12"/>
      <c r="D2117" s="11"/>
      <c r="E2117" s="13"/>
      <c r="F2117" s="14"/>
      <c r="G2117" s="11"/>
      <c r="H2117" s="16"/>
      <c r="J2117" s="17"/>
      <c r="K2117" s="20"/>
      <c r="L2117" s="16"/>
      <c r="N2117" s="20"/>
      <c r="O2117" s="18"/>
    </row>
    <row r="2118" spans="1:15" x14ac:dyDescent="0.2">
      <c r="A2118" s="10"/>
      <c r="B2118" s="11"/>
      <c r="C2118" s="12"/>
      <c r="D2118" s="11"/>
      <c r="E2118" s="13"/>
      <c r="F2118" s="14"/>
      <c r="G2118" s="11"/>
      <c r="H2118" s="16"/>
      <c r="J2118" s="17"/>
      <c r="K2118" s="20"/>
      <c r="L2118" s="16"/>
      <c r="N2118" s="20"/>
      <c r="O2118" s="18"/>
    </row>
    <row r="2119" spans="1:15" x14ac:dyDescent="0.2">
      <c r="A2119" s="10"/>
      <c r="B2119" s="11"/>
      <c r="C2119" s="12"/>
      <c r="D2119" s="11"/>
      <c r="E2119" s="13"/>
      <c r="F2119" s="14"/>
      <c r="G2119" s="11"/>
      <c r="H2119" s="16"/>
      <c r="J2119" s="17"/>
      <c r="K2119" s="20"/>
      <c r="L2119" s="16"/>
      <c r="N2119" s="20"/>
      <c r="O2119" s="18"/>
    </row>
    <row r="2120" spans="1:15" x14ac:dyDescent="0.2">
      <c r="A2120" s="10"/>
      <c r="B2120" s="11"/>
      <c r="C2120" s="12"/>
      <c r="D2120" s="11"/>
      <c r="E2120" s="13"/>
      <c r="F2120" s="14"/>
      <c r="G2120" s="11"/>
      <c r="H2120" s="16"/>
      <c r="J2120" s="17"/>
      <c r="K2120" s="20"/>
      <c r="L2120" s="16"/>
      <c r="N2120" s="20"/>
      <c r="O2120" s="18"/>
    </row>
    <row r="2121" spans="1:15" x14ac:dyDescent="0.2">
      <c r="A2121" s="10"/>
      <c r="B2121" s="11"/>
      <c r="C2121" s="12"/>
      <c r="D2121" s="11"/>
      <c r="E2121" s="13"/>
      <c r="F2121" s="14"/>
      <c r="G2121" s="11"/>
      <c r="H2121" s="16"/>
      <c r="J2121" s="17"/>
      <c r="K2121" s="20"/>
      <c r="L2121" s="16"/>
      <c r="N2121" s="20"/>
      <c r="O2121" s="18"/>
    </row>
    <row r="2122" spans="1:15" x14ac:dyDescent="0.2">
      <c r="A2122" s="10"/>
      <c r="B2122" s="11"/>
      <c r="C2122" s="12"/>
      <c r="D2122" s="11"/>
      <c r="E2122" s="13"/>
      <c r="F2122" s="14"/>
      <c r="G2122" s="11"/>
      <c r="H2122" s="16"/>
      <c r="J2122" s="17"/>
      <c r="K2122" s="20"/>
      <c r="L2122" s="16"/>
      <c r="N2122" s="20"/>
      <c r="O2122" s="18"/>
    </row>
    <row r="2123" spans="1:15" x14ac:dyDescent="0.2">
      <c r="A2123" s="10"/>
      <c r="B2123" s="11"/>
      <c r="C2123" s="12"/>
      <c r="D2123" s="11"/>
      <c r="E2123" s="13"/>
      <c r="F2123" s="14"/>
      <c r="G2123" s="11"/>
      <c r="H2123" s="16"/>
      <c r="J2123" s="17"/>
      <c r="K2123" s="20"/>
      <c r="L2123" s="16"/>
      <c r="N2123" s="20"/>
      <c r="O2123" s="18"/>
    </row>
    <row r="2124" spans="1:15" x14ac:dyDescent="0.2">
      <c r="A2124" s="10"/>
      <c r="B2124" s="11"/>
      <c r="C2124" s="12"/>
      <c r="D2124" s="11"/>
      <c r="E2124" s="13"/>
      <c r="F2124" s="14"/>
      <c r="G2124" s="11"/>
      <c r="H2124" s="16"/>
      <c r="J2124" s="17"/>
      <c r="K2124" s="20"/>
      <c r="L2124" s="16"/>
      <c r="N2124" s="20"/>
      <c r="O2124" s="18"/>
    </row>
    <row r="2125" spans="1:15" x14ac:dyDescent="0.2">
      <c r="A2125" s="10"/>
      <c r="B2125" s="11"/>
      <c r="C2125" s="12"/>
      <c r="D2125" s="11"/>
      <c r="E2125" s="13"/>
      <c r="F2125" s="14"/>
      <c r="G2125" s="11"/>
      <c r="H2125" s="16"/>
      <c r="J2125" s="17"/>
      <c r="K2125" s="20"/>
      <c r="L2125" s="16"/>
      <c r="N2125" s="20"/>
      <c r="O2125" s="18"/>
    </row>
    <row r="2126" spans="1:15" x14ac:dyDescent="0.2">
      <c r="A2126" s="10"/>
      <c r="B2126" s="11"/>
      <c r="C2126" s="12"/>
      <c r="D2126" s="11"/>
      <c r="E2126" s="13"/>
      <c r="F2126" s="14"/>
      <c r="G2126" s="11"/>
      <c r="H2126" s="16"/>
      <c r="J2126" s="17"/>
      <c r="K2126" s="20"/>
      <c r="L2126" s="16"/>
      <c r="N2126" s="20"/>
      <c r="O2126" s="18"/>
    </row>
    <row r="2127" spans="1:15" x14ac:dyDescent="0.2">
      <c r="A2127" s="10"/>
      <c r="B2127" s="11"/>
      <c r="C2127" s="12"/>
      <c r="D2127" s="11"/>
      <c r="E2127" s="13"/>
      <c r="F2127" s="14"/>
      <c r="G2127" s="11"/>
      <c r="H2127" s="16"/>
      <c r="J2127" s="17"/>
      <c r="K2127" s="20"/>
      <c r="L2127" s="16"/>
      <c r="N2127" s="20"/>
      <c r="O2127" s="18"/>
    </row>
    <row r="2128" spans="1:15" x14ac:dyDescent="0.2">
      <c r="A2128" s="10"/>
      <c r="B2128" s="11"/>
      <c r="C2128" s="12"/>
      <c r="D2128" s="11"/>
      <c r="E2128" s="13"/>
      <c r="F2128" s="14"/>
      <c r="G2128" s="11"/>
      <c r="H2128" s="16"/>
      <c r="J2128" s="17"/>
      <c r="K2128" s="20"/>
      <c r="L2128" s="16"/>
      <c r="N2128" s="20"/>
      <c r="O2128" s="18"/>
    </row>
    <row r="2129" spans="1:15" x14ac:dyDescent="0.2">
      <c r="A2129" s="10"/>
      <c r="B2129" s="11"/>
      <c r="C2129" s="12"/>
      <c r="D2129" s="11"/>
      <c r="E2129" s="13"/>
      <c r="F2129" s="14"/>
      <c r="G2129" s="11"/>
      <c r="H2129" s="16"/>
      <c r="J2129" s="17"/>
      <c r="K2129" s="20"/>
      <c r="L2129" s="16"/>
      <c r="N2129" s="20"/>
      <c r="O2129" s="18"/>
    </row>
    <row r="2130" spans="1:15" x14ac:dyDescent="0.2">
      <c r="A2130" s="10"/>
      <c r="B2130" s="11"/>
      <c r="C2130" s="12"/>
      <c r="D2130" s="11"/>
      <c r="E2130" s="13"/>
      <c r="F2130" s="14"/>
      <c r="G2130" s="11"/>
      <c r="H2130" s="16"/>
      <c r="J2130" s="17"/>
      <c r="K2130" s="20"/>
      <c r="L2130" s="16"/>
      <c r="N2130" s="20"/>
      <c r="O2130" s="18"/>
    </row>
    <row r="2131" spans="1:15" x14ac:dyDescent="0.2">
      <c r="A2131" s="10"/>
      <c r="B2131" s="11"/>
      <c r="C2131" s="12"/>
      <c r="D2131" s="11"/>
      <c r="E2131" s="13"/>
      <c r="F2131" s="14"/>
      <c r="G2131" s="11"/>
      <c r="H2131" s="16"/>
      <c r="J2131" s="17"/>
      <c r="K2131" s="20"/>
      <c r="L2131" s="16"/>
      <c r="N2131" s="20"/>
      <c r="O2131" s="18"/>
    </row>
    <row r="2132" spans="1:15" x14ac:dyDescent="0.2">
      <c r="A2132" s="10"/>
      <c r="B2132" s="11"/>
      <c r="C2132" s="12"/>
      <c r="D2132" s="11"/>
      <c r="E2132" s="13"/>
      <c r="F2132" s="14"/>
      <c r="G2132" s="11"/>
      <c r="H2132" s="16"/>
      <c r="J2132" s="17"/>
      <c r="K2132" s="20"/>
      <c r="L2132" s="16"/>
      <c r="N2132" s="20"/>
      <c r="O2132" s="18"/>
    </row>
    <row r="2133" spans="1:15" x14ac:dyDescent="0.2">
      <c r="A2133" s="10"/>
      <c r="B2133" s="11"/>
      <c r="C2133" s="12"/>
      <c r="D2133" s="11"/>
      <c r="E2133" s="13"/>
      <c r="F2133" s="14"/>
      <c r="G2133" s="11"/>
      <c r="H2133" s="16"/>
      <c r="J2133" s="17"/>
      <c r="K2133" s="20"/>
      <c r="L2133" s="16"/>
      <c r="N2133" s="20"/>
      <c r="O2133" s="18"/>
    </row>
    <row r="2134" spans="1:15" x14ac:dyDescent="0.2">
      <c r="A2134" s="10"/>
      <c r="B2134" s="11"/>
      <c r="C2134" s="12"/>
      <c r="D2134" s="11"/>
      <c r="E2134" s="13"/>
      <c r="F2134" s="14"/>
      <c r="G2134" s="11"/>
      <c r="H2134" s="16"/>
      <c r="J2134" s="17"/>
      <c r="K2134" s="20"/>
      <c r="L2134" s="16"/>
      <c r="N2134" s="20"/>
      <c r="O2134" s="18"/>
    </row>
    <row r="2135" spans="1:15" x14ac:dyDescent="0.2">
      <c r="A2135" s="10"/>
      <c r="B2135" s="11"/>
      <c r="C2135" s="12"/>
      <c r="D2135" s="11"/>
      <c r="E2135" s="13"/>
      <c r="F2135" s="14"/>
      <c r="G2135" s="11"/>
      <c r="H2135" s="16"/>
      <c r="J2135" s="17"/>
      <c r="K2135" s="20"/>
      <c r="L2135" s="16"/>
      <c r="N2135" s="20"/>
      <c r="O2135" s="18"/>
    </row>
    <row r="2136" spans="1:15" x14ac:dyDescent="0.2">
      <c r="A2136" s="10"/>
      <c r="B2136" s="11"/>
      <c r="C2136" s="12"/>
      <c r="D2136" s="11"/>
      <c r="E2136" s="13"/>
      <c r="F2136" s="14"/>
      <c r="G2136" s="11"/>
      <c r="H2136" s="16"/>
      <c r="J2136" s="17"/>
      <c r="K2136" s="20"/>
      <c r="L2136" s="16"/>
      <c r="N2136" s="20"/>
      <c r="O2136" s="18"/>
    </row>
    <row r="2137" spans="1:15" x14ac:dyDescent="0.2">
      <c r="A2137" s="10"/>
      <c r="B2137" s="11"/>
      <c r="C2137" s="12"/>
      <c r="D2137" s="11"/>
      <c r="E2137" s="13"/>
      <c r="F2137" s="14"/>
      <c r="G2137" s="11"/>
      <c r="H2137" s="16"/>
      <c r="J2137" s="17"/>
      <c r="K2137" s="20"/>
      <c r="L2137" s="16"/>
      <c r="N2137" s="20"/>
      <c r="O2137" s="18"/>
    </row>
    <row r="2138" spans="1:15" x14ac:dyDescent="0.2">
      <c r="A2138" s="10"/>
      <c r="B2138" s="11"/>
      <c r="C2138" s="12"/>
      <c r="D2138" s="11"/>
      <c r="E2138" s="13"/>
      <c r="F2138" s="14"/>
      <c r="G2138" s="11"/>
      <c r="H2138" s="16"/>
      <c r="J2138" s="17"/>
      <c r="K2138" s="20"/>
      <c r="L2138" s="16"/>
      <c r="N2138" s="20"/>
      <c r="O2138" s="18"/>
    </row>
    <row r="2139" spans="1:15" x14ac:dyDescent="0.2">
      <c r="A2139" s="10"/>
      <c r="B2139" s="11"/>
      <c r="C2139" s="12"/>
      <c r="D2139" s="11"/>
      <c r="E2139" s="13"/>
      <c r="F2139" s="14"/>
      <c r="G2139" s="11"/>
      <c r="H2139" s="16"/>
      <c r="J2139" s="17"/>
      <c r="K2139" s="20"/>
      <c r="L2139" s="16"/>
      <c r="N2139" s="20"/>
      <c r="O2139" s="18"/>
    </row>
    <row r="2140" spans="1:15" x14ac:dyDescent="0.2">
      <c r="A2140" s="10"/>
      <c r="B2140" s="11"/>
      <c r="C2140" s="12"/>
      <c r="D2140" s="11"/>
      <c r="E2140" s="13"/>
      <c r="F2140" s="14"/>
      <c r="G2140" s="11"/>
      <c r="H2140" s="16"/>
      <c r="J2140" s="17"/>
      <c r="K2140" s="20"/>
      <c r="L2140" s="16"/>
      <c r="N2140" s="20"/>
      <c r="O2140" s="18"/>
    </row>
    <row r="2141" spans="1:15" x14ac:dyDescent="0.2">
      <c r="A2141" s="10"/>
      <c r="B2141" s="11"/>
      <c r="C2141" s="12"/>
      <c r="D2141" s="11"/>
      <c r="E2141" s="13"/>
      <c r="F2141" s="14"/>
      <c r="G2141" s="11"/>
      <c r="H2141" s="16"/>
      <c r="J2141" s="17"/>
      <c r="K2141" s="20"/>
      <c r="L2141" s="16"/>
      <c r="N2141" s="20"/>
      <c r="O2141" s="18"/>
    </row>
    <row r="2142" spans="1:15" x14ac:dyDescent="0.2">
      <c r="A2142" s="10"/>
      <c r="B2142" s="11"/>
      <c r="C2142" s="12"/>
      <c r="D2142" s="11"/>
      <c r="E2142" s="13"/>
      <c r="F2142" s="14"/>
      <c r="G2142" s="11"/>
      <c r="H2142" s="16"/>
      <c r="J2142" s="17"/>
      <c r="K2142" s="20"/>
      <c r="L2142" s="16"/>
      <c r="N2142" s="20"/>
      <c r="O2142" s="18"/>
    </row>
    <row r="2143" spans="1:15" x14ac:dyDescent="0.2">
      <c r="A2143" s="10"/>
      <c r="B2143" s="11"/>
      <c r="C2143" s="12"/>
      <c r="D2143" s="11"/>
      <c r="E2143" s="13"/>
      <c r="F2143" s="14"/>
      <c r="G2143" s="11"/>
      <c r="H2143" s="16"/>
      <c r="J2143" s="17"/>
      <c r="K2143" s="20"/>
      <c r="L2143" s="16"/>
      <c r="N2143" s="20"/>
      <c r="O2143" s="18"/>
    </row>
    <row r="2144" spans="1:15" x14ac:dyDescent="0.2">
      <c r="A2144" s="10"/>
      <c r="B2144" s="11"/>
      <c r="C2144" s="12"/>
      <c r="D2144" s="11"/>
      <c r="E2144" s="13"/>
      <c r="F2144" s="14"/>
      <c r="G2144" s="11"/>
      <c r="H2144" s="16"/>
      <c r="J2144" s="17"/>
      <c r="K2144" s="20"/>
      <c r="L2144" s="16"/>
      <c r="N2144" s="20"/>
      <c r="O2144" s="18"/>
    </row>
    <row r="2145" spans="1:15" x14ac:dyDescent="0.2">
      <c r="A2145" s="10"/>
      <c r="B2145" s="11"/>
      <c r="C2145" s="12"/>
      <c r="D2145" s="11"/>
      <c r="E2145" s="13"/>
      <c r="F2145" s="14"/>
      <c r="G2145" s="11"/>
      <c r="H2145" s="16"/>
      <c r="J2145" s="17"/>
      <c r="K2145" s="20"/>
      <c r="L2145" s="16"/>
      <c r="N2145" s="20"/>
      <c r="O2145" s="18"/>
    </row>
    <row r="2146" spans="1:15" x14ac:dyDescent="0.2">
      <c r="A2146" s="10"/>
      <c r="B2146" s="11"/>
      <c r="C2146" s="12"/>
      <c r="D2146" s="11"/>
      <c r="E2146" s="13"/>
      <c r="F2146" s="14"/>
      <c r="G2146" s="11"/>
      <c r="H2146" s="16"/>
      <c r="J2146" s="17"/>
      <c r="K2146" s="20"/>
      <c r="L2146" s="16"/>
      <c r="N2146" s="20"/>
      <c r="O2146" s="18"/>
    </row>
    <row r="2147" spans="1:15" x14ac:dyDescent="0.2">
      <c r="A2147" s="10"/>
      <c r="B2147" s="11"/>
      <c r="C2147" s="12"/>
      <c r="D2147" s="11"/>
      <c r="E2147" s="13"/>
      <c r="F2147" s="14"/>
      <c r="G2147" s="11"/>
      <c r="H2147" s="16"/>
      <c r="J2147" s="17"/>
      <c r="K2147" s="20"/>
      <c r="L2147" s="16"/>
      <c r="N2147" s="20"/>
      <c r="O2147" s="18"/>
    </row>
    <row r="2148" spans="1:15" x14ac:dyDescent="0.2">
      <c r="A2148" s="10"/>
      <c r="B2148" s="11"/>
      <c r="C2148" s="12"/>
      <c r="D2148" s="11"/>
      <c r="E2148" s="13"/>
      <c r="F2148" s="14"/>
      <c r="G2148" s="11"/>
      <c r="H2148" s="16"/>
      <c r="J2148" s="17"/>
      <c r="K2148" s="20"/>
      <c r="L2148" s="16"/>
      <c r="N2148" s="20"/>
      <c r="O2148" s="18"/>
    </row>
    <row r="2149" spans="1:15" x14ac:dyDescent="0.2">
      <c r="A2149" s="10"/>
      <c r="B2149" s="11"/>
      <c r="C2149" s="12"/>
      <c r="D2149" s="11"/>
      <c r="E2149" s="13"/>
      <c r="F2149" s="14"/>
      <c r="G2149" s="11"/>
      <c r="H2149" s="16"/>
      <c r="J2149" s="17"/>
      <c r="K2149" s="20"/>
      <c r="L2149" s="16"/>
      <c r="N2149" s="20"/>
      <c r="O2149" s="18"/>
    </row>
    <row r="2150" spans="1:15" x14ac:dyDescent="0.2">
      <c r="A2150" s="10"/>
      <c r="B2150" s="11"/>
      <c r="C2150" s="12"/>
      <c r="D2150" s="11"/>
      <c r="E2150" s="13"/>
      <c r="F2150" s="14"/>
      <c r="G2150" s="11"/>
      <c r="H2150" s="16"/>
      <c r="J2150" s="17"/>
      <c r="K2150" s="20"/>
      <c r="L2150" s="16"/>
      <c r="N2150" s="20"/>
      <c r="O2150" s="18"/>
    </row>
    <row r="2151" spans="1:15" x14ac:dyDescent="0.2">
      <c r="A2151" s="10"/>
      <c r="B2151" s="11"/>
      <c r="C2151" s="12"/>
      <c r="D2151" s="11"/>
      <c r="E2151" s="13"/>
      <c r="F2151" s="14"/>
      <c r="G2151" s="11"/>
      <c r="H2151" s="16"/>
      <c r="J2151" s="17"/>
      <c r="K2151" s="20"/>
      <c r="L2151" s="16"/>
      <c r="N2151" s="20"/>
      <c r="O2151" s="18"/>
    </row>
    <row r="2152" spans="1:15" x14ac:dyDescent="0.2">
      <c r="A2152" s="10"/>
      <c r="B2152" s="11"/>
      <c r="C2152" s="12"/>
      <c r="D2152" s="11"/>
      <c r="E2152" s="13"/>
      <c r="F2152" s="14"/>
      <c r="G2152" s="11"/>
      <c r="H2152" s="16"/>
      <c r="J2152" s="17"/>
      <c r="K2152" s="20"/>
      <c r="L2152" s="16"/>
      <c r="N2152" s="20"/>
      <c r="O2152" s="18"/>
    </row>
    <row r="2153" spans="1:15" x14ac:dyDescent="0.2">
      <c r="A2153" s="10"/>
      <c r="B2153" s="11"/>
      <c r="C2153" s="12"/>
      <c r="D2153" s="11"/>
      <c r="E2153" s="13"/>
      <c r="F2153" s="14"/>
      <c r="G2153" s="11"/>
      <c r="H2153" s="16"/>
      <c r="J2153" s="17"/>
      <c r="K2153" s="20"/>
      <c r="L2153" s="16"/>
      <c r="N2153" s="20"/>
      <c r="O2153" s="18"/>
    </row>
    <row r="2154" spans="1:15" x14ac:dyDescent="0.2">
      <c r="A2154" s="10"/>
      <c r="B2154" s="11"/>
      <c r="C2154" s="12"/>
      <c r="D2154" s="11"/>
      <c r="E2154" s="13"/>
      <c r="F2154" s="14"/>
      <c r="G2154" s="11"/>
      <c r="H2154" s="16"/>
      <c r="J2154" s="17"/>
      <c r="K2154" s="20"/>
      <c r="L2154" s="16"/>
      <c r="N2154" s="20"/>
      <c r="O2154" s="18"/>
    </row>
    <row r="2155" spans="1:15" x14ac:dyDescent="0.2">
      <c r="A2155" s="10"/>
      <c r="B2155" s="11"/>
      <c r="C2155" s="12"/>
      <c r="D2155" s="11"/>
      <c r="E2155" s="13"/>
      <c r="F2155" s="14"/>
      <c r="G2155" s="11"/>
      <c r="H2155" s="16"/>
      <c r="J2155" s="17"/>
      <c r="K2155" s="20"/>
      <c r="L2155" s="16"/>
      <c r="N2155" s="20"/>
      <c r="O2155" s="18"/>
    </row>
    <row r="2156" spans="1:15" x14ac:dyDescent="0.2">
      <c r="A2156" s="10"/>
      <c r="B2156" s="11"/>
      <c r="C2156" s="12"/>
      <c r="D2156" s="11"/>
      <c r="E2156" s="13"/>
      <c r="F2156" s="14"/>
      <c r="G2156" s="11"/>
      <c r="H2156" s="16"/>
      <c r="J2156" s="17"/>
      <c r="K2156" s="20"/>
      <c r="L2156" s="16"/>
      <c r="N2156" s="20"/>
      <c r="O2156" s="18"/>
    </row>
    <row r="2157" spans="1:15" x14ac:dyDescent="0.2">
      <c r="A2157" s="10"/>
      <c r="B2157" s="11"/>
      <c r="C2157" s="12"/>
      <c r="D2157" s="11"/>
      <c r="E2157" s="13"/>
      <c r="F2157" s="14"/>
      <c r="G2157" s="11"/>
      <c r="H2157" s="16"/>
      <c r="J2157" s="17"/>
      <c r="K2157" s="20"/>
      <c r="L2157" s="16"/>
      <c r="N2157" s="20"/>
      <c r="O2157" s="18"/>
    </row>
    <row r="2158" spans="1:15" x14ac:dyDescent="0.2">
      <c r="A2158" s="10"/>
      <c r="B2158" s="11"/>
      <c r="C2158" s="12"/>
      <c r="D2158" s="11"/>
      <c r="E2158" s="13"/>
      <c r="F2158" s="14"/>
      <c r="G2158" s="11"/>
      <c r="H2158" s="16"/>
      <c r="J2158" s="17"/>
      <c r="K2158" s="20"/>
      <c r="L2158" s="16"/>
      <c r="N2158" s="20"/>
      <c r="O2158" s="18"/>
    </row>
    <row r="2159" spans="1:15" x14ac:dyDescent="0.2">
      <c r="A2159" s="10"/>
      <c r="B2159" s="11"/>
      <c r="C2159" s="12"/>
      <c r="D2159" s="11"/>
      <c r="E2159" s="13"/>
      <c r="F2159" s="14"/>
      <c r="G2159" s="11"/>
      <c r="H2159" s="16"/>
      <c r="J2159" s="17"/>
      <c r="K2159" s="20"/>
      <c r="L2159" s="16"/>
      <c r="N2159" s="20"/>
      <c r="O2159" s="18"/>
    </row>
    <row r="2160" spans="1:15" x14ac:dyDescent="0.2">
      <c r="A2160" s="10"/>
      <c r="B2160" s="11"/>
      <c r="C2160" s="12"/>
      <c r="D2160" s="11"/>
      <c r="E2160" s="13"/>
      <c r="F2160" s="14"/>
      <c r="G2160" s="11"/>
      <c r="H2160" s="16"/>
      <c r="J2160" s="17"/>
      <c r="K2160" s="20"/>
      <c r="L2160" s="16"/>
      <c r="N2160" s="20"/>
      <c r="O2160" s="18"/>
    </row>
    <row r="2161" spans="1:15" x14ac:dyDescent="0.2">
      <c r="A2161" s="10"/>
      <c r="B2161" s="11"/>
      <c r="C2161" s="12"/>
      <c r="D2161" s="11"/>
      <c r="E2161" s="13"/>
      <c r="F2161" s="14"/>
      <c r="G2161" s="11"/>
      <c r="H2161" s="16"/>
      <c r="J2161" s="17"/>
      <c r="K2161" s="20"/>
      <c r="L2161" s="16"/>
      <c r="N2161" s="20"/>
      <c r="O2161" s="18"/>
    </row>
    <row r="2162" spans="1:15" x14ac:dyDescent="0.2">
      <c r="A2162" s="10"/>
      <c r="B2162" s="11"/>
      <c r="C2162" s="12"/>
      <c r="D2162" s="11"/>
      <c r="E2162" s="13"/>
      <c r="F2162" s="14"/>
      <c r="G2162" s="11"/>
      <c r="H2162" s="16"/>
      <c r="J2162" s="17"/>
      <c r="K2162" s="20"/>
      <c r="L2162" s="16"/>
      <c r="N2162" s="20"/>
      <c r="O2162" s="18"/>
    </row>
    <row r="2163" spans="1:15" x14ac:dyDescent="0.2">
      <c r="A2163" s="10"/>
      <c r="B2163" s="11"/>
      <c r="C2163" s="12"/>
      <c r="D2163" s="11"/>
      <c r="E2163" s="13"/>
      <c r="F2163" s="14"/>
      <c r="G2163" s="11"/>
      <c r="H2163" s="16"/>
      <c r="J2163" s="17"/>
      <c r="K2163" s="20"/>
      <c r="L2163" s="16"/>
      <c r="N2163" s="20"/>
      <c r="O2163" s="18"/>
    </row>
    <row r="2164" spans="1:15" x14ac:dyDescent="0.2">
      <c r="A2164" s="10"/>
      <c r="B2164" s="11"/>
      <c r="C2164" s="12"/>
      <c r="D2164" s="11"/>
      <c r="E2164" s="13"/>
      <c r="F2164" s="14"/>
      <c r="G2164" s="11"/>
      <c r="H2164" s="16"/>
      <c r="J2164" s="17"/>
      <c r="K2164" s="20"/>
      <c r="L2164" s="16"/>
      <c r="N2164" s="20"/>
      <c r="O2164" s="18"/>
    </row>
    <row r="2165" spans="1:15" x14ac:dyDescent="0.2">
      <c r="A2165" s="10"/>
      <c r="B2165" s="11"/>
      <c r="C2165" s="12"/>
      <c r="D2165" s="11"/>
      <c r="E2165" s="13"/>
      <c r="F2165" s="14"/>
      <c r="G2165" s="11"/>
      <c r="H2165" s="16"/>
      <c r="J2165" s="17"/>
      <c r="K2165" s="20"/>
      <c r="L2165" s="16"/>
      <c r="N2165" s="20"/>
      <c r="O2165" s="18"/>
    </row>
    <row r="2166" spans="1:15" x14ac:dyDescent="0.2">
      <c r="A2166" s="10"/>
      <c r="B2166" s="11"/>
      <c r="C2166" s="12"/>
      <c r="D2166" s="11"/>
      <c r="E2166" s="13"/>
      <c r="F2166" s="14"/>
      <c r="G2166" s="11"/>
      <c r="H2166" s="16"/>
      <c r="J2166" s="17"/>
      <c r="K2166" s="20"/>
      <c r="L2166" s="16"/>
      <c r="N2166" s="20"/>
      <c r="O2166" s="18"/>
    </row>
    <row r="2167" spans="1:15" x14ac:dyDescent="0.2">
      <c r="A2167" s="10"/>
      <c r="B2167" s="11"/>
      <c r="C2167" s="12"/>
      <c r="D2167" s="11"/>
      <c r="E2167" s="13"/>
      <c r="F2167" s="14"/>
      <c r="G2167" s="11"/>
      <c r="H2167" s="16"/>
      <c r="J2167" s="17"/>
      <c r="K2167" s="20"/>
      <c r="L2167" s="16"/>
      <c r="N2167" s="20"/>
      <c r="O2167" s="18"/>
    </row>
    <row r="2168" spans="1:15" x14ac:dyDescent="0.2">
      <c r="A2168" s="10"/>
      <c r="B2168" s="11"/>
      <c r="C2168" s="12"/>
      <c r="D2168" s="11"/>
      <c r="E2168" s="13"/>
      <c r="F2168" s="14"/>
      <c r="G2168" s="11"/>
      <c r="H2168" s="16"/>
      <c r="J2168" s="17"/>
      <c r="K2168" s="20"/>
      <c r="L2168" s="16"/>
      <c r="N2168" s="20"/>
      <c r="O2168" s="18"/>
    </row>
    <row r="2169" spans="1:15" x14ac:dyDescent="0.2">
      <c r="A2169" s="10"/>
      <c r="B2169" s="11"/>
      <c r="C2169" s="12"/>
      <c r="D2169" s="11"/>
      <c r="E2169" s="13"/>
      <c r="F2169" s="14"/>
      <c r="G2169" s="11"/>
      <c r="H2169" s="16"/>
      <c r="J2169" s="17"/>
      <c r="K2169" s="20"/>
      <c r="L2169" s="16"/>
      <c r="N2169" s="20"/>
      <c r="O2169" s="18"/>
    </row>
    <row r="2170" spans="1:15" x14ac:dyDescent="0.2">
      <c r="A2170" s="10"/>
      <c r="B2170" s="11"/>
      <c r="C2170" s="12"/>
      <c r="D2170" s="11"/>
      <c r="E2170" s="13"/>
      <c r="F2170" s="14"/>
      <c r="G2170" s="11"/>
      <c r="H2170" s="16"/>
      <c r="J2170" s="17"/>
      <c r="K2170" s="20"/>
      <c r="L2170" s="16"/>
      <c r="N2170" s="20"/>
      <c r="O2170" s="18"/>
    </row>
    <row r="2171" spans="1:15" x14ac:dyDescent="0.2">
      <c r="A2171" s="10"/>
      <c r="B2171" s="11"/>
      <c r="C2171" s="12"/>
      <c r="D2171" s="11"/>
      <c r="E2171" s="13"/>
      <c r="F2171" s="14"/>
      <c r="G2171" s="11"/>
      <c r="H2171" s="16"/>
      <c r="J2171" s="17"/>
      <c r="K2171" s="20"/>
      <c r="L2171" s="16"/>
      <c r="N2171" s="20"/>
      <c r="O2171" s="18"/>
    </row>
    <row r="2172" spans="1:15" x14ac:dyDescent="0.2">
      <c r="A2172" s="10"/>
      <c r="B2172" s="11"/>
      <c r="C2172" s="12"/>
      <c r="D2172" s="11"/>
      <c r="E2172" s="13"/>
      <c r="F2172" s="14"/>
      <c r="G2172" s="11"/>
      <c r="H2172" s="16"/>
      <c r="J2172" s="17"/>
      <c r="K2172" s="20"/>
      <c r="L2172" s="16"/>
      <c r="N2172" s="20"/>
      <c r="O2172" s="18"/>
    </row>
    <row r="2173" spans="1:15" x14ac:dyDescent="0.2">
      <c r="A2173" s="10"/>
      <c r="B2173" s="11"/>
      <c r="C2173" s="12"/>
      <c r="D2173" s="11"/>
      <c r="E2173" s="13"/>
      <c r="F2173" s="14"/>
      <c r="G2173" s="11"/>
      <c r="H2173" s="16"/>
      <c r="J2173" s="17"/>
      <c r="K2173" s="12"/>
      <c r="L2173" s="16"/>
      <c r="N2173" s="20"/>
      <c r="O2173" s="18"/>
    </row>
    <row r="2174" spans="1:15" x14ac:dyDescent="0.2">
      <c r="A2174" s="10"/>
      <c r="B2174" s="11"/>
      <c r="C2174" s="12"/>
      <c r="D2174" s="11"/>
      <c r="E2174" s="13"/>
      <c r="F2174" s="14"/>
      <c r="G2174" s="11"/>
      <c r="H2174" s="16"/>
      <c r="J2174" s="17"/>
      <c r="K2174" s="12"/>
      <c r="L2174" s="16"/>
      <c r="N2174" s="20"/>
      <c r="O2174" s="18"/>
    </row>
    <row r="2175" spans="1:15" x14ac:dyDescent="0.2">
      <c r="A2175" s="10"/>
      <c r="B2175" s="11"/>
      <c r="C2175" s="12"/>
      <c r="D2175" s="11"/>
      <c r="E2175" s="13"/>
      <c r="F2175" s="14"/>
      <c r="G2175" s="11"/>
      <c r="H2175" s="16"/>
      <c r="J2175" s="17"/>
      <c r="K2175" s="12"/>
      <c r="L2175" s="16"/>
      <c r="N2175" s="20"/>
      <c r="O2175" s="18"/>
    </row>
    <row r="2176" spans="1:15" x14ac:dyDescent="0.2">
      <c r="A2176" s="10"/>
      <c r="B2176" s="11"/>
      <c r="C2176" s="12"/>
      <c r="D2176" s="11"/>
      <c r="E2176" s="13"/>
      <c r="F2176" s="14"/>
      <c r="G2176" s="11"/>
      <c r="H2176" s="16"/>
      <c r="J2176" s="17"/>
      <c r="K2176" s="12"/>
      <c r="L2176" s="16"/>
      <c r="N2176" s="20"/>
      <c r="O2176" s="18"/>
    </row>
    <row r="2177" spans="1:15" x14ac:dyDescent="0.2">
      <c r="A2177" s="10"/>
      <c r="B2177" s="11"/>
      <c r="C2177" s="12"/>
      <c r="D2177" s="11"/>
      <c r="E2177" s="13"/>
      <c r="F2177" s="14"/>
      <c r="G2177" s="11"/>
      <c r="H2177" s="16"/>
      <c r="J2177" s="17"/>
      <c r="K2177" s="12"/>
      <c r="L2177" s="16"/>
      <c r="N2177" s="20"/>
      <c r="O2177" s="18"/>
    </row>
    <row r="2178" spans="1:15" x14ac:dyDescent="0.2">
      <c r="A2178" s="10"/>
      <c r="B2178" s="11"/>
      <c r="C2178" s="12"/>
      <c r="D2178" s="11"/>
      <c r="E2178" s="13"/>
      <c r="F2178" s="14"/>
      <c r="G2178" s="11"/>
      <c r="H2178" s="16"/>
      <c r="J2178" s="17"/>
      <c r="K2178" s="12"/>
      <c r="L2178" s="16"/>
      <c r="N2178" s="20"/>
      <c r="O2178" s="18"/>
    </row>
    <row r="2179" spans="1:15" x14ac:dyDescent="0.2">
      <c r="A2179" s="10"/>
      <c r="B2179" s="11"/>
      <c r="C2179" s="12"/>
      <c r="D2179" s="11"/>
      <c r="E2179" s="13"/>
      <c r="F2179" s="14"/>
      <c r="G2179" s="11"/>
      <c r="H2179" s="16"/>
      <c r="J2179" s="17"/>
      <c r="K2179" s="12"/>
      <c r="L2179" s="16"/>
      <c r="N2179" s="20"/>
      <c r="O2179" s="18"/>
    </row>
    <row r="2180" spans="1:15" x14ac:dyDescent="0.2">
      <c r="A2180" s="10"/>
      <c r="B2180" s="11"/>
      <c r="C2180" s="12"/>
      <c r="D2180" s="11"/>
      <c r="E2180" s="13"/>
      <c r="F2180" s="14"/>
      <c r="G2180" s="11"/>
      <c r="H2180" s="16"/>
      <c r="J2180" s="17"/>
      <c r="K2180" s="12"/>
      <c r="L2180" s="16"/>
      <c r="N2180" s="20"/>
      <c r="O2180" s="18"/>
    </row>
    <row r="2181" spans="1:15" x14ac:dyDescent="0.2">
      <c r="A2181" s="10"/>
      <c r="B2181" s="11"/>
      <c r="C2181" s="12"/>
      <c r="D2181" s="11"/>
      <c r="E2181" s="13"/>
      <c r="F2181" s="14"/>
      <c r="G2181" s="11"/>
      <c r="H2181" s="16"/>
      <c r="J2181" s="17"/>
      <c r="K2181" s="12"/>
      <c r="L2181" s="16"/>
      <c r="N2181" s="20"/>
      <c r="O2181" s="18"/>
    </row>
    <row r="2182" spans="1:15" x14ac:dyDescent="0.2">
      <c r="A2182" s="10"/>
      <c r="B2182" s="11"/>
      <c r="C2182" s="12"/>
      <c r="D2182" s="11"/>
      <c r="E2182" s="13"/>
      <c r="F2182" s="14"/>
      <c r="G2182" s="11"/>
      <c r="H2182" s="16"/>
      <c r="J2182" s="17"/>
      <c r="K2182" s="12"/>
      <c r="L2182" s="16"/>
      <c r="N2182" s="20"/>
      <c r="O2182" s="18"/>
    </row>
    <row r="2183" spans="1:15" x14ac:dyDescent="0.2">
      <c r="A2183" s="10"/>
      <c r="B2183" s="11"/>
      <c r="C2183" s="12"/>
      <c r="D2183" s="11"/>
      <c r="E2183" s="13"/>
      <c r="F2183" s="14"/>
      <c r="G2183" s="11"/>
      <c r="H2183" s="16"/>
      <c r="J2183" s="17"/>
      <c r="K2183" s="12"/>
      <c r="L2183" s="16"/>
      <c r="N2183" s="20"/>
      <c r="O2183" s="18"/>
    </row>
    <row r="2184" spans="1:15" x14ac:dyDescent="0.2">
      <c r="A2184" s="10"/>
      <c r="B2184" s="11"/>
      <c r="C2184" s="12"/>
      <c r="D2184" s="11"/>
      <c r="E2184" s="13"/>
      <c r="F2184" s="14"/>
      <c r="G2184" s="11"/>
      <c r="H2184" s="16"/>
      <c r="J2184" s="17"/>
      <c r="K2184" s="12"/>
      <c r="L2184" s="16"/>
      <c r="N2184" s="20"/>
      <c r="O2184" s="18"/>
    </row>
    <row r="2185" spans="1:15" x14ac:dyDescent="0.2">
      <c r="A2185" s="10"/>
      <c r="B2185" s="11"/>
      <c r="C2185" s="12"/>
      <c r="D2185" s="11"/>
      <c r="E2185" s="13"/>
      <c r="F2185" s="14"/>
      <c r="G2185" s="11"/>
      <c r="H2185" s="16"/>
      <c r="J2185" s="17"/>
      <c r="K2185" s="12"/>
      <c r="L2185" s="16"/>
      <c r="N2185" s="20"/>
      <c r="O2185" s="18"/>
    </row>
    <row r="2186" spans="1:15" x14ac:dyDescent="0.2">
      <c r="A2186" s="10"/>
      <c r="B2186" s="11"/>
      <c r="C2186" s="12"/>
      <c r="D2186" s="11"/>
      <c r="E2186" s="13"/>
      <c r="F2186" s="14"/>
      <c r="G2186" s="11"/>
      <c r="H2186" s="16"/>
      <c r="J2186" s="17"/>
      <c r="K2186" s="12"/>
      <c r="L2186" s="16"/>
      <c r="N2186" s="20"/>
      <c r="O2186" s="18"/>
    </row>
    <row r="2187" spans="1:15" x14ac:dyDescent="0.2">
      <c r="A2187" s="10"/>
      <c r="B2187" s="11"/>
      <c r="C2187" s="12"/>
      <c r="D2187" s="11"/>
      <c r="E2187" s="13"/>
      <c r="F2187" s="14"/>
      <c r="G2187" s="11"/>
      <c r="H2187" s="16"/>
      <c r="J2187" s="17"/>
      <c r="K2187" s="12"/>
      <c r="L2187" s="16"/>
      <c r="N2187" s="20"/>
      <c r="O2187" s="18"/>
    </row>
    <row r="2188" spans="1:15" x14ac:dyDescent="0.2">
      <c r="A2188" s="10"/>
      <c r="B2188" s="11"/>
      <c r="C2188" s="12"/>
      <c r="D2188" s="11"/>
      <c r="E2188" s="13"/>
      <c r="F2188" s="14"/>
      <c r="G2188" s="11"/>
      <c r="H2188" s="16"/>
      <c r="J2188" s="17"/>
      <c r="K2188" s="12"/>
      <c r="L2188" s="16"/>
      <c r="N2188" s="20"/>
      <c r="O2188" s="18"/>
    </row>
    <row r="2189" spans="1:15" x14ac:dyDescent="0.2">
      <c r="A2189" s="10"/>
      <c r="B2189" s="11"/>
      <c r="C2189" s="12"/>
      <c r="D2189" s="11"/>
      <c r="E2189" s="13"/>
      <c r="F2189" s="14"/>
      <c r="G2189" s="11"/>
      <c r="H2189" s="16"/>
      <c r="J2189" s="17"/>
      <c r="K2189" s="12"/>
      <c r="L2189" s="16"/>
      <c r="N2189" s="20"/>
      <c r="O2189" s="18"/>
    </row>
    <row r="2190" spans="1:15" x14ac:dyDescent="0.2">
      <c r="A2190" s="10"/>
      <c r="B2190" s="11"/>
      <c r="C2190" s="12"/>
      <c r="D2190" s="11"/>
      <c r="E2190" s="13"/>
      <c r="F2190" s="14"/>
      <c r="G2190" s="11"/>
      <c r="H2190" s="16"/>
      <c r="J2190" s="17"/>
      <c r="K2190" s="12"/>
      <c r="L2190" s="16"/>
      <c r="N2190" s="20"/>
      <c r="O2190" s="18"/>
    </row>
    <row r="2191" spans="1:15" x14ac:dyDescent="0.2">
      <c r="A2191" s="10"/>
      <c r="B2191" s="11"/>
      <c r="C2191" s="12"/>
      <c r="D2191" s="11"/>
      <c r="E2191" s="13"/>
      <c r="F2191" s="14"/>
      <c r="G2191" s="11"/>
      <c r="H2191" s="16"/>
      <c r="J2191" s="17"/>
      <c r="K2191" s="12"/>
      <c r="L2191" s="16"/>
      <c r="N2191" s="20"/>
      <c r="O2191" s="18"/>
    </row>
    <row r="2192" spans="1:15" x14ac:dyDescent="0.2">
      <c r="A2192" s="10"/>
      <c r="B2192" s="11"/>
      <c r="C2192" s="12"/>
      <c r="D2192" s="11"/>
      <c r="E2192" s="13"/>
      <c r="F2192" s="14"/>
      <c r="G2192" s="11"/>
      <c r="H2192" s="16"/>
      <c r="J2192" s="17"/>
      <c r="K2192" s="12"/>
      <c r="L2192" s="16"/>
      <c r="N2192" s="20"/>
      <c r="O2192" s="18"/>
    </row>
    <row r="2193" spans="1:15" x14ac:dyDescent="0.2">
      <c r="A2193" s="10"/>
      <c r="B2193" s="11"/>
      <c r="C2193" s="12"/>
      <c r="D2193" s="11"/>
      <c r="E2193" s="13"/>
      <c r="F2193" s="14"/>
      <c r="G2193" s="11"/>
      <c r="H2193" s="16"/>
      <c r="J2193" s="17"/>
      <c r="K2193" s="12"/>
      <c r="L2193" s="16"/>
      <c r="N2193" s="20"/>
      <c r="O2193" s="18"/>
    </row>
    <row r="2194" spans="1:15" x14ac:dyDescent="0.2">
      <c r="A2194" s="10"/>
      <c r="B2194" s="11"/>
      <c r="C2194" s="12"/>
      <c r="D2194" s="11"/>
      <c r="E2194" s="13"/>
      <c r="F2194" s="14"/>
      <c r="G2194" s="11"/>
      <c r="H2194" s="16"/>
      <c r="J2194" s="17"/>
      <c r="K2194" s="12"/>
      <c r="L2194" s="16"/>
      <c r="N2194" s="20"/>
      <c r="O2194" s="18"/>
    </row>
    <row r="2195" spans="1:15" x14ac:dyDescent="0.2">
      <c r="A2195" s="10"/>
      <c r="B2195" s="11"/>
      <c r="C2195" s="12"/>
      <c r="D2195" s="11"/>
      <c r="E2195" s="13"/>
      <c r="F2195" s="14"/>
      <c r="G2195" s="11"/>
      <c r="H2195" s="16"/>
      <c r="J2195" s="17"/>
      <c r="K2195" s="12"/>
      <c r="L2195" s="16"/>
      <c r="N2195" s="20"/>
      <c r="O2195" s="18"/>
    </row>
    <row r="2196" spans="1:15" x14ac:dyDescent="0.2">
      <c r="A2196" s="10"/>
      <c r="B2196" s="11"/>
      <c r="C2196" s="12"/>
      <c r="D2196" s="11"/>
      <c r="E2196" s="13"/>
      <c r="F2196" s="14"/>
      <c r="G2196" s="11"/>
      <c r="H2196" s="16"/>
      <c r="J2196" s="17"/>
      <c r="K2196" s="12"/>
      <c r="L2196" s="16"/>
      <c r="N2196" s="20"/>
      <c r="O2196" s="18"/>
    </row>
    <row r="2197" spans="1:15" x14ac:dyDescent="0.2">
      <c r="A2197" s="10"/>
      <c r="B2197" s="11"/>
      <c r="C2197" s="12"/>
      <c r="D2197" s="11"/>
      <c r="E2197" s="13"/>
      <c r="F2197" s="14"/>
      <c r="G2197" s="11"/>
      <c r="H2197" s="16"/>
      <c r="J2197" s="17"/>
      <c r="K2197" s="12"/>
      <c r="L2197" s="16"/>
      <c r="N2197" s="20"/>
      <c r="O2197" s="18"/>
    </row>
    <row r="2198" spans="1:15" x14ac:dyDescent="0.2">
      <c r="A2198" s="10"/>
      <c r="B2198" s="11"/>
      <c r="C2198" s="12"/>
      <c r="D2198" s="11"/>
      <c r="E2198" s="13"/>
      <c r="F2198" s="14"/>
      <c r="G2198" s="11"/>
      <c r="H2198" s="16"/>
      <c r="J2198" s="17"/>
      <c r="K2198" s="12"/>
      <c r="L2198" s="16"/>
      <c r="N2198" s="20"/>
      <c r="O2198" s="18"/>
    </row>
    <row r="2199" spans="1:15" x14ac:dyDescent="0.2">
      <c r="A2199" s="10"/>
      <c r="B2199" s="11"/>
      <c r="C2199" s="12"/>
      <c r="D2199" s="11"/>
      <c r="E2199" s="13"/>
      <c r="F2199" s="14"/>
      <c r="G2199" s="11"/>
      <c r="H2199" s="16"/>
      <c r="J2199" s="17"/>
      <c r="K2199" s="12"/>
      <c r="L2199" s="16"/>
      <c r="N2199" s="20"/>
      <c r="O2199" s="18"/>
    </row>
    <row r="2200" spans="1:15" x14ac:dyDescent="0.2">
      <c r="A2200" s="10"/>
      <c r="B2200" s="11"/>
      <c r="C2200" s="12"/>
      <c r="D2200" s="11"/>
      <c r="E2200" s="13"/>
      <c r="F2200" s="14"/>
      <c r="G2200" s="11"/>
      <c r="H2200" s="16"/>
      <c r="J2200" s="17"/>
      <c r="K2200" s="12"/>
      <c r="L2200" s="16"/>
      <c r="N2200" s="20"/>
      <c r="O2200" s="18"/>
    </row>
    <row r="2201" spans="1:15" x14ac:dyDescent="0.2">
      <c r="A2201" s="10"/>
      <c r="B2201" s="11"/>
      <c r="C2201" s="12"/>
      <c r="D2201" s="11"/>
      <c r="E2201" s="13"/>
      <c r="F2201" s="14"/>
      <c r="G2201" s="11"/>
      <c r="H2201" s="16"/>
      <c r="J2201" s="17"/>
      <c r="K2201" s="12"/>
      <c r="L2201" s="16"/>
      <c r="N2201" s="20"/>
      <c r="O2201" s="18"/>
    </row>
    <row r="2202" spans="1:15" x14ac:dyDescent="0.2">
      <c r="A2202" s="10"/>
      <c r="B2202" s="11"/>
      <c r="C2202" s="12"/>
      <c r="D2202" s="11"/>
      <c r="E2202" s="13"/>
      <c r="F2202" s="14"/>
      <c r="G2202" s="11"/>
      <c r="H2202" s="16"/>
      <c r="J2202" s="17"/>
      <c r="K2202" s="12"/>
      <c r="L2202" s="16"/>
      <c r="N2202" s="20"/>
      <c r="O2202" s="18"/>
    </row>
    <row r="2203" spans="1:15" x14ac:dyDescent="0.2">
      <c r="A2203" s="10"/>
      <c r="B2203" s="11"/>
      <c r="C2203" s="12"/>
      <c r="D2203" s="11"/>
      <c r="E2203" s="13"/>
      <c r="F2203" s="14"/>
      <c r="G2203" s="11"/>
      <c r="H2203" s="16"/>
      <c r="J2203" s="17"/>
      <c r="K2203" s="12"/>
      <c r="L2203" s="16"/>
      <c r="N2203" s="20"/>
      <c r="O2203" s="18"/>
    </row>
    <row r="2204" spans="1:15" x14ac:dyDescent="0.2">
      <c r="A2204" s="10"/>
      <c r="B2204" s="11"/>
      <c r="C2204" s="12"/>
      <c r="D2204" s="11"/>
      <c r="E2204" s="13"/>
      <c r="F2204" s="14"/>
      <c r="G2204" s="11"/>
      <c r="H2204" s="16"/>
      <c r="J2204" s="17"/>
      <c r="K2204" s="12"/>
      <c r="L2204" s="16"/>
      <c r="N2204" s="20"/>
      <c r="O2204" s="18"/>
    </row>
    <row r="2205" spans="1:15" x14ac:dyDescent="0.2">
      <c r="A2205" s="10"/>
      <c r="B2205" s="11"/>
      <c r="C2205" s="12"/>
      <c r="D2205" s="11"/>
      <c r="E2205" s="13"/>
      <c r="F2205" s="14"/>
      <c r="G2205" s="11"/>
      <c r="H2205" s="16"/>
      <c r="J2205" s="17"/>
      <c r="K2205" s="12"/>
      <c r="L2205" s="16"/>
      <c r="N2205" s="20"/>
      <c r="O2205" s="18"/>
    </row>
    <row r="2206" spans="1:15" x14ac:dyDescent="0.2">
      <c r="A2206" s="10"/>
      <c r="B2206" s="11"/>
      <c r="C2206" s="12"/>
      <c r="D2206" s="11"/>
      <c r="E2206" s="13"/>
      <c r="F2206" s="14"/>
      <c r="G2206" s="11"/>
      <c r="H2206" s="16"/>
      <c r="J2206" s="17"/>
      <c r="K2206" s="12"/>
      <c r="L2206" s="16"/>
      <c r="N2206" s="20"/>
      <c r="O2206" s="18"/>
    </row>
    <row r="2207" spans="1:15" x14ac:dyDescent="0.2">
      <c r="A2207" s="10"/>
      <c r="B2207" s="11"/>
      <c r="C2207" s="12"/>
      <c r="D2207" s="11"/>
      <c r="E2207" s="13"/>
      <c r="F2207" s="14"/>
      <c r="G2207" s="11"/>
      <c r="H2207" s="16"/>
      <c r="J2207" s="17"/>
      <c r="K2207" s="12"/>
      <c r="L2207" s="16"/>
      <c r="N2207" s="20"/>
      <c r="O2207" s="18"/>
    </row>
    <row r="2208" spans="1:15" x14ac:dyDescent="0.2">
      <c r="A2208" s="10"/>
      <c r="B2208" s="11"/>
      <c r="C2208" s="12"/>
      <c r="D2208" s="11"/>
      <c r="E2208" s="13"/>
      <c r="F2208" s="14"/>
      <c r="G2208" s="11"/>
      <c r="H2208" s="16"/>
      <c r="J2208" s="17"/>
      <c r="K2208" s="12"/>
      <c r="L2208" s="16"/>
      <c r="N2208" s="20"/>
      <c r="O2208" s="18"/>
    </row>
    <row r="2209" spans="1:15" x14ac:dyDescent="0.2">
      <c r="A2209" s="10"/>
      <c r="B2209" s="11"/>
      <c r="C2209" s="12"/>
      <c r="D2209" s="11"/>
      <c r="E2209" s="13"/>
      <c r="F2209" s="14"/>
      <c r="G2209" s="11"/>
      <c r="H2209" s="16"/>
      <c r="J2209" s="17"/>
      <c r="K2209" s="12"/>
      <c r="L2209" s="16"/>
      <c r="N2209" s="20"/>
      <c r="O2209" s="18"/>
    </row>
    <row r="2210" spans="1:15" x14ac:dyDescent="0.2">
      <c r="A2210" s="10"/>
      <c r="B2210" s="11"/>
      <c r="C2210" s="12"/>
      <c r="D2210" s="11"/>
      <c r="E2210" s="13"/>
      <c r="F2210" s="14"/>
      <c r="G2210" s="11"/>
      <c r="H2210" s="16"/>
      <c r="J2210" s="17"/>
      <c r="K2210" s="12"/>
      <c r="L2210" s="16"/>
      <c r="N2210" s="20"/>
      <c r="O2210" s="18"/>
    </row>
    <row r="2211" spans="1:15" x14ac:dyDescent="0.2">
      <c r="A2211" s="10"/>
      <c r="B2211" s="11"/>
      <c r="C2211" s="12"/>
      <c r="D2211" s="11"/>
      <c r="E2211" s="13"/>
      <c r="F2211" s="14"/>
      <c r="G2211" s="11"/>
      <c r="H2211" s="16"/>
      <c r="J2211" s="17"/>
      <c r="K2211" s="12"/>
      <c r="L2211" s="16"/>
      <c r="N2211" s="20"/>
      <c r="O2211" s="18"/>
    </row>
    <row r="2212" spans="1:15" x14ac:dyDescent="0.2">
      <c r="A2212" s="10"/>
      <c r="B2212" s="11"/>
      <c r="C2212" s="12"/>
      <c r="D2212" s="11"/>
      <c r="E2212" s="13"/>
      <c r="F2212" s="14"/>
      <c r="G2212" s="11"/>
      <c r="H2212" s="16"/>
      <c r="J2212" s="17"/>
      <c r="K2212" s="12"/>
      <c r="L2212" s="16"/>
      <c r="N2212" s="20"/>
      <c r="O2212" s="18"/>
    </row>
    <row r="2213" spans="1:15" x14ac:dyDescent="0.2">
      <c r="A2213" s="10"/>
      <c r="B2213" s="11"/>
      <c r="C2213" s="12"/>
      <c r="D2213" s="11"/>
      <c r="E2213" s="13"/>
      <c r="F2213" s="14"/>
      <c r="G2213" s="11"/>
      <c r="H2213" s="16"/>
      <c r="J2213" s="17"/>
      <c r="K2213" s="12"/>
      <c r="L2213" s="16"/>
      <c r="N2213" s="20"/>
      <c r="O2213" s="18"/>
    </row>
    <row r="2214" spans="1:15" x14ac:dyDescent="0.2">
      <c r="A2214" s="10"/>
      <c r="B2214" s="11"/>
      <c r="C2214" s="12"/>
      <c r="D2214" s="11"/>
      <c r="E2214" s="13"/>
      <c r="F2214" s="14"/>
      <c r="G2214" s="11"/>
      <c r="H2214" s="16"/>
      <c r="J2214" s="17"/>
      <c r="K2214" s="12"/>
      <c r="L2214" s="16"/>
      <c r="N2214" s="20"/>
      <c r="O2214" s="18"/>
    </row>
    <row r="2215" spans="1:15" x14ac:dyDescent="0.2">
      <c r="A2215" s="10"/>
      <c r="B2215" s="11"/>
      <c r="C2215" s="12"/>
      <c r="D2215" s="11"/>
      <c r="E2215" s="13"/>
      <c r="F2215" s="14"/>
      <c r="G2215" s="11"/>
      <c r="H2215" s="16"/>
      <c r="J2215" s="17"/>
      <c r="K2215" s="12"/>
      <c r="L2215" s="16"/>
      <c r="N2215" s="20"/>
      <c r="O2215" s="18"/>
    </row>
    <row r="2216" spans="1:15" x14ac:dyDescent="0.2">
      <c r="A2216" s="10"/>
      <c r="B2216" s="11"/>
      <c r="C2216" s="12"/>
      <c r="D2216" s="11"/>
      <c r="E2216" s="13"/>
      <c r="F2216" s="14"/>
      <c r="G2216" s="11"/>
      <c r="H2216" s="16"/>
      <c r="J2216" s="17"/>
      <c r="K2216" s="12"/>
      <c r="L2216" s="16"/>
      <c r="N2216" s="20"/>
      <c r="O2216" s="18"/>
    </row>
    <row r="2217" spans="1:15" x14ac:dyDescent="0.2">
      <c r="A2217" s="10"/>
      <c r="B2217" s="11"/>
      <c r="C2217" s="12"/>
      <c r="D2217" s="11"/>
      <c r="E2217" s="13"/>
      <c r="F2217" s="14"/>
      <c r="G2217" s="11"/>
      <c r="H2217" s="16"/>
      <c r="J2217" s="17"/>
      <c r="K2217" s="12"/>
      <c r="L2217" s="16"/>
      <c r="N2217" s="20"/>
      <c r="O2217" s="18"/>
    </row>
    <row r="2218" spans="1:15" x14ac:dyDescent="0.2">
      <c r="A2218" s="10"/>
      <c r="B2218" s="11"/>
      <c r="C2218" s="12"/>
      <c r="D2218" s="11"/>
      <c r="E2218" s="13"/>
      <c r="F2218" s="14"/>
      <c r="G2218" s="11"/>
      <c r="H2218" s="16"/>
      <c r="J2218" s="17"/>
      <c r="K2218" s="12"/>
      <c r="L2218" s="16"/>
      <c r="N2218" s="20"/>
      <c r="O2218" s="18"/>
    </row>
    <row r="2219" spans="1:15" x14ac:dyDescent="0.2">
      <c r="A2219" s="10"/>
      <c r="B2219" s="11"/>
      <c r="C2219" s="12"/>
      <c r="D2219" s="11"/>
      <c r="E2219" s="13"/>
      <c r="F2219" s="14"/>
      <c r="G2219" s="11"/>
      <c r="H2219" s="16"/>
      <c r="J2219" s="17"/>
      <c r="K2219" s="12"/>
      <c r="L2219" s="16"/>
      <c r="N2219" s="20"/>
      <c r="O2219" s="18"/>
    </row>
    <row r="2220" spans="1:15" x14ac:dyDescent="0.2">
      <c r="A2220" s="10"/>
      <c r="B2220" s="11"/>
      <c r="C2220" s="12"/>
      <c r="D2220" s="11"/>
      <c r="E2220" s="13"/>
      <c r="F2220" s="14"/>
      <c r="G2220" s="11"/>
      <c r="H2220" s="16"/>
      <c r="J2220" s="17"/>
      <c r="K2220" s="12"/>
      <c r="L2220" s="16"/>
      <c r="N2220" s="20"/>
      <c r="O2220" s="18"/>
    </row>
    <row r="2221" spans="1:15" x14ac:dyDescent="0.2">
      <c r="A2221" s="10"/>
      <c r="B2221" s="11"/>
      <c r="C2221" s="12"/>
      <c r="D2221" s="11"/>
      <c r="E2221" s="13"/>
      <c r="F2221" s="14"/>
      <c r="G2221" s="11"/>
      <c r="H2221" s="16"/>
      <c r="J2221" s="17"/>
      <c r="K2221" s="12"/>
      <c r="L2221" s="16"/>
      <c r="N2221" s="20"/>
      <c r="O2221" s="18"/>
    </row>
    <row r="2222" spans="1:15" x14ac:dyDescent="0.2">
      <c r="A2222" s="10"/>
      <c r="B2222" s="11"/>
      <c r="C2222" s="12"/>
      <c r="D2222" s="11"/>
      <c r="E2222" s="13"/>
      <c r="F2222" s="14"/>
      <c r="G2222" s="11"/>
      <c r="H2222" s="16"/>
      <c r="J2222" s="17"/>
      <c r="K2222" s="12"/>
      <c r="L2222" s="16"/>
      <c r="N2222" s="20"/>
      <c r="O2222" s="18"/>
    </row>
    <row r="2223" spans="1:15" x14ac:dyDescent="0.2">
      <c r="A2223" s="10"/>
      <c r="B2223" s="11"/>
      <c r="C2223" s="12"/>
      <c r="D2223" s="11"/>
      <c r="E2223" s="13"/>
      <c r="F2223" s="14"/>
      <c r="G2223" s="11"/>
      <c r="H2223" s="16"/>
      <c r="J2223" s="17"/>
      <c r="K2223" s="12"/>
      <c r="L2223" s="16"/>
      <c r="N2223" s="20"/>
      <c r="O2223" s="18"/>
    </row>
    <row r="2224" spans="1:15" x14ac:dyDescent="0.2">
      <c r="A2224" s="10"/>
      <c r="B2224" s="11"/>
      <c r="C2224" s="12"/>
      <c r="D2224" s="11"/>
      <c r="E2224" s="13"/>
      <c r="F2224" s="14"/>
      <c r="G2224" s="11"/>
      <c r="H2224" s="16"/>
      <c r="J2224" s="17"/>
      <c r="K2224" s="12"/>
      <c r="L2224" s="16"/>
      <c r="N2224" s="20"/>
      <c r="O2224" s="18"/>
    </row>
    <row r="2225" spans="1:15" x14ac:dyDescent="0.2">
      <c r="A2225" s="10"/>
      <c r="B2225" s="11"/>
      <c r="C2225" s="12"/>
      <c r="D2225" s="11"/>
      <c r="E2225" s="13"/>
      <c r="F2225" s="14"/>
      <c r="G2225" s="11"/>
      <c r="H2225" s="16"/>
      <c r="J2225" s="17"/>
      <c r="K2225" s="12"/>
      <c r="L2225" s="16"/>
      <c r="N2225" s="20"/>
      <c r="O2225" s="18"/>
    </row>
    <row r="2226" spans="1:15" x14ac:dyDescent="0.2">
      <c r="A2226" s="10"/>
      <c r="B2226" s="11"/>
      <c r="C2226" s="12"/>
      <c r="D2226" s="11"/>
      <c r="E2226" s="13"/>
      <c r="F2226" s="14"/>
      <c r="G2226" s="11"/>
      <c r="H2226" s="16"/>
      <c r="J2226" s="17"/>
      <c r="K2226" s="12"/>
      <c r="L2226" s="16"/>
      <c r="N2226" s="20"/>
      <c r="O2226" s="18"/>
    </row>
    <row r="2227" spans="1:15" x14ac:dyDescent="0.2">
      <c r="A2227" s="10"/>
      <c r="B2227" s="11"/>
      <c r="C2227" s="12"/>
      <c r="D2227" s="11"/>
      <c r="E2227" s="13"/>
      <c r="F2227" s="14"/>
      <c r="G2227" s="11"/>
      <c r="H2227" s="16"/>
      <c r="J2227" s="17"/>
      <c r="K2227" s="12"/>
      <c r="L2227" s="16"/>
      <c r="N2227" s="20"/>
      <c r="O2227" s="18"/>
    </row>
    <row r="2228" spans="1:15" x14ac:dyDescent="0.2">
      <c r="A2228" s="10"/>
      <c r="B2228" s="11"/>
      <c r="C2228" s="12"/>
      <c r="D2228" s="11"/>
      <c r="E2228" s="13"/>
      <c r="F2228" s="14"/>
      <c r="G2228" s="11"/>
      <c r="H2228" s="16"/>
      <c r="J2228" s="17"/>
      <c r="K2228" s="12"/>
      <c r="L2228" s="16"/>
      <c r="N2228" s="20"/>
      <c r="O2228" s="18"/>
    </row>
    <row r="2229" spans="1:15" x14ac:dyDescent="0.2">
      <c r="A2229" s="10"/>
      <c r="B2229" s="11"/>
      <c r="C2229" s="12"/>
      <c r="D2229" s="11"/>
      <c r="E2229" s="13"/>
      <c r="F2229" s="14"/>
      <c r="G2229" s="11"/>
      <c r="H2229" s="16"/>
      <c r="J2229" s="17"/>
      <c r="K2229" s="12"/>
      <c r="L2229" s="16"/>
      <c r="N2229" s="20"/>
      <c r="O2229" s="18"/>
    </row>
    <row r="2230" spans="1:15" x14ac:dyDescent="0.2">
      <c r="A2230" s="10"/>
      <c r="B2230" s="11"/>
      <c r="C2230" s="12"/>
      <c r="D2230" s="11"/>
      <c r="E2230" s="13"/>
      <c r="F2230" s="14"/>
      <c r="G2230" s="11"/>
      <c r="H2230" s="16"/>
      <c r="J2230" s="17"/>
      <c r="K2230" s="12"/>
      <c r="L2230" s="16"/>
      <c r="N2230" s="20"/>
      <c r="O2230" s="18"/>
    </row>
    <row r="2231" spans="1:15" x14ac:dyDescent="0.2">
      <c r="A2231" s="10"/>
      <c r="B2231" s="11"/>
      <c r="C2231" s="12"/>
      <c r="D2231" s="11"/>
      <c r="E2231" s="13"/>
      <c r="F2231" s="14"/>
      <c r="G2231" s="11"/>
      <c r="H2231" s="16"/>
      <c r="J2231" s="17"/>
      <c r="K2231" s="12"/>
      <c r="L2231" s="16"/>
      <c r="N2231" s="20"/>
      <c r="O2231" s="18"/>
    </row>
    <row r="2232" spans="1:15" x14ac:dyDescent="0.2">
      <c r="A2232" s="10"/>
      <c r="B2232" s="11"/>
      <c r="C2232" s="12"/>
      <c r="D2232" s="11"/>
      <c r="E2232" s="13"/>
      <c r="F2232" s="14"/>
      <c r="G2232" s="11"/>
      <c r="H2232" s="16"/>
      <c r="J2232" s="17"/>
      <c r="K2232" s="12"/>
      <c r="L2232" s="16"/>
      <c r="N2232" s="20"/>
      <c r="O2232" s="18"/>
    </row>
    <row r="2233" spans="1:15" x14ac:dyDescent="0.2">
      <c r="A2233" s="10"/>
      <c r="B2233" s="11"/>
      <c r="C2233" s="12"/>
      <c r="D2233" s="11"/>
      <c r="E2233" s="13"/>
      <c r="F2233" s="14"/>
      <c r="G2233" s="11"/>
      <c r="H2233" s="16"/>
      <c r="J2233" s="17"/>
      <c r="K2233" s="12"/>
      <c r="L2233" s="16"/>
      <c r="N2233" s="20"/>
      <c r="O2233" s="18"/>
    </row>
    <row r="2234" spans="1:15" x14ac:dyDescent="0.2">
      <c r="A2234" s="10"/>
      <c r="B2234" s="11"/>
      <c r="C2234" s="12"/>
      <c r="D2234" s="11"/>
      <c r="E2234" s="13"/>
      <c r="F2234" s="14"/>
      <c r="G2234" s="11"/>
      <c r="H2234" s="16"/>
      <c r="J2234" s="17"/>
      <c r="K2234" s="12"/>
      <c r="L2234" s="16"/>
      <c r="N2234" s="20"/>
      <c r="O2234" s="18"/>
    </row>
    <row r="2235" spans="1:15" x14ac:dyDescent="0.2">
      <c r="A2235" s="10"/>
      <c r="B2235" s="11"/>
      <c r="C2235" s="12"/>
      <c r="D2235" s="11"/>
      <c r="E2235" s="13"/>
      <c r="F2235" s="14"/>
      <c r="G2235" s="11"/>
      <c r="H2235" s="16"/>
      <c r="J2235" s="17"/>
      <c r="K2235" s="12"/>
      <c r="L2235" s="16"/>
      <c r="N2235" s="20"/>
      <c r="O2235" s="18"/>
    </row>
    <row r="2236" spans="1:15" x14ac:dyDescent="0.2">
      <c r="A2236" s="10"/>
      <c r="B2236" s="11"/>
      <c r="C2236" s="12"/>
      <c r="D2236" s="11"/>
      <c r="E2236" s="13"/>
      <c r="F2236" s="14"/>
      <c r="G2236" s="11"/>
      <c r="H2236" s="16"/>
      <c r="J2236" s="17"/>
      <c r="K2236" s="12"/>
      <c r="L2236" s="16"/>
      <c r="N2236" s="20"/>
      <c r="O2236" s="18"/>
    </row>
    <row r="2237" spans="1:15" x14ac:dyDescent="0.2">
      <c r="A2237" s="10"/>
      <c r="B2237" s="11"/>
      <c r="C2237" s="12"/>
      <c r="D2237" s="11"/>
      <c r="E2237" s="13"/>
      <c r="F2237" s="14"/>
      <c r="G2237" s="11"/>
      <c r="H2237" s="16"/>
      <c r="J2237" s="17"/>
      <c r="K2237" s="12"/>
      <c r="L2237" s="16"/>
      <c r="N2237" s="20"/>
      <c r="O2237" s="18"/>
    </row>
    <row r="2238" spans="1:15" x14ac:dyDescent="0.2">
      <c r="A2238" s="10"/>
      <c r="B2238" s="11"/>
      <c r="C2238" s="12"/>
      <c r="D2238" s="11"/>
      <c r="E2238" s="13"/>
      <c r="F2238" s="14"/>
      <c r="G2238" s="11"/>
      <c r="H2238" s="16"/>
      <c r="J2238" s="17"/>
      <c r="K2238" s="12"/>
      <c r="L2238" s="16"/>
      <c r="N2238" s="20"/>
      <c r="O2238" s="18"/>
    </row>
    <row r="2239" spans="1:15" x14ac:dyDescent="0.2">
      <c r="A2239" s="10"/>
      <c r="B2239" s="11"/>
      <c r="C2239" s="12"/>
      <c r="D2239" s="11"/>
      <c r="E2239" s="13"/>
      <c r="F2239" s="14"/>
      <c r="G2239" s="11"/>
      <c r="H2239" s="16"/>
      <c r="J2239" s="17"/>
      <c r="K2239" s="12"/>
      <c r="L2239" s="16"/>
      <c r="N2239" s="20"/>
      <c r="O2239" s="18"/>
    </row>
    <row r="2240" spans="1:15" x14ac:dyDescent="0.2">
      <c r="A2240" s="10"/>
      <c r="B2240" s="11"/>
      <c r="C2240" s="12"/>
      <c r="D2240" s="11"/>
      <c r="E2240" s="13"/>
      <c r="F2240" s="14"/>
      <c r="G2240" s="11"/>
      <c r="H2240" s="16"/>
      <c r="J2240" s="17"/>
      <c r="K2240" s="12"/>
      <c r="L2240" s="16"/>
      <c r="N2240" s="20"/>
      <c r="O2240" s="18"/>
    </row>
    <row r="2241" spans="1:15" x14ac:dyDescent="0.2">
      <c r="A2241" s="10"/>
      <c r="B2241" s="11"/>
      <c r="C2241" s="12"/>
      <c r="D2241" s="11"/>
      <c r="E2241" s="13"/>
      <c r="F2241" s="14"/>
      <c r="G2241" s="11"/>
      <c r="H2241" s="16"/>
      <c r="J2241" s="17"/>
      <c r="K2241" s="12"/>
      <c r="L2241" s="16"/>
      <c r="N2241" s="20"/>
      <c r="O2241" s="18"/>
    </row>
    <row r="2242" spans="1:15" x14ac:dyDescent="0.2">
      <c r="A2242" s="10"/>
      <c r="B2242" s="11"/>
      <c r="C2242" s="12"/>
      <c r="D2242" s="11"/>
      <c r="E2242" s="13"/>
      <c r="F2242" s="14"/>
      <c r="G2242" s="11"/>
      <c r="H2242" s="16"/>
      <c r="J2242" s="17"/>
      <c r="K2242" s="12"/>
      <c r="L2242" s="16"/>
      <c r="N2242" s="20"/>
      <c r="O2242" s="18"/>
    </row>
    <row r="2243" spans="1:15" x14ac:dyDescent="0.2">
      <c r="A2243" s="10"/>
      <c r="B2243" s="11"/>
      <c r="C2243" s="12"/>
      <c r="D2243" s="11"/>
      <c r="E2243" s="13"/>
      <c r="F2243" s="14"/>
      <c r="G2243" s="11"/>
      <c r="H2243" s="16"/>
      <c r="J2243" s="17"/>
      <c r="K2243" s="12"/>
      <c r="L2243" s="16"/>
      <c r="N2243" s="20"/>
      <c r="O2243" s="18"/>
    </row>
    <row r="2244" spans="1:15" x14ac:dyDescent="0.2">
      <c r="A2244" s="10"/>
      <c r="B2244" s="11"/>
      <c r="C2244" s="12"/>
      <c r="D2244" s="11"/>
      <c r="E2244" s="13"/>
      <c r="F2244" s="14"/>
      <c r="G2244" s="11"/>
      <c r="H2244" s="16"/>
      <c r="J2244" s="17"/>
      <c r="K2244" s="12"/>
      <c r="L2244" s="16"/>
      <c r="N2244" s="20"/>
      <c r="O2244" s="18"/>
    </row>
    <row r="2245" spans="1:15" x14ac:dyDescent="0.2">
      <c r="A2245" s="10"/>
      <c r="B2245" s="11"/>
      <c r="C2245" s="12"/>
      <c r="D2245" s="11"/>
      <c r="E2245" s="13"/>
      <c r="F2245" s="14"/>
      <c r="G2245" s="11"/>
      <c r="H2245" s="16"/>
      <c r="J2245" s="17"/>
      <c r="K2245" s="12"/>
      <c r="L2245" s="16"/>
      <c r="N2245" s="20"/>
      <c r="O2245" s="18"/>
    </row>
    <row r="2246" spans="1:15" x14ac:dyDescent="0.2">
      <c r="A2246" s="10"/>
      <c r="B2246" s="11"/>
      <c r="C2246" s="12"/>
      <c r="D2246" s="11"/>
      <c r="E2246" s="13"/>
      <c r="F2246" s="14"/>
      <c r="G2246" s="11"/>
      <c r="H2246" s="16"/>
      <c r="J2246" s="17"/>
      <c r="K2246" s="12"/>
      <c r="L2246" s="16"/>
      <c r="N2246" s="20"/>
      <c r="O2246" s="18"/>
    </row>
    <row r="2247" spans="1:15" x14ac:dyDescent="0.2">
      <c r="A2247" s="10"/>
      <c r="B2247" s="11"/>
      <c r="C2247" s="12"/>
      <c r="D2247" s="11"/>
      <c r="E2247" s="13"/>
      <c r="F2247" s="14"/>
      <c r="G2247" s="11"/>
      <c r="H2247" s="16"/>
      <c r="J2247" s="17"/>
      <c r="K2247" s="12"/>
      <c r="L2247" s="16"/>
      <c r="N2247" s="20"/>
      <c r="O2247" s="18"/>
    </row>
    <row r="2248" spans="1:15" x14ac:dyDescent="0.2">
      <c r="A2248" s="10"/>
      <c r="B2248" s="11"/>
      <c r="C2248" s="12"/>
      <c r="D2248" s="11"/>
      <c r="E2248" s="13"/>
      <c r="F2248" s="14"/>
      <c r="G2248" s="11"/>
      <c r="H2248" s="16"/>
      <c r="J2248" s="17"/>
      <c r="K2248" s="12"/>
      <c r="L2248" s="16"/>
      <c r="N2248" s="20"/>
      <c r="O2248" s="18"/>
    </row>
    <row r="2249" spans="1:15" x14ac:dyDescent="0.2">
      <c r="A2249" s="10"/>
      <c r="B2249" s="11"/>
      <c r="C2249" s="12"/>
      <c r="D2249" s="11"/>
      <c r="E2249" s="13"/>
      <c r="F2249" s="14"/>
      <c r="G2249" s="11"/>
      <c r="H2249" s="16"/>
      <c r="J2249" s="17"/>
      <c r="K2249" s="12"/>
      <c r="L2249" s="16"/>
      <c r="N2249" s="20"/>
      <c r="O2249" s="18"/>
    </row>
    <row r="2250" spans="1:15" x14ac:dyDescent="0.2">
      <c r="A2250" s="10"/>
      <c r="B2250" s="11"/>
      <c r="C2250" s="12"/>
      <c r="D2250" s="11"/>
      <c r="E2250" s="13"/>
      <c r="F2250" s="14"/>
      <c r="G2250" s="11"/>
      <c r="H2250" s="16"/>
      <c r="J2250" s="17"/>
      <c r="K2250" s="12"/>
      <c r="L2250" s="16"/>
      <c r="N2250" s="20"/>
      <c r="O2250" s="18"/>
    </row>
    <row r="2251" spans="1:15" x14ac:dyDescent="0.2">
      <c r="A2251" s="10"/>
      <c r="B2251" s="11"/>
      <c r="C2251" s="12"/>
      <c r="D2251" s="11"/>
      <c r="E2251" s="13"/>
      <c r="F2251" s="14"/>
      <c r="G2251" s="11"/>
      <c r="H2251" s="16"/>
      <c r="J2251" s="17"/>
      <c r="K2251" s="12"/>
      <c r="L2251" s="16"/>
      <c r="N2251" s="20"/>
      <c r="O2251" s="18"/>
    </row>
    <row r="2252" spans="1:15" x14ac:dyDescent="0.2">
      <c r="A2252" s="10"/>
      <c r="B2252" s="11"/>
      <c r="C2252" s="12"/>
      <c r="D2252" s="11"/>
      <c r="E2252" s="13"/>
      <c r="F2252" s="14"/>
      <c r="G2252" s="11"/>
      <c r="H2252" s="16"/>
      <c r="J2252" s="17"/>
      <c r="K2252" s="12"/>
      <c r="L2252" s="16"/>
      <c r="N2252" s="20"/>
      <c r="O2252" s="18"/>
    </row>
    <row r="2253" spans="1:15" x14ac:dyDescent="0.2">
      <c r="A2253" s="10"/>
      <c r="B2253" s="11"/>
      <c r="C2253" s="12"/>
      <c r="D2253" s="11"/>
      <c r="E2253" s="13"/>
      <c r="F2253" s="14"/>
      <c r="G2253" s="11"/>
      <c r="H2253" s="16"/>
      <c r="J2253" s="17"/>
      <c r="K2253" s="12"/>
      <c r="L2253" s="16"/>
      <c r="N2253" s="20"/>
      <c r="O2253" s="18"/>
    </row>
    <row r="2254" spans="1:15" x14ac:dyDescent="0.2">
      <c r="A2254" s="10"/>
      <c r="B2254" s="11"/>
      <c r="C2254" s="12"/>
      <c r="D2254" s="11"/>
      <c r="E2254" s="13"/>
      <c r="F2254" s="14"/>
      <c r="G2254" s="11"/>
      <c r="H2254" s="16"/>
      <c r="J2254" s="17"/>
      <c r="K2254" s="12"/>
      <c r="L2254" s="16"/>
      <c r="N2254" s="20"/>
      <c r="O2254" s="18"/>
    </row>
    <row r="2255" spans="1:15" x14ac:dyDescent="0.2">
      <c r="A2255" s="10"/>
      <c r="B2255" s="11"/>
      <c r="C2255" s="12"/>
      <c r="D2255" s="11"/>
      <c r="E2255" s="13"/>
      <c r="F2255" s="14"/>
      <c r="G2255" s="11"/>
      <c r="H2255" s="16"/>
      <c r="J2255" s="17"/>
      <c r="K2255" s="12"/>
      <c r="L2255" s="16"/>
      <c r="N2255" s="20"/>
      <c r="O2255" s="18"/>
    </row>
    <row r="2256" spans="1:15" x14ac:dyDescent="0.2">
      <c r="A2256" s="10"/>
      <c r="B2256" s="11"/>
      <c r="C2256" s="12"/>
      <c r="D2256" s="11"/>
      <c r="E2256" s="13"/>
      <c r="F2256" s="14"/>
      <c r="G2256" s="11"/>
      <c r="H2256" s="16"/>
      <c r="J2256" s="17"/>
      <c r="K2256" s="12"/>
      <c r="L2256" s="16"/>
      <c r="N2256" s="20"/>
      <c r="O2256" s="18"/>
    </row>
    <row r="2257" spans="1:15" x14ac:dyDescent="0.2">
      <c r="A2257" s="10"/>
      <c r="B2257" s="11"/>
      <c r="C2257" s="12"/>
      <c r="D2257" s="11"/>
      <c r="E2257" s="13"/>
      <c r="F2257" s="14"/>
      <c r="G2257" s="11"/>
      <c r="H2257" s="16"/>
      <c r="J2257" s="17"/>
      <c r="K2257" s="12"/>
      <c r="L2257" s="16"/>
      <c r="N2257" s="20"/>
      <c r="O2257" s="18"/>
    </row>
    <row r="2258" spans="1:15" x14ac:dyDescent="0.2">
      <c r="A2258" s="10"/>
      <c r="B2258" s="11"/>
      <c r="C2258" s="12"/>
      <c r="D2258" s="11"/>
      <c r="E2258" s="13"/>
      <c r="F2258" s="14"/>
      <c r="G2258" s="11"/>
      <c r="H2258" s="16"/>
      <c r="J2258" s="17"/>
      <c r="K2258" s="12"/>
      <c r="L2258" s="16"/>
      <c r="N2258" s="20"/>
      <c r="O2258" s="18"/>
    </row>
    <row r="2259" spans="1:15" x14ac:dyDescent="0.2">
      <c r="A2259" s="10"/>
      <c r="B2259" s="11"/>
      <c r="C2259" s="12"/>
      <c r="D2259" s="11"/>
      <c r="E2259" s="13"/>
      <c r="F2259" s="14"/>
      <c r="G2259" s="11"/>
      <c r="H2259" s="16"/>
      <c r="J2259" s="17"/>
      <c r="K2259" s="12"/>
      <c r="L2259" s="16"/>
      <c r="N2259" s="20"/>
      <c r="O2259" s="18"/>
    </row>
    <row r="2260" spans="1:15" x14ac:dyDescent="0.2">
      <c r="A2260" s="10"/>
      <c r="B2260" s="11"/>
      <c r="C2260" s="12"/>
      <c r="D2260" s="11"/>
      <c r="E2260" s="13"/>
      <c r="F2260" s="14"/>
      <c r="G2260" s="11"/>
      <c r="H2260" s="16"/>
      <c r="J2260" s="17"/>
      <c r="K2260" s="12"/>
      <c r="L2260" s="16"/>
      <c r="N2260" s="20"/>
      <c r="O2260" s="18"/>
    </row>
    <row r="2261" spans="1:15" x14ac:dyDescent="0.2">
      <c r="A2261" s="10"/>
      <c r="B2261" s="11"/>
      <c r="C2261" s="12"/>
      <c r="D2261" s="11"/>
      <c r="E2261" s="13"/>
      <c r="F2261" s="14"/>
      <c r="G2261" s="11"/>
      <c r="H2261" s="16"/>
      <c r="J2261" s="17"/>
      <c r="K2261" s="12"/>
      <c r="L2261" s="16"/>
      <c r="N2261" s="20"/>
      <c r="O2261" s="18"/>
    </row>
    <row r="2262" spans="1:15" x14ac:dyDescent="0.2">
      <c r="A2262" s="10"/>
      <c r="B2262" s="11"/>
      <c r="C2262" s="12"/>
      <c r="D2262" s="11"/>
      <c r="E2262" s="13"/>
      <c r="F2262" s="14"/>
      <c r="G2262" s="11"/>
      <c r="H2262" s="16"/>
      <c r="J2262" s="17"/>
      <c r="K2262" s="12"/>
      <c r="L2262" s="16"/>
      <c r="N2262" s="20"/>
      <c r="O2262" s="18"/>
    </row>
    <row r="2263" spans="1:15" x14ac:dyDescent="0.2">
      <c r="A2263" s="10"/>
      <c r="B2263" s="11"/>
      <c r="C2263" s="12"/>
      <c r="D2263" s="11"/>
      <c r="E2263" s="13"/>
      <c r="F2263" s="14"/>
      <c r="G2263" s="11"/>
      <c r="H2263" s="16"/>
      <c r="J2263" s="17"/>
      <c r="K2263" s="12"/>
      <c r="L2263" s="16"/>
      <c r="N2263" s="20"/>
      <c r="O2263" s="18"/>
    </row>
    <row r="2264" spans="1:15" x14ac:dyDescent="0.2">
      <c r="A2264" s="10"/>
      <c r="B2264" s="11"/>
      <c r="C2264" s="12"/>
      <c r="D2264" s="11"/>
      <c r="E2264" s="13"/>
      <c r="F2264" s="14"/>
      <c r="G2264" s="11"/>
      <c r="H2264" s="16"/>
      <c r="J2264" s="17"/>
      <c r="K2264" s="12"/>
      <c r="L2264" s="16"/>
      <c r="N2264" s="20"/>
      <c r="O2264" s="18"/>
    </row>
    <row r="2265" spans="1:15" x14ac:dyDescent="0.2">
      <c r="A2265" s="10"/>
      <c r="B2265" s="11"/>
      <c r="C2265" s="12"/>
      <c r="D2265" s="11"/>
      <c r="E2265" s="13"/>
      <c r="F2265" s="14"/>
      <c r="G2265" s="11"/>
      <c r="H2265" s="16"/>
      <c r="J2265" s="17"/>
      <c r="K2265" s="12"/>
      <c r="L2265" s="16"/>
      <c r="N2265" s="20"/>
      <c r="O2265" s="18"/>
    </row>
    <row r="2266" spans="1:15" x14ac:dyDescent="0.2">
      <c r="A2266" s="10"/>
      <c r="B2266" s="11"/>
      <c r="C2266" s="12"/>
      <c r="D2266" s="11"/>
      <c r="E2266" s="13"/>
      <c r="F2266" s="14"/>
      <c r="G2266" s="11"/>
      <c r="H2266" s="16"/>
      <c r="J2266" s="17"/>
      <c r="K2266" s="12"/>
      <c r="L2266" s="16"/>
      <c r="N2266" s="20"/>
      <c r="O2266" s="18"/>
    </row>
    <row r="2267" spans="1:15" x14ac:dyDescent="0.2">
      <c r="A2267" s="10"/>
      <c r="B2267" s="11"/>
      <c r="C2267" s="12"/>
      <c r="D2267" s="11"/>
      <c r="E2267" s="13"/>
      <c r="F2267" s="14"/>
      <c r="G2267" s="11"/>
      <c r="H2267" s="16"/>
      <c r="J2267" s="17"/>
      <c r="K2267" s="12"/>
      <c r="L2267" s="16"/>
      <c r="N2267" s="20"/>
      <c r="O2267" s="18"/>
    </row>
    <row r="2268" spans="1:15" x14ac:dyDescent="0.2">
      <c r="A2268" s="10"/>
      <c r="B2268" s="11"/>
      <c r="C2268" s="12"/>
      <c r="D2268" s="11"/>
      <c r="E2268" s="13"/>
      <c r="F2268" s="14"/>
      <c r="G2268" s="11"/>
      <c r="H2268" s="16"/>
      <c r="J2268" s="17"/>
      <c r="K2268" s="12"/>
      <c r="L2268" s="16"/>
      <c r="N2268" s="20"/>
      <c r="O2268" s="18"/>
    </row>
    <row r="2269" spans="1:15" x14ac:dyDescent="0.2">
      <c r="A2269" s="10"/>
      <c r="B2269" s="11"/>
      <c r="C2269" s="12"/>
      <c r="D2269" s="11"/>
      <c r="E2269" s="13"/>
      <c r="F2269" s="14"/>
      <c r="G2269" s="11"/>
      <c r="H2269" s="16"/>
      <c r="J2269" s="17"/>
      <c r="K2269" s="12"/>
      <c r="L2269" s="16"/>
      <c r="N2269" s="20"/>
      <c r="O2269" s="18"/>
    </row>
    <row r="2270" spans="1:15" x14ac:dyDescent="0.2">
      <c r="A2270" s="10"/>
      <c r="B2270" s="11"/>
      <c r="C2270" s="12"/>
      <c r="D2270" s="11"/>
      <c r="E2270" s="13"/>
      <c r="F2270" s="14"/>
      <c r="G2270" s="11"/>
      <c r="H2270" s="16"/>
      <c r="J2270" s="17"/>
      <c r="K2270" s="12"/>
      <c r="L2270" s="16"/>
      <c r="N2270" s="20"/>
      <c r="O2270" s="18"/>
    </row>
    <row r="2271" spans="1:15" x14ac:dyDescent="0.2">
      <c r="A2271" s="10"/>
      <c r="B2271" s="11"/>
      <c r="C2271" s="12"/>
      <c r="D2271" s="11"/>
      <c r="E2271" s="13"/>
      <c r="F2271" s="14"/>
      <c r="G2271" s="11"/>
      <c r="H2271" s="16"/>
      <c r="J2271" s="17"/>
      <c r="K2271" s="12"/>
      <c r="L2271" s="16"/>
      <c r="N2271" s="20"/>
      <c r="O2271" s="18"/>
    </row>
    <row r="2272" spans="1:15" x14ac:dyDescent="0.2">
      <c r="A2272" s="10"/>
      <c r="B2272" s="11"/>
      <c r="C2272" s="12"/>
      <c r="D2272" s="11"/>
      <c r="E2272" s="13"/>
      <c r="F2272" s="14"/>
      <c r="G2272" s="11"/>
      <c r="H2272" s="16"/>
      <c r="J2272" s="17"/>
      <c r="K2272" s="12"/>
      <c r="L2272" s="16"/>
      <c r="N2272" s="20"/>
      <c r="O2272" s="18"/>
    </row>
    <row r="2273" spans="1:15" x14ac:dyDescent="0.2">
      <c r="A2273" s="10"/>
      <c r="B2273" s="11"/>
      <c r="C2273" s="12"/>
      <c r="D2273" s="11"/>
      <c r="E2273" s="13"/>
      <c r="F2273" s="14"/>
      <c r="G2273" s="11"/>
      <c r="H2273" s="16"/>
      <c r="J2273" s="17"/>
      <c r="K2273" s="12"/>
      <c r="L2273" s="16"/>
      <c r="N2273" s="20"/>
      <c r="O2273" s="18"/>
    </row>
    <row r="2274" spans="1:15" x14ac:dyDescent="0.2">
      <c r="A2274" s="10"/>
      <c r="B2274" s="11"/>
      <c r="C2274" s="12"/>
      <c r="D2274" s="11"/>
      <c r="E2274" s="13"/>
      <c r="F2274" s="14"/>
      <c r="G2274" s="11"/>
      <c r="H2274" s="16"/>
      <c r="J2274" s="17"/>
      <c r="K2274" s="12"/>
      <c r="L2274" s="16"/>
      <c r="N2274" s="20"/>
      <c r="O2274" s="18"/>
    </row>
    <row r="2275" spans="1:15" x14ac:dyDescent="0.2">
      <c r="A2275" s="10"/>
      <c r="B2275" s="11"/>
      <c r="C2275" s="12"/>
      <c r="D2275" s="11"/>
      <c r="E2275" s="13"/>
      <c r="F2275" s="14"/>
      <c r="G2275" s="11"/>
      <c r="H2275" s="16"/>
      <c r="J2275" s="17"/>
      <c r="K2275" s="12"/>
      <c r="L2275" s="16"/>
      <c r="N2275" s="20"/>
      <c r="O2275" s="18"/>
    </row>
    <row r="2276" spans="1:15" x14ac:dyDescent="0.2">
      <c r="A2276" s="10"/>
      <c r="B2276" s="11"/>
      <c r="C2276" s="12"/>
      <c r="D2276" s="11"/>
      <c r="E2276" s="13"/>
      <c r="F2276" s="14"/>
      <c r="G2276" s="11"/>
      <c r="H2276" s="16"/>
      <c r="J2276" s="17"/>
      <c r="K2276" s="12"/>
      <c r="L2276" s="16"/>
      <c r="N2276" s="20"/>
      <c r="O2276" s="18"/>
    </row>
    <row r="2277" spans="1:15" x14ac:dyDescent="0.2">
      <c r="A2277" s="10"/>
      <c r="B2277" s="11"/>
      <c r="C2277" s="12"/>
      <c r="D2277" s="11"/>
      <c r="E2277" s="13"/>
      <c r="F2277" s="14"/>
      <c r="G2277" s="11"/>
      <c r="H2277" s="16"/>
      <c r="J2277" s="17"/>
      <c r="K2277" s="12"/>
      <c r="L2277" s="16"/>
      <c r="N2277" s="20"/>
      <c r="O2277" s="18"/>
    </row>
    <row r="2278" spans="1:15" x14ac:dyDescent="0.2">
      <c r="A2278" s="10"/>
      <c r="B2278" s="11"/>
      <c r="C2278" s="12"/>
      <c r="D2278" s="11"/>
      <c r="E2278" s="13"/>
      <c r="F2278" s="14"/>
      <c r="G2278" s="11"/>
      <c r="H2278" s="16"/>
      <c r="J2278" s="17"/>
      <c r="K2278" s="12"/>
      <c r="L2278" s="16"/>
      <c r="N2278" s="20"/>
      <c r="O2278" s="18"/>
    </row>
    <row r="2279" spans="1:15" x14ac:dyDescent="0.2">
      <c r="A2279" s="10"/>
      <c r="B2279" s="11"/>
      <c r="C2279" s="12"/>
      <c r="D2279" s="11"/>
      <c r="E2279" s="13"/>
      <c r="F2279" s="14"/>
      <c r="G2279" s="11"/>
      <c r="H2279" s="16"/>
      <c r="J2279" s="17"/>
      <c r="K2279" s="12"/>
      <c r="L2279" s="16"/>
      <c r="N2279" s="20"/>
      <c r="O2279" s="18"/>
    </row>
    <row r="2280" spans="1:15" x14ac:dyDescent="0.2">
      <c r="A2280" s="10"/>
      <c r="B2280" s="11"/>
      <c r="C2280" s="12"/>
      <c r="D2280" s="11"/>
      <c r="E2280" s="13"/>
      <c r="F2280" s="14"/>
      <c r="G2280" s="11"/>
      <c r="H2280" s="16"/>
      <c r="J2280" s="17"/>
      <c r="K2280" s="12"/>
      <c r="L2280" s="16"/>
      <c r="N2280" s="20"/>
      <c r="O2280" s="18"/>
    </row>
    <row r="2281" spans="1:15" x14ac:dyDescent="0.2">
      <c r="A2281" s="10"/>
      <c r="B2281" s="11"/>
      <c r="C2281" s="12"/>
      <c r="D2281" s="11"/>
      <c r="E2281" s="13"/>
      <c r="F2281" s="14"/>
      <c r="G2281" s="11"/>
      <c r="H2281" s="16"/>
      <c r="J2281" s="17"/>
      <c r="K2281" s="12"/>
      <c r="L2281" s="16"/>
      <c r="N2281" s="20"/>
      <c r="O2281" s="18"/>
    </row>
    <row r="2282" spans="1:15" x14ac:dyDescent="0.2">
      <c r="A2282" s="10"/>
      <c r="B2282" s="11"/>
      <c r="C2282" s="12"/>
      <c r="D2282" s="11"/>
      <c r="E2282" s="13"/>
      <c r="F2282" s="14"/>
      <c r="G2282" s="11"/>
      <c r="H2282" s="16"/>
      <c r="J2282" s="17"/>
      <c r="K2282" s="12"/>
      <c r="L2282" s="16"/>
      <c r="N2282" s="20"/>
      <c r="O2282" s="18"/>
    </row>
    <row r="2283" spans="1:15" x14ac:dyDescent="0.2">
      <c r="A2283" s="10"/>
      <c r="B2283" s="11"/>
      <c r="C2283" s="12"/>
      <c r="D2283" s="11"/>
      <c r="E2283" s="13"/>
      <c r="F2283" s="14"/>
      <c r="G2283" s="11"/>
      <c r="H2283" s="16"/>
      <c r="J2283" s="17"/>
      <c r="K2283" s="12"/>
      <c r="L2283" s="16"/>
      <c r="N2283" s="20"/>
      <c r="O2283" s="18"/>
    </row>
    <row r="2284" spans="1:15" x14ac:dyDescent="0.2">
      <c r="A2284" s="10"/>
      <c r="B2284" s="11"/>
      <c r="C2284" s="12"/>
      <c r="D2284" s="11"/>
      <c r="E2284" s="13"/>
      <c r="F2284" s="14"/>
      <c r="G2284" s="11"/>
      <c r="H2284" s="16"/>
      <c r="J2284" s="17"/>
      <c r="K2284" s="12"/>
      <c r="L2284" s="16"/>
      <c r="N2284" s="20"/>
      <c r="O2284" s="18"/>
    </row>
    <row r="2285" spans="1:15" x14ac:dyDescent="0.2">
      <c r="A2285" s="10"/>
      <c r="B2285" s="11"/>
      <c r="C2285" s="12"/>
      <c r="D2285" s="11"/>
      <c r="E2285" s="13"/>
      <c r="F2285" s="14"/>
      <c r="G2285" s="11"/>
      <c r="H2285" s="16"/>
      <c r="J2285" s="17"/>
      <c r="K2285" s="12"/>
      <c r="L2285" s="16"/>
      <c r="N2285" s="20"/>
      <c r="O2285" s="18"/>
    </row>
    <row r="2286" spans="1:15" x14ac:dyDescent="0.2">
      <c r="A2286" s="10"/>
      <c r="B2286" s="11"/>
      <c r="C2286" s="12"/>
      <c r="D2286" s="11"/>
      <c r="E2286" s="13"/>
      <c r="F2286" s="14"/>
      <c r="G2286" s="11"/>
      <c r="H2286" s="16"/>
      <c r="J2286" s="17"/>
      <c r="K2286" s="12"/>
      <c r="L2286" s="16"/>
      <c r="N2286" s="20"/>
      <c r="O2286" s="18"/>
    </row>
    <row r="2287" spans="1:15" x14ac:dyDescent="0.2">
      <c r="A2287" s="10"/>
      <c r="B2287" s="11"/>
      <c r="C2287" s="12"/>
      <c r="D2287" s="11"/>
      <c r="E2287" s="13"/>
      <c r="F2287" s="14"/>
      <c r="G2287" s="11"/>
      <c r="H2287" s="16"/>
      <c r="J2287" s="17"/>
      <c r="K2287" s="12"/>
      <c r="L2287" s="16"/>
      <c r="N2287" s="20"/>
      <c r="O2287" s="18"/>
    </row>
    <row r="2288" spans="1:15" x14ac:dyDescent="0.2">
      <c r="A2288" s="10"/>
      <c r="B2288" s="11"/>
      <c r="C2288" s="12"/>
      <c r="D2288" s="11"/>
      <c r="E2288" s="13"/>
      <c r="F2288" s="14"/>
      <c r="G2288" s="11"/>
      <c r="H2288" s="16"/>
      <c r="J2288" s="17"/>
      <c r="K2288" s="12"/>
      <c r="L2288" s="16"/>
      <c r="N2288" s="20"/>
      <c r="O2288" s="18"/>
    </row>
    <row r="2289" spans="1:15" x14ac:dyDescent="0.2">
      <c r="A2289" s="10"/>
      <c r="B2289" s="11"/>
      <c r="C2289" s="12"/>
      <c r="D2289" s="11"/>
      <c r="E2289" s="13"/>
      <c r="F2289" s="14"/>
      <c r="G2289" s="11"/>
      <c r="H2289" s="16"/>
      <c r="J2289" s="17"/>
      <c r="K2289" s="12"/>
      <c r="L2289" s="16"/>
      <c r="N2289" s="20"/>
      <c r="O2289" s="18"/>
    </row>
    <row r="2290" spans="1:15" x14ac:dyDescent="0.2">
      <c r="A2290" s="10"/>
      <c r="B2290" s="11"/>
      <c r="C2290" s="12"/>
      <c r="D2290" s="11"/>
      <c r="E2290" s="13"/>
      <c r="F2290" s="14"/>
      <c r="G2290" s="11"/>
      <c r="H2290" s="16"/>
      <c r="J2290" s="17"/>
      <c r="K2290" s="12"/>
      <c r="L2290" s="16"/>
      <c r="N2290" s="20"/>
      <c r="O2290" s="18"/>
    </row>
    <row r="2291" spans="1:15" x14ac:dyDescent="0.2">
      <c r="A2291" s="10"/>
      <c r="B2291" s="11"/>
      <c r="C2291" s="12"/>
      <c r="D2291" s="11"/>
      <c r="E2291" s="13"/>
      <c r="F2291" s="14"/>
      <c r="G2291" s="11"/>
      <c r="H2291" s="16"/>
      <c r="J2291" s="17"/>
      <c r="K2291" s="12"/>
      <c r="L2291" s="16"/>
      <c r="N2291" s="20"/>
      <c r="O2291" s="18"/>
    </row>
    <row r="2292" spans="1:15" x14ac:dyDescent="0.2">
      <c r="A2292" s="10"/>
      <c r="B2292" s="11"/>
      <c r="C2292" s="12"/>
      <c r="D2292" s="11"/>
      <c r="E2292" s="13"/>
      <c r="F2292" s="14"/>
      <c r="G2292" s="11"/>
      <c r="H2292" s="16"/>
      <c r="J2292" s="17"/>
      <c r="K2292" s="12"/>
      <c r="L2292" s="16"/>
      <c r="N2292" s="20"/>
      <c r="O2292" s="18"/>
    </row>
    <row r="2293" spans="1:15" x14ac:dyDescent="0.2">
      <c r="A2293" s="10"/>
      <c r="B2293" s="11"/>
      <c r="C2293" s="12"/>
      <c r="D2293" s="11"/>
      <c r="E2293" s="13"/>
      <c r="F2293" s="14"/>
      <c r="G2293" s="11"/>
      <c r="H2293" s="16"/>
      <c r="J2293" s="17"/>
      <c r="K2293" s="12"/>
      <c r="L2293" s="16"/>
      <c r="N2293" s="20"/>
      <c r="O2293" s="18"/>
    </row>
    <row r="2294" spans="1:15" x14ac:dyDescent="0.2">
      <c r="A2294" s="10"/>
      <c r="B2294" s="11"/>
      <c r="C2294" s="12"/>
      <c r="D2294" s="11"/>
      <c r="E2294" s="13"/>
      <c r="F2294" s="14"/>
      <c r="G2294" s="11"/>
      <c r="H2294" s="16"/>
      <c r="J2294" s="17"/>
      <c r="K2294" s="12"/>
      <c r="L2294" s="16"/>
      <c r="N2294" s="20"/>
      <c r="O2294" s="18"/>
    </row>
    <row r="2295" spans="1:15" x14ac:dyDescent="0.2">
      <c r="A2295" s="10"/>
      <c r="B2295" s="11"/>
      <c r="C2295" s="12"/>
      <c r="D2295" s="11"/>
      <c r="E2295" s="13"/>
      <c r="F2295" s="14"/>
      <c r="G2295" s="11"/>
      <c r="H2295" s="16"/>
      <c r="J2295" s="17"/>
      <c r="K2295" s="12"/>
      <c r="L2295" s="16"/>
      <c r="N2295" s="20"/>
      <c r="O2295" s="18"/>
    </row>
    <row r="2296" spans="1:15" x14ac:dyDescent="0.2">
      <c r="A2296" s="10"/>
      <c r="B2296" s="11"/>
      <c r="C2296" s="12"/>
      <c r="D2296" s="11"/>
      <c r="E2296" s="13"/>
      <c r="F2296" s="14"/>
      <c r="G2296" s="11"/>
      <c r="H2296" s="16"/>
      <c r="J2296" s="17"/>
      <c r="K2296" s="12"/>
      <c r="L2296" s="16"/>
      <c r="N2296" s="20"/>
      <c r="O2296" s="18"/>
    </row>
    <row r="2297" spans="1:15" x14ac:dyDescent="0.2">
      <c r="A2297" s="10"/>
      <c r="B2297" s="11"/>
      <c r="C2297" s="12"/>
      <c r="D2297" s="11"/>
      <c r="E2297" s="13"/>
      <c r="F2297" s="14"/>
      <c r="G2297" s="11"/>
      <c r="H2297" s="16"/>
      <c r="J2297" s="17"/>
      <c r="K2297" s="12"/>
      <c r="L2297" s="16"/>
      <c r="N2297" s="20"/>
      <c r="O2297" s="18"/>
    </row>
    <row r="2298" spans="1:15" x14ac:dyDescent="0.2">
      <c r="A2298" s="10"/>
      <c r="B2298" s="11"/>
      <c r="C2298" s="12"/>
      <c r="D2298" s="11"/>
      <c r="E2298" s="13"/>
      <c r="F2298" s="14"/>
      <c r="G2298" s="11"/>
      <c r="H2298" s="16"/>
      <c r="J2298" s="17"/>
      <c r="K2298" s="12"/>
      <c r="L2298" s="16"/>
      <c r="N2298" s="20"/>
      <c r="O2298" s="18"/>
    </row>
    <row r="2299" spans="1:15" x14ac:dyDescent="0.2">
      <c r="A2299" s="10"/>
      <c r="B2299" s="11"/>
      <c r="C2299" s="12"/>
      <c r="D2299" s="11"/>
      <c r="E2299" s="13"/>
      <c r="F2299" s="14"/>
      <c r="G2299" s="11"/>
      <c r="H2299" s="16"/>
      <c r="J2299" s="17"/>
      <c r="K2299" s="12"/>
      <c r="L2299" s="16"/>
      <c r="N2299" s="20"/>
      <c r="O2299" s="18"/>
    </row>
    <row r="2300" spans="1:15" x14ac:dyDescent="0.2">
      <c r="A2300" s="10"/>
      <c r="B2300" s="11"/>
      <c r="C2300" s="12"/>
      <c r="D2300" s="11"/>
      <c r="E2300" s="13"/>
      <c r="F2300" s="14"/>
      <c r="G2300" s="11"/>
      <c r="H2300" s="16"/>
      <c r="J2300" s="17"/>
      <c r="K2300" s="12"/>
      <c r="L2300" s="16"/>
      <c r="N2300" s="20"/>
      <c r="O2300" s="18"/>
    </row>
    <row r="2301" spans="1:15" x14ac:dyDescent="0.2">
      <c r="A2301" s="10"/>
      <c r="B2301" s="11"/>
      <c r="C2301" s="12"/>
      <c r="D2301" s="11"/>
      <c r="E2301" s="13"/>
      <c r="F2301" s="14"/>
      <c r="G2301" s="11"/>
      <c r="H2301" s="16"/>
      <c r="J2301" s="17"/>
      <c r="K2301" s="12"/>
      <c r="L2301" s="16"/>
      <c r="N2301" s="20"/>
      <c r="O2301" s="18"/>
    </row>
    <row r="2302" spans="1:15" x14ac:dyDescent="0.2">
      <c r="A2302" s="10"/>
      <c r="B2302" s="11"/>
      <c r="C2302" s="12"/>
      <c r="D2302" s="11"/>
      <c r="E2302" s="13"/>
      <c r="F2302" s="14"/>
      <c r="G2302" s="11"/>
      <c r="H2302" s="16"/>
      <c r="J2302" s="17"/>
      <c r="K2302" s="12"/>
      <c r="L2302" s="16"/>
      <c r="N2302" s="20"/>
      <c r="O2302" s="18"/>
    </row>
    <row r="2303" spans="1:15" x14ac:dyDescent="0.2">
      <c r="A2303" s="10"/>
      <c r="B2303" s="11"/>
      <c r="C2303" s="12"/>
      <c r="D2303" s="11"/>
      <c r="E2303" s="13"/>
      <c r="F2303" s="14"/>
      <c r="G2303" s="11"/>
      <c r="H2303" s="16"/>
      <c r="J2303" s="17"/>
      <c r="K2303" s="12"/>
      <c r="L2303" s="16"/>
      <c r="N2303" s="20"/>
      <c r="O2303" s="18"/>
    </row>
    <row r="2304" spans="1:15" x14ac:dyDescent="0.2">
      <c r="A2304" s="10"/>
      <c r="B2304" s="11"/>
      <c r="C2304" s="12"/>
      <c r="D2304" s="11"/>
      <c r="E2304" s="13"/>
      <c r="F2304" s="14"/>
      <c r="G2304" s="11"/>
      <c r="H2304" s="16"/>
      <c r="J2304" s="17"/>
      <c r="K2304" s="12"/>
      <c r="L2304" s="16"/>
      <c r="N2304" s="20"/>
      <c r="O2304" s="18"/>
    </row>
    <row r="2305" spans="1:15" x14ac:dyDescent="0.2">
      <c r="A2305" s="10"/>
      <c r="B2305" s="11"/>
      <c r="C2305" s="12"/>
      <c r="D2305" s="11"/>
      <c r="E2305" s="13"/>
      <c r="F2305" s="14"/>
      <c r="G2305" s="11"/>
      <c r="H2305" s="16"/>
      <c r="J2305" s="17"/>
      <c r="K2305" s="12"/>
      <c r="L2305" s="16"/>
      <c r="N2305" s="20"/>
      <c r="O2305" s="18"/>
    </row>
    <row r="2306" spans="1:15" x14ac:dyDescent="0.2">
      <c r="A2306" s="10"/>
      <c r="B2306" s="11"/>
      <c r="C2306" s="12"/>
      <c r="D2306" s="11"/>
      <c r="E2306" s="13"/>
      <c r="F2306" s="14"/>
      <c r="G2306" s="11"/>
      <c r="H2306" s="16"/>
      <c r="J2306" s="17"/>
      <c r="K2306" s="12"/>
      <c r="L2306" s="16"/>
      <c r="N2306" s="20"/>
      <c r="O2306" s="18"/>
    </row>
    <row r="2307" spans="1:15" x14ac:dyDescent="0.2">
      <c r="A2307" s="10"/>
      <c r="B2307" s="11"/>
      <c r="C2307" s="12"/>
      <c r="D2307" s="11"/>
      <c r="E2307" s="13"/>
      <c r="F2307" s="14"/>
      <c r="G2307" s="11"/>
      <c r="H2307" s="16"/>
      <c r="J2307" s="17"/>
      <c r="K2307" s="12"/>
      <c r="L2307" s="16"/>
      <c r="N2307" s="20"/>
      <c r="O2307" s="18"/>
    </row>
    <row r="2308" spans="1:15" x14ac:dyDescent="0.2">
      <c r="A2308" s="10"/>
      <c r="B2308" s="11"/>
      <c r="C2308" s="12"/>
      <c r="D2308" s="11"/>
      <c r="E2308" s="13"/>
      <c r="F2308" s="14"/>
      <c r="G2308" s="11"/>
      <c r="H2308" s="16"/>
      <c r="J2308" s="17"/>
      <c r="K2308" s="12"/>
      <c r="L2308" s="16"/>
      <c r="N2308" s="20"/>
      <c r="O2308" s="18"/>
    </row>
    <row r="2309" spans="1:15" x14ac:dyDescent="0.2">
      <c r="A2309" s="10"/>
      <c r="B2309" s="11"/>
      <c r="C2309" s="12"/>
      <c r="D2309" s="11"/>
      <c r="E2309" s="13"/>
      <c r="F2309" s="14"/>
      <c r="G2309" s="11"/>
      <c r="H2309" s="16"/>
      <c r="J2309" s="17"/>
      <c r="K2309" s="12"/>
      <c r="L2309" s="16"/>
      <c r="N2309" s="20"/>
      <c r="O2309" s="18"/>
    </row>
    <row r="2310" spans="1:15" x14ac:dyDescent="0.2">
      <c r="A2310" s="10"/>
      <c r="B2310" s="11"/>
      <c r="C2310" s="12"/>
      <c r="D2310" s="11"/>
      <c r="E2310" s="13"/>
      <c r="F2310" s="14"/>
      <c r="G2310" s="11"/>
      <c r="H2310" s="16"/>
      <c r="J2310" s="17"/>
      <c r="K2310" s="12"/>
      <c r="L2310" s="16"/>
      <c r="N2310" s="20"/>
      <c r="O2310" s="18"/>
    </row>
    <row r="2311" spans="1:15" x14ac:dyDescent="0.2">
      <c r="A2311" s="10"/>
      <c r="B2311" s="11"/>
      <c r="C2311" s="12"/>
      <c r="D2311" s="11"/>
      <c r="E2311" s="13"/>
      <c r="F2311" s="14"/>
      <c r="G2311" s="11"/>
      <c r="H2311" s="16"/>
      <c r="J2311" s="17"/>
      <c r="K2311" s="12"/>
      <c r="L2311" s="16"/>
      <c r="N2311" s="20"/>
      <c r="O2311" s="18"/>
    </row>
    <row r="2312" spans="1:15" x14ac:dyDescent="0.2">
      <c r="A2312" s="10"/>
      <c r="B2312" s="11"/>
      <c r="C2312" s="12"/>
      <c r="D2312" s="11"/>
      <c r="E2312" s="13"/>
      <c r="F2312" s="14"/>
      <c r="G2312" s="11"/>
      <c r="H2312" s="16"/>
      <c r="J2312" s="17"/>
      <c r="K2312" s="12"/>
      <c r="L2312" s="16"/>
      <c r="N2312" s="20"/>
      <c r="O2312" s="18"/>
    </row>
    <row r="2313" spans="1:15" x14ac:dyDescent="0.2">
      <c r="A2313" s="10"/>
      <c r="B2313" s="11"/>
      <c r="C2313" s="12"/>
      <c r="D2313" s="11"/>
      <c r="E2313" s="13"/>
      <c r="F2313" s="14"/>
      <c r="G2313" s="11"/>
      <c r="H2313" s="16"/>
      <c r="J2313" s="17"/>
      <c r="K2313" s="12"/>
      <c r="L2313" s="16"/>
      <c r="N2313" s="20"/>
      <c r="O2313" s="18"/>
    </row>
    <row r="2314" spans="1:15" x14ac:dyDescent="0.2">
      <c r="A2314" s="10"/>
      <c r="B2314" s="11"/>
      <c r="C2314" s="12"/>
      <c r="D2314" s="11"/>
      <c r="E2314" s="13"/>
      <c r="F2314" s="14"/>
      <c r="G2314" s="11"/>
      <c r="H2314" s="16"/>
      <c r="J2314" s="17"/>
      <c r="K2314" s="12"/>
      <c r="L2314" s="16"/>
      <c r="N2314" s="20"/>
      <c r="O2314" s="18"/>
    </row>
    <row r="2315" spans="1:15" x14ac:dyDescent="0.2">
      <c r="A2315" s="10"/>
      <c r="B2315" s="11"/>
      <c r="C2315" s="12"/>
      <c r="D2315" s="11"/>
      <c r="E2315" s="13"/>
      <c r="F2315" s="14"/>
      <c r="G2315" s="11"/>
      <c r="H2315" s="16"/>
      <c r="J2315" s="17"/>
      <c r="K2315" s="12"/>
      <c r="L2315" s="16"/>
      <c r="N2315" s="20"/>
      <c r="O2315" s="18"/>
    </row>
    <row r="2316" spans="1:15" x14ac:dyDescent="0.2">
      <c r="A2316" s="10"/>
      <c r="B2316" s="11"/>
      <c r="C2316" s="12"/>
      <c r="D2316" s="11"/>
      <c r="E2316" s="13"/>
      <c r="F2316" s="14"/>
      <c r="G2316" s="11"/>
      <c r="H2316" s="16"/>
      <c r="J2316" s="17"/>
      <c r="K2316" s="12"/>
      <c r="L2316" s="16"/>
      <c r="N2316" s="20"/>
      <c r="O2316" s="18"/>
    </row>
    <row r="2317" spans="1:15" x14ac:dyDescent="0.2">
      <c r="A2317" s="10"/>
      <c r="B2317" s="11"/>
      <c r="C2317" s="12"/>
      <c r="D2317" s="11"/>
      <c r="E2317" s="13"/>
      <c r="F2317" s="14"/>
      <c r="G2317" s="11"/>
      <c r="H2317" s="16"/>
      <c r="J2317" s="17"/>
      <c r="K2317" s="12"/>
      <c r="L2317" s="16"/>
      <c r="N2317" s="20"/>
      <c r="O2317" s="18"/>
    </row>
    <row r="2318" spans="1:15" x14ac:dyDescent="0.2">
      <c r="A2318" s="10"/>
      <c r="B2318" s="11"/>
      <c r="C2318" s="12"/>
      <c r="D2318" s="11"/>
      <c r="E2318" s="13"/>
      <c r="F2318" s="14"/>
      <c r="G2318" s="11"/>
      <c r="H2318" s="16"/>
      <c r="J2318" s="17"/>
      <c r="K2318" s="12"/>
      <c r="L2318" s="16"/>
      <c r="N2318" s="20"/>
      <c r="O2318" s="18"/>
    </row>
    <row r="2319" spans="1:15" x14ac:dyDescent="0.2">
      <c r="A2319" s="10"/>
      <c r="B2319" s="11"/>
      <c r="C2319" s="12"/>
      <c r="D2319" s="11"/>
      <c r="E2319" s="13"/>
      <c r="F2319" s="14"/>
      <c r="G2319" s="11"/>
      <c r="H2319" s="16"/>
      <c r="J2319" s="17"/>
      <c r="K2319" s="12"/>
      <c r="L2319" s="16"/>
      <c r="N2319" s="20"/>
      <c r="O2319" s="18"/>
    </row>
    <row r="2320" spans="1:15" x14ac:dyDescent="0.2">
      <c r="A2320" s="10"/>
      <c r="B2320" s="11"/>
      <c r="C2320" s="12"/>
      <c r="D2320" s="11"/>
      <c r="E2320" s="13"/>
      <c r="F2320" s="14"/>
      <c r="G2320" s="11"/>
      <c r="H2320" s="16"/>
      <c r="J2320" s="17"/>
      <c r="K2320" s="12"/>
      <c r="L2320" s="16"/>
      <c r="N2320" s="20"/>
      <c r="O2320" s="18"/>
    </row>
    <row r="2321" spans="1:15" x14ac:dyDescent="0.2">
      <c r="A2321" s="10"/>
      <c r="B2321" s="11"/>
      <c r="C2321" s="12"/>
      <c r="D2321" s="11"/>
      <c r="E2321" s="13"/>
      <c r="F2321" s="14"/>
      <c r="G2321" s="11"/>
      <c r="H2321" s="16"/>
      <c r="J2321" s="17"/>
      <c r="K2321" s="12"/>
      <c r="L2321" s="16"/>
      <c r="N2321" s="20"/>
      <c r="O2321" s="18"/>
    </row>
    <row r="2322" spans="1:15" x14ac:dyDescent="0.2">
      <c r="A2322" s="10"/>
      <c r="B2322" s="11"/>
      <c r="C2322" s="12"/>
      <c r="D2322" s="11"/>
      <c r="E2322" s="13"/>
      <c r="F2322" s="14"/>
      <c r="G2322" s="11"/>
      <c r="H2322" s="16"/>
      <c r="J2322" s="17"/>
      <c r="K2322" s="12"/>
      <c r="L2322" s="16"/>
      <c r="N2322" s="20"/>
      <c r="O2322" s="18"/>
    </row>
    <row r="2323" spans="1:15" x14ac:dyDescent="0.2">
      <c r="A2323" s="10"/>
      <c r="B2323" s="11"/>
      <c r="C2323" s="12"/>
      <c r="D2323" s="11"/>
      <c r="E2323" s="13"/>
      <c r="F2323" s="14"/>
      <c r="G2323" s="11"/>
      <c r="H2323" s="16"/>
      <c r="J2323" s="17"/>
      <c r="K2323" s="12"/>
      <c r="L2323" s="16"/>
      <c r="N2323" s="20"/>
      <c r="O2323" s="18"/>
    </row>
    <row r="2324" spans="1:15" x14ac:dyDescent="0.2">
      <c r="A2324" s="10"/>
      <c r="B2324" s="11"/>
      <c r="C2324" s="12"/>
      <c r="D2324" s="11"/>
      <c r="E2324" s="13"/>
      <c r="F2324" s="14"/>
      <c r="G2324" s="11"/>
      <c r="H2324" s="16"/>
      <c r="J2324" s="17"/>
      <c r="K2324" s="12"/>
      <c r="L2324" s="16"/>
      <c r="N2324" s="20"/>
      <c r="O2324" s="18"/>
    </row>
    <row r="2325" spans="1:15" x14ac:dyDescent="0.2">
      <c r="A2325" s="10"/>
      <c r="B2325" s="11"/>
      <c r="C2325" s="12"/>
      <c r="D2325" s="11"/>
      <c r="E2325" s="13"/>
      <c r="F2325" s="14"/>
      <c r="G2325" s="11"/>
      <c r="H2325" s="16"/>
      <c r="J2325" s="17"/>
      <c r="K2325" s="12"/>
      <c r="L2325" s="16"/>
      <c r="N2325" s="20"/>
      <c r="O2325" s="18"/>
    </row>
    <row r="2326" spans="1:15" x14ac:dyDescent="0.2">
      <c r="A2326" s="10"/>
      <c r="B2326" s="11"/>
      <c r="C2326" s="12"/>
      <c r="D2326" s="11"/>
      <c r="E2326" s="13"/>
      <c r="F2326" s="14"/>
      <c r="G2326" s="11"/>
      <c r="H2326" s="16"/>
      <c r="J2326" s="17"/>
      <c r="K2326" s="12"/>
      <c r="L2326" s="16"/>
      <c r="N2326" s="20"/>
      <c r="O2326" s="18"/>
    </row>
    <row r="2327" spans="1:15" x14ac:dyDescent="0.2">
      <c r="A2327" s="10"/>
      <c r="B2327" s="11"/>
      <c r="C2327" s="12"/>
      <c r="D2327" s="11"/>
      <c r="E2327" s="13"/>
      <c r="F2327" s="14"/>
      <c r="G2327" s="11"/>
      <c r="H2327" s="16"/>
      <c r="J2327" s="17"/>
      <c r="K2327" s="12"/>
      <c r="L2327" s="16"/>
      <c r="N2327" s="20"/>
      <c r="O2327" s="18"/>
    </row>
    <row r="2328" spans="1:15" x14ac:dyDescent="0.2">
      <c r="A2328" s="10"/>
      <c r="B2328" s="11"/>
      <c r="C2328" s="12"/>
      <c r="D2328" s="11"/>
      <c r="E2328" s="13"/>
      <c r="F2328" s="14"/>
      <c r="G2328" s="11"/>
      <c r="H2328" s="16"/>
      <c r="J2328" s="17"/>
      <c r="K2328" s="12"/>
      <c r="L2328" s="16"/>
      <c r="N2328" s="20"/>
      <c r="O2328" s="18"/>
    </row>
    <row r="2329" spans="1:15" x14ac:dyDescent="0.2">
      <c r="A2329" s="10"/>
      <c r="B2329" s="11"/>
      <c r="C2329" s="12"/>
      <c r="D2329" s="11"/>
      <c r="E2329" s="13"/>
      <c r="F2329" s="14"/>
      <c r="G2329" s="11"/>
      <c r="H2329" s="16"/>
      <c r="J2329" s="17"/>
      <c r="K2329" s="12"/>
      <c r="L2329" s="16"/>
      <c r="N2329" s="20"/>
      <c r="O2329" s="18"/>
    </row>
    <row r="2330" spans="1:15" x14ac:dyDescent="0.2">
      <c r="A2330" s="10"/>
      <c r="B2330" s="11"/>
      <c r="C2330" s="12"/>
      <c r="D2330" s="11"/>
      <c r="E2330" s="13"/>
      <c r="F2330" s="14"/>
      <c r="G2330" s="11"/>
      <c r="H2330" s="16"/>
      <c r="J2330" s="17"/>
      <c r="K2330" s="12"/>
      <c r="L2330" s="16"/>
      <c r="N2330" s="20"/>
      <c r="O2330" s="18"/>
    </row>
    <row r="2331" spans="1:15" x14ac:dyDescent="0.2">
      <c r="A2331" s="10"/>
      <c r="B2331" s="11"/>
      <c r="C2331" s="12"/>
      <c r="D2331" s="11"/>
      <c r="E2331" s="13"/>
      <c r="F2331" s="14"/>
      <c r="G2331" s="11"/>
      <c r="H2331" s="16"/>
      <c r="J2331" s="17"/>
      <c r="K2331" s="12"/>
      <c r="L2331" s="16"/>
      <c r="N2331" s="20"/>
      <c r="O2331" s="18"/>
    </row>
    <row r="2332" spans="1:15" x14ac:dyDescent="0.2">
      <c r="A2332" s="10"/>
      <c r="B2332" s="11"/>
      <c r="C2332" s="12"/>
      <c r="D2332" s="11"/>
      <c r="E2332" s="13"/>
      <c r="F2332" s="14"/>
      <c r="G2332" s="11"/>
      <c r="H2332" s="16"/>
      <c r="J2332" s="17"/>
      <c r="K2332" s="12"/>
      <c r="L2332" s="16"/>
      <c r="N2332" s="20"/>
      <c r="O2332" s="18"/>
    </row>
    <row r="2333" spans="1:15" x14ac:dyDescent="0.2">
      <c r="A2333" s="10"/>
      <c r="B2333" s="11"/>
      <c r="C2333" s="12"/>
      <c r="D2333" s="11"/>
      <c r="E2333" s="13"/>
      <c r="F2333" s="14"/>
      <c r="G2333" s="11"/>
      <c r="H2333" s="16"/>
      <c r="J2333" s="17"/>
      <c r="K2333" s="12"/>
      <c r="L2333" s="16"/>
      <c r="N2333" s="20"/>
      <c r="O2333" s="18"/>
    </row>
    <row r="2334" spans="1:15" x14ac:dyDescent="0.2">
      <c r="A2334" s="10"/>
      <c r="B2334" s="11"/>
      <c r="C2334" s="12"/>
      <c r="D2334" s="11"/>
      <c r="E2334" s="13"/>
      <c r="F2334" s="14"/>
      <c r="G2334" s="11"/>
      <c r="H2334" s="16"/>
      <c r="J2334" s="17"/>
      <c r="K2334" s="12"/>
      <c r="L2334" s="16"/>
      <c r="N2334" s="20"/>
      <c r="O2334" s="18"/>
    </row>
    <row r="2335" spans="1:15" x14ac:dyDescent="0.2">
      <c r="A2335" s="10"/>
      <c r="B2335" s="11"/>
      <c r="C2335" s="12"/>
      <c r="D2335" s="11"/>
      <c r="E2335" s="13"/>
      <c r="F2335" s="14"/>
      <c r="G2335" s="11"/>
      <c r="H2335" s="16"/>
      <c r="J2335" s="17"/>
      <c r="K2335" s="12"/>
      <c r="L2335" s="16"/>
      <c r="N2335" s="20"/>
      <c r="O2335" s="18"/>
    </row>
    <row r="2336" spans="1:15" x14ac:dyDescent="0.2">
      <c r="A2336" s="10"/>
      <c r="B2336" s="11"/>
      <c r="C2336" s="12"/>
      <c r="D2336" s="11"/>
      <c r="E2336" s="13"/>
      <c r="F2336" s="14"/>
      <c r="G2336" s="11"/>
      <c r="H2336" s="16"/>
      <c r="J2336" s="17"/>
      <c r="K2336" s="12"/>
      <c r="L2336" s="16"/>
      <c r="N2336" s="20"/>
      <c r="O2336" s="18"/>
    </row>
    <row r="2337" spans="1:15" x14ac:dyDescent="0.2">
      <c r="A2337" s="10"/>
      <c r="B2337" s="11"/>
      <c r="C2337" s="12"/>
      <c r="D2337" s="11"/>
      <c r="E2337" s="13"/>
      <c r="F2337" s="14"/>
      <c r="G2337" s="11"/>
      <c r="H2337" s="16"/>
      <c r="J2337" s="17"/>
      <c r="K2337" s="12"/>
      <c r="L2337" s="16"/>
      <c r="N2337" s="20"/>
      <c r="O2337" s="18"/>
    </row>
    <row r="2338" spans="1:15" x14ac:dyDescent="0.2">
      <c r="A2338" s="10"/>
      <c r="B2338" s="11"/>
      <c r="C2338" s="12"/>
      <c r="D2338" s="11"/>
      <c r="E2338" s="13"/>
      <c r="F2338" s="14"/>
      <c r="G2338" s="11"/>
      <c r="H2338" s="16"/>
      <c r="J2338" s="17"/>
      <c r="K2338" s="12"/>
      <c r="L2338" s="16"/>
      <c r="N2338" s="20"/>
      <c r="O2338" s="18"/>
    </row>
    <row r="2339" spans="1:15" x14ac:dyDescent="0.2">
      <c r="A2339" s="10"/>
      <c r="B2339" s="11"/>
      <c r="C2339" s="12"/>
      <c r="D2339" s="11"/>
      <c r="E2339" s="13"/>
      <c r="F2339" s="14"/>
      <c r="G2339" s="11"/>
      <c r="H2339" s="16"/>
      <c r="J2339" s="17"/>
      <c r="K2339" s="12"/>
      <c r="L2339" s="16"/>
      <c r="N2339" s="20"/>
      <c r="O2339" s="18"/>
    </row>
    <row r="2340" spans="1:15" x14ac:dyDescent="0.2">
      <c r="A2340" s="10"/>
      <c r="B2340" s="11"/>
      <c r="C2340" s="12"/>
      <c r="D2340" s="11"/>
      <c r="E2340" s="13"/>
      <c r="F2340" s="14"/>
      <c r="G2340" s="11"/>
      <c r="H2340" s="16"/>
      <c r="J2340" s="17"/>
      <c r="K2340" s="12"/>
      <c r="L2340" s="16"/>
      <c r="N2340" s="20"/>
      <c r="O2340" s="18"/>
    </row>
    <row r="2341" spans="1:15" x14ac:dyDescent="0.2">
      <c r="A2341" s="10"/>
      <c r="B2341" s="11"/>
      <c r="C2341" s="12"/>
      <c r="D2341" s="11"/>
      <c r="E2341" s="13"/>
      <c r="F2341" s="14"/>
      <c r="G2341" s="11"/>
      <c r="H2341" s="16"/>
      <c r="J2341" s="17"/>
      <c r="K2341" s="12"/>
      <c r="L2341" s="16"/>
      <c r="N2341" s="20"/>
      <c r="O2341" s="18"/>
    </row>
    <row r="2342" spans="1:15" x14ac:dyDescent="0.2">
      <c r="A2342" s="10"/>
      <c r="B2342" s="11"/>
      <c r="C2342" s="12"/>
      <c r="D2342" s="11"/>
      <c r="E2342" s="13"/>
      <c r="F2342" s="14"/>
      <c r="G2342" s="11"/>
      <c r="H2342" s="16"/>
      <c r="J2342" s="17"/>
      <c r="K2342" s="12"/>
      <c r="L2342" s="16"/>
      <c r="N2342" s="20"/>
      <c r="O2342" s="18"/>
    </row>
    <row r="2343" spans="1:15" x14ac:dyDescent="0.2">
      <c r="A2343" s="10"/>
      <c r="B2343" s="11"/>
      <c r="C2343" s="12"/>
      <c r="D2343" s="11"/>
      <c r="E2343" s="13"/>
      <c r="F2343" s="14"/>
      <c r="G2343" s="11"/>
      <c r="H2343" s="16"/>
      <c r="J2343" s="17"/>
      <c r="K2343" s="12"/>
      <c r="L2343" s="16"/>
      <c r="N2343" s="20"/>
      <c r="O2343" s="18"/>
    </row>
    <row r="2344" spans="1:15" x14ac:dyDescent="0.2">
      <c r="A2344" s="10"/>
      <c r="B2344" s="11"/>
      <c r="C2344" s="12"/>
      <c r="D2344" s="11"/>
      <c r="E2344" s="13"/>
      <c r="F2344" s="14"/>
      <c r="G2344" s="11"/>
      <c r="H2344" s="16"/>
      <c r="J2344" s="17"/>
      <c r="K2344" s="12"/>
      <c r="L2344" s="16"/>
      <c r="N2344" s="20"/>
      <c r="O2344" s="1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11</xdr:row>
                    <xdr:rowOff>0</xdr:rowOff>
                  </from>
                  <to>
                    <xdr:col>1</xdr:col>
                    <xdr:colOff>1514475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24" t="s">
        <v>1135</v>
      </c>
      <c r="C2" s="253" t="s">
        <v>1136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3" t="s">
        <v>289</v>
      </c>
      <c r="I6" s="157"/>
    </row>
    <row r="7" spans="1:10" x14ac:dyDescent="0.2">
      <c r="B7" s="152"/>
      <c r="C7" s="282" t="s">
        <v>850</v>
      </c>
      <c r="D7" s="283"/>
      <c r="E7" s="283"/>
      <c r="F7" s="284" t="s">
        <v>639</v>
      </c>
      <c r="G7" s="285"/>
      <c r="H7" s="285"/>
      <c r="I7" s="216" t="s">
        <v>655</v>
      </c>
      <c r="J7" s="157"/>
    </row>
    <row r="8" spans="1:10" ht="15" customHeight="1" x14ac:dyDescent="0.2">
      <c r="A8" s="152"/>
      <c r="B8" s="258" t="s">
        <v>636</v>
      </c>
      <c r="C8" s="28" t="s">
        <v>642</v>
      </c>
      <c r="D8" s="28" t="s">
        <v>643</v>
      </c>
      <c r="E8" s="28" t="s">
        <v>644</v>
      </c>
      <c r="F8" s="169" t="s">
        <v>642</v>
      </c>
      <c r="G8" s="169" t="s">
        <v>643</v>
      </c>
      <c r="H8" s="190" t="s">
        <v>644</v>
      </c>
      <c r="I8" s="217">
        <v>2012</v>
      </c>
    </row>
    <row r="9" spans="1:10" ht="12.75" customHeight="1" x14ac:dyDescent="0.2">
      <c r="A9" s="152"/>
      <c r="B9" s="266" t="s">
        <v>117</v>
      </c>
      <c r="C9" s="269">
        <v>1391782</v>
      </c>
      <c r="D9" s="269">
        <v>1502709</v>
      </c>
      <c r="E9" s="269">
        <v>2894491</v>
      </c>
      <c r="F9" s="269">
        <v>51749298087.349655</v>
      </c>
      <c r="G9" s="269">
        <v>66034272822.723152</v>
      </c>
      <c r="H9" s="269">
        <v>117783570910.0728</v>
      </c>
      <c r="I9" s="218"/>
    </row>
    <row r="10" spans="1:10" ht="12.75" customHeight="1" x14ac:dyDescent="0.2">
      <c r="A10" s="152"/>
      <c r="B10" s="266" t="s">
        <v>996</v>
      </c>
      <c r="C10" s="269">
        <v>134836</v>
      </c>
      <c r="D10" s="269">
        <v>139898</v>
      </c>
      <c r="E10" s="269">
        <v>274734</v>
      </c>
      <c r="F10" s="269">
        <v>2332103457.7247996</v>
      </c>
      <c r="G10" s="269">
        <v>3110661609.4243999</v>
      </c>
      <c r="H10" s="269">
        <v>5442765067.1491995</v>
      </c>
      <c r="I10" s="218">
        <f>VLOOKUP($B$9:$B$18,Fondstatistik!$A$19:$R$819,2,FALSE)</f>
        <v>6</v>
      </c>
    </row>
    <row r="11" spans="1:10" ht="12.75" customHeight="1" x14ac:dyDescent="0.2">
      <c r="A11" s="152"/>
      <c r="B11" s="266" t="s">
        <v>820</v>
      </c>
      <c r="C11" s="269">
        <v>128014</v>
      </c>
      <c r="D11" s="269">
        <v>136060</v>
      </c>
      <c r="E11" s="269">
        <v>264074</v>
      </c>
      <c r="F11" s="269">
        <v>4427950978.4785595</v>
      </c>
      <c r="G11" s="269">
        <v>5936845224.9998798</v>
      </c>
      <c r="H11" s="269">
        <v>10364796203.478399</v>
      </c>
      <c r="I11" s="218">
        <f>VLOOKUP($B$9:$B$18,Fondstatistik!$A$19:$R$819,2,FALSE)</f>
        <v>13</v>
      </c>
    </row>
    <row r="12" spans="1:10" ht="12.75" customHeight="1" x14ac:dyDescent="0.2">
      <c r="A12" s="152"/>
      <c r="B12" s="266" t="s">
        <v>819</v>
      </c>
      <c r="C12" s="269">
        <v>116719</v>
      </c>
      <c r="D12" s="269">
        <v>119859</v>
      </c>
      <c r="E12" s="269">
        <v>236578</v>
      </c>
      <c r="F12" s="269">
        <v>3534829115.6819601</v>
      </c>
      <c r="G12" s="269">
        <v>4644492300.1286201</v>
      </c>
      <c r="H12" s="269">
        <v>8179321415.8105803</v>
      </c>
      <c r="I12" s="218">
        <f>VLOOKUP($B$9:$B$18,Fondstatistik!$A$19:$R$819,2,FALSE)</f>
        <v>11</v>
      </c>
    </row>
    <row r="13" spans="1:10" ht="12.75" customHeight="1" x14ac:dyDescent="0.2">
      <c r="A13" s="152"/>
      <c r="B13" s="266" t="s">
        <v>683</v>
      </c>
      <c r="C13" s="269">
        <v>111776</v>
      </c>
      <c r="D13" s="269">
        <v>118600</v>
      </c>
      <c r="E13" s="269">
        <v>230376</v>
      </c>
      <c r="F13" s="269">
        <v>4302020213.2392702</v>
      </c>
      <c r="G13" s="269">
        <v>5610249262.1916704</v>
      </c>
      <c r="H13" s="269">
        <v>9912269475.4309502</v>
      </c>
      <c r="I13" s="218">
        <f>VLOOKUP($B$9:$B$18,Fondstatistik!$A$19:$R$819,2,FALSE)</f>
        <v>21</v>
      </c>
    </row>
    <row r="14" spans="1:10" ht="12.75" customHeight="1" x14ac:dyDescent="0.2">
      <c r="A14" s="152"/>
      <c r="B14" s="266" t="s">
        <v>520</v>
      </c>
      <c r="C14" s="269">
        <v>90094</v>
      </c>
      <c r="D14" s="269">
        <v>75933</v>
      </c>
      <c r="E14" s="269">
        <v>166027</v>
      </c>
      <c r="F14" s="269">
        <v>3271856948.0005798</v>
      </c>
      <c r="G14" s="269">
        <v>3370312628.8603101</v>
      </c>
      <c r="H14" s="269">
        <v>6642169576.8608904</v>
      </c>
      <c r="I14" s="218">
        <f>VLOOKUP($B$9:$B$18,Fondstatistik!$A$19:$R$819,2,FALSE)</f>
        <v>10</v>
      </c>
    </row>
    <row r="15" spans="1:10" ht="12.75" customHeight="1" x14ac:dyDescent="0.2">
      <c r="A15" s="152"/>
      <c r="B15" s="266" t="s">
        <v>515</v>
      </c>
      <c r="C15" s="269">
        <v>67626</v>
      </c>
      <c r="D15" s="269">
        <v>70547</v>
      </c>
      <c r="E15" s="269">
        <v>138173</v>
      </c>
      <c r="F15" s="269">
        <v>4120359269.4649</v>
      </c>
      <c r="G15" s="269">
        <v>5355357417.8408394</v>
      </c>
      <c r="H15" s="269">
        <v>9475716687.3057404</v>
      </c>
      <c r="I15" s="218">
        <f>VLOOKUP($B$9:$B$18,Fondstatistik!$A$19:$R$819,2,FALSE)</f>
        <v>9</v>
      </c>
    </row>
    <row r="16" spans="1:10" ht="12.75" customHeight="1" x14ac:dyDescent="0.2">
      <c r="A16" s="152"/>
      <c r="B16" s="266" t="s">
        <v>539</v>
      </c>
      <c r="C16" s="269">
        <v>68705</v>
      </c>
      <c r="D16" s="269">
        <v>63814</v>
      </c>
      <c r="E16" s="269">
        <v>132519</v>
      </c>
      <c r="F16" s="269">
        <v>1129570012.37412</v>
      </c>
      <c r="G16" s="269">
        <v>1354331822.5509799</v>
      </c>
      <c r="H16" s="269">
        <v>2483901834.9251099</v>
      </c>
      <c r="I16" s="218">
        <f>VLOOKUP($B$9:$B$18,Fondstatistik!$A$19:$R$819,2,FALSE)</f>
        <v>11</v>
      </c>
    </row>
    <row r="17" spans="1:10" ht="12.75" customHeight="1" x14ac:dyDescent="0.2">
      <c r="A17" s="152"/>
      <c r="B17" s="266" t="s">
        <v>519</v>
      </c>
      <c r="C17" s="269">
        <v>71210</v>
      </c>
      <c r="D17" s="269">
        <v>55731</v>
      </c>
      <c r="E17" s="269">
        <v>126941</v>
      </c>
      <c r="F17" s="269">
        <v>5125598221.2346296</v>
      </c>
      <c r="G17" s="269">
        <v>4766157748.43577</v>
      </c>
      <c r="H17" s="269">
        <v>9891755969.6703892</v>
      </c>
      <c r="I17" s="218">
        <f>VLOOKUP($B$9:$B$18,Fondstatistik!$A$19:$R$819,2,FALSE)</f>
        <v>8</v>
      </c>
    </row>
    <row r="18" spans="1:10" ht="12.75" customHeight="1" x14ac:dyDescent="0.2">
      <c r="A18" s="152"/>
      <c r="B18" s="266" t="s">
        <v>818</v>
      </c>
      <c r="C18" s="269">
        <v>66390</v>
      </c>
      <c r="D18" s="269">
        <v>59408</v>
      </c>
      <c r="E18" s="269">
        <v>125798</v>
      </c>
      <c r="F18" s="269">
        <v>2302518856.4150896</v>
      </c>
      <c r="G18" s="269">
        <v>2566446179.0688901</v>
      </c>
      <c r="H18" s="269">
        <v>4868965035.4839802</v>
      </c>
      <c r="I18" s="218">
        <f>VLOOKUP($B$9:$B$18,Fondstatistik!$A$19:$R$819,2,FALSE)</f>
        <v>9</v>
      </c>
      <c r="J18" s="191"/>
    </row>
    <row r="19" spans="1:10" x14ac:dyDescent="0.2">
      <c r="A19" s="152"/>
      <c r="B19" s="256"/>
      <c r="C19" s="35"/>
      <c r="D19" s="29"/>
      <c r="E19" s="30"/>
      <c r="F19" s="29"/>
      <c r="G19" s="35"/>
      <c r="H19" s="29"/>
      <c r="I19" s="218"/>
      <c r="J19" s="210"/>
    </row>
    <row r="20" spans="1:10" x14ac:dyDescent="0.2">
      <c r="A20" s="152"/>
      <c r="B20" s="239" t="s">
        <v>290</v>
      </c>
      <c r="I20" s="218"/>
    </row>
    <row r="21" spans="1:10" x14ac:dyDescent="0.2">
      <c r="A21" s="152"/>
      <c r="B21" s="256"/>
      <c r="C21" s="284" t="s">
        <v>850</v>
      </c>
      <c r="D21" s="285"/>
      <c r="E21" s="285"/>
      <c r="F21" s="282" t="s">
        <v>639</v>
      </c>
      <c r="G21" s="283"/>
      <c r="H21" s="283"/>
      <c r="I21" s="216" t="s">
        <v>655</v>
      </c>
    </row>
    <row r="22" spans="1:10" x14ac:dyDescent="0.2">
      <c r="A22" s="152"/>
      <c r="B22" s="239" t="s">
        <v>636</v>
      </c>
      <c r="C22" s="28" t="s">
        <v>642</v>
      </c>
      <c r="D22" s="28" t="s">
        <v>643</v>
      </c>
      <c r="E22" s="28" t="s">
        <v>644</v>
      </c>
      <c r="F22" s="169" t="s">
        <v>642</v>
      </c>
      <c r="G22" s="169" t="s">
        <v>643</v>
      </c>
      <c r="H22" s="190" t="s">
        <v>644</v>
      </c>
      <c r="I22" s="217">
        <v>2012</v>
      </c>
    </row>
    <row r="23" spans="1:10" ht="12.75" customHeight="1" x14ac:dyDescent="0.2">
      <c r="A23" s="152"/>
      <c r="B23" s="266" t="s">
        <v>117</v>
      </c>
      <c r="C23" s="270">
        <v>1391782</v>
      </c>
      <c r="D23" s="270">
        <v>1502709</v>
      </c>
      <c r="E23" s="270">
        <v>2894491</v>
      </c>
      <c r="F23" s="270">
        <v>51749298087.349655</v>
      </c>
      <c r="G23" s="270">
        <v>66034272822.723152</v>
      </c>
      <c r="H23" s="270">
        <v>117783570910.0728</v>
      </c>
      <c r="I23" s="218"/>
    </row>
    <row r="24" spans="1:10" ht="12.75" customHeight="1" x14ac:dyDescent="0.2">
      <c r="A24" s="152"/>
      <c r="B24" s="266" t="s">
        <v>820</v>
      </c>
      <c r="C24" s="270">
        <v>128014</v>
      </c>
      <c r="D24" s="270">
        <v>136060</v>
      </c>
      <c r="E24" s="270">
        <v>264074</v>
      </c>
      <c r="F24" s="270">
        <v>4427950978.4785595</v>
      </c>
      <c r="G24" s="270">
        <v>5936845224.9998798</v>
      </c>
      <c r="H24" s="270">
        <v>10364796203.478399</v>
      </c>
      <c r="I24" s="218">
        <f>VLOOKUP($B$23:$B$32,Fondstatistik!$A$19:$R$819,2,FALSE)</f>
        <v>13</v>
      </c>
    </row>
    <row r="25" spans="1:10" ht="12.75" customHeight="1" x14ac:dyDescent="0.2">
      <c r="A25" s="152"/>
      <c r="B25" s="266" t="s">
        <v>683</v>
      </c>
      <c r="C25" s="270">
        <v>111776</v>
      </c>
      <c r="D25" s="270">
        <v>118600</v>
      </c>
      <c r="E25" s="270">
        <v>230376</v>
      </c>
      <c r="F25" s="270">
        <v>4302020213.2392702</v>
      </c>
      <c r="G25" s="270">
        <v>5610249262.1916704</v>
      </c>
      <c r="H25" s="270">
        <v>9912269475.4309502</v>
      </c>
      <c r="I25" s="218">
        <f>VLOOKUP($B$23:$B$32,Fondstatistik!$A$19:$R$819,2,FALSE)</f>
        <v>21</v>
      </c>
    </row>
    <row r="26" spans="1:10" ht="12.75" customHeight="1" x14ac:dyDescent="0.2">
      <c r="A26" s="152"/>
      <c r="B26" s="266" t="s">
        <v>519</v>
      </c>
      <c r="C26" s="270">
        <v>71210</v>
      </c>
      <c r="D26" s="270">
        <v>55731</v>
      </c>
      <c r="E26" s="270">
        <v>126941</v>
      </c>
      <c r="F26" s="270">
        <v>5125598221.2346296</v>
      </c>
      <c r="G26" s="270">
        <v>4766157748.43577</v>
      </c>
      <c r="H26" s="270">
        <v>9891755969.6703892</v>
      </c>
      <c r="I26" s="218">
        <f>VLOOKUP($B$23:$B$32,Fondstatistik!$A$19:$R$819,2,FALSE)</f>
        <v>8</v>
      </c>
    </row>
    <row r="27" spans="1:10" ht="12.75" customHeight="1" x14ac:dyDescent="0.2">
      <c r="A27" s="152"/>
      <c r="B27" s="266" t="s">
        <v>515</v>
      </c>
      <c r="C27" s="270">
        <v>67626</v>
      </c>
      <c r="D27" s="270">
        <v>70547</v>
      </c>
      <c r="E27" s="270">
        <v>138173</v>
      </c>
      <c r="F27" s="270">
        <v>4120359269.4649</v>
      </c>
      <c r="G27" s="270">
        <v>5355357417.8408394</v>
      </c>
      <c r="H27" s="270">
        <v>9475716687.3057404</v>
      </c>
      <c r="I27" s="218">
        <f>VLOOKUP($B$23:$B$32,Fondstatistik!$A$19:$R$819,2,FALSE)</f>
        <v>9</v>
      </c>
    </row>
    <row r="28" spans="1:10" ht="12.75" customHeight="1" x14ac:dyDescent="0.2">
      <c r="A28" s="152"/>
      <c r="B28" s="266" t="s">
        <v>819</v>
      </c>
      <c r="C28" s="270">
        <v>116719</v>
      </c>
      <c r="D28" s="270">
        <v>119859</v>
      </c>
      <c r="E28" s="270">
        <v>236578</v>
      </c>
      <c r="F28" s="270">
        <v>3534829115.6819601</v>
      </c>
      <c r="G28" s="270">
        <v>4644492300.1286201</v>
      </c>
      <c r="H28" s="270">
        <v>8179321415.8105803</v>
      </c>
      <c r="I28" s="218">
        <f>VLOOKUP($B$23:$B$32,Fondstatistik!$A$19:$R$819,2,FALSE)</f>
        <v>11</v>
      </c>
    </row>
    <row r="29" spans="1:10" ht="12.75" customHeight="1" x14ac:dyDescent="0.2">
      <c r="A29" s="152"/>
      <c r="B29" s="266" t="s">
        <v>520</v>
      </c>
      <c r="C29" s="270">
        <v>90094</v>
      </c>
      <c r="D29" s="270">
        <v>75933</v>
      </c>
      <c r="E29" s="270">
        <v>166027</v>
      </c>
      <c r="F29" s="270">
        <v>3271856948.0005798</v>
      </c>
      <c r="G29" s="270">
        <v>3370312628.8603101</v>
      </c>
      <c r="H29" s="270">
        <v>6642169576.8608904</v>
      </c>
      <c r="I29" s="218">
        <f>VLOOKUP($B$23:$B$32,Fondstatistik!$A$19:$R$819,2,FALSE)</f>
        <v>10</v>
      </c>
    </row>
    <row r="30" spans="1:10" ht="12.75" customHeight="1" x14ac:dyDescent="0.2">
      <c r="A30" s="152"/>
      <c r="B30" s="266" t="s">
        <v>996</v>
      </c>
      <c r="C30" s="270">
        <v>134836</v>
      </c>
      <c r="D30" s="270">
        <v>139898</v>
      </c>
      <c r="E30" s="270">
        <v>274734</v>
      </c>
      <c r="F30" s="270">
        <v>2332103457.7247996</v>
      </c>
      <c r="G30" s="270">
        <v>3110661609.4243999</v>
      </c>
      <c r="H30" s="270">
        <v>5442765067.1491995</v>
      </c>
      <c r="I30" s="218">
        <f>VLOOKUP($B$23:$B$32,Fondstatistik!$A$19:$R$819,2,FALSE)</f>
        <v>6</v>
      </c>
    </row>
    <row r="31" spans="1:10" ht="12.75" customHeight="1" x14ac:dyDescent="0.2">
      <c r="A31" s="152"/>
      <c r="B31" s="266" t="s">
        <v>1029</v>
      </c>
      <c r="C31" s="270">
        <v>27815</v>
      </c>
      <c r="D31" s="270">
        <v>29330</v>
      </c>
      <c r="E31" s="270">
        <v>57145</v>
      </c>
      <c r="F31" s="270">
        <v>2244390543.5820599</v>
      </c>
      <c r="G31" s="270">
        <v>2985232488.0916901</v>
      </c>
      <c r="H31" s="270">
        <v>5229623031.6737499</v>
      </c>
      <c r="I31" s="218">
        <f>VLOOKUP($B$23:$B$32,Fondstatistik!$A$19:$R$819,2,FALSE)</f>
        <v>0</v>
      </c>
    </row>
    <row r="32" spans="1:10" ht="12.75" customHeight="1" x14ac:dyDescent="0.2">
      <c r="A32" s="152"/>
      <c r="B32" s="266" t="s">
        <v>471</v>
      </c>
      <c r="C32" s="270">
        <v>50583</v>
      </c>
      <c r="D32" s="270">
        <v>44769</v>
      </c>
      <c r="E32" s="270">
        <v>95352</v>
      </c>
      <c r="F32" s="270">
        <v>2477784880.3598599</v>
      </c>
      <c r="G32" s="270">
        <v>2707953723.8287497</v>
      </c>
      <c r="H32" s="270">
        <v>5185738604.1886101</v>
      </c>
      <c r="I32" s="218">
        <f>VLOOKUP($B$23:$B$32,Fondstatistik!$A$19:$R$819,2,FALSE)</f>
        <v>8</v>
      </c>
    </row>
    <row r="33" spans="1:14" x14ac:dyDescent="0.2">
      <c r="A33" s="152"/>
      <c r="B33" s="261"/>
      <c r="C33" s="151"/>
      <c r="D33" s="151"/>
      <c r="E33" s="151"/>
      <c r="F33" s="151"/>
      <c r="G33" s="151"/>
      <c r="H33" s="151"/>
      <c r="I33" s="209"/>
      <c r="J33" s="207"/>
    </row>
    <row r="34" spans="1:14" x14ac:dyDescent="0.2">
      <c r="A34" s="152"/>
      <c r="B34" s="257"/>
      <c r="J34" s="191"/>
    </row>
    <row r="35" spans="1:14" x14ac:dyDescent="0.2">
      <c r="A35" s="152"/>
      <c r="B35" s="258" t="s">
        <v>291</v>
      </c>
    </row>
    <row r="36" spans="1:14" ht="12.75" customHeight="1" x14ac:dyDescent="0.2">
      <c r="A36" s="152"/>
      <c r="B36" s="258" t="s">
        <v>636</v>
      </c>
      <c r="C36" s="32">
        <v>2012</v>
      </c>
      <c r="D36" s="171" t="s">
        <v>437</v>
      </c>
      <c r="E36" s="171" t="s">
        <v>438</v>
      </c>
      <c r="F36" s="171" t="s">
        <v>439</v>
      </c>
      <c r="G36" s="171" t="s">
        <v>440</v>
      </c>
      <c r="H36" s="171" t="s">
        <v>441</v>
      </c>
      <c r="I36" s="31" t="s">
        <v>788</v>
      </c>
      <c r="J36" s="33"/>
    </row>
    <row r="37" spans="1:14" ht="12.75" customHeight="1" x14ac:dyDescent="0.2">
      <c r="A37" s="152"/>
      <c r="B37" s="222" t="s">
        <v>768</v>
      </c>
      <c r="C37" s="271">
        <v>12</v>
      </c>
      <c r="D37" s="271">
        <v>1</v>
      </c>
      <c r="E37" s="271">
        <v>7</v>
      </c>
      <c r="F37" s="271">
        <v>22</v>
      </c>
      <c r="G37" s="271">
        <v>33</v>
      </c>
      <c r="H37" s="271">
        <v>65</v>
      </c>
      <c r="I37" s="271">
        <v>10.5</v>
      </c>
    </row>
    <row r="38" spans="1:14" ht="12.75" customHeight="1" x14ac:dyDescent="0.2">
      <c r="A38" s="152"/>
      <c r="B38" s="222" t="s">
        <v>191</v>
      </c>
      <c r="C38" s="271">
        <v>10</v>
      </c>
      <c r="D38" s="271">
        <v>1</v>
      </c>
      <c r="E38" s="271">
        <v>7</v>
      </c>
      <c r="F38" s="271">
        <v>20</v>
      </c>
      <c r="G38" s="271">
        <v>26</v>
      </c>
      <c r="H38" s="271">
        <v>64</v>
      </c>
      <c r="I38" s="271">
        <v>10.4</v>
      </c>
    </row>
    <row r="39" spans="1:14" ht="12.75" customHeight="1" x14ac:dyDescent="0.2">
      <c r="A39" s="152"/>
      <c r="B39" s="222" t="s">
        <v>271</v>
      </c>
      <c r="C39" s="271">
        <v>30</v>
      </c>
      <c r="D39" s="271">
        <v>-1</v>
      </c>
      <c r="E39" s="271">
        <v>11</v>
      </c>
      <c r="F39" s="271">
        <v>40</v>
      </c>
      <c r="G39" s="271">
        <v>67</v>
      </c>
      <c r="H39" s="271">
        <v>61</v>
      </c>
      <c r="I39" s="271">
        <v>10</v>
      </c>
      <c r="J39" s="34"/>
    </row>
    <row r="40" spans="1:14" ht="12.75" customHeight="1" x14ac:dyDescent="0.2">
      <c r="A40" s="152"/>
      <c r="B40" s="222" t="s">
        <v>955</v>
      </c>
      <c r="C40" s="271">
        <v>12</v>
      </c>
      <c r="D40" s="271">
        <v>1</v>
      </c>
      <c r="E40" s="271">
        <v>6</v>
      </c>
      <c r="F40" s="271">
        <v>17</v>
      </c>
      <c r="G40" s="271">
        <v>35</v>
      </c>
      <c r="H40" s="271">
        <v>57</v>
      </c>
      <c r="I40" s="271">
        <v>9.5</v>
      </c>
      <c r="J40" s="35"/>
      <c r="K40" s="34"/>
    </row>
    <row r="41" spans="1:14" ht="12.75" customHeight="1" x14ac:dyDescent="0.2">
      <c r="A41" s="152"/>
      <c r="B41" s="222" t="s">
        <v>629</v>
      </c>
      <c r="C41" s="271">
        <v>11</v>
      </c>
      <c r="D41" s="271">
        <v>3</v>
      </c>
      <c r="E41" s="271">
        <v>4</v>
      </c>
      <c r="F41" s="271">
        <v>15</v>
      </c>
      <c r="G41" s="271">
        <v>28</v>
      </c>
      <c r="H41" s="271">
        <v>45</v>
      </c>
      <c r="I41" s="271">
        <v>7.8</v>
      </c>
      <c r="J41" s="157"/>
      <c r="K41" s="35"/>
      <c r="M41" s="35"/>
    </row>
    <row r="42" spans="1:14" ht="12.75" customHeight="1" x14ac:dyDescent="0.2">
      <c r="A42" s="152"/>
      <c r="B42" s="222" t="s">
        <v>30</v>
      </c>
      <c r="C42" s="271">
        <v>9</v>
      </c>
      <c r="D42" s="271">
        <v>0</v>
      </c>
      <c r="E42" s="271">
        <v>5</v>
      </c>
      <c r="F42" s="271">
        <v>17</v>
      </c>
      <c r="G42" s="271">
        <v>25</v>
      </c>
      <c r="H42" s="271">
        <v>43</v>
      </c>
      <c r="I42" s="271">
        <v>7.5</v>
      </c>
      <c r="J42" s="157"/>
      <c r="K42" s="164"/>
      <c r="L42" s="35"/>
      <c r="M42" s="35"/>
    </row>
    <row r="43" spans="1:14" ht="12.75" customHeight="1" x14ac:dyDescent="0.2">
      <c r="A43" s="152"/>
      <c r="B43" s="222" t="s">
        <v>810</v>
      </c>
      <c r="C43" s="271">
        <v>4</v>
      </c>
      <c r="D43" s="271">
        <v>1</v>
      </c>
      <c r="E43" s="271">
        <v>3</v>
      </c>
      <c r="F43" s="271">
        <v>5</v>
      </c>
      <c r="G43" s="271">
        <v>21</v>
      </c>
      <c r="H43" s="271">
        <v>43</v>
      </c>
      <c r="I43" s="271">
        <v>7.4</v>
      </c>
      <c r="J43" s="157"/>
      <c r="K43" s="164"/>
      <c r="L43" s="35"/>
      <c r="M43" s="35"/>
    </row>
    <row r="44" spans="1:14" ht="12.75" customHeight="1" x14ac:dyDescent="0.2">
      <c r="A44" s="152"/>
      <c r="B44" s="222" t="s">
        <v>332</v>
      </c>
      <c r="C44" s="271">
        <v>10</v>
      </c>
      <c r="D44" s="271">
        <v>3</v>
      </c>
      <c r="E44" s="271">
        <v>5</v>
      </c>
      <c r="F44" s="271">
        <v>11</v>
      </c>
      <c r="G44" s="271">
        <v>24</v>
      </c>
      <c r="H44" s="271">
        <v>41</v>
      </c>
      <c r="I44" s="271">
        <v>7.1000000000000005</v>
      </c>
      <c r="J44" s="157"/>
      <c r="K44" s="164"/>
      <c r="L44" s="35"/>
      <c r="M44" s="35"/>
    </row>
    <row r="45" spans="1:14" ht="12.75" customHeight="1" x14ac:dyDescent="0.2">
      <c r="A45" s="152"/>
      <c r="B45" s="222" t="s">
        <v>313</v>
      </c>
      <c r="C45" s="271">
        <v>20</v>
      </c>
      <c r="D45" s="271">
        <v>10</v>
      </c>
      <c r="E45" s="271">
        <v>5</v>
      </c>
      <c r="F45" s="271">
        <v>13</v>
      </c>
      <c r="G45" s="271">
        <v>3</v>
      </c>
      <c r="H45" s="271">
        <v>41</v>
      </c>
      <c r="I45" s="271">
        <v>7.1000000000000005</v>
      </c>
      <c r="J45" s="157"/>
      <c r="K45" s="164"/>
      <c r="L45" s="35"/>
      <c r="M45" s="35"/>
    </row>
    <row r="46" spans="1:14" x14ac:dyDescent="0.2">
      <c r="A46" s="152"/>
      <c r="B46" s="222" t="s">
        <v>628</v>
      </c>
      <c r="C46" s="271">
        <v>1</v>
      </c>
      <c r="D46" s="271">
        <v>0</v>
      </c>
      <c r="E46" s="271">
        <v>2</v>
      </c>
      <c r="F46" s="271">
        <v>4</v>
      </c>
      <c r="G46" s="271">
        <v>11</v>
      </c>
      <c r="H46" s="271">
        <v>41</v>
      </c>
      <c r="I46" s="271">
        <v>7.1000000000000005</v>
      </c>
      <c r="J46" s="157"/>
      <c r="K46" s="164"/>
      <c r="L46" s="35"/>
      <c r="M46" s="35"/>
    </row>
    <row r="47" spans="1:14" x14ac:dyDescent="0.2">
      <c r="B47" s="206"/>
      <c r="J47" s="157"/>
      <c r="K47" s="157"/>
      <c r="L47" s="164"/>
      <c r="M47" s="35"/>
      <c r="N47" s="35"/>
    </row>
    <row r="48" spans="1:14" x14ac:dyDescent="0.2">
      <c r="K48" s="157"/>
      <c r="L48" s="164"/>
      <c r="M48" s="35"/>
      <c r="N48" s="35"/>
    </row>
    <row r="49" spans="11:14" x14ac:dyDescent="0.2">
      <c r="K49" s="157"/>
      <c r="L49" s="164"/>
      <c r="M49" s="35"/>
      <c r="N49" s="35"/>
    </row>
    <row r="50" spans="11:14" x14ac:dyDescent="0.2">
      <c r="K50" s="157"/>
      <c r="L50" s="164"/>
      <c r="M50" s="35"/>
    </row>
    <row r="51" spans="11:14" x14ac:dyDescent="0.2">
      <c r="L51" s="164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263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9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0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3"/>
      <c r="Q1" s="104"/>
      <c r="R1" s="104"/>
      <c r="S1" s="107"/>
      <c r="AZ1"/>
      <c r="BA1" s="83"/>
    </row>
    <row r="2" spans="1:53" s="108" customFormat="1" ht="18" x14ac:dyDescent="0.25">
      <c r="A2" s="241" t="s">
        <v>1135</v>
      </c>
      <c r="B2" s="253" t="s">
        <v>1136</v>
      </c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3"/>
      <c r="Q2" s="104"/>
      <c r="R2" s="104"/>
      <c r="S2" s="107"/>
      <c r="AZ2"/>
      <c r="BA2" s="83"/>
    </row>
    <row r="3" spans="1:53" s="108" customFormat="1" x14ac:dyDescent="0.2">
      <c r="A3" s="240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3"/>
      <c r="Q3" s="104"/>
      <c r="R3" s="104"/>
      <c r="S3" s="107"/>
      <c r="AZ3"/>
      <c r="BA3" s="83"/>
    </row>
    <row r="4" spans="1:53" s="108" customFormat="1" x14ac:dyDescent="0.2">
      <c r="A4" s="242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3"/>
      <c r="Q4" s="104"/>
      <c r="R4" s="104"/>
      <c r="S4" s="107"/>
      <c r="AZ4"/>
      <c r="BA4" s="83"/>
    </row>
    <row r="5" spans="1:53" s="119" customFormat="1" x14ac:dyDescent="0.2">
      <c r="A5" s="242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3"/>
      <c r="AZ5"/>
      <c r="BA5" s="83"/>
    </row>
    <row r="6" spans="1:53" s="119" customFormat="1" x14ac:dyDescent="0.2">
      <c r="A6" s="242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3"/>
      <c r="AZ6"/>
      <c r="BA6" s="83"/>
    </row>
    <row r="7" spans="1:53" s="119" customFormat="1" x14ac:dyDescent="0.2">
      <c r="A7" s="242" t="s">
        <v>990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3"/>
      <c r="AZ7"/>
      <c r="BA7" s="83"/>
    </row>
    <row r="8" spans="1:53" s="119" customFormat="1" x14ac:dyDescent="0.2">
      <c r="A8" s="242" t="s">
        <v>469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3"/>
      <c r="AZ8"/>
      <c r="BA8" s="83"/>
    </row>
    <row r="9" spans="1:53" s="119" customFormat="1" x14ac:dyDescent="0.2">
      <c r="A9" s="242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3"/>
      <c r="AZ9"/>
      <c r="BA9" s="83"/>
    </row>
    <row r="10" spans="1:53" s="119" customFormat="1" x14ac:dyDescent="0.2">
      <c r="A10" s="243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3"/>
      <c r="AZ10"/>
      <c r="BA10" s="83"/>
    </row>
    <row r="11" spans="1:53" s="119" customFormat="1" ht="12" customHeight="1" x14ac:dyDescent="0.2">
      <c r="A11" s="242"/>
      <c r="B11" s="111"/>
      <c r="C11" s="254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3"/>
      <c r="AZ11"/>
      <c r="BA11" s="208"/>
    </row>
    <row r="12" spans="1:53" s="119" customFormat="1" hidden="1" x14ac:dyDescent="0.2">
      <c r="A12" s="244" t="s">
        <v>468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3"/>
    </row>
    <row r="13" spans="1:53" s="119" customFormat="1" hidden="1" x14ac:dyDescent="0.2">
      <c r="A13" s="244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3"/>
    </row>
    <row r="14" spans="1:53" s="119" customFormat="1" hidden="1" x14ac:dyDescent="0.2">
      <c r="A14" s="244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3"/>
    </row>
    <row r="15" spans="1:53" s="119" customFormat="1" hidden="1" x14ac:dyDescent="0.2">
      <c r="A15" s="244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3"/>
    </row>
    <row r="16" spans="1:53" s="108" customFormat="1" ht="12.75" customHeight="1" x14ac:dyDescent="0.2">
      <c r="A16" s="245"/>
      <c r="B16" s="128"/>
      <c r="C16" s="128"/>
      <c r="D16" s="128"/>
      <c r="E16" s="128"/>
      <c r="F16" s="128"/>
      <c r="G16" s="128"/>
      <c r="H16" s="128"/>
      <c r="I16" s="212"/>
      <c r="J16" s="212"/>
      <c r="K16" s="129"/>
      <c r="L16" s="130"/>
      <c r="M16" s="131"/>
      <c r="O16" s="131"/>
      <c r="P16" s="204"/>
      <c r="Q16" s="128"/>
      <c r="R16" s="128"/>
    </row>
    <row r="17" spans="1:22" s="108" customFormat="1" ht="12.75" customHeight="1" x14ac:dyDescent="0.2">
      <c r="A17" s="246"/>
      <c r="B17" s="286" t="s">
        <v>646</v>
      </c>
      <c r="C17" s="287"/>
      <c r="D17" s="287"/>
      <c r="E17" s="287"/>
      <c r="F17" s="287"/>
      <c r="G17" s="287"/>
      <c r="H17" s="288"/>
      <c r="I17" s="286" t="s">
        <v>670</v>
      </c>
      <c r="J17" s="287"/>
      <c r="K17" s="214"/>
      <c r="L17" s="211" t="s">
        <v>647</v>
      </c>
      <c r="M17" s="132" t="s">
        <v>650</v>
      </c>
      <c r="N17" s="132"/>
      <c r="O17" s="132" t="s">
        <v>668</v>
      </c>
      <c r="P17" s="205"/>
      <c r="Q17" s="133"/>
      <c r="R17" s="133"/>
      <c r="S17" s="133"/>
    </row>
    <row r="18" spans="1:22" x14ac:dyDescent="0.2">
      <c r="A18" s="247" t="s">
        <v>636</v>
      </c>
      <c r="B18" s="192" t="s">
        <v>436</v>
      </c>
      <c r="C18" s="134" t="s">
        <v>437</v>
      </c>
      <c r="D18" s="134" t="s">
        <v>438</v>
      </c>
      <c r="E18" s="134" t="s">
        <v>439</v>
      </c>
      <c r="F18" s="134" t="s">
        <v>440</v>
      </c>
      <c r="G18" s="134" t="s">
        <v>441</v>
      </c>
      <c r="H18" s="136" t="s">
        <v>788</v>
      </c>
      <c r="I18" s="134" t="s">
        <v>463</v>
      </c>
      <c r="J18" s="134" t="s">
        <v>464</v>
      </c>
      <c r="K18" s="215" t="s">
        <v>638</v>
      </c>
      <c r="L18" s="213" t="s">
        <v>648</v>
      </c>
      <c r="M18" s="134" t="s">
        <v>649</v>
      </c>
      <c r="N18" s="134" t="s">
        <v>914</v>
      </c>
      <c r="O18" s="134" t="s">
        <v>633</v>
      </c>
      <c r="P18" s="135" t="s">
        <v>651</v>
      </c>
      <c r="Q18" s="135" t="s">
        <v>640</v>
      </c>
      <c r="R18" s="136" t="s">
        <v>637</v>
      </c>
      <c r="S18" s="136" t="s">
        <v>166</v>
      </c>
    </row>
    <row r="19" spans="1:22" x14ac:dyDescent="0.2">
      <c r="A19" t="s">
        <v>1093</v>
      </c>
      <c r="B19" s="101"/>
      <c r="C19" s="101"/>
      <c r="D19" s="101"/>
      <c r="E19" s="101"/>
      <c r="F19" s="101"/>
      <c r="G19" s="101"/>
      <c r="H19" s="101"/>
      <c r="I19" s="102">
        <v>0</v>
      </c>
      <c r="J19" s="102">
        <v>0</v>
      </c>
      <c r="K19" s="101"/>
      <c r="L19" s="101"/>
      <c r="M19" s="101" t="s">
        <v>1001</v>
      </c>
      <c r="N19" s="101">
        <v>2012</v>
      </c>
      <c r="O19" s="101" t="s">
        <v>633</v>
      </c>
      <c r="P19" s="101">
        <v>167114</v>
      </c>
      <c r="Q19" t="s">
        <v>1094</v>
      </c>
      <c r="R19" t="s">
        <v>344</v>
      </c>
      <c r="S19"/>
      <c r="T19" s="219"/>
      <c r="U19" s="219"/>
      <c r="V19" s="219"/>
    </row>
    <row r="20" spans="1:22" x14ac:dyDescent="0.2">
      <c r="A20" t="s">
        <v>1095</v>
      </c>
      <c r="B20" s="101"/>
      <c r="C20" s="101"/>
      <c r="D20" s="101"/>
      <c r="E20" s="101"/>
      <c r="F20" s="101"/>
      <c r="G20" s="101"/>
      <c r="H20" s="101"/>
      <c r="I20" s="102">
        <v>0</v>
      </c>
      <c r="J20" s="102">
        <v>0</v>
      </c>
      <c r="K20" s="101"/>
      <c r="L20" s="101"/>
      <c r="M20" s="101" t="s">
        <v>1001</v>
      </c>
      <c r="N20" s="101">
        <v>2012</v>
      </c>
      <c r="O20" s="101" t="s">
        <v>633</v>
      </c>
      <c r="P20" s="101">
        <v>314682</v>
      </c>
      <c r="Q20" t="s">
        <v>1094</v>
      </c>
      <c r="R20" t="s">
        <v>348</v>
      </c>
      <c r="S20"/>
      <c r="T20"/>
      <c r="U20"/>
      <c r="V20" s="220"/>
    </row>
    <row r="21" spans="1:22" x14ac:dyDescent="0.2">
      <c r="A21" t="s">
        <v>1096</v>
      </c>
      <c r="B21" s="101"/>
      <c r="C21" s="101"/>
      <c r="D21" s="101"/>
      <c r="E21" s="101"/>
      <c r="F21" s="101"/>
      <c r="G21" s="101"/>
      <c r="H21" s="101"/>
      <c r="I21" s="102">
        <v>0</v>
      </c>
      <c r="J21" s="102">
        <v>0</v>
      </c>
      <c r="K21" s="101"/>
      <c r="L21" s="101"/>
      <c r="M21" s="101" t="s">
        <v>1001</v>
      </c>
      <c r="N21" s="101">
        <v>2012</v>
      </c>
      <c r="O21" s="101" t="s">
        <v>633</v>
      </c>
      <c r="P21" s="101">
        <v>350512</v>
      </c>
      <c r="Q21" t="s">
        <v>1094</v>
      </c>
      <c r="R21" t="s">
        <v>348</v>
      </c>
      <c r="S21"/>
      <c r="T21"/>
      <c r="U21"/>
      <c r="V21" s="220"/>
    </row>
    <row r="22" spans="1:22" x14ac:dyDescent="0.2">
      <c r="A22" t="s">
        <v>1097</v>
      </c>
      <c r="B22" s="101"/>
      <c r="C22" s="101"/>
      <c r="D22" s="101"/>
      <c r="E22" s="101"/>
      <c r="F22" s="101"/>
      <c r="G22" s="101"/>
      <c r="H22" s="101"/>
      <c r="I22" s="102">
        <v>0</v>
      </c>
      <c r="J22" s="102">
        <v>0</v>
      </c>
      <c r="K22" s="101"/>
      <c r="L22" s="101"/>
      <c r="M22" s="101" t="s">
        <v>1001</v>
      </c>
      <c r="N22" s="101">
        <v>2012</v>
      </c>
      <c r="O22" s="101" t="s">
        <v>633</v>
      </c>
      <c r="P22" s="101">
        <v>278853</v>
      </c>
      <c r="Q22" t="s">
        <v>1094</v>
      </c>
      <c r="R22" t="s">
        <v>473</v>
      </c>
      <c r="S22"/>
      <c r="T22"/>
      <c r="U22"/>
      <c r="V22" s="220"/>
    </row>
    <row r="23" spans="1:22" x14ac:dyDescent="0.2">
      <c r="A23" t="s">
        <v>1098</v>
      </c>
      <c r="B23" s="101"/>
      <c r="C23" s="101"/>
      <c r="D23" s="101"/>
      <c r="E23" s="101"/>
      <c r="F23" s="101"/>
      <c r="G23" s="101"/>
      <c r="H23" s="101"/>
      <c r="I23" s="102">
        <v>0</v>
      </c>
      <c r="J23" s="102">
        <v>0</v>
      </c>
      <c r="K23" s="101"/>
      <c r="L23" s="101"/>
      <c r="M23" s="101" t="s">
        <v>1001</v>
      </c>
      <c r="N23" s="101">
        <v>2012</v>
      </c>
      <c r="O23" s="101" t="s">
        <v>633</v>
      </c>
      <c r="P23" s="101">
        <v>243022</v>
      </c>
      <c r="Q23" t="s">
        <v>1094</v>
      </c>
      <c r="R23" t="s">
        <v>473</v>
      </c>
      <c r="S23"/>
      <c r="T23"/>
      <c r="U23"/>
      <c r="V23" s="220"/>
    </row>
    <row r="24" spans="1:22" x14ac:dyDescent="0.2">
      <c r="A24" t="s">
        <v>755</v>
      </c>
      <c r="B24" s="101">
        <v>12</v>
      </c>
      <c r="C24" s="101">
        <v>0</v>
      </c>
      <c r="D24" s="101">
        <v>2</v>
      </c>
      <c r="E24" s="101">
        <v>17</v>
      </c>
      <c r="F24" s="101">
        <v>24</v>
      </c>
      <c r="G24" s="101">
        <v>9</v>
      </c>
      <c r="H24" s="101">
        <v>1.7</v>
      </c>
      <c r="I24" s="102">
        <v>0</v>
      </c>
      <c r="J24" s="102">
        <v>0</v>
      </c>
      <c r="K24" s="101">
        <v>15</v>
      </c>
      <c r="L24" s="101">
        <v>0.4</v>
      </c>
      <c r="M24" s="101" t="s">
        <v>1001</v>
      </c>
      <c r="N24" s="101">
        <v>2006</v>
      </c>
      <c r="O24" s="101" t="s">
        <v>753</v>
      </c>
      <c r="P24" s="101">
        <v>734491</v>
      </c>
      <c r="Q24" t="s">
        <v>220</v>
      </c>
      <c r="R24" t="s">
        <v>727</v>
      </c>
      <c r="S24"/>
      <c r="T24"/>
      <c r="U24"/>
      <c r="V24" s="220"/>
    </row>
    <row r="25" spans="1:22" x14ac:dyDescent="0.2">
      <c r="A25" t="s">
        <v>731</v>
      </c>
      <c r="B25" s="101">
        <v>3</v>
      </c>
      <c r="C25" s="101">
        <v>1</v>
      </c>
      <c r="D25" s="101">
        <v>2</v>
      </c>
      <c r="E25" s="101">
        <v>3</v>
      </c>
      <c r="F25" s="101"/>
      <c r="G25" s="101"/>
      <c r="H25" s="101"/>
      <c r="I25" s="102">
        <v>0.09</v>
      </c>
      <c r="J25" s="102">
        <v>0.09</v>
      </c>
      <c r="K25" s="101"/>
      <c r="L25" s="101"/>
      <c r="M25" s="101" t="s">
        <v>1001</v>
      </c>
      <c r="N25" s="101">
        <v>2010</v>
      </c>
      <c r="O25" s="101" t="s">
        <v>753</v>
      </c>
      <c r="P25" s="101">
        <v>545541</v>
      </c>
      <c r="Q25" t="s">
        <v>789</v>
      </c>
      <c r="R25" t="s">
        <v>546</v>
      </c>
      <c r="S25" t="s">
        <v>1024</v>
      </c>
      <c r="T25"/>
      <c r="U25"/>
      <c r="V25" s="220"/>
    </row>
    <row r="26" spans="1:22" x14ac:dyDescent="0.2">
      <c r="A26" t="s">
        <v>590</v>
      </c>
      <c r="B26" s="101">
        <v>3</v>
      </c>
      <c r="C26" s="101">
        <v>1</v>
      </c>
      <c r="D26" s="101">
        <v>2</v>
      </c>
      <c r="E26" s="101">
        <v>3</v>
      </c>
      <c r="F26" s="101">
        <v>8</v>
      </c>
      <c r="G26" s="101">
        <v>17</v>
      </c>
      <c r="H26" s="101">
        <v>3.3000000000000003</v>
      </c>
      <c r="I26" s="102">
        <v>0.1</v>
      </c>
      <c r="J26" s="102">
        <v>0.1119</v>
      </c>
      <c r="K26" s="101">
        <v>0.3</v>
      </c>
      <c r="L26" s="101">
        <v>4.5</v>
      </c>
      <c r="M26" s="101" t="s">
        <v>1001</v>
      </c>
      <c r="N26" s="101">
        <v>2008</v>
      </c>
      <c r="O26" s="101" t="s">
        <v>753</v>
      </c>
      <c r="P26" s="101">
        <v>972497</v>
      </c>
      <c r="Q26" t="s">
        <v>619</v>
      </c>
      <c r="R26" t="s">
        <v>491</v>
      </c>
      <c r="S26"/>
      <c r="T26"/>
      <c r="U26"/>
      <c r="V26" s="220"/>
    </row>
    <row r="27" spans="1:22" x14ac:dyDescent="0.2">
      <c r="A27" t="s">
        <v>494</v>
      </c>
      <c r="B27" s="101">
        <v>1</v>
      </c>
      <c r="C27" s="101">
        <v>0</v>
      </c>
      <c r="D27" s="101">
        <v>1</v>
      </c>
      <c r="E27" s="101">
        <v>1</v>
      </c>
      <c r="F27" s="101">
        <v>3</v>
      </c>
      <c r="G27" s="101">
        <v>8</v>
      </c>
      <c r="H27" s="101">
        <v>1.6</v>
      </c>
      <c r="I27" s="102">
        <v>0.1</v>
      </c>
      <c r="J27" s="102">
        <v>0.11650000000000001</v>
      </c>
      <c r="K27" s="101">
        <v>0.2</v>
      </c>
      <c r="L27" s="101">
        <v>-2.8000000000000003</v>
      </c>
      <c r="M27" s="101" t="s">
        <v>1001</v>
      </c>
      <c r="N27" s="101">
        <v>2001</v>
      </c>
      <c r="O27" s="101" t="s">
        <v>753</v>
      </c>
      <c r="P27" s="101">
        <v>294918</v>
      </c>
      <c r="Q27" t="s">
        <v>684</v>
      </c>
      <c r="R27" t="s">
        <v>491</v>
      </c>
      <c r="S27"/>
      <c r="T27"/>
      <c r="U27"/>
      <c r="V27" s="220"/>
    </row>
    <row r="28" spans="1:22" x14ac:dyDescent="0.2">
      <c r="A28" t="s">
        <v>808</v>
      </c>
      <c r="B28" s="101">
        <v>3</v>
      </c>
      <c r="C28" s="101">
        <v>1</v>
      </c>
      <c r="D28" s="101">
        <v>2</v>
      </c>
      <c r="E28" s="101">
        <v>3</v>
      </c>
      <c r="F28" s="101">
        <v>7</v>
      </c>
      <c r="G28" s="101">
        <v>16</v>
      </c>
      <c r="H28" s="101">
        <v>2.9</v>
      </c>
      <c r="I28" s="102">
        <v>0.11</v>
      </c>
      <c r="J28" s="102">
        <v>0.15</v>
      </c>
      <c r="K28" s="101">
        <v>0.4</v>
      </c>
      <c r="L28" s="101">
        <v>3</v>
      </c>
      <c r="M28" s="101" t="s">
        <v>1001</v>
      </c>
      <c r="N28" s="101">
        <v>2004</v>
      </c>
      <c r="O28" s="101" t="s">
        <v>753</v>
      </c>
      <c r="P28" s="101">
        <v>305185</v>
      </c>
      <c r="Q28" t="s">
        <v>809</v>
      </c>
      <c r="R28" t="s">
        <v>491</v>
      </c>
      <c r="S28"/>
      <c r="T28"/>
      <c r="U28"/>
      <c r="V28" s="220"/>
    </row>
    <row r="29" spans="1:22" x14ac:dyDescent="0.2">
      <c r="A29" t="s">
        <v>810</v>
      </c>
      <c r="B29" s="101">
        <v>4</v>
      </c>
      <c r="C29" s="101">
        <v>1</v>
      </c>
      <c r="D29" s="101">
        <v>3</v>
      </c>
      <c r="E29" s="101">
        <v>5</v>
      </c>
      <c r="F29" s="101">
        <v>21</v>
      </c>
      <c r="G29" s="101">
        <v>43</v>
      </c>
      <c r="H29" s="101">
        <v>7.4</v>
      </c>
      <c r="I29" s="102">
        <v>0.11</v>
      </c>
      <c r="J29" s="102">
        <v>0.15</v>
      </c>
      <c r="K29" s="101">
        <v>4.5</v>
      </c>
      <c r="L29" s="101">
        <v>1.1000000000000001</v>
      </c>
      <c r="M29" s="101" t="s">
        <v>1001</v>
      </c>
      <c r="N29" s="101">
        <v>2000</v>
      </c>
      <c r="O29" s="101" t="s">
        <v>753</v>
      </c>
      <c r="P29" s="101">
        <v>574293</v>
      </c>
      <c r="Q29" t="s">
        <v>809</v>
      </c>
      <c r="R29" t="s">
        <v>546</v>
      </c>
      <c r="S29"/>
      <c r="T29"/>
      <c r="U29"/>
      <c r="V29" s="220"/>
    </row>
    <row r="30" spans="1:22" x14ac:dyDescent="0.2">
      <c r="A30" t="s">
        <v>180</v>
      </c>
      <c r="B30" s="101">
        <v>3</v>
      </c>
      <c r="C30" s="101">
        <v>1</v>
      </c>
      <c r="D30" s="101">
        <v>1</v>
      </c>
      <c r="E30" s="101">
        <v>3</v>
      </c>
      <c r="F30" s="101">
        <v>7</v>
      </c>
      <c r="G30" s="101">
        <v>13</v>
      </c>
      <c r="H30" s="101">
        <v>2.5</v>
      </c>
      <c r="I30" s="102">
        <v>0.11</v>
      </c>
      <c r="J30" s="102">
        <v>0.2</v>
      </c>
      <c r="K30" s="101">
        <v>0.3</v>
      </c>
      <c r="L30" s="101">
        <v>4</v>
      </c>
      <c r="M30" s="101" t="s">
        <v>1001</v>
      </c>
      <c r="N30" s="101">
        <v>2010</v>
      </c>
      <c r="O30" s="101" t="s">
        <v>753</v>
      </c>
      <c r="P30" s="101">
        <v>442897</v>
      </c>
      <c r="Q30" t="s">
        <v>796</v>
      </c>
      <c r="R30" t="s">
        <v>491</v>
      </c>
      <c r="S30" t="s">
        <v>1024</v>
      </c>
      <c r="T30"/>
      <c r="U30"/>
      <c r="V30" s="220"/>
    </row>
    <row r="31" spans="1:22" x14ac:dyDescent="0.2">
      <c r="A31" t="s">
        <v>552</v>
      </c>
      <c r="B31" s="101">
        <v>4</v>
      </c>
      <c r="C31" s="101">
        <v>1</v>
      </c>
      <c r="D31" s="101">
        <v>4</v>
      </c>
      <c r="E31" s="101">
        <v>6</v>
      </c>
      <c r="F31" s="101">
        <v>18</v>
      </c>
      <c r="G31" s="101">
        <v>36</v>
      </c>
      <c r="H31" s="101">
        <v>6.3</v>
      </c>
      <c r="I31" s="102">
        <v>0.11</v>
      </c>
      <c r="J31" s="102">
        <v>0.2</v>
      </c>
      <c r="K31" s="101">
        <v>3.2</v>
      </c>
      <c r="L31" s="101">
        <v>1.3</v>
      </c>
      <c r="M31" s="101" t="s">
        <v>1001</v>
      </c>
      <c r="N31" s="101">
        <v>2000</v>
      </c>
      <c r="O31" s="101" t="s">
        <v>753</v>
      </c>
      <c r="P31" s="101">
        <v>534800</v>
      </c>
      <c r="Q31" t="s">
        <v>796</v>
      </c>
      <c r="R31" t="s">
        <v>546</v>
      </c>
      <c r="S31" t="s">
        <v>1024</v>
      </c>
      <c r="T31"/>
      <c r="U31"/>
      <c r="V31" s="220"/>
    </row>
    <row r="32" spans="1:22" x14ac:dyDescent="0.2">
      <c r="A32" t="s">
        <v>547</v>
      </c>
      <c r="B32" s="101">
        <v>3</v>
      </c>
      <c r="C32" s="101">
        <v>1</v>
      </c>
      <c r="D32" s="101">
        <v>3</v>
      </c>
      <c r="E32" s="101">
        <v>4</v>
      </c>
      <c r="F32" s="101">
        <v>14</v>
      </c>
      <c r="G32" s="101">
        <v>30</v>
      </c>
      <c r="H32" s="101">
        <v>5.4</v>
      </c>
      <c r="I32" s="102">
        <v>0.11</v>
      </c>
      <c r="J32" s="102">
        <v>0.13800000000000001</v>
      </c>
      <c r="K32" s="101">
        <v>2.5</v>
      </c>
      <c r="L32" s="101">
        <v>1.1000000000000001</v>
      </c>
      <c r="M32" s="101" t="s">
        <v>1001</v>
      </c>
      <c r="N32" s="101">
        <v>2001</v>
      </c>
      <c r="O32" s="101" t="s">
        <v>753</v>
      </c>
      <c r="P32" s="101">
        <v>330746</v>
      </c>
      <c r="Q32" t="s">
        <v>684</v>
      </c>
      <c r="R32" t="s">
        <v>546</v>
      </c>
      <c r="S32"/>
      <c r="T32"/>
      <c r="U32"/>
      <c r="V32" s="220"/>
    </row>
    <row r="33" spans="1:22" x14ac:dyDescent="0.2">
      <c r="A33" t="s">
        <v>608</v>
      </c>
      <c r="B33" s="101">
        <v>3</v>
      </c>
      <c r="C33" s="101">
        <v>1</v>
      </c>
      <c r="D33" s="101">
        <v>3</v>
      </c>
      <c r="E33" s="101">
        <v>4</v>
      </c>
      <c r="F33" s="101">
        <v>16</v>
      </c>
      <c r="G33" s="101">
        <v>34</v>
      </c>
      <c r="H33" s="101">
        <v>6</v>
      </c>
      <c r="I33" s="102">
        <v>0.12</v>
      </c>
      <c r="J33" s="102">
        <v>0.3</v>
      </c>
      <c r="K33" s="101">
        <v>3.4</v>
      </c>
      <c r="L33" s="101">
        <v>1</v>
      </c>
      <c r="M33" s="101" t="s">
        <v>1001</v>
      </c>
      <c r="N33" s="101">
        <v>2000</v>
      </c>
      <c r="O33" s="101" t="s">
        <v>753</v>
      </c>
      <c r="P33" s="101">
        <v>578542</v>
      </c>
      <c r="Q33" t="s">
        <v>776</v>
      </c>
      <c r="R33" t="s">
        <v>546</v>
      </c>
      <c r="S33" t="s">
        <v>1024</v>
      </c>
      <c r="T33"/>
      <c r="U33"/>
      <c r="V33" s="220"/>
    </row>
    <row r="34" spans="1:22" x14ac:dyDescent="0.2">
      <c r="A34" t="s">
        <v>497</v>
      </c>
      <c r="B34" s="101">
        <v>2</v>
      </c>
      <c r="C34" s="101">
        <v>0</v>
      </c>
      <c r="D34" s="101">
        <v>1</v>
      </c>
      <c r="E34" s="101">
        <v>2</v>
      </c>
      <c r="F34" s="101">
        <v>5</v>
      </c>
      <c r="G34" s="101">
        <v>13</v>
      </c>
      <c r="H34" s="101">
        <v>2.5</v>
      </c>
      <c r="I34" s="102">
        <v>0.12</v>
      </c>
      <c r="J34" s="102">
        <v>0.3</v>
      </c>
      <c r="K34" s="101">
        <v>0.3</v>
      </c>
      <c r="L34" s="101">
        <v>0.4</v>
      </c>
      <c r="M34" s="101" t="s">
        <v>1001</v>
      </c>
      <c r="N34" s="101">
        <v>2000</v>
      </c>
      <c r="O34" s="101" t="s">
        <v>753</v>
      </c>
      <c r="P34" s="101">
        <v>614370</v>
      </c>
      <c r="Q34" t="s">
        <v>776</v>
      </c>
      <c r="R34" t="s">
        <v>491</v>
      </c>
      <c r="S34" t="s">
        <v>1024</v>
      </c>
      <c r="T34"/>
      <c r="U34"/>
      <c r="V34" s="220"/>
    </row>
    <row r="35" spans="1:22" x14ac:dyDescent="0.2">
      <c r="A35" t="s">
        <v>543</v>
      </c>
      <c r="B35" s="101">
        <v>2</v>
      </c>
      <c r="C35" s="101">
        <v>0</v>
      </c>
      <c r="D35" s="101">
        <v>1</v>
      </c>
      <c r="E35" s="101">
        <v>2</v>
      </c>
      <c r="F35" s="101">
        <v>4</v>
      </c>
      <c r="G35" s="101">
        <v>13</v>
      </c>
      <c r="H35" s="101">
        <v>2.4</v>
      </c>
      <c r="I35" s="102">
        <v>0.12</v>
      </c>
      <c r="J35" s="102">
        <v>0.2</v>
      </c>
      <c r="K35" s="101">
        <v>0.3</v>
      </c>
      <c r="L35" s="101">
        <v>-1.1000000000000001</v>
      </c>
      <c r="M35" s="101" t="s">
        <v>1001</v>
      </c>
      <c r="N35" s="101">
        <v>2000</v>
      </c>
      <c r="O35" s="101" t="s">
        <v>753</v>
      </c>
      <c r="P35" s="101">
        <v>420646</v>
      </c>
      <c r="Q35" t="s">
        <v>699</v>
      </c>
      <c r="R35" t="s">
        <v>491</v>
      </c>
      <c r="S35"/>
      <c r="T35"/>
      <c r="U35"/>
      <c r="V35" s="220"/>
    </row>
    <row r="36" spans="1:22" x14ac:dyDescent="0.2">
      <c r="A36" t="s">
        <v>412</v>
      </c>
      <c r="B36" s="101">
        <v>2</v>
      </c>
      <c r="C36" s="101">
        <v>1</v>
      </c>
      <c r="D36" s="101">
        <v>1</v>
      </c>
      <c r="E36" s="101">
        <v>3</v>
      </c>
      <c r="F36" s="101">
        <v>6</v>
      </c>
      <c r="G36" s="101">
        <v>14</v>
      </c>
      <c r="H36" s="101">
        <v>2.7</v>
      </c>
      <c r="I36" s="102">
        <v>0.12</v>
      </c>
      <c r="J36" s="102">
        <v>0.17</v>
      </c>
      <c r="K36" s="101">
        <v>0.3</v>
      </c>
      <c r="L36" s="101">
        <v>4.0999999999999996</v>
      </c>
      <c r="M36" s="101" t="s">
        <v>1001</v>
      </c>
      <c r="N36" s="101">
        <v>2006</v>
      </c>
      <c r="O36" s="101" t="s">
        <v>753</v>
      </c>
      <c r="P36" s="101">
        <v>418699</v>
      </c>
      <c r="Q36" t="s">
        <v>32</v>
      </c>
      <c r="R36" t="s">
        <v>491</v>
      </c>
      <c r="S36"/>
      <c r="T36"/>
      <c r="U36"/>
      <c r="V36" s="220"/>
    </row>
    <row r="37" spans="1:22" x14ac:dyDescent="0.2">
      <c r="A37" t="s">
        <v>426</v>
      </c>
      <c r="B37" s="101">
        <v>3</v>
      </c>
      <c r="C37" s="101">
        <v>1</v>
      </c>
      <c r="D37" s="101">
        <v>2</v>
      </c>
      <c r="E37" s="101">
        <v>4</v>
      </c>
      <c r="F37" s="101">
        <v>7</v>
      </c>
      <c r="G37" s="101">
        <v>15</v>
      </c>
      <c r="H37" s="101">
        <v>2.8000000000000003</v>
      </c>
      <c r="I37" s="102">
        <v>0.12</v>
      </c>
      <c r="J37" s="102">
        <v>0.2</v>
      </c>
      <c r="K37" s="101">
        <v>0.4</v>
      </c>
      <c r="L37" s="101">
        <v>3.2</v>
      </c>
      <c r="M37" s="101" t="s">
        <v>1001</v>
      </c>
      <c r="N37" s="101">
        <v>2007</v>
      </c>
      <c r="O37" s="101" t="s">
        <v>633</v>
      </c>
      <c r="P37" s="101">
        <v>870493</v>
      </c>
      <c r="Q37" t="s">
        <v>795</v>
      </c>
      <c r="R37" t="s">
        <v>491</v>
      </c>
      <c r="S37"/>
      <c r="T37"/>
      <c r="U37"/>
      <c r="V37" s="220"/>
    </row>
    <row r="38" spans="1:22" x14ac:dyDescent="0.2">
      <c r="A38" t="s">
        <v>811</v>
      </c>
      <c r="B38" s="101">
        <v>2</v>
      </c>
      <c r="C38" s="101">
        <v>1</v>
      </c>
      <c r="D38" s="101">
        <v>2</v>
      </c>
      <c r="E38" s="101">
        <v>4</v>
      </c>
      <c r="F38" s="101">
        <v>13</v>
      </c>
      <c r="G38" s="101"/>
      <c r="H38" s="101"/>
      <c r="I38" s="102">
        <v>0.12</v>
      </c>
      <c r="J38" s="102">
        <v>0.1678</v>
      </c>
      <c r="K38" s="101">
        <v>2.4</v>
      </c>
      <c r="L38" s="101">
        <v>1.1000000000000001</v>
      </c>
      <c r="M38" s="101" t="s">
        <v>1001</v>
      </c>
      <c r="N38" s="101">
        <v>2009</v>
      </c>
      <c r="O38" s="101" t="s">
        <v>753</v>
      </c>
      <c r="P38" s="101">
        <v>617209</v>
      </c>
      <c r="Q38" t="s">
        <v>684</v>
      </c>
      <c r="R38" t="s">
        <v>546</v>
      </c>
      <c r="S38"/>
      <c r="T38"/>
      <c r="U38"/>
      <c r="V38" s="220"/>
    </row>
    <row r="39" spans="1:22" x14ac:dyDescent="0.2">
      <c r="A39" t="s">
        <v>607</v>
      </c>
      <c r="B39" s="101">
        <v>3</v>
      </c>
      <c r="C39" s="101">
        <v>1</v>
      </c>
      <c r="D39" s="101">
        <v>3</v>
      </c>
      <c r="E39" s="101">
        <v>4</v>
      </c>
      <c r="F39" s="101">
        <v>16</v>
      </c>
      <c r="G39" s="101">
        <v>33</v>
      </c>
      <c r="H39" s="101">
        <v>5.9</v>
      </c>
      <c r="I39" s="102">
        <v>0.13</v>
      </c>
      <c r="J39" s="102">
        <v>0.4</v>
      </c>
      <c r="K39" s="101">
        <v>3.4</v>
      </c>
      <c r="L39" s="101">
        <v>1</v>
      </c>
      <c r="M39" s="101" t="s">
        <v>1001</v>
      </c>
      <c r="N39" s="101">
        <v>2000</v>
      </c>
      <c r="O39" s="101" t="s">
        <v>753</v>
      </c>
      <c r="P39" s="101">
        <v>761940</v>
      </c>
      <c r="Q39" t="s">
        <v>776</v>
      </c>
      <c r="R39" t="s">
        <v>546</v>
      </c>
      <c r="S39" t="s">
        <v>1024</v>
      </c>
      <c r="T39"/>
      <c r="U39"/>
      <c r="V39" s="220"/>
    </row>
    <row r="40" spans="1:22" x14ac:dyDescent="0.2">
      <c r="A40" t="s">
        <v>977</v>
      </c>
      <c r="B40" s="101"/>
      <c r="C40" s="101">
        <v>0</v>
      </c>
      <c r="D40" s="101">
        <v>3</v>
      </c>
      <c r="E40" s="101"/>
      <c r="F40" s="101"/>
      <c r="G40" s="101"/>
      <c r="H40" s="101"/>
      <c r="I40" s="102">
        <v>0.13</v>
      </c>
      <c r="J40" s="102">
        <v>0.3</v>
      </c>
      <c r="K40" s="101"/>
      <c r="L40" s="101"/>
      <c r="M40" s="101" t="s">
        <v>1001</v>
      </c>
      <c r="N40" s="101">
        <v>2012</v>
      </c>
      <c r="O40" s="101" t="s">
        <v>753</v>
      </c>
      <c r="P40" s="101">
        <v>265512</v>
      </c>
      <c r="Q40" t="s">
        <v>809</v>
      </c>
      <c r="R40" t="s">
        <v>546</v>
      </c>
      <c r="S40"/>
      <c r="T40"/>
      <c r="U40"/>
      <c r="V40" s="220"/>
    </row>
    <row r="41" spans="1:22" x14ac:dyDescent="0.2">
      <c r="A41" t="s">
        <v>496</v>
      </c>
      <c r="B41" s="101">
        <v>2</v>
      </c>
      <c r="C41" s="101">
        <v>0</v>
      </c>
      <c r="D41" s="101">
        <v>1</v>
      </c>
      <c r="E41" s="101">
        <v>2</v>
      </c>
      <c r="F41" s="101">
        <v>4</v>
      </c>
      <c r="G41" s="101">
        <v>12</v>
      </c>
      <c r="H41" s="101">
        <v>2.3000000000000003</v>
      </c>
      <c r="I41" s="102">
        <v>0.13</v>
      </c>
      <c r="J41" s="102">
        <v>0.4</v>
      </c>
      <c r="K41" s="101">
        <v>0.3</v>
      </c>
      <c r="L41" s="101">
        <v>-0.8</v>
      </c>
      <c r="M41" s="101" t="s">
        <v>1001</v>
      </c>
      <c r="N41" s="101">
        <v>2000</v>
      </c>
      <c r="O41" s="101" t="s">
        <v>753</v>
      </c>
      <c r="P41" s="101">
        <v>188664</v>
      </c>
      <c r="Q41" t="s">
        <v>776</v>
      </c>
      <c r="R41" t="s">
        <v>491</v>
      </c>
      <c r="S41" t="s">
        <v>1024</v>
      </c>
      <c r="T41"/>
      <c r="U41"/>
      <c r="V41" s="220"/>
    </row>
    <row r="42" spans="1:22" x14ac:dyDescent="0.2">
      <c r="A42" t="s">
        <v>376</v>
      </c>
      <c r="B42" s="101">
        <v>3</v>
      </c>
      <c r="C42" s="101">
        <v>1</v>
      </c>
      <c r="D42" s="101">
        <v>2</v>
      </c>
      <c r="E42" s="101">
        <v>4</v>
      </c>
      <c r="F42" s="101">
        <v>8</v>
      </c>
      <c r="G42" s="101">
        <v>15</v>
      </c>
      <c r="H42" s="101">
        <v>2.9</v>
      </c>
      <c r="I42" s="102">
        <v>0.14000000000000001</v>
      </c>
      <c r="J42" s="102">
        <v>0.3</v>
      </c>
      <c r="K42" s="101">
        <v>0.4</v>
      </c>
      <c r="L42" s="101">
        <v>4.6000000000000005</v>
      </c>
      <c r="M42" s="101" t="s">
        <v>1001</v>
      </c>
      <c r="N42" s="101">
        <v>2000</v>
      </c>
      <c r="O42" s="101" t="s">
        <v>753</v>
      </c>
      <c r="P42" s="101">
        <v>214163</v>
      </c>
      <c r="Q42" t="s">
        <v>859</v>
      </c>
      <c r="R42" t="s">
        <v>491</v>
      </c>
      <c r="S42"/>
      <c r="T42"/>
      <c r="U42"/>
      <c r="V42" s="220"/>
    </row>
    <row r="43" spans="1:22" x14ac:dyDescent="0.2">
      <c r="A43" t="s">
        <v>511</v>
      </c>
      <c r="B43" s="101">
        <v>3</v>
      </c>
      <c r="C43" s="101">
        <v>1</v>
      </c>
      <c r="D43" s="101">
        <v>3</v>
      </c>
      <c r="E43" s="101">
        <v>5</v>
      </c>
      <c r="F43" s="101">
        <v>14</v>
      </c>
      <c r="G43" s="101">
        <v>31</v>
      </c>
      <c r="H43" s="101">
        <v>5.5</v>
      </c>
      <c r="I43" s="102">
        <v>0.14000000000000001</v>
      </c>
      <c r="J43" s="102">
        <v>0.42</v>
      </c>
      <c r="K43" s="101">
        <v>2.6</v>
      </c>
      <c r="L43" s="101">
        <v>1.1000000000000001</v>
      </c>
      <c r="M43" s="101" t="s">
        <v>1001</v>
      </c>
      <c r="N43" s="101">
        <v>2000</v>
      </c>
      <c r="O43" s="101" t="s">
        <v>753</v>
      </c>
      <c r="P43" s="101">
        <v>677534</v>
      </c>
      <c r="Q43" t="s">
        <v>174</v>
      </c>
      <c r="R43" t="s">
        <v>546</v>
      </c>
      <c r="S43"/>
      <c r="T43"/>
      <c r="U43"/>
      <c r="V43" s="220"/>
    </row>
    <row r="44" spans="1:22" x14ac:dyDescent="0.2">
      <c r="A44" t="s">
        <v>512</v>
      </c>
      <c r="B44" s="101">
        <v>3</v>
      </c>
      <c r="C44" s="101">
        <v>1</v>
      </c>
      <c r="D44" s="101">
        <v>3</v>
      </c>
      <c r="E44" s="101">
        <v>5</v>
      </c>
      <c r="F44" s="101">
        <v>14</v>
      </c>
      <c r="G44" s="101">
        <v>31</v>
      </c>
      <c r="H44" s="101">
        <v>5.6000000000000005</v>
      </c>
      <c r="I44" s="102">
        <v>0.14000000000000001</v>
      </c>
      <c r="J44" s="102">
        <v>0.42</v>
      </c>
      <c r="K44" s="101">
        <v>2.7</v>
      </c>
      <c r="L44" s="101">
        <v>1.1000000000000001</v>
      </c>
      <c r="M44" s="101" t="s">
        <v>1001</v>
      </c>
      <c r="N44" s="101">
        <v>2001</v>
      </c>
      <c r="O44" s="101" t="s">
        <v>753</v>
      </c>
      <c r="P44" s="101">
        <v>680546</v>
      </c>
      <c r="Q44" t="s">
        <v>174</v>
      </c>
      <c r="R44" t="s">
        <v>546</v>
      </c>
      <c r="S44"/>
      <c r="T44"/>
      <c r="U44"/>
      <c r="V44" s="220"/>
    </row>
    <row r="45" spans="1:22" x14ac:dyDescent="0.2">
      <c r="A45" t="s">
        <v>1105</v>
      </c>
      <c r="B45" s="101"/>
      <c r="C45" s="101"/>
      <c r="D45" s="101"/>
      <c r="E45" s="101"/>
      <c r="F45" s="101"/>
      <c r="G45" s="101"/>
      <c r="H45" s="101"/>
      <c r="I45" s="102">
        <v>0.14000000000000001</v>
      </c>
      <c r="J45" s="102">
        <v>0.4</v>
      </c>
      <c r="K45" s="101"/>
      <c r="L45" s="101"/>
      <c r="M45" s="101" t="s">
        <v>1001</v>
      </c>
      <c r="N45" s="101">
        <v>2012</v>
      </c>
      <c r="O45" s="101" t="s">
        <v>753</v>
      </c>
      <c r="P45" s="101">
        <v>331686</v>
      </c>
      <c r="Q45" t="s">
        <v>796</v>
      </c>
      <c r="R45" t="s">
        <v>626</v>
      </c>
      <c r="S45" t="s">
        <v>1024</v>
      </c>
      <c r="T45"/>
      <c r="U45"/>
      <c r="V45" s="220"/>
    </row>
    <row r="46" spans="1:22" x14ac:dyDescent="0.2">
      <c r="A46" t="s">
        <v>613</v>
      </c>
      <c r="B46" s="101">
        <v>0</v>
      </c>
      <c r="C46" s="101">
        <v>-1</v>
      </c>
      <c r="D46" s="101">
        <v>1</v>
      </c>
      <c r="E46" s="101">
        <v>3</v>
      </c>
      <c r="F46" s="101">
        <v>17</v>
      </c>
      <c r="G46" s="101">
        <v>28</v>
      </c>
      <c r="H46" s="101">
        <v>5.1000000000000005</v>
      </c>
      <c r="I46" s="102">
        <v>0.15</v>
      </c>
      <c r="J46" s="102">
        <v>0.26819999999999999</v>
      </c>
      <c r="K46" s="101">
        <v>4.0999999999999996</v>
      </c>
      <c r="L46" s="101">
        <v>0.9</v>
      </c>
      <c r="M46" s="101" t="s">
        <v>1001</v>
      </c>
      <c r="N46" s="101">
        <v>2003</v>
      </c>
      <c r="O46" s="101" t="s">
        <v>753</v>
      </c>
      <c r="P46" s="101">
        <v>787382</v>
      </c>
      <c r="Q46" t="s">
        <v>684</v>
      </c>
      <c r="R46" t="s">
        <v>611</v>
      </c>
      <c r="S46"/>
      <c r="T46"/>
      <c r="U46"/>
      <c r="V46" s="220"/>
    </row>
    <row r="47" spans="1:22" x14ac:dyDescent="0.2">
      <c r="A47" t="s">
        <v>594</v>
      </c>
      <c r="B47" s="101">
        <v>3</v>
      </c>
      <c r="C47" s="101">
        <v>1</v>
      </c>
      <c r="D47" s="101">
        <v>3</v>
      </c>
      <c r="E47" s="101">
        <v>4</v>
      </c>
      <c r="F47" s="101">
        <v>16</v>
      </c>
      <c r="G47" s="101">
        <v>33</v>
      </c>
      <c r="H47" s="101">
        <v>5.9</v>
      </c>
      <c r="I47" s="102">
        <v>0.15</v>
      </c>
      <c r="J47" s="102">
        <v>0.3</v>
      </c>
      <c r="K47" s="101">
        <v>3.4</v>
      </c>
      <c r="L47" s="101">
        <v>1</v>
      </c>
      <c r="M47" s="101" t="s">
        <v>1001</v>
      </c>
      <c r="N47" s="101">
        <v>2000</v>
      </c>
      <c r="O47" s="101" t="s">
        <v>753</v>
      </c>
      <c r="P47" s="101">
        <v>869438</v>
      </c>
      <c r="Q47" t="s">
        <v>174</v>
      </c>
      <c r="R47" t="s">
        <v>546</v>
      </c>
      <c r="S47" t="s">
        <v>1024</v>
      </c>
      <c r="T47"/>
      <c r="U47"/>
      <c r="V47" s="220"/>
    </row>
    <row r="48" spans="1:22" x14ac:dyDescent="0.2">
      <c r="A48" t="s">
        <v>514</v>
      </c>
      <c r="B48" s="101">
        <v>2</v>
      </c>
      <c r="C48" s="101">
        <v>0</v>
      </c>
      <c r="D48" s="101">
        <v>1</v>
      </c>
      <c r="E48" s="101">
        <v>2</v>
      </c>
      <c r="F48" s="101">
        <v>4</v>
      </c>
      <c r="G48" s="101">
        <v>12</v>
      </c>
      <c r="H48" s="101">
        <v>2.3000000000000003</v>
      </c>
      <c r="I48" s="102">
        <v>0.15</v>
      </c>
      <c r="J48" s="102">
        <v>0.52</v>
      </c>
      <c r="K48" s="101">
        <v>0.3</v>
      </c>
      <c r="L48" s="101">
        <v>-0.70000000000000007</v>
      </c>
      <c r="M48" s="101" t="s">
        <v>1001</v>
      </c>
      <c r="N48" s="101">
        <v>2000</v>
      </c>
      <c r="O48" s="101" t="s">
        <v>753</v>
      </c>
      <c r="P48" s="101">
        <v>717611</v>
      </c>
      <c r="Q48" t="s">
        <v>174</v>
      </c>
      <c r="R48" t="s">
        <v>491</v>
      </c>
      <c r="S48"/>
      <c r="T48"/>
      <c r="U48"/>
      <c r="V48" s="220"/>
    </row>
    <row r="49" spans="1:22" x14ac:dyDescent="0.2">
      <c r="A49" t="s">
        <v>918</v>
      </c>
      <c r="B49" s="101">
        <v>4</v>
      </c>
      <c r="C49" s="101">
        <v>1</v>
      </c>
      <c r="D49" s="101">
        <v>-2</v>
      </c>
      <c r="E49" s="101">
        <v>6</v>
      </c>
      <c r="F49" s="101"/>
      <c r="G49" s="101"/>
      <c r="H49" s="101"/>
      <c r="I49" s="102">
        <v>0.15</v>
      </c>
      <c r="J49" s="102">
        <v>0.17</v>
      </c>
      <c r="K49" s="101"/>
      <c r="L49" s="101"/>
      <c r="M49" s="101" t="s">
        <v>1001</v>
      </c>
      <c r="N49" s="101">
        <v>2011</v>
      </c>
      <c r="O49" s="101" t="s">
        <v>753</v>
      </c>
      <c r="P49" s="101">
        <v>853374</v>
      </c>
      <c r="Q49" t="s">
        <v>905</v>
      </c>
      <c r="R49" t="s">
        <v>301</v>
      </c>
      <c r="S49"/>
      <c r="T49"/>
      <c r="U49"/>
      <c r="V49" s="220"/>
    </row>
    <row r="50" spans="1:22" x14ac:dyDescent="0.2">
      <c r="A50" t="s">
        <v>916</v>
      </c>
      <c r="B50" s="101">
        <v>10</v>
      </c>
      <c r="C50" s="101">
        <v>3</v>
      </c>
      <c r="D50" s="101">
        <v>0</v>
      </c>
      <c r="E50" s="101">
        <v>12</v>
      </c>
      <c r="F50" s="101"/>
      <c r="G50" s="101"/>
      <c r="H50" s="101"/>
      <c r="I50" s="102">
        <v>0.15</v>
      </c>
      <c r="J50" s="102">
        <v>0.15</v>
      </c>
      <c r="K50" s="101"/>
      <c r="L50" s="101"/>
      <c r="M50" s="101" t="s">
        <v>1001</v>
      </c>
      <c r="N50" s="101">
        <v>2011</v>
      </c>
      <c r="O50" s="101" t="s">
        <v>753</v>
      </c>
      <c r="P50" s="101">
        <v>817544</v>
      </c>
      <c r="Q50" t="s">
        <v>905</v>
      </c>
      <c r="R50" t="s">
        <v>301</v>
      </c>
      <c r="S50"/>
      <c r="T50"/>
      <c r="U50"/>
      <c r="V50" s="220"/>
    </row>
    <row r="51" spans="1:22" x14ac:dyDescent="0.2">
      <c r="A51" t="s">
        <v>917</v>
      </c>
      <c r="B51" s="101">
        <v>11</v>
      </c>
      <c r="C51" s="101">
        <v>4</v>
      </c>
      <c r="D51" s="101">
        <v>2</v>
      </c>
      <c r="E51" s="101">
        <v>13</v>
      </c>
      <c r="F51" s="101"/>
      <c r="G51" s="101"/>
      <c r="H51" s="101"/>
      <c r="I51" s="102">
        <v>0.15</v>
      </c>
      <c r="J51" s="102">
        <v>0.15</v>
      </c>
      <c r="K51" s="101"/>
      <c r="L51" s="101"/>
      <c r="M51" s="101" t="s">
        <v>1001</v>
      </c>
      <c r="N51" s="101">
        <v>2011</v>
      </c>
      <c r="O51" s="101" t="s">
        <v>753</v>
      </c>
      <c r="P51" s="101">
        <v>889204</v>
      </c>
      <c r="Q51" t="s">
        <v>905</v>
      </c>
      <c r="R51" t="s">
        <v>301</v>
      </c>
      <c r="S51"/>
      <c r="T51"/>
      <c r="U51"/>
      <c r="V51" s="220"/>
    </row>
    <row r="52" spans="1:22" x14ac:dyDescent="0.2">
      <c r="A52" t="s">
        <v>732</v>
      </c>
      <c r="B52" s="101">
        <v>18</v>
      </c>
      <c r="C52" s="101">
        <v>7</v>
      </c>
      <c r="D52" s="101">
        <v>3</v>
      </c>
      <c r="E52" s="101">
        <v>21</v>
      </c>
      <c r="F52" s="101"/>
      <c r="G52" s="101"/>
      <c r="H52" s="101"/>
      <c r="I52" s="102">
        <v>0.15</v>
      </c>
      <c r="J52" s="102">
        <v>0.15</v>
      </c>
      <c r="K52" s="101"/>
      <c r="L52" s="101"/>
      <c r="M52" s="101" t="s">
        <v>1001</v>
      </c>
      <c r="N52" s="101">
        <v>2010</v>
      </c>
      <c r="O52" s="101" t="s">
        <v>753</v>
      </c>
      <c r="P52" s="101">
        <v>581371</v>
      </c>
      <c r="Q52" t="s">
        <v>789</v>
      </c>
      <c r="R52" t="s">
        <v>145</v>
      </c>
      <c r="S52" t="s">
        <v>1024</v>
      </c>
      <c r="T52"/>
      <c r="U52"/>
      <c r="V52" s="220"/>
    </row>
    <row r="53" spans="1:22" x14ac:dyDescent="0.2">
      <c r="A53" t="s">
        <v>9</v>
      </c>
      <c r="B53" s="101">
        <v>3</v>
      </c>
      <c r="C53" s="101">
        <v>1</v>
      </c>
      <c r="D53" s="101">
        <v>2</v>
      </c>
      <c r="E53" s="101">
        <v>4</v>
      </c>
      <c r="F53" s="101">
        <v>7</v>
      </c>
      <c r="G53" s="101">
        <v>16</v>
      </c>
      <c r="H53" s="101">
        <v>3</v>
      </c>
      <c r="I53" s="102">
        <v>0.16</v>
      </c>
      <c r="J53" s="102">
        <v>0.3</v>
      </c>
      <c r="K53" s="101">
        <v>0.4</v>
      </c>
      <c r="L53" s="101">
        <v>2.1</v>
      </c>
      <c r="M53" s="101" t="s">
        <v>1001</v>
      </c>
      <c r="N53" s="101">
        <v>2000</v>
      </c>
      <c r="O53" s="101" t="s">
        <v>753</v>
      </c>
      <c r="P53" s="101">
        <v>865774</v>
      </c>
      <c r="Q53" t="s">
        <v>433</v>
      </c>
      <c r="R53" t="s">
        <v>491</v>
      </c>
      <c r="S53"/>
      <c r="T53"/>
      <c r="U53"/>
      <c r="V53" s="220"/>
    </row>
    <row r="54" spans="1:22" x14ac:dyDescent="0.2">
      <c r="A54" t="s">
        <v>377</v>
      </c>
      <c r="B54" s="101">
        <v>3</v>
      </c>
      <c r="C54" s="101">
        <v>1</v>
      </c>
      <c r="D54" s="101">
        <v>3</v>
      </c>
      <c r="E54" s="101">
        <v>5</v>
      </c>
      <c r="F54" s="101">
        <v>18</v>
      </c>
      <c r="G54" s="101">
        <v>35</v>
      </c>
      <c r="H54" s="101">
        <v>6.1000000000000005</v>
      </c>
      <c r="I54" s="102">
        <v>0.16</v>
      </c>
      <c r="J54" s="102">
        <v>0.4</v>
      </c>
      <c r="K54" s="101">
        <v>4.2</v>
      </c>
      <c r="L54" s="101">
        <v>1</v>
      </c>
      <c r="M54" s="101" t="s">
        <v>1001</v>
      </c>
      <c r="N54" s="101">
        <v>2000</v>
      </c>
      <c r="O54" s="101" t="s">
        <v>753</v>
      </c>
      <c r="P54" s="101">
        <v>178335</v>
      </c>
      <c r="Q54" t="s">
        <v>859</v>
      </c>
      <c r="R54" t="s">
        <v>546</v>
      </c>
      <c r="S54"/>
      <c r="T54"/>
      <c r="U54"/>
      <c r="V54" s="220"/>
    </row>
    <row r="55" spans="1:22" x14ac:dyDescent="0.2">
      <c r="A55" t="s">
        <v>959</v>
      </c>
      <c r="B55" s="101">
        <v>-3</v>
      </c>
      <c r="C55" s="101">
        <v>-1</v>
      </c>
      <c r="D55" s="101">
        <v>-8</v>
      </c>
      <c r="E55" s="101">
        <v>-3</v>
      </c>
      <c r="F55" s="101">
        <v>-14</v>
      </c>
      <c r="G55" s="101">
        <v>-40</v>
      </c>
      <c r="H55" s="101">
        <v>-9.6</v>
      </c>
      <c r="I55" s="102">
        <v>0.16</v>
      </c>
      <c r="J55" s="102">
        <v>0.2</v>
      </c>
      <c r="K55" s="101">
        <v>14.200000000000001</v>
      </c>
      <c r="L55" s="101">
        <v>-0.4</v>
      </c>
      <c r="M55" s="101" t="s">
        <v>1001</v>
      </c>
      <c r="N55" s="101">
        <v>2000</v>
      </c>
      <c r="O55" s="101" t="s">
        <v>753</v>
      </c>
      <c r="P55" s="101">
        <v>176503</v>
      </c>
      <c r="Q55" t="s">
        <v>796</v>
      </c>
      <c r="R55" t="s">
        <v>226</v>
      </c>
      <c r="S55" t="s">
        <v>1024</v>
      </c>
      <c r="T55"/>
      <c r="U55"/>
      <c r="V55" s="220"/>
    </row>
    <row r="56" spans="1:22" x14ac:dyDescent="0.2">
      <c r="A56" t="s">
        <v>544</v>
      </c>
      <c r="B56" s="101">
        <v>3</v>
      </c>
      <c r="C56" s="101">
        <v>1</v>
      </c>
      <c r="D56" s="101">
        <v>2</v>
      </c>
      <c r="E56" s="101">
        <v>4</v>
      </c>
      <c r="F56" s="101">
        <v>7</v>
      </c>
      <c r="G56" s="101">
        <v>15</v>
      </c>
      <c r="H56" s="101">
        <v>2.8000000000000003</v>
      </c>
      <c r="I56" s="102">
        <v>0.16</v>
      </c>
      <c r="J56" s="102">
        <v>0.30536999999999997</v>
      </c>
      <c r="K56" s="101">
        <v>0.3</v>
      </c>
      <c r="L56" s="101">
        <v>3.3000000000000003</v>
      </c>
      <c r="M56" s="101" t="s">
        <v>1001</v>
      </c>
      <c r="N56" s="101">
        <v>2001</v>
      </c>
      <c r="O56" s="101" t="s">
        <v>753</v>
      </c>
      <c r="P56" s="101">
        <v>478313</v>
      </c>
      <c r="Q56" t="s">
        <v>701</v>
      </c>
      <c r="R56" t="s">
        <v>491</v>
      </c>
      <c r="S56"/>
      <c r="T56"/>
      <c r="U56"/>
      <c r="V56" s="220"/>
    </row>
    <row r="57" spans="1:22" x14ac:dyDescent="0.2">
      <c r="A57" t="s">
        <v>960</v>
      </c>
      <c r="B57" s="101">
        <v>11</v>
      </c>
      <c r="C57" s="101">
        <v>2</v>
      </c>
      <c r="D57" s="101">
        <v>2</v>
      </c>
      <c r="E57" s="101">
        <v>18</v>
      </c>
      <c r="F57" s="101">
        <v>33</v>
      </c>
      <c r="G57" s="101">
        <v>5</v>
      </c>
      <c r="H57" s="101">
        <v>1</v>
      </c>
      <c r="I57" s="102">
        <v>0.16</v>
      </c>
      <c r="J57" s="102">
        <v>0.2</v>
      </c>
      <c r="K57" s="101">
        <v>9.6</v>
      </c>
      <c r="L57" s="101">
        <v>0.8</v>
      </c>
      <c r="M57" s="101" t="s">
        <v>1001</v>
      </c>
      <c r="N57" s="101">
        <v>2000</v>
      </c>
      <c r="O57" s="101" t="s">
        <v>753</v>
      </c>
      <c r="P57" s="101">
        <v>248161</v>
      </c>
      <c r="Q57" t="s">
        <v>796</v>
      </c>
      <c r="R57" t="s">
        <v>102</v>
      </c>
      <c r="S57" t="s">
        <v>1024</v>
      </c>
      <c r="T57"/>
      <c r="U57"/>
      <c r="V57" s="220"/>
    </row>
    <row r="58" spans="1:22" x14ac:dyDescent="0.2">
      <c r="A58" t="s">
        <v>826</v>
      </c>
      <c r="B58" s="101">
        <v>5</v>
      </c>
      <c r="C58" s="101">
        <v>7</v>
      </c>
      <c r="D58" s="101">
        <v>2</v>
      </c>
      <c r="E58" s="101">
        <v>5</v>
      </c>
      <c r="F58" s="101">
        <v>-4</v>
      </c>
      <c r="G58" s="101">
        <v>25</v>
      </c>
      <c r="H58" s="101">
        <v>4.6000000000000005</v>
      </c>
      <c r="I58" s="102">
        <v>0.16</v>
      </c>
      <c r="J58" s="102">
        <v>0.28500000000000003</v>
      </c>
      <c r="K58" s="101">
        <v>7.5</v>
      </c>
      <c r="L58" s="101">
        <v>-0.3</v>
      </c>
      <c r="M58" s="101" t="s">
        <v>1002</v>
      </c>
      <c r="N58" s="101">
        <v>2000</v>
      </c>
      <c r="O58" s="101" t="s">
        <v>633</v>
      </c>
      <c r="P58" s="101">
        <v>443721</v>
      </c>
      <c r="Q58" t="s">
        <v>100</v>
      </c>
      <c r="R58" t="s">
        <v>615</v>
      </c>
      <c r="S58"/>
      <c r="T58"/>
      <c r="U58"/>
      <c r="V58" s="220"/>
    </row>
    <row r="59" spans="1:22" x14ac:dyDescent="0.2">
      <c r="A59" t="s">
        <v>958</v>
      </c>
      <c r="B59" s="101">
        <v>10</v>
      </c>
      <c r="C59" s="101">
        <v>9</v>
      </c>
      <c r="D59" s="101">
        <v>5</v>
      </c>
      <c r="E59" s="101">
        <v>13</v>
      </c>
      <c r="F59" s="101">
        <v>0</v>
      </c>
      <c r="G59" s="101">
        <v>-23</v>
      </c>
      <c r="H59" s="101">
        <v>-5</v>
      </c>
      <c r="I59" s="102">
        <v>0.16</v>
      </c>
      <c r="J59" s="102">
        <v>0.2</v>
      </c>
      <c r="K59" s="101">
        <v>12.200000000000001</v>
      </c>
      <c r="L59" s="101">
        <v>-0.1</v>
      </c>
      <c r="M59" s="101" t="s">
        <v>1001</v>
      </c>
      <c r="N59" s="101">
        <v>2000</v>
      </c>
      <c r="O59" s="101" t="s">
        <v>753</v>
      </c>
      <c r="P59" s="101">
        <v>140673</v>
      </c>
      <c r="Q59" t="s">
        <v>796</v>
      </c>
      <c r="R59" t="s">
        <v>44</v>
      </c>
      <c r="S59" t="s">
        <v>1024</v>
      </c>
      <c r="T59"/>
      <c r="U59"/>
      <c r="V59" s="220"/>
    </row>
    <row r="60" spans="1:22" x14ac:dyDescent="0.2">
      <c r="A60" t="s">
        <v>723</v>
      </c>
      <c r="B60" s="101">
        <v>13</v>
      </c>
      <c r="C60" s="101">
        <v>2</v>
      </c>
      <c r="D60" s="101">
        <v>2</v>
      </c>
      <c r="E60" s="101">
        <v>17</v>
      </c>
      <c r="F60" s="101">
        <v>24</v>
      </c>
      <c r="G60" s="101">
        <v>8</v>
      </c>
      <c r="H60" s="101">
        <v>1.6</v>
      </c>
      <c r="I60" s="102">
        <v>0.16</v>
      </c>
      <c r="J60" s="102">
        <v>0.2</v>
      </c>
      <c r="K60" s="101">
        <v>16.2</v>
      </c>
      <c r="L60" s="101">
        <v>0.4</v>
      </c>
      <c r="M60" s="101" t="s">
        <v>1001</v>
      </c>
      <c r="N60" s="101">
        <v>2000</v>
      </c>
      <c r="O60" s="101" t="s">
        <v>753</v>
      </c>
      <c r="P60" s="101">
        <v>212332</v>
      </c>
      <c r="Q60" t="s">
        <v>796</v>
      </c>
      <c r="R60" t="s">
        <v>727</v>
      </c>
      <c r="S60" t="s">
        <v>1024</v>
      </c>
      <c r="T60"/>
      <c r="U60"/>
      <c r="V60" s="220"/>
    </row>
    <row r="61" spans="1:22" x14ac:dyDescent="0.2">
      <c r="A61" t="s">
        <v>181</v>
      </c>
      <c r="B61" s="101">
        <v>2</v>
      </c>
      <c r="C61" s="101">
        <v>0</v>
      </c>
      <c r="D61" s="101">
        <v>1</v>
      </c>
      <c r="E61" s="101">
        <v>2</v>
      </c>
      <c r="F61" s="101">
        <v>3</v>
      </c>
      <c r="G61" s="101">
        <v>10</v>
      </c>
      <c r="H61" s="101">
        <v>1.9000000000000001</v>
      </c>
      <c r="I61" s="102">
        <v>0.17</v>
      </c>
      <c r="J61" s="102">
        <v>0.35000000000000003</v>
      </c>
      <c r="K61" s="101">
        <v>0.2</v>
      </c>
      <c r="L61" s="101">
        <v>-3.7</v>
      </c>
      <c r="M61" s="101" t="s">
        <v>1001</v>
      </c>
      <c r="N61" s="101">
        <v>2000</v>
      </c>
      <c r="O61" s="101" t="s">
        <v>753</v>
      </c>
      <c r="P61" s="101">
        <v>768614</v>
      </c>
      <c r="Q61" t="s">
        <v>182</v>
      </c>
      <c r="R61" t="s">
        <v>491</v>
      </c>
      <c r="S61"/>
      <c r="T61"/>
      <c r="U61"/>
      <c r="V61" s="220"/>
    </row>
    <row r="62" spans="1:22" x14ac:dyDescent="0.2">
      <c r="A62" t="s">
        <v>183</v>
      </c>
      <c r="B62" s="101">
        <v>2</v>
      </c>
      <c r="C62" s="101">
        <v>1</v>
      </c>
      <c r="D62" s="101">
        <v>3</v>
      </c>
      <c r="E62" s="101">
        <v>4</v>
      </c>
      <c r="F62" s="101">
        <v>10</v>
      </c>
      <c r="G62" s="101">
        <v>21</v>
      </c>
      <c r="H62" s="101">
        <v>3.8000000000000003</v>
      </c>
      <c r="I62" s="102">
        <v>0.17</v>
      </c>
      <c r="J62" s="102">
        <v>0.35000000000000003</v>
      </c>
      <c r="K62" s="101">
        <v>11.1</v>
      </c>
      <c r="L62" s="101">
        <v>0.2</v>
      </c>
      <c r="M62" s="101" t="s">
        <v>1001</v>
      </c>
      <c r="N62" s="101">
        <v>2000</v>
      </c>
      <c r="O62" s="101" t="s">
        <v>753</v>
      </c>
      <c r="P62" s="101">
        <v>804443</v>
      </c>
      <c r="Q62" t="s">
        <v>182</v>
      </c>
      <c r="R62" t="s">
        <v>546</v>
      </c>
      <c r="S62"/>
      <c r="T62"/>
      <c r="U62"/>
      <c r="V62" s="220"/>
    </row>
    <row r="63" spans="1:22" x14ac:dyDescent="0.2">
      <c r="A63" t="s">
        <v>112</v>
      </c>
      <c r="B63" s="101">
        <v>2</v>
      </c>
      <c r="C63" s="101">
        <v>1</v>
      </c>
      <c r="D63" s="101">
        <v>1</v>
      </c>
      <c r="E63" s="101">
        <v>3</v>
      </c>
      <c r="F63" s="101">
        <v>5</v>
      </c>
      <c r="G63" s="101">
        <v>10</v>
      </c>
      <c r="H63" s="101">
        <v>1.9000000000000001</v>
      </c>
      <c r="I63" s="102">
        <v>0.17</v>
      </c>
      <c r="J63" s="102">
        <v>0.42</v>
      </c>
      <c r="K63" s="101">
        <v>0.3</v>
      </c>
      <c r="L63" s="101">
        <v>1.2</v>
      </c>
      <c r="M63" s="101" t="s">
        <v>1001</v>
      </c>
      <c r="N63" s="101">
        <v>2000</v>
      </c>
      <c r="O63" s="101" t="s">
        <v>633</v>
      </c>
      <c r="P63" s="101">
        <v>718205</v>
      </c>
      <c r="Q63" t="s">
        <v>677</v>
      </c>
      <c r="R63" t="s">
        <v>491</v>
      </c>
      <c r="S63"/>
      <c r="T63"/>
      <c r="U63"/>
      <c r="V63" s="220"/>
    </row>
    <row r="64" spans="1:22" x14ac:dyDescent="0.2">
      <c r="A64" t="s">
        <v>495</v>
      </c>
      <c r="B64" s="101">
        <v>2</v>
      </c>
      <c r="C64" s="101">
        <v>1</v>
      </c>
      <c r="D64" s="101">
        <v>1</v>
      </c>
      <c r="E64" s="101">
        <v>2</v>
      </c>
      <c r="F64" s="101">
        <v>5</v>
      </c>
      <c r="G64" s="101">
        <v>13</v>
      </c>
      <c r="H64" s="101">
        <v>2.4</v>
      </c>
      <c r="I64" s="102">
        <v>0.17</v>
      </c>
      <c r="J64" s="102">
        <v>0.5</v>
      </c>
      <c r="K64" s="101">
        <v>0.3</v>
      </c>
      <c r="L64" s="101">
        <v>1.1000000000000001</v>
      </c>
      <c r="M64" s="101" t="s">
        <v>1001</v>
      </c>
      <c r="N64" s="101">
        <v>2001</v>
      </c>
      <c r="O64" s="101" t="s">
        <v>753</v>
      </c>
      <c r="P64" s="101">
        <v>613133</v>
      </c>
      <c r="Q64" t="s">
        <v>703</v>
      </c>
      <c r="R64" t="s">
        <v>491</v>
      </c>
      <c r="S64"/>
      <c r="T64"/>
      <c r="U64"/>
      <c r="V64" s="220"/>
    </row>
    <row r="65" spans="1:22" x14ac:dyDescent="0.2">
      <c r="A65" t="s">
        <v>915</v>
      </c>
      <c r="B65" s="101">
        <v>4</v>
      </c>
      <c r="C65" s="101">
        <v>1</v>
      </c>
      <c r="D65" s="101">
        <v>0</v>
      </c>
      <c r="E65" s="101">
        <v>4</v>
      </c>
      <c r="F65" s="101"/>
      <c r="G65" s="101"/>
      <c r="H65" s="101"/>
      <c r="I65" s="102">
        <v>0.17</v>
      </c>
      <c r="J65" s="102">
        <v>0.215</v>
      </c>
      <c r="K65" s="101"/>
      <c r="L65" s="101"/>
      <c r="M65" s="101" t="s">
        <v>1001</v>
      </c>
      <c r="N65" s="101">
        <v>2011</v>
      </c>
      <c r="O65" s="101" t="s">
        <v>753</v>
      </c>
      <c r="P65" s="101">
        <v>781716</v>
      </c>
      <c r="Q65" t="s">
        <v>905</v>
      </c>
      <c r="R65" t="s">
        <v>301</v>
      </c>
      <c r="S65"/>
      <c r="T65"/>
      <c r="U65"/>
      <c r="V65" s="220"/>
    </row>
    <row r="66" spans="1:22" x14ac:dyDescent="0.2">
      <c r="A66" t="s">
        <v>1099</v>
      </c>
      <c r="B66" s="101">
        <v>8</v>
      </c>
      <c r="C66" s="101">
        <v>6</v>
      </c>
      <c r="D66" s="101">
        <v>2</v>
      </c>
      <c r="E66" s="101">
        <v>12</v>
      </c>
      <c r="F66" s="101">
        <v>6</v>
      </c>
      <c r="G66" s="101">
        <v>-18</v>
      </c>
      <c r="H66" s="101">
        <v>-3.8000000000000003</v>
      </c>
      <c r="I66" s="102">
        <v>0.17</v>
      </c>
      <c r="J66" s="102">
        <v>0.3</v>
      </c>
      <c r="K66" s="101">
        <v>9.8000000000000007</v>
      </c>
      <c r="L66" s="101">
        <v>0.1</v>
      </c>
      <c r="M66" s="101" t="s">
        <v>1001</v>
      </c>
      <c r="N66" s="101">
        <v>2010</v>
      </c>
      <c r="O66" s="101" t="s">
        <v>753</v>
      </c>
      <c r="P66" s="101">
        <v>407064</v>
      </c>
      <c r="Q66" t="s">
        <v>796</v>
      </c>
      <c r="R66" t="s">
        <v>145</v>
      </c>
      <c r="S66" t="s">
        <v>1024</v>
      </c>
      <c r="T66"/>
      <c r="U66"/>
      <c r="V66" s="220"/>
    </row>
    <row r="67" spans="1:22" x14ac:dyDescent="0.2">
      <c r="A67" t="s">
        <v>510</v>
      </c>
      <c r="B67" s="101">
        <v>0</v>
      </c>
      <c r="C67" s="101">
        <v>-1</v>
      </c>
      <c r="D67" s="101">
        <v>1</v>
      </c>
      <c r="E67" s="101">
        <v>3</v>
      </c>
      <c r="F67" s="101">
        <v>18</v>
      </c>
      <c r="G67" s="101">
        <v>30</v>
      </c>
      <c r="H67" s="101">
        <v>5.4</v>
      </c>
      <c r="I67" s="102">
        <v>0.17</v>
      </c>
      <c r="J67" s="102">
        <v>0.72</v>
      </c>
      <c r="K67" s="101">
        <v>4.2</v>
      </c>
      <c r="L67" s="101">
        <v>1</v>
      </c>
      <c r="M67" s="101" t="s">
        <v>1001</v>
      </c>
      <c r="N67" s="101">
        <v>2003</v>
      </c>
      <c r="O67" s="101" t="s">
        <v>753</v>
      </c>
      <c r="P67" s="101">
        <v>666552</v>
      </c>
      <c r="Q67" t="s">
        <v>174</v>
      </c>
      <c r="R67" t="s">
        <v>611</v>
      </c>
      <c r="S67"/>
      <c r="T67"/>
      <c r="U67"/>
      <c r="V67" s="220"/>
    </row>
    <row r="68" spans="1:22" x14ac:dyDescent="0.2">
      <c r="A68" t="s">
        <v>721</v>
      </c>
      <c r="B68" s="101">
        <v>13</v>
      </c>
      <c r="C68" s="101">
        <v>2</v>
      </c>
      <c r="D68" s="101">
        <v>1</v>
      </c>
      <c r="E68" s="101">
        <v>16</v>
      </c>
      <c r="F68" s="101">
        <v>24</v>
      </c>
      <c r="G68" s="101">
        <v>4</v>
      </c>
      <c r="H68" s="101">
        <v>0.8</v>
      </c>
      <c r="I68" s="102">
        <v>0.18</v>
      </c>
      <c r="J68" s="102">
        <v>0.4</v>
      </c>
      <c r="K68" s="101">
        <v>17.3</v>
      </c>
      <c r="L68" s="101">
        <v>0.4</v>
      </c>
      <c r="M68" s="101" t="s">
        <v>1001</v>
      </c>
      <c r="N68" s="101">
        <v>2000</v>
      </c>
      <c r="O68" s="101" t="s">
        <v>753</v>
      </c>
      <c r="P68" s="101">
        <v>833608</v>
      </c>
      <c r="Q68" t="s">
        <v>776</v>
      </c>
      <c r="R68" t="s">
        <v>671</v>
      </c>
      <c r="S68" t="s">
        <v>1024</v>
      </c>
      <c r="T68"/>
      <c r="U68"/>
      <c r="V68" s="220"/>
    </row>
    <row r="69" spans="1:22" x14ac:dyDescent="0.2">
      <c r="A69" t="s">
        <v>610</v>
      </c>
      <c r="B69" s="101">
        <v>3</v>
      </c>
      <c r="C69" s="101">
        <v>1</v>
      </c>
      <c r="D69" s="101">
        <v>3</v>
      </c>
      <c r="E69" s="101">
        <v>5</v>
      </c>
      <c r="F69" s="101">
        <v>13</v>
      </c>
      <c r="G69" s="101">
        <v>30</v>
      </c>
      <c r="H69" s="101">
        <v>5.3</v>
      </c>
      <c r="I69" s="102">
        <v>0.18</v>
      </c>
      <c r="J69" s="102">
        <v>0.5</v>
      </c>
      <c r="K69" s="101">
        <v>2.8000000000000003</v>
      </c>
      <c r="L69" s="101">
        <v>0.9</v>
      </c>
      <c r="M69" s="101" t="s">
        <v>1001</v>
      </c>
      <c r="N69" s="101">
        <v>2001</v>
      </c>
      <c r="O69" s="101" t="s">
        <v>753</v>
      </c>
      <c r="P69" s="101">
        <v>242081</v>
      </c>
      <c r="Q69" t="s">
        <v>699</v>
      </c>
      <c r="R69" t="s">
        <v>546</v>
      </c>
      <c r="S69"/>
      <c r="T69"/>
      <c r="U69"/>
      <c r="V69" s="220"/>
    </row>
    <row r="70" spans="1:22" x14ac:dyDescent="0.2">
      <c r="A70" t="s">
        <v>745</v>
      </c>
      <c r="B70" s="101">
        <v>11</v>
      </c>
      <c r="C70" s="101">
        <v>3</v>
      </c>
      <c r="D70" s="101">
        <v>2</v>
      </c>
      <c r="E70" s="101">
        <v>16</v>
      </c>
      <c r="F70" s="101">
        <v>18</v>
      </c>
      <c r="G70" s="101">
        <v>-4</v>
      </c>
      <c r="H70" s="101">
        <v>-0.8</v>
      </c>
      <c r="I70" s="102">
        <v>0.18</v>
      </c>
      <c r="J70" s="102">
        <v>0.4</v>
      </c>
      <c r="K70" s="101">
        <v>10.8</v>
      </c>
      <c r="L70" s="101">
        <v>0.4</v>
      </c>
      <c r="M70" s="101" t="s">
        <v>1001</v>
      </c>
      <c r="N70" s="101">
        <v>2000</v>
      </c>
      <c r="O70" s="101" t="s">
        <v>753</v>
      </c>
      <c r="P70" s="101">
        <v>296152</v>
      </c>
      <c r="Q70" t="s">
        <v>776</v>
      </c>
      <c r="R70" t="s">
        <v>730</v>
      </c>
      <c r="S70" t="s">
        <v>1024</v>
      </c>
      <c r="T70"/>
      <c r="U70"/>
      <c r="V70" s="220"/>
    </row>
    <row r="71" spans="1:22" x14ac:dyDescent="0.2">
      <c r="A71" t="s">
        <v>300</v>
      </c>
      <c r="B71" s="101">
        <v>7</v>
      </c>
      <c r="C71" s="101">
        <v>1</v>
      </c>
      <c r="D71" s="101">
        <v>2</v>
      </c>
      <c r="E71" s="101">
        <v>10</v>
      </c>
      <c r="F71" s="101">
        <v>20</v>
      </c>
      <c r="G71" s="101">
        <v>21</v>
      </c>
      <c r="H71" s="101">
        <v>4</v>
      </c>
      <c r="I71" s="102">
        <v>0.18</v>
      </c>
      <c r="J71" s="102">
        <v>0.4</v>
      </c>
      <c r="K71" s="101">
        <v>4.9000000000000004</v>
      </c>
      <c r="L71" s="101">
        <v>0.9</v>
      </c>
      <c r="M71" s="101" t="s">
        <v>1001</v>
      </c>
      <c r="N71" s="101">
        <v>2000</v>
      </c>
      <c r="O71" s="101" t="s">
        <v>753</v>
      </c>
      <c r="P71" s="101">
        <v>260323</v>
      </c>
      <c r="Q71" t="s">
        <v>776</v>
      </c>
      <c r="R71" t="s">
        <v>293</v>
      </c>
      <c r="S71" t="s">
        <v>1024</v>
      </c>
      <c r="T71"/>
      <c r="U71"/>
      <c r="V71" s="220"/>
    </row>
    <row r="72" spans="1:22" x14ac:dyDescent="0.2">
      <c r="A72" t="s">
        <v>299</v>
      </c>
      <c r="B72" s="101">
        <v>9</v>
      </c>
      <c r="C72" s="101">
        <v>2</v>
      </c>
      <c r="D72" s="101">
        <v>2</v>
      </c>
      <c r="E72" s="101">
        <v>12</v>
      </c>
      <c r="F72" s="101">
        <v>19</v>
      </c>
      <c r="G72" s="101">
        <v>10</v>
      </c>
      <c r="H72" s="101">
        <v>2</v>
      </c>
      <c r="I72" s="102">
        <v>0.18</v>
      </c>
      <c r="J72" s="102">
        <v>0.4</v>
      </c>
      <c r="K72" s="101">
        <v>6.5</v>
      </c>
      <c r="L72" s="101">
        <v>0.70000000000000007</v>
      </c>
      <c r="M72" s="101" t="s">
        <v>1001</v>
      </c>
      <c r="N72" s="101">
        <v>2000</v>
      </c>
      <c r="O72" s="101" t="s">
        <v>753</v>
      </c>
      <c r="P72" s="101">
        <v>224493</v>
      </c>
      <c r="Q72" t="s">
        <v>776</v>
      </c>
      <c r="R72" t="s">
        <v>293</v>
      </c>
      <c r="S72" t="s">
        <v>1024</v>
      </c>
      <c r="T72"/>
      <c r="U72"/>
      <c r="V72" s="220"/>
    </row>
    <row r="73" spans="1:22" x14ac:dyDescent="0.2">
      <c r="A73" t="s">
        <v>817</v>
      </c>
      <c r="B73" s="101">
        <v>16</v>
      </c>
      <c r="C73" s="101">
        <v>13</v>
      </c>
      <c r="D73" s="101">
        <v>9</v>
      </c>
      <c r="E73" s="101">
        <v>16</v>
      </c>
      <c r="F73" s="101">
        <v>-3</v>
      </c>
      <c r="G73" s="101">
        <v>-27</v>
      </c>
      <c r="H73" s="101">
        <v>-6.1000000000000005</v>
      </c>
      <c r="I73" s="102">
        <v>0.18</v>
      </c>
      <c r="J73" s="102">
        <v>0.4</v>
      </c>
      <c r="K73" s="101">
        <v>16.899999999999999</v>
      </c>
      <c r="L73" s="101">
        <v>-0.1</v>
      </c>
      <c r="M73" s="101" t="s">
        <v>1001</v>
      </c>
      <c r="N73" s="101">
        <v>2000</v>
      </c>
      <c r="O73" s="101" t="s">
        <v>753</v>
      </c>
      <c r="P73" s="101">
        <v>538462</v>
      </c>
      <c r="Q73" t="s">
        <v>809</v>
      </c>
      <c r="R73" t="s">
        <v>86</v>
      </c>
      <c r="S73"/>
      <c r="T73"/>
      <c r="U73"/>
      <c r="V73" s="220"/>
    </row>
    <row r="74" spans="1:22" x14ac:dyDescent="0.2">
      <c r="A74" t="s">
        <v>821</v>
      </c>
      <c r="B74" s="101">
        <v>11</v>
      </c>
      <c r="C74" s="101">
        <v>4</v>
      </c>
      <c r="D74" s="101">
        <v>1</v>
      </c>
      <c r="E74" s="101">
        <v>15</v>
      </c>
      <c r="F74" s="101">
        <v>14</v>
      </c>
      <c r="G74" s="101">
        <v>-10</v>
      </c>
      <c r="H74" s="101">
        <v>-2</v>
      </c>
      <c r="I74" s="102">
        <v>0.18</v>
      </c>
      <c r="J74" s="102">
        <v>0.4</v>
      </c>
      <c r="K74" s="101">
        <v>10.200000000000001</v>
      </c>
      <c r="L74" s="101">
        <v>0.3</v>
      </c>
      <c r="M74" s="101" t="s">
        <v>1001</v>
      </c>
      <c r="N74" s="101">
        <v>2001</v>
      </c>
      <c r="O74" s="101" t="s">
        <v>753</v>
      </c>
      <c r="P74" s="101">
        <v>908277</v>
      </c>
      <c r="Q74" t="s">
        <v>809</v>
      </c>
      <c r="R74" t="s">
        <v>145</v>
      </c>
      <c r="S74"/>
      <c r="T74"/>
      <c r="U74"/>
      <c r="V74" s="220"/>
    </row>
    <row r="75" spans="1:22" x14ac:dyDescent="0.2">
      <c r="A75" t="s">
        <v>978</v>
      </c>
      <c r="B75" s="101"/>
      <c r="C75" s="101">
        <v>3</v>
      </c>
      <c r="D75" s="101">
        <v>0</v>
      </c>
      <c r="E75" s="101"/>
      <c r="F75" s="101"/>
      <c r="G75" s="101"/>
      <c r="H75" s="101"/>
      <c r="I75" s="102">
        <v>0.18</v>
      </c>
      <c r="J75" s="102">
        <v>0.4</v>
      </c>
      <c r="K75" s="101"/>
      <c r="L75" s="101"/>
      <c r="M75" s="101" t="s">
        <v>1001</v>
      </c>
      <c r="N75" s="101">
        <v>2012</v>
      </c>
      <c r="O75" s="101" t="s">
        <v>753</v>
      </c>
      <c r="P75" s="101">
        <v>229682</v>
      </c>
      <c r="Q75" t="s">
        <v>809</v>
      </c>
      <c r="R75" t="s">
        <v>145</v>
      </c>
      <c r="S75"/>
      <c r="T75"/>
      <c r="U75"/>
      <c r="V75" s="220"/>
    </row>
    <row r="76" spans="1:22" x14ac:dyDescent="0.2">
      <c r="A76" t="s">
        <v>823</v>
      </c>
      <c r="B76" s="101">
        <v>10</v>
      </c>
      <c r="C76" s="101">
        <v>2</v>
      </c>
      <c r="D76" s="101">
        <v>1</v>
      </c>
      <c r="E76" s="101">
        <v>17</v>
      </c>
      <c r="F76" s="101">
        <v>22</v>
      </c>
      <c r="G76" s="101">
        <v>-3</v>
      </c>
      <c r="H76" s="101">
        <v>-0.6</v>
      </c>
      <c r="I76" s="102">
        <v>0.18</v>
      </c>
      <c r="J76" s="102">
        <v>0.4</v>
      </c>
      <c r="K76" s="101">
        <v>10.3</v>
      </c>
      <c r="L76" s="101">
        <v>0.5</v>
      </c>
      <c r="M76" s="101" t="s">
        <v>1001</v>
      </c>
      <c r="N76" s="101">
        <v>2007</v>
      </c>
      <c r="O76" s="101" t="s">
        <v>753</v>
      </c>
      <c r="P76" s="101">
        <v>520692</v>
      </c>
      <c r="Q76" t="s">
        <v>809</v>
      </c>
      <c r="R76" t="s">
        <v>102</v>
      </c>
      <c r="S76"/>
      <c r="T76"/>
      <c r="U76"/>
      <c r="V76" s="220"/>
    </row>
    <row r="77" spans="1:22" x14ac:dyDescent="0.2">
      <c r="A77" t="s">
        <v>820</v>
      </c>
      <c r="B77" s="101">
        <v>13</v>
      </c>
      <c r="C77" s="101">
        <v>1</v>
      </c>
      <c r="D77" s="101">
        <v>0</v>
      </c>
      <c r="E77" s="101">
        <v>16</v>
      </c>
      <c r="F77" s="101">
        <v>25</v>
      </c>
      <c r="G77" s="101">
        <v>7</v>
      </c>
      <c r="H77" s="101">
        <v>1.5</v>
      </c>
      <c r="I77" s="102">
        <v>0.18</v>
      </c>
      <c r="J77" s="102">
        <v>0.4</v>
      </c>
      <c r="K77" s="101">
        <v>16.8</v>
      </c>
      <c r="L77" s="101">
        <v>0.4</v>
      </c>
      <c r="M77" s="101" t="s">
        <v>1001</v>
      </c>
      <c r="N77" s="101">
        <v>2000</v>
      </c>
      <c r="O77" s="101" t="s">
        <v>753</v>
      </c>
      <c r="P77" s="101">
        <v>681783</v>
      </c>
      <c r="Q77" t="s">
        <v>809</v>
      </c>
      <c r="R77" t="s">
        <v>671</v>
      </c>
      <c r="S77"/>
      <c r="T77"/>
      <c r="U77"/>
      <c r="V77" s="220"/>
    </row>
    <row r="78" spans="1:22" x14ac:dyDescent="0.2">
      <c r="A78" t="s">
        <v>819</v>
      </c>
      <c r="B78" s="101">
        <v>11</v>
      </c>
      <c r="C78" s="101">
        <v>2</v>
      </c>
      <c r="D78" s="101">
        <v>0</v>
      </c>
      <c r="E78" s="101">
        <v>15</v>
      </c>
      <c r="F78" s="101">
        <v>17</v>
      </c>
      <c r="G78" s="101">
        <v>-3</v>
      </c>
      <c r="H78" s="101">
        <v>-0.6</v>
      </c>
      <c r="I78" s="102">
        <v>0.18</v>
      </c>
      <c r="J78" s="102">
        <v>0.4</v>
      </c>
      <c r="K78" s="101">
        <v>13.6</v>
      </c>
      <c r="L78" s="101">
        <v>0.3</v>
      </c>
      <c r="M78" s="101" t="s">
        <v>1001</v>
      </c>
      <c r="N78" s="101">
        <v>2000</v>
      </c>
      <c r="O78" s="101" t="s">
        <v>753</v>
      </c>
      <c r="P78" s="101">
        <v>645952</v>
      </c>
      <c r="Q78" t="s">
        <v>809</v>
      </c>
      <c r="R78" t="s">
        <v>730</v>
      </c>
      <c r="S78"/>
      <c r="T78"/>
      <c r="U78"/>
      <c r="V78" s="220"/>
    </row>
    <row r="79" spans="1:22" x14ac:dyDescent="0.2">
      <c r="A79" t="s">
        <v>818</v>
      </c>
      <c r="B79" s="101">
        <v>9</v>
      </c>
      <c r="C79" s="101">
        <v>1</v>
      </c>
      <c r="D79" s="101">
        <v>2</v>
      </c>
      <c r="E79" s="101">
        <v>11</v>
      </c>
      <c r="F79" s="101">
        <v>22</v>
      </c>
      <c r="G79" s="101">
        <v>20</v>
      </c>
      <c r="H79" s="101">
        <v>3.8000000000000003</v>
      </c>
      <c r="I79" s="102">
        <v>0.18</v>
      </c>
      <c r="J79" s="102">
        <v>0.4</v>
      </c>
      <c r="K79" s="101">
        <v>7.4</v>
      </c>
      <c r="L79" s="101">
        <v>0.70000000000000007</v>
      </c>
      <c r="M79" s="101" t="s">
        <v>1001</v>
      </c>
      <c r="N79" s="101">
        <v>2000</v>
      </c>
      <c r="O79" s="101" t="s">
        <v>753</v>
      </c>
      <c r="P79" s="101">
        <v>610121</v>
      </c>
      <c r="Q79" t="s">
        <v>809</v>
      </c>
      <c r="R79" t="s">
        <v>293</v>
      </c>
      <c r="S79"/>
      <c r="T79"/>
      <c r="U79"/>
      <c r="V79" s="220"/>
    </row>
    <row r="80" spans="1:22" x14ac:dyDescent="0.2">
      <c r="A80" t="s">
        <v>1045</v>
      </c>
      <c r="B80" s="101">
        <v>3</v>
      </c>
      <c r="C80" s="101">
        <v>1</v>
      </c>
      <c r="D80" s="101">
        <v>1</v>
      </c>
      <c r="E80" s="101">
        <v>3</v>
      </c>
      <c r="F80" s="101">
        <v>6</v>
      </c>
      <c r="G80" s="101">
        <v>15</v>
      </c>
      <c r="H80" s="101">
        <v>2.8000000000000003</v>
      </c>
      <c r="I80" s="102">
        <v>0.18</v>
      </c>
      <c r="J80" s="102">
        <v>0.5</v>
      </c>
      <c r="K80" s="101">
        <v>0.4</v>
      </c>
      <c r="L80" s="101">
        <v>1.1000000000000001</v>
      </c>
      <c r="M80" s="101" t="s">
        <v>1001</v>
      </c>
      <c r="N80" s="101">
        <v>2005</v>
      </c>
      <c r="O80" s="101" t="s">
        <v>633</v>
      </c>
      <c r="P80" s="101">
        <v>815894</v>
      </c>
      <c r="Q80" t="s">
        <v>764</v>
      </c>
      <c r="R80" t="s">
        <v>491</v>
      </c>
      <c r="S80"/>
      <c r="T80"/>
      <c r="U80"/>
      <c r="V80" s="220"/>
    </row>
    <row r="81" spans="1:22" x14ac:dyDescent="0.2">
      <c r="A81" t="s">
        <v>378</v>
      </c>
      <c r="B81" s="101">
        <v>3</v>
      </c>
      <c r="C81" s="101">
        <v>1</v>
      </c>
      <c r="D81" s="101">
        <v>3</v>
      </c>
      <c r="E81" s="101">
        <v>5</v>
      </c>
      <c r="F81" s="101">
        <v>12</v>
      </c>
      <c r="G81" s="101">
        <v>29</v>
      </c>
      <c r="H81" s="101">
        <v>5.2</v>
      </c>
      <c r="I81" s="102">
        <v>0.18</v>
      </c>
      <c r="J81" s="102">
        <v>0.5</v>
      </c>
      <c r="K81" s="101">
        <v>2</v>
      </c>
      <c r="L81" s="101">
        <v>1.2</v>
      </c>
      <c r="M81" s="101" t="s">
        <v>1001</v>
      </c>
      <c r="N81" s="101">
        <v>2010</v>
      </c>
      <c r="O81" s="101" t="s">
        <v>633</v>
      </c>
      <c r="P81" s="101">
        <v>756866</v>
      </c>
      <c r="Q81" t="s">
        <v>764</v>
      </c>
      <c r="R81" t="s">
        <v>546</v>
      </c>
      <c r="S81"/>
      <c r="T81"/>
      <c r="U81"/>
      <c r="V81" s="220"/>
    </row>
    <row r="82" spans="1:22" x14ac:dyDescent="0.2">
      <c r="A82" t="s">
        <v>919</v>
      </c>
      <c r="B82" s="101">
        <v>1</v>
      </c>
      <c r="C82" s="101">
        <v>0</v>
      </c>
      <c r="D82" s="101">
        <v>1</v>
      </c>
      <c r="E82" s="101">
        <v>2</v>
      </c>
      <c r="F82" s="101">
        <v>4</v>
      </c>
      <c r="G82" s="101">
        <v>11</v>
      </c>
      <c r="H82" s="101">
        <v>2</v>
      </c>
      <c r="I82" s="102">
        <v>0.18</v>
      </c>
      <c r="J82" s="102">
        <v>0.372</v>
      </c>
      <c r="K82" s="101">
        <v>0.3</v>
      </c>
      <c r="L82" s="101">
        <v>-1.3</v>
      </c>
      <c r="M82" s="101" t="s">
        <v>1001</v>
      </c>
      <c r="N82" s="101">
        <v>2003</v>
      </c>
      <c r="O82" s="101" t="s">
        <v>633</v>
      </c>
      <c r="P82" s="101">
        <v>770388</v>
      </c>
      <c r="Q82" t="s">
        <v>920</v>
      </c>
      <c r="R82" t="s">
        <v>491</v>
      </c>
      <c r="S82"/>
      <c r="T82"/>
      <c r="U82"/>
      <c r="V82" s="220"/>
    </row>
    <row r="83" spans="1:22" x14ac:dyDescent="0.2">
      <c r="A83" t="s">
        <v>520</v>
      </c>
      <c r="B83" s="101">
        <v>10</v>
      </c>
      <c r="C83" s="101">
        <v>2</v>
      </c>
      <c r="D83" s="101">
        <v>0</v>
      </c>
      <c r="E83" s="101">
        <v>14</v>
      </c>
      <c r="F83" s="101">
        <v>20</v>
      </c>
      <c r="G83" s="101">
        <v>-1</v>
      </c>
      <c r="H83" s="101">
        <v>-0.2</v>
      </c>
      <c r="I83" s="102">
        <v>0.18</v>
      </c>
      <c r="J83" s="102">
        <v>0.42</v>
      </c>
      <c r="K83" s="101">
        <v>12</v>
      </c>
      <c r="L83" s="101">
        <v>0.4</v>
      </c>
      <c r="M83" s="101" t="s">
        <v>1001</v>
      </c>
      <c r="N83" s="101">
        <v>2000</v>
      </c>
      <c r="O83" s="101" t="s">
        <v>753</v>
      </c>
      <c r="P83" s="101">
        <v>785022</v>
      </c>
      <c r="Q83" t="s">
        <v>174</v>
      </c>
      <c r="R83" t="s">
        <v>730</v>
      </c>
      <c r="S83"/>
      <c r="T83"/>
      <c r="U83"/>
      <c r="V83" s="220"/>
    </row>
    <row r="84" spans="1:22" x14ac:dyDescent="0.2">
      <c r="A84" t="s">
        <v>516</v>
      </c>
      <c r="B84" s="101">
        <v>7</v>
      </c>
      <c r="C84" s="101">
        <v>2</v>
      </c>
      <c r="D84" s="101">
        <v>2</v>
      </c>
      <c r="E84" s="101">
        <v>9</v>
      </c>
      <c r="F84" s="101">
        <v>14</v>
      </c>
      <c r="G84" s="101">
        <v>12</v>
      </c>
      <c r="H84" s="101">
        <v>2.2000000000000002</v>
      </c>
      <c r="I84" s="102">
        <v>0.18</v>
      </c>
      <c r="J84" s="102">
        <v>0.42</v>
      </c>
      <c r="K84" s="101">
        <v>4.4000000000000004</v>
      </c>
      <c r="L84" s="101">
        <v>0.6</v>
      </c>
      <c r="M84" s="101" t="s">
        <v>1001</v>
      </c>
      <c r="N84" s="101">
        <v>2000</v>
      </c>
      <c r="O84" s="101" t="s">
        <v>753</v>
      </c>
      <c r="P84" s="101">
        <v>749192</v>
      </c>
      <c r="Q84" t="s">
        <v>174</v>
      </c>
      <c r="R84" t="s">
        <v>301</v>
      </c>
      <c r="S84"/>
      <c r="T84"/>
      <c r="U84"/>
      <c r="V84" s="220"/>
    </row>
    <row r="85" spans="1:22" x14ac:dyDescent="0.2">
      <c r="A85" t="s">
        <v>156</v>
      </c>
      <c r="B85" s="101">
        <v>9</v>
      </c>
      <c r="C85" s="101">
        <v>3</v>
      </c>
      <c r="D85" s="101">
        <v>2</v>
      </c>
      <c r="E85" s="101">
        <v>14</v>
      </c>
      <c r="F85" s="101">
        <v>20</v>
      </c>
      <c r="G85" s="101">
        <v>-7</v>
      </c>
      <c r="H85" s="101">
        <v>-1.5</v>
      </c>
      <c r="I85" s="102">
        <v>0.18</v>
      </c>
      <c r="J85" s="102">
        <v>0.4</v>
      </c>
      <c r="K85" s="101">
        <v>8.9</v>
      </c>
      <c r="L85" s="101">
        <v>0.5</v>
      </c>
      <c r="M85" s="101" t="s">
        <v>1001</v>
      </c>
      <c r="N85" s="101">
        <v>2000</v>
      </c>
      <c r="O85" s="101" t="s">
        <v>753</v>
      </c>
      <c r="P85" s="101">
        <v>797779</v>
      </c>
      <c r="Q85" t="s">
        <v>776</v>
      </c>
      <c r="R85" t="s">
        <v>145</v>
      </c>
      <c r="S85" t="s">
        <v>1024</v>
      </c>
      <c r="T85"/>
      <c r="U85"/>
      <c r="V85" s="220"/>
    </row>
    <row r="86" spans="1:22" x14ac:dyDescent="0.2">
      <c r="A86" t="s">
        <v>345</v>
      </c>
      <c r="B86" s="101">
        <v>5</v>
      </c>
      <c r="C86" s="101">
        <v>2</v>
      </c>
      <c r="D86" s="101">
        <v>3</v>
      </c>
      <c r="E86" s="101">
        <v>7</v>
      </c>
      <c r="F86" s="101">
        <v>14</v>
      </c>
      <c r="G86" s="101">
        <v>15</v>
      </c>
      <c r="H86" s="101">
        <v>2.8000000000000003</v>
      </c>
      <c r="I86" s="102">
        <v>0.19</v>
      </c>
      <c r="J86" s="102">
        <v>0.4</v>
      </c>
      <c r="K86" s="101">
        <v>2.4</v>
      </c>
      <c r="L86" s="101">
        <v>1.1000000000000001</v>
      </c>
      <c r="M86" s="101" t="s">
        <v>1001</v>
      </c>
      <c r="N86" s="101">
        <v>2000</v>
      </c>
      <c r="O86" s="101" t="s">
        <v>753</v>
      </c>
      <c r="P86" s="101">
        <v>391482</v>
      </c>
      <c r="Q86" t="s">
        <v>796</v>
      </c>
      <c r="R86" t="s">
        <v>344</v>
      </c>
      <c r="S86" t="s">
        <v>1024</v>
      </c>
      <c r="T86"/>
      <c r="U86"/>
      <c r="V86" s="220"/>
    </row>
    <row r="87" spans="1:22" x14ac:dyDescent="0.2">
      <c r="A87" t="s">
        <v>471</v>
      </c>
      <c r="B87" s="101">
        <v>8</v>
      </c>
      <c r="C87" s="101">
        <v>2</v>
      </c>
      <c r="D87" s="101">
        <v>2</v>
      </c>
      <c r="E87" s="101">
        <v>10</v>
      </c>
      <c r="F87" s="101">
        <v>14</v>
      </c>
      <c r="G87" s="101">
        <v>-9</v>
      </c>
      <c r="H87" s="101">
        <v>-2</v>
      </c>
      <c r="I87" s="102">
        <v>0.19</v>
      </c>
      <c r="J87" s="102">
        <v>0.4</v>
      </c>
      <c r="K87" s="101">
        <v>6.3</v>
      </c>
      <c r="L87" s="101">
        <v>0.4</v>
      </c>
      <c r="M87" s="101" t="s">
        <v>1001</v>
      </c>
      <c r="N87" s="101">
        <v>2000</v>
      </c>
      <c r="O87" s="101" t="s">
        <v>753</v>
      </c>
      <c r="P87" s="101">
        <v>427310</v>
      </c>
      <c r="Q87" t="s">
        <v>796</v>
      </c>
      <c r="R87" t="s">
        <v>348</v>
      </c>
      <c r="S87" t="s">
        <v>1024</v>
      </c>
      <c r="T87"/>
      <c r="U87"/>
      <c r="V87" s="220"/>
    </row>
    <row r="88" spans="1:22" x14ac:dyDescent="0.2">
      <c r="A88" t="s">
        <v>482</v>
      </c>
      <c r="B88" s="101">
        <v>9</v>
      </c>
      <c r="C88" s="101">
        <v>3</v>
      </c>
      <c r="D88" s="101">
        <v>2</v>
      </c>
      <c r="E88" s="101">
        <v>12</v>
      </c>
      <c r="F88" s="101">
        <v>14</v>
      </c>
      <c r="G88" s="101">
        <v>-20</v>
      </c>
      <c r="H88" s="101">
        <v>-4.3</v>
      </c>
      <c r="I88" s="102">
        <v>0.19</v>
      </c>
      <c r="J88" s="102">
        <v>0.4</v>
      </c>
      <c r="K88" s="101">
        <v>8.7000000000000011</v>
      </c>
      <c r="L88" s="101">
        <v>0.3</v>
      </c>
      <c r="M88" s="101" t="s">
        <v>1001</v>
      </c>
      <c r="N88" s="101">
        <v>2000</v>
      </c>
      <c r="O88" s="101" t="s">
        <v>753</v>
      </c>
      <c r="P88" s="101">
        <v>463141</v>
      </c>
      <c r="Q88" t="s">
        <v>796</v>
      </c>
      <c r="R88" t="s">
        <v>348</v>
      </c>
      <c r="S88" t="s">
        <v>1024</v>
      </c>
      <c r="T88"/>
      <c r="U88"/>
      <c r="V88" s="220"/>
    </row>
    <row r="89" spans="1:22" x14ac:dyDescent="0.2">
      <c r="A89" t="s">
        <v>477</v>
      </c>
      <c r="B89" s="101">
        <v>9</v>
      </c>
      <c r="C89" s="101">
        <v>3</v>
      </c>
      <c r="D89" s="101">
        <v>1</v>
      </c>
      <c r="E89" s="101">
        <v>13</v>
      </c>
      <c r="F89" s="101">
        <v>13</v>
      </c>
      <c r="G89" s="101">
        <v>-18</v>
      </c>
      <c r="H89" s="101">
        <v>-3.9</v>
      </c>
      <c r="I89" s="102">
        <v>0.19</v>
      </c>
      <c r="J89" s="102">
        <v>0.4</v>
      </c>
      <c r="K89" s="101">
        <v>10.3</v>
      </c>
      <c r="L89" s="101">
        <v>0.3</v>
      </c>
      <c r="M89" s="101" t="s">
        <v>1001</v>
      </c>
      <c r="N89" s="101">
        <v>2000</v>
      </c>
      <c r="O89" s="101" t="s">
        <v>753</v>
      </c>
      <c r="P89" s="101">
        <v>498972</v>
      </c>
      <c r="Q89" t="s">
        <v>796</v>
      </c>
      <c r="R89" t="s">
        <v>473</v>
      </c>
      <c r="S89" t="s">
        <v>1024</v>
      </c>
      <c r="T89"/>
      <c r="U89"/>
      <c r="V89" s="220"/>
    </row>
    <row r="90" spans="1:22" x14ac:dyDescent="0.2">
      <c r="A90" t="s">
        <v>476</v>
      </c>
      <c r="B90" s="101">
        <v>9</v>
      </c>
      <c r="C90" s="101">
        <v>3</v>
      </c>
      <c r="D90" s="101">
        <v>1</v>
      </c>
      <c r="E90" s="101">
        <v>13</v>
      </c>
      <c r="F90" s="101">
        <v>12</v>
      </c>
      <c r="G90" s="101">
        <v>-19</v>
      </c>
      <c r="H90" s="101">
        <v>-4.0999999999999996</v>
      </c>
      <c r="I90" s="102">
        <v>0.19</v>
      </c>
      <c r="J90" s="102">
        <v>0.4</v>
      </c>
      <c r="K90" s="101">
        <v>10.3</v>
      </c>
      <c r="L90" s="101">
        <v>0.3</v>
      </c>
      <c r="M90" s="101" t="s">
        <v>1001</v>
      </c>
      <c r="N90" s="101">
        <v>2000</v>
      </c>
      <c r="O90" s="101" t="s">
        <v>753</v>
      </c>
      <c r="P90" s="101">
        <v>844522</v>
      </c>
      <c r="Q90" t="s">
        <v>796</v>
      </c>
      <c r="R90" t="s">
        <v>473</v>
      </c>
      <c r="S90" t="s">
        <v>1024</v>
      </c>
      <c r="T90"/>
      <c r="U90"/>
      <c r="V90" s="220"/>
    </row>
    <row r="91" spans="1:22" x14ac:dyDescent="0.2">
      <c r="A91" t="s">
        <v>541</v>
      </c>
      <c r="B91" s="101">
        <v>12</v>
      </c>
      <c r="C91" s="101">
        <v>9</v>
      </c>
      <c r="D91" s="101">
        <v>4</v>
      </c>
      <c r="E91" s="101">
        <v>15</v>
      </c>
      <c r="F91" s="101">
        <v>0</v>
      </c>
      <c r="G91" s="101">
        <v>-23</v>
      </c>
      <c r="H91" s="101">
        <v>-5.2</v>
      </c>
      <c r="I91" s="102">
        <v>0.19</v>
      </c>
      <c r="J91" s="102">
        <v>0.53</v>
      </c>
      <c r="K91" s="101">
        <v>12.8</v>
      </c>
      <c r="L91" s="101">
        <v>-0.1</v>
      </c>
      <c r="M91" s="101" t="s">
        <v>1001</v>
      </c>
      <c r="N91" s="101">
        <v>2000</v>
      </c>
      <c r="O91" s="101" t="s">
        <v>753</v>
      </c>
      <c r="P91" s="101">
        <v>964171</v>
      </c>
      <c r="Q91" t="s">
        <v>174</v>
      </c>
      <c r="R91" t="s">
        <v>44</v>
      </c>
      <c r="S91"/>
      <c r="T91"/>
      <c r="U91"/>
      <c r="V91" s="220"/>
    </row>
    <row r="92" spans="1:22" x14ac:dyDescent="0.2">
      <c r="A92" t="s">
        <v>1031</v>
      </c>
      <c r="B92" s="101"/>
      <c r="C92" s="101">
        <v>1</v>
      </c>
      <c r="D92" s="101"/>
      <c r="E92" s="101"/>
      <c r="F92" s="101"/>
      <c r="G92" s="101"/>
      <c r="H92" s="101"/>
      <c r="I92" s="102">
        <v>0.19</v>
      </c>
      <c r="J92" s="102">
        <v>0.3</v>
      </c>
      <c r="K92" s="101"/>
      <c r="L92" s="101"/>
      <c r="M92" s="101" t="s">
        <v>1001</v>
      </c>
      <c r="N92" s="101">
        <v>2012</v>
      </c>
      <c r="O92" s="101" t="s">
        <v>753</v>
      </c>
      <c r="P92" s="101">
        <v>464081</v>
      </c>
      <c r="Q92" t="s">
        <v>905</v>
      </c>
      <c r="R92" t="s">
        <v>301</v>
      </c>
      <c r="S92"/>
      <c r="T92"/>
      <c r="U92"/>
      <c r="V92" s="220"/>
    </row>
    <row r="93" spans="1:22" x14ac:dyDescent="0.2">
      <c r="A93" t="s">
        <v>521</v>
      </c>
      <c r="B93" s="101">
        <v>13</v>
      </c>
      <c r="C93" s="101">
        <v>1</v>
      </c>
      <c r="D93" s="101">
        <v>0</v>
      </c>
      <c r="E93" s="101">
        <v>16</v>
      </c>
      <c r="F93" s="101">
        <v>21</v>
      </c>
      <c r="G93" s="101">
        <v>3</v>
      </c>
      <c r="H93" s="101">
        <v>0.6</v>
      </c>
      <c r="I93" s="102">
        <v>0.19</v>
      </c>
      <c r="J93" s="102">
        <v>0.52</v>
      </c>
      <c r="K93" s="101">
        <v>18.100000000000001</v>
      </c>
      <c r="L93" s="101">
        <v>0.3</v>
      </c>
      <c r="M93" s="101" t="s">
        <v>1001</v>
      </c>
      <c r="N93" s="101">
        <v>2000</v>
      </c>
      <c r="O93" s="101" t="s">
        <v>753</v>
      </c>
      <c r="P93" s="101">
        <v>789271</v>
      </c>
      <c r="Q93" t="s">
        <v>174</v>
      </c>
      <c r="R93" t="s">
        <v>671</v>
      </c>
      <c r="S93"/>
      <c r="T93"/>
      <c r="U93"/>
      <c r="V93" s="220"/>
    </row>
    <row r="94" spans="1:22" x14ac:dyDescent="0.2">
      <c r="A94" t="s">
        <v>492</v>
      </c>
      <c r="B94" s="101">
        <v>2</v>
      </c>
      <c r="C94" s="101">
        <v>0</v>
      </c>
      <c r="D94" s="101">
        <v>1</v>
      </c>
      <c r="E94" s="101">
        <v>2</v>
      </c>
      <c r="F94" s="101">
        <v>4</v>
      </c>
      <c r="G94" s="101">
        <v>10</v>
      </c>
      <c r="H94" s="101">
        <v>1.8</v>
      </c>
      <c r="I94" s="102">
        <v>0.19</v>
      </c>
      <c r="J94" s="102">
        <v>0.5</v>
      </c>
      <c r="K94" s="101">
        <v>0.3</v>
      </c>
      <c r="L94" s="101">
        <v>-2.7</v>
      </c>
      <c r="M94" s="101" t="s">
        <v>1001</v>
      </c>
      <c r="N94" s="101">
        <v>2002</v>
      </c>
      <c r="O94" s="101" t="s">
        <v>753</v>
      </c>
      <c r="P94" s="101">
        <v>843284</v>
      </c>
      <c r="Q94" t="s">
        <v>790</v>
      </c>
      <c r="R94" t="s">
        <v>491</v>
      </c>
      <c r="S94"/>
      <c r="T94"/>
      <c r="U94"/>
      <c r="V94" s="220"/>
    </row>
    <row r="95" spans="1:22" x14ac:dyDescent="0.2">
      <c r="A95" t="s">
        <v>1027</v>
      </c>
      <c r="B95" s="101"/>
      <c r="C95" s="101">
        <v>1</v>
      </c>
      <c r="D95" s="101"/>
      <c r="E95" s="101"/>
      <c r="F95" s="101"/>
      <c r="G95" s="101"/>
      <c r="H95" s="101"/>
      <c r="I95" s="102">
        <v>0.19</v>
      </c>
      <c r="J95" s="102">
        <v>0.3</v>
      </c>
      <c r="K95" s="101"/>
      <c r="L95" s="101"/>
      <c r="M95" s="101" t="s">
        <v>1001</v>
      </c>
      <c r="N95" s="101">
        <v>2012</v>
      </c>
      <c r="O95" s="101" t="s">
        <v>753</v>
      </c>
      <c r="P95" s="101">
        <v>392423</v>
      </c>
      <c r="Q95" t="s">
        <v>905</v>
      </c>
      <c r="R95" t="s">
        <v>145</v>
      </c>
      <c r="S95"/>
      <c r="T95"/>
      <c r="U95"/>
      <c r="V95" s="220"/>
    </row>
    <row r="96" spans="1:22" x14ac:dyDescent="0.2">
      <c r="A96" t="s">
        <v>1028</v>
      </c>
      <c r="B96" s="101"/>
      <c r="C96" s="101">
        <v>1</v>
      </c>
      <c r="D96" s="101"/>
      <c r="E96" s="101"/>
      <c r="F96" s="101"/>
      <c r="G96" s="101"/>
      <c r="H96" s="101"/>
      <c r="I96" s="102">
        <v>0.19</v>
      </c>
      <c r="J96" s="102">
        <v>0.3</v>
      </c>
      <c r="K96" s="101"/>
      <c r="L96" s="101"/>
      <c r="M96" s="101" t="s">
        <v>1001</v>
      </c>
      <c r="N96" s="101">
        <v>2012</v>
      </c>
      <c r="O96" s="101" t="s">
        <v>753</v>
      </c>
      <c r="P96" s="101">
        <v>356592</v>
      </c>
      <c r="Q96" t="s">
        <v>905</v>
      </c>
      <c r="R96" t="s">
        <v>145</v>
      </c>
      <c r="S96"/>
      <c r="T96"/>
      <c r="U96"/>
      <c r="V96" s="220"/>
    </row>
    <row r="97" spans="1:22" x14ac:dyDescent="0.2">
      <c r="A97" t="s">
        <v>1029</v>
      </c>
      <c r="B97" s="101"/>
      <c r="C97" s="101">
        <v>1</v>
      </c>
      <c r="D97" s="101"/>
      <c r="E97" s="101"/>
      <c r="F97" s="101"/>
      <c r="G97" s="101"/>
      <c r="H97" s="101"/>
      <c r="I97" s="102">
        <v>0.19</v>
      </c>
      <c r="J97" s="102">
        <v>0.3</v>
      </c>
      <c r="K97" s="101"/>
      <c r="L97" s="101"/>
      <c r="M97" s="101" t="s">
        <v>1001</v>
      </c>
      <c r="N97" s="101">
        <v>2012</v>
      </c>
      <c r="O97" s="101" t="s">
        <v>753</v>
      </c>
      <c r="P97" s="101">
        <v>428250</v>
      </c>
      <c r="Q97" t="s">
        <v>905</v>
      </c>
      <c r="R97" t="s">
        <v>145</v>
      </c>
      <c r="S97"/>
      <c r="T97"/>
      <c r="U97"/>
      <c r="V97" s="220"/>
    </row>
    <row r="98" spans="1:22" x14ac:dyDescent="0.2">
      <c r="A98" t="s">
        <v>1030</v>
      </c>
      <c r="B98" s="101"/>
      <c r="C98" s="101">
        <v>0</v>
      </c>
      <c r="D98" s="101"/>
      <c r="E98" s="101"/>
      <c r="F98" s="101"/>
      <c r="G98" s="101"/>
      <c r="H98" s="101"/>
      <c r="I98" s="102">
        <v>0.19</v>
      </c>
      <c r="J98" s="102">
        <v>0.3</v>
      </c>
      <c r="K98" s="101"/>
      <c r="L98" s="101"/>
      <c r="M98" s="101" t="s">
        <v>1001</v>
      </c>
      <c r="N98" s="101">
        <v>2012</v>
      </c>
      <c r="O98" s="101" t="s">
        <v>753</v>
      </c>
      <c r="P98" s="101">
        <v>499913</v>
      </c>
      <c r="Q98" t="s">
        <v>905</v>
      </c>
      <c r="R98" t="s">
        <v>301</v>
      </c>
      <c r="S98"/>
      <c r="T98"/>
      <c r="U98"/>
      <c r="V98" s="220"/>
    </row>
    <row r="99" spans="1:22" x14ac:dyDescent="0.2">
      <c r="A99" t="s">
        <v>518</v>
      </c>
      <c r="B99" s="101">
        <v>10</v>
      </c>
      <c r="C99" s="101">
        <v>4</v>
      </c>
      <c r="D99" s="101">
        <v>3</v>
      </c>
      <c r="E99" s="101">
        <v>15</v>
      </c>
      <c r="F99" s="101">
        <v>18</v>
      </c>
      <c r="G99" s="101">
        <v>-9</v>
      </c>
      <c r="H99" s="101">
        <v>-1.8</v>
      </c>
      <c r="I99" s="102">
        <v>0.19</v>
      </c>
      <c r="J99" s="102">
        <v>0.53</v>
      </c>
      <c r="K99" s="101">
        <v>9.1</v>
      </c>
      <c r="L99" s="101">
        <v>0.4</v>
      </c>
      <c r="M99" s="101" t="s">
        <v>1001</v>
      </c>
      <c r="N99" s="101">
        <v>2000</v>
      </c>
      <c r="O99" s="101" t="s">
        <v>753</v>
      </c>
      <c r="P99" s="101">
        <v>753442</v>
      </c>
      <c r="Q99" t="s">
        <v>174</v>
      </c>
      <c r="R99" t="s">
        <v>145</v>
      </c>
      <c r="S99"/>
      <c r="T99"/>
      <c r="U99"/>
      <c r="V99" s="220"/>
    </row>
    <row r="100" spans="1:22" x14ac:dyDescent="0.2">
      <c r="A100" t="s">
        <v>360</v>
      </c>
      <c r="B100" s="101">
        <v>11</v>
      </c>
      <c r="C100" s="101">
        <v>8</v>
      </c>
      <c r="D100" s="101">
        <v>4</v>
      </c>
      <c r="E100" s="101">
        <v>14</v>
      </c>
      <c r="F100" s="101">
        <v>2</v>
      </c>
      <c r="G100" s="101">
        <v>-24</v>
      </c>
      <c r="H100" s="101">
        <v>-5.3</v>
      </c>
      <c r="I100" s="102">
        <v>0.2</v>
      </c>
      <c r="J100" s="102">
        <v>0.40719</v>
      </c>
      <c r="K100" s="101">
        <v>12.3</v>
      </c>
      <c r="L100" s="101">
        <v>0</v>
      </c>
      <c r="M100" s="101" t="s">
        <v>1001</v>
      </c>
      <c r="N100" s="101">
        <v>2000</v>
      </c>
      <c r="O100" s="101" t="s">
        <v>753</v>
      </c>
      <c r="P100" s="101">
        <v>629543</v>
      </c>
      <c r="Q100" t="s">
        <v>677</v>
      </c>
      <c r="R100" t="s">
        <v>96</v>
      </c>
      <c r="S100"/>
      <c r="T100"/>
      <c r="U100"/>
      <c r="V100" s="220"/>
    </row>
    <row r="101" spans="1:22" x14ac:dyDescent="0.2">
      <c r="A101" t="s">
        <v>822</v>
      </c>
      <c r="B101" s="101">
        <v>12</v>
      </c>
      <c r="C101" s="101">
        <v>1</v>
      </c>
      <c r="D101" s="101">
        <v>1</v>
      </c>
      <c r="E101" s="101">
        <v>17</v>
      </c>
      <c r="F101" s="101">
        <v>23</v>
      </c>
      <c r="G101" s="101"/>
      <c r="H101" s="101"/>
      <c r="I101" s="102">
        <v>0.2</v>
      </c>
      <c r="J101" s="102">
        <v>0.31570000000000004</v>
      </c>
      <c r="K101" s="101">
        <v>15.5</v>
      </c>
      <c r="L101" s="101">
        <v>0.4</v>
      </c>
      <c r="M101" s="101" t="s">
        <v>1001</v>
      </c>
      <c r="N101" s="101">
        <v>2009</v>
      </c>
      <c r="O101" s="101" t="s">
        <v>753</v>
      </c>
      <c r="P101" s="101">
        <v>653030</v>
      </c>
      <c r="Q101" t="s">
        <v>684</v>
      </c>
      <c r="R101" t="s">
        <v>727</v>
      </c>
      <c r="S101"/>
      <c r="T101"/>
      <c r="U101"/>
      <c r="V101" s="220"/>
    </row>
    <row r="102" spans="1:22" x14ac:dyDescent="0.2">
      <c r="A102" t="s">
        <v>56</v>
      </c>
      <c r="B102" s="101">
        <v>11</v>
      </c>
      <c r="C102" s="101">
        <v>9</v>
      </c>
      <c r="D102" s="101">
        <v>4</v>
      </c>
      <c r="E102" s="101">
        <v>14</v>
      </c>
      <c r="F102" s="101">
        <v>-1</v>
      </c>
      <c r="G102" s="101">
        <v>-26</v>
      </c>
      <c r="H102" s="101">
        <v>-5.8</v>
      </c>
      <c r="I102" s="102">
        <v>0.21</v>
      </c>
      <c r="J102" s="102">
        <v>0.70000000000000007</v>
      </c>
      <c r="K102" s="101">
        <v>12.700000000000001</v>
      </c>
      <c r="L102" s="101">
        <v>-0.1</v>
      </c>
      <c r="M102" s="101" t="s">
        <v>1001</v>
      </c>
      <c r="N102" s="101">
        <v>2000</v>
      </c>
      <c r="O102" s="101" t="s">
        <v>753</v>
      </c>
      <c r="P102" s="101">
        <v>686030</v>
      </c>
      <c r="Q102" t="s">
        <v>776</v>
      </c>
      <c r="R102" t="s">
        <v>44</v>
      </c>
      <c r="S102" t="s">
        <v>1024</v>
      </c>
      <c r="T102"/>
      <c r="U102"/>
      <c r="V102" s="220"/>
    </row>
    <row r="103" spans="1:22" x14ac:dyDescent="0.2">
      <c r="A103" t="s">
        <v>609</v>
      </c>
      <c r="B103" s="101">
        <v>2</v>
      </c>
      <c r="C103" s="101">
        <v>0</v>
      </c>
      <c r="D103" s="101">
        <v>3</v>
      </c>
      <c r="E103" s="101">
        <v>4</v>
      </c>
      <c r="F103" s="101">
        <v>18</v>
      </c>
      <c r="G103" s="101">
        <v>35</v>
      </c>
      <c r="H103" s="101">
        <v>6.2</v>
      </c>
      <c r="I103" s="102">
        <v>0.21</v>
      </c>
      <c r="J103" s="102">
        <v>0.75</v>
      </c>
      <c r="K103" s="101">
        <v>4.6000000000000005</v>
      </c>
      <c r="L103" s="101">
        <v>0.9</v>
      </c>
      <c r="M103" s="101" t="s">
        <v>1001</v>
      </c>
      <c r="N103" s="101">
        <v>2001</v>
      </c>
      <c r="O103" s="101" t="s">
        <v>753</v>
      </c>
      <c r="P103" s="101">
        <v>648964</v>
      </c>
      <c r="Q103" t="s">
        <v>703</v>
      </c>
      <c r="R103" t="s">
        <v>546</v>
      </c>
      <c r="S103"/>
      <c r="T103"/>
      <c r="U103"/>
      <c r="V103" s="220"/>
    </row>
    <row r="104" spans="1:22" x14ac:dyDescent="0.2">
      <c r="A104" t="s">
        <v>130</v>
      </c>
      <c r="B104" s="101">
        <v>7</v>
      </c>
      <c r="C104" s="101">
        <v>2</v>
      </c>
      <c r="D104" s="101">
        <v>0</v>
      </c>
      <c r="E104" s="101">
        <v>14</v>
      </c>
      <c r="F104" s="101">
        <v>28</v>
      </c>
      <c r="G104" s="101">
        <v>7</v>
      </c>
      <c r="H104" s="101">
        <v>1.4000000000000001</v>
      </c>
      <c r="I104" s="102">
        <v>0.21</v>
      </c>
      <c r="J104" s="102">
        <v>0.70000000000000007</v>
      </c>
      <c r="K104" s="101">
        <v>9.6</v>
      </c>
      <c r="L104" s="101">
        <v>0.70000000000000007</v>
      </c>
      <c r="M104" s="101" t="s">
        <v>1001</v>
      </c>
      <c r="N104" s="101">
        <v>2000</v>
      </c>
      <c r="O104" s="101" t="s">
        <v>753</v>
      </c>
      <c r="P104" s="101">
        <v>650200</v>
      </c>
      <c r="Q104" t="s">
        <v>776</v>
      </c>
      <c r="R104" t="s">
        <v>102</v>
      </c>
      <c r="S104" t="s">
        <v>1024</v>
      </c>
      <c r="T104"/>
      <c r="U104"/>
      <c r="V104" s="220"/>
    </row>
    <row r="105" spans="1:22" x14ac:dyDescent="0.2">
      <c r="A105" t="s">
        <v>266</v>
      </c>
      <c r="B105" s="101">
        <v>13</v>
      </c>
      <c r="C105" s="101">
        <v>0</v>
      </c>
      <c r="D105" s="101">
        <v>0</v>
      </c>
      <c r="E105" s="101">
        <v>15</v>
      </c>
      <c r="F105" s="101">
        <v>30</v>
      </c>
      <c r="G105" s="101">
        <v>-2</v>
      </c>
      <c r="H105" s="101">
        <v>-0.3</v>
      </c>
      <c r="I105" s="102">
        <v>0.21</v>
      </c>
      <c r="J105" s="102">
        <v>0.70000000000000007</v>
      </c>
      <c r="K105" s="101">
        <v>10.8</v>
      </c>
      <c r="L105" s="101">
        <v>0.70000000000000007</v>
      </c>
      <c r="M105" s="101" t="s">
        <v>1001</v>
      </c>
      <c r="N105" s="101">
        <v>2000</v>
      </c>
      <c r="O105" s="101" t="s">
        <v>753</v>
      </c>
      <c r="P105" s="101">
        <v>435222</v>
      </c>
      <c r="Q105" t="s">
        <v>776</v>
      </c>
      <c r="R105" t="s">
        <v>261</v>
      </c>
      <c r="S105" t="s">
        <v>1024</v>
      </c>
      <c r="T105"/>
      <c r="U105"/>
      <c r="V105" s="220"/>
    </row>
    <row r="106" spans="1:22" x14ac:dyDescent="0.2">
      <c r="A106" t="s">
        <v>298</v>
      </c>
      <c r="B106" s="101">
        <v>8</v>
      </c>
      <c r="C106" s="101">
        <v>2</v>
      </c>
      <c r="D106" s="101">
        <v>2</v>
      </c>
      <c r="E106" s="101">
        <v>11</v>
      </c>
      <c r="F106" s="101">
        <v>18</v>
      </c>
      <c r="G106" s="101">
        <v>7</v>
      </c>
      <c r="H106" s="101">
        <v>1.3</v>
      </c>
      <c r="I106" s="102">
        <v>0.21</v>
      </c>
      <c r="J106" s="102">
        <v>0.70000000000000007</v>
      </c>
      <c r="K106" s="101">
        <v>7.2</v>
      </c>
      <c r="L106" s="101">
        <v>0.6</v>
      </c>
      <c r="M106" s="101" t="s">
        <v>1001</v>
      </c>
      <c r="N106" s="101">
        <v>2000</v>
      </c>
      <c r="O106" s="101" t="s">
        <v>753</v>
      </c>
      <c r="P106" s="101">
        <v>542712</v>
      </c>
      <c r="Q106" t="s">
        <v>776</v>
      </c>
      <c r="R106" t="s">
        <v>293</v>
      </c>
      <c r="S106" t="s">
        <v>1024</v>
      </c>
      <c r="T106"/>
      <c r="U106"/>
      <c r="V106" s="220"/>
    </row>
    <row r="107" spans="1:22" x14ac:dyDescent="0.2">
      <c r="A107" t="s">
        <v>158</v>
      </c>
      <c r="B107" s="101">
        <v>7</v>
      </c>
      <c r="C107" s="101">
        <v>5</v>
      </c>
      <c r="D107" s="101">
        <v>0</v>
      </c>
      <c r="E107" s="101">
        <v>10</v>
      </c>
      <c r="F107" s="101">
        <v>15</v>
      </c>
      <c r="G107" s="101">
        <v>-8</v>
      </c>
      <c r="H107" s="101">
        <v>-1.7</v>
      </c>
      <c r="I107" s="102">
        <v>0.21</v>
      </c>
      <c r="J107" s="102">
        <v>0.71</v>
      </c>
      <c r="K107" s="101">
        <v>9.6</v>
      </c>
      <c r="L107" s="101">
        <v>0.3</v>
      </c>
      <c r="M107" s="101" t="s">
        <v>1001</v>
      </c>
      <c r="N107" s="101">
        <v>2000</v>
      </c>
      <c r="O107" s="101" t="s">
        <v>753</v>
      </c>
      <c r="P107" s="101">
        <v>399394</v>
      </c>
      <c r="Q107" t="s">
        <v>776</v>
      </c>
      <c r="R107" t="s">
        <v>145</v>
      </c>
      <c r="S107" t="s">
        <v>1024</v>
      </c>
      <c r="T107"/>
      <c r="U107"/>
      <c r="V107" s="220"/>
    </row>
    <row r="108" spans="1:22" x14ac:dyDescent="0.2">
      <c r="A108" t="s">
        <v>729</v>
      </c>
      <c r="B108" s="101">
        <v>12</v>
      </c>
      <c r="C108" s="101">
        <v>0</v>
      </c>
      <c r="D108" s="101">
        <v>2</v>
      </c>
      <c r="E108" s="101">
        <v>17</v>
      </c>
      <c r="F108" s="101">
        <v>23</v>
      </c>
      <c r="G108" s="101">
        <v>7</v>
      </c>
      <c r="H108" s="101">
        <v>1.4000000000000001</v>
      </c>
      <c r="I108" s="102">
        <v>0.21</v>
      </c>
      <c r="J108" s="102">
        <v>0.31</v>
      </c>
      <c r="K108" s="101">
        <v>14.9</v>
      </c>
      <c r="L108" s="101">
        <v>0.4</v>
      </c>
      <c r="M108" s="101" t="s">
        <v>1001</v>
      </c>
      <c r="N108" s="101">
        <v>2000</v>
      </c>
      <c r="O108" s="101" t="s">
        <v>753</v>
      </c>
      <c r="P108" s="101">
        <v>290072</v>
      </c>
      <c r="Q108" t="s">
        <v>623</v>
      </c>
      <c r="R108" t="s">
        <v>727</v>
      </c>
      <c r="S108"/>
      <c r="T108"/>
      <c r="U108"/>
      <c r="V108" s="220"/>
    </row>
    <row r="109" spans="1:22" x14ac:dyDescent="0.2">
      <c r="A109" t="s">
        <v>825</v>
      </c>
      <c r="B109" s="101">
        <v>6</v>
      </c>
      <c r="C109" s="101">
        <v>-1</v>
      </c>
      <c r="D109" s="101">
        <v>-6</v>
      </c>
      <c r="E109" s="101">
        <v>10</v>
      </c>
      <c r="F109" s="101">
        <v>28</v>
      </c>
      <c r="G109" s="101">
        <v>2</v>
      </c>
      <c r="H109" s="101">
        <v>0.5</v>
      </c>
      <c r="I109" s="102">
        <v>0.21</v>
      </c>
      <c r="J109" s="102">
        <v>0.6</v>
      </c>
      <c r="K109" s="101">
        <v>19.100000000000001</v>
      </c>
      <c r="L109" s="101">
        <v>0.4</v>
      </c>
      <c r="M109" s="101" t="s">
        <v>1001</v>
      </c>
      <c r="N109" s="101">
        <v>2004</v>
      </c>
      <c r="O109" s="101" t="s">
        <v>753</v>
      </c>
      <c r="P109" s="101">
        <v>269357</v>
      </c>
      <c r="Q109" t="s">
        <v>809</v>
      </c>
      <c r="R109" t="s">
        <v>724</v>
      </c>
      <c r="S109"/>
      <c r="T109"/>
      <c r="U109"/>
      <c r="V109" s="220"/>
    </row>
    <row r="110" spans="1:22" x14ac:dyDescent="0.2">
      <c r="A110" t="s">
        <v>824</v>
      </c>
      <c r="B110" s="101">
        <v>6</v>
      </c>
      <c r="C110" s="101">
        <v>1</v>
      </c>
      <c r="D110" s="101">
        <v>-2</v>
      </c>
      <c r="E110" s="101">
        <v>6</v>
      </c>
      <c r="F110" s="101">
        <v>8</v>
      </c>
      <c r="G110" s="101"/>
      <c r="H110" s="101"/>
      <c r="I110" s="102">
        <v>0.21</v>
      </c>
      <c r="J110" s="102">
        <v>0.6</v>
      </c>
      <c r="K110" s="101">
        <v>10.4</v>
      </c>
      <c r="L110" s="101">
        <v>0.2</v>
      </c>
      <c r="M110" s="101" t="s">
        <v>1001</v>
      </c>
      <c r="N110" s="101">
        <v>2008</v>
      </c>
      <c r="O110" s="101" t="s">
        <v>753</v>
      </c>
      <c r="P110" s="101">
        <v>823096</v>
      </c>
      <c r="Q110" t="s">
        <v>809</v>
      </c>
      <c r="R110" t="s">
        <v>131</v>
      </c>
      <c r="S110"/>
      <c r="T110"/>
      <c r="U110"/>
      <c r="V110" s="220"/>
    </row>
    <row r="111" spans="1:22" x14ac:dyDescent="0.2">
      <c r="A111" t="s">
        <v>1016</v>
      </c>
      <c r="B111" s="101">
        <v>12</v>
      </c>
      <c r="C111" s="101">
        <v>1</v>
      </c>
      <c r="D111" s="101">
        <v>1</v>
      </c>
      <c r="E111" s="101">
        <v>15</v>
      </c>
      <c r="F111" s="101"/>
      <c r="G111" s="101"/>
      <c r="H111" s="101"/>
      <c r="I111" s="102">
        <v>0.21</v>
      </c>
      <c r="J111" s="102">
        <v>0.41000000000000003</v>
      </c>
      <c r="K111" s="101"/>
      <c r="L111" s="101"/>
      <c r="M111" s="101" t="s">
        <v>1001</v>
      </c>
      <c r="N111" s="101">
        <v>2012</v>
      </c>
      <c r="O111" s="101" t="s">
        <v>753</v>
      </c>
      <c r="P111" s="101">
        <v>465914</v>
      </c>
      <c r="Q111" t="s">
        <v>677</v>
      </c>
      <c r="R111" t="s">
        <v>727</v>
      </c>
      <c r="S111"/>
      <c r="T111"/>
      <c r="U111"/>
      <c r="V111" s="220"/>
    </row>
    <row r="112" spans="1:22" x14ac:dyDescent="0.2">
      <c r="A112" t="s">
        <v>773</v>
      </c>
      <c r="B112" s="101">
        <v>8</v>
      </c>
      <c r="C112" s="101">
        <v>0</v>
      </c>
      <c r="D112" s="101">
        <v>-3</v>
      </c>
      <c r="E112" s="101">
        <v>10</v>
      </c>
      <c r="F112" s="101">
        <v>11</v>
      </c>
      <c r="G112" s="101">
        <v>-13</v>
      </c>
      <c r="H112" s="101">
        <v>-2.7</v>
      </c>
      <c r="I112" s="102">
        <v>0.21</v>
      </c>
      <c r="J112" s="102">
        <v>1.8242</v>
      </c>
      <c r="K112" s="101">
        <v>9.3000000000000007</v>
      </c>
      <c r="L112" s="101">
        <v>0.3</v>
      </c>
      <c r="M112" s="101" t="s">
        <v>1002</v>
      </c>
      <c r="N112" s="101">
        <v>2008</v>
      </c>
      <c r="O112" s="101" t="s">
        <v>633</v>
      </c>
      <c r="P112" s="101">
        <v>224311</v>
      </c>
      <c r="Q112" t="s">
        <v>767</v>
      </c>
      <c r="R112" t="s">
        <v>145</v>
      </c>
      <c r="S112" t="s">
        <v>1024</v>
      </c>
      <c r="T112"/>
      <c r="U112"/>
      <c r="V112" s="220"/>
    </row>
    <row r="113" spans="1:22" x14ac:dyDescent="0.2">
      <c r="A113" t="s">
        <v>139</v>
      </c>
      <c r="B113" s="101">
        <v>12</v>
      </c>
      <c r="C113" s="101">
        <v>3</v>
      </c>
      <c r="D113" s="101">
        <v>-1</v>
      </c>
      <c r="E113" s="101">
        <v>10</v>
      </c>
      <c r="F113" s="101">
        <v>12</v>
      </c>
      <c r="G113" s="101">
        <v>-17</v>
      </c>
      <c r="H113" s="101">
        <v>-3.6</v>
      </c>
      <c r="I113" s="102">
        <v>0.21</v>
      </c>
      <c r="J113" s="102">
        <v>0.71</v>
      </c>
      <c r="K113" s="101">
        <v>13.9</v>
      </c>
      <c r="L113" s="101">
        <v>0.2</v>
      </c>
      <c r="M113" s="101" t="s">
        <v>1001</v>
      </c>
      <c r="N113" s="101">
        <v>2000</v>
      </c>
      <c r="O113" s="101" t="s">
        <v>753</v>
      </c>
      <c r="P113" s="101">
        <v>471052</v>
      </c>
      <c r="Q113" t="s">
        <v>776</v>
      </c>
      <c r="R113" t="s">
        <v>131</v>
      </c>
      <c r="S113" t="s">
        <v>1024</v>
      </c>
      <c r="T113"/>
      <c r="U113"/>
      <c r="V113" s="220"/>
    </row>
    <row r="114" spans="1:22" x14ac:dyDescent="0.2">
      <c r="A114" t="s">
        <v>709</v>
      </c>
      <c r="B114" s="101">
        <v>13</v>
      </c>
      <c r="C114" s="101">
        <v>2</v>
      </c>
      <c r="D114" s="101">
        <v>1</v>
      </c>
      <c r="E114" s="101">
        <v>16</v>
      </c>
      <c r="F114" s="101">
        <v>23</v>
      </c>
      <c r="G114" s="101">
        <v>3</v>
      </c>
      <c r="H114" s="101">
        <v>0.6</v>
      </c>
      <c r="I114" s="102">
        <v>0.21</v>
      </c>
      <c r="J114" s="102">
        <v>0.4</v>
      </c>
      <c r="K114" s="101">
        <v>17.400000000000002</v>
      </c>
      <c r="L114" s="101">
        <v>0.4</v>
      </c>
      <c r="M114" s="101" t="s">
        <v>1001</v>
      </c>
      <c r="N114" s="101">
        <v>2000</v>
      </c>
      <c r="O114" s="101" t="s">
        <v>753</v>
      </c>
      <c r="P114" s="101">
        <v>976928</v>
      </c>
      <c r="Q114" t="s">
        <v>174</v>
      </c>
      <c r="R114" t="s">
        <v>671</v>
      </c>
      <c r="S114" t="s">
        <v>1024</v>
      </c>
      <c r="T114"/>
      <c r="U114"/>
      <c r="V114" s="220"/>
    </row>
    <row r="115" spans="1:22" x14ac:dyDescent="0.2">
      <c r="A115" t="s">
        <v>154</v>
      </c>
      <c r="B115" s="101">
        <v>10</v>
      </c>
      <c r="C115" s="101">
        <v>3</v>
      </c>
      <c r="D115" s="101">
        <v>2</v>
      </c>
      <c r="E115" s="101">
        <v>14</v>
      </c>
      <c r="F115" s="101">
        <v>18</v>
      </c>
      <c r="G115" s="101">
        <v>-8</v>
      </c>
      <c r="H115" s="101">
        <v>-1.7</v>
      </c>
      <c r="I115" s="102">
        <v>0.21</v>
      </c>
      <c r="J115" s="102">
        <v>0.4</v>
      </c>
      <c r="K115" s="101">
        <v>8.9</v>
      </c>
      <c r="L115" s="101">
        <v>0.5</v>
      </c>
      <c r="M115" s="101" t="s">
        <v>1001</v>
      </c>
      <c r="N115" s="101">
        <v>2000</v>
      </c>
      <c r="O115" s="101" t="s">
        <v>753</v>
      </c>
      <c r="P115" s="101">
        <v>941096</v>
      </c>
      <c r="Q115" t="s">
        <v>174</v>
      </c>
      <c r="R115" t="s">
        <v>145</v>
      </c>
      <c r="S115" t="s">
        <v>1024</v>
      </c>
      <c r="T115"/>
      <c r="U115"/>
      <c r="V115" s="220"/>
    </row>
    <row r="116" spans="1:22" x14ac:dyDescent="0.2">
      <c r="A116" t="s">
        <v>710</v>
      </c>
      <c r="B116" s="101">
        <v>13</v>
      </c>
      <c r="C116" s="101">
        <v>2</v>
      </c>
      <c r="D116" s="101">
        <v>1</v>
      </c>
      <c r="E116" s="101">
        <v>16</v>
      </c>
      <c r="F116" s="101">
        <v>23</v>
      </c>
      <c r="G116" s="101">
        <v>6</v>
      </c>
      <c r="H116" s="101">
        <v>1.1000000000000001</v>
      </c>
      <c r="I116" s="102">
        <v>0.21</v>
      </c>
      <c r="J116" s="102">
        <v>0.4</v>
      </c>
      <c r="K116" s="101">
        <v>17.400000000000002</v>
      </c>
      <c r="L116" s="101">
        <v>0.4</v>
      </c>
      <c r="M116" s="101" t="s">
        <v>1001</v>
      </c>
      <c r="N116" s="101">
        <v>2000</v>
      </c>
      <c r="O116" s="101" t="s">
        <v>753</v>
      </c>
      <c r="P116" s="101">
        <v>905265</v>
      </c>
      <c r="Q116" t="s">
        <v>174</v>
      </c>
      <c r="R116" t="s">
        <v>671</v>
      </c>
      <c r="S116" t="s">
        <v>1024</v>
      </c>
      <c r="T116"/>
      <c r="U116"/>
      <c r="V116" s="220"/>
    </row>
    <row r="117" spans="1:22" x14ac:dyDescent="0.2">
      <c r="A117" t="s">
        <v>979</v>
      </c>
      <c r="B117" s="101">
        <v>7</v>
      </c>
      <c r="C117" s="101">
        <v>4</v>
      </c>
      <c r="D117" s="101">
        <v>-2</v>
      </c>
      <c r="E117" s="101">
        <v>10</v>
      </c>
      <c r="F117" s="101">
        <v>15</v>
      </c>
      <c r="G117" s="101">
        <v>-11</v>
      </c>
      <c r="H117" s="101">
        <v>-2.4</v>
      </c>
      <c r="I117" s="102">
        <v>0.21</v>
      </c>
      <c r="J117" s="102">
        <v>1.85</v>
      </c>
      <c r="K117" s="101">
        <v>8.8000000000000007</v>
      </c>
      <c r="L117" s="101">
        <v>0.4</v>
      </c>
      <c r="M117" s="101" t="s">
        <v>1002</v>
      </c>
      <c r="N117" s="101">
        <v>2010</v>
      </c>
      <c r="O117" s="101" t="s">
        <v>633</v>
      </c>
      <c r="P117" s="101">
        <v>594713</v>
      </c>
      <c r="Q117" t="s">
        <v>126</v>
      </c>
      <c r="R117" t="s">
        <v>145</v>
      </c>
      <c r="S117" t="s">
        <v>1024</v>
      </c>
      <c r="T117"/>
      <c r="U117"/>
      <c r="V117" s="220"/>
    </row>
    <row r="118" spans="1:22" x14ac:dyDescent="0.2">
      <c r="A118" t="s">
        <v>787</v>
      </c>
      <c r="B118" s="101">
        <v>0</v>
      </c>
      <c r="C118" s="101">
        <v>-2</v>
      </c>
      <c r="D118" s="101">
        <v>1</v>
      </c>
      <c r="E118" s="101">
        <v>3</v>
      </c>
      <c r="F118" s="101">
        <v>17</v>
      </c>
      <c r="G118" s="101">
        <v>28</v>
      </c>
      <c r="H118" s="101">
        <v>5</v>
      </c>
      <c r="I118" s="102">
        <v>0.21</v>
      </c>
      <c r="J118" s="102">
        <v>0.75</v>
      </c>
      <c r="K118" s="101">
        <v>4.3</v>
      </c>
      <c r="L118" s="101">
        <v>0.9</v>
      </c>
      <c r="M118" s="101" t="s">
        <v>1001</v>
      </c>
      <c r="N118" s="101">
        <v>2008</v>
      </c>
      <c r="O118" s="101" t="s">
        <v>633</v>
      </c>
      <c r="P118" s="101">
        <v>131409</v>
      </c>
      <c r="Q118" t="s">
        <v>505</v>
      </c>
      <c r="R118" t="s">
        <v>611</v>
      </c>
      <c r="S118"/>
      <c r="T118"/>
      <c r="U118"/>
      <c r="V118" s="220"/>
    </row>
    <row r="119" spans="1:22" x14ac:dyDescent="0.2">
      <c r="A119" t="s">
        <v>1106</v>
      </c>
      <c r="B119" s="101">
        <v>6</v>
      </c>
      <c r="C119" s="101">
        <v>2</v>
      </c>
      <c r="D119" s="101">
        <v>0</v>
      </c>
      <c r="E119" s="101">
        <v>9</v>
      </c>
      <c r="F119" s="101">
        <v>16</v>
      </c>
      <c r="G119" s="101">
        <v>-3</v>
      </c>
      <c r="H119" s="101">
        <v>-0.70000000000000007</v>
      </c>
      <c r="I119" s="102">
        <v>0.21</v>
      </c>
      <c r="J119" s="102">
        <v>0.50050000000000006</v>
      </c>
      <c r="K119" s="101">
        <v>6.5</v>
      </c>
      <c r="L119" s="101">
        <v>0.5</v>
      </c>
      <c r="M119" s="101" t="s">
        <v>1001</v>
      </c>
      <c r="N119" s="101">
        <v>2000</v>
      </c>
      <c r="O119" s="101" t="s">
        <v>753</v>
      </c>
      <c r="P119" s="101">
        <v>466805</v>
      </c>
      <c r="Q119" t="s">
        <v>703</v>
      </c>
      <c r="R119" t="s">
        <v>344</v>
      </c>
      <c r="S119"/>
      <c r="T119"/>
      <c r="U119"/>
      <c r="V119" s="220"/>
    </row>
    <row r="120" spans="1:22" x14ac:dyDescent="0.2">
      <c r="A120" t="s">
        <v>1107</v>
      </c>
      <c r="B120" s="101">
        <v>8</v>
      </c>
      <c r="C120" s="101">
        <v>2</v>
      </c>
      <c r="D120" s="101">
        <v>-2</v>
      </c>
      <c r="E120" s="101">
        <v>12</v>
      </c>
      <c r="F120" s="101">
        <v>15</v>
      </c>
      <c r="G120" s="101">
        <v>-7</v>
      </c>
      <c r="H120" s="101">
        <v>-1.5</v>
      </c>
      <c r="I120" s="102">
        <v>0.21</v>
      </c>
      <c r="J120" s="102">
        <v>0.50170000000000003</v>
      </c>
      <c r="K120" s="101">
        <v>11.200000000000001</v>
      </c>
      <c r="L120" s="101">
        <v>0.3</v>
      </c>
      <c r="M120" s="101" t="s">
        <v>1001</v>
      </c>
      <c r="N120" s="101">
        <v>2000</v>
      </c>
      <c r="O120" s="101" t="s">
        <v>753</v>
      </c>
      <c r="P120" s="101">
        <v>430975</v>
      </c>
      <c r="Q120" t="s">
        <v>703</v>
      </c>
      <c r="R120" t="s">
        <v>344</v>
      </c>
      <c r="S120"/>
      <c r="T120"/>
      <c r="U120"/>
      <c r="V120" s="220"/>
    </row>
    <row r="121" spans="1:22" x14ac:dyDescent="0.2">
      <c r="A121" t="s">
        <v>1108</v>
      </c>
      <c r="B121" s="101">
        <v>9</v>
      </c>
      <c r="C121" s="101">
        <v>3</v>
      </c>
      <c r="D121" s="101">
        <v>-1</v>
      </c>
      <c r="E121" s="101">
        <v>12</v>
      </c>
      <c r="F121" s="101">
        <v>16</v>
      </c>
      <c r="G121" s="101">
        <v>-7</v>
      </c>
      <c r="H121" s="101">
        <v>-1.5</v>
      </c>
      <c r="I121" s="102">
        <v>0.21</v>
      </c>
      <c r="J121" s="102">
        <v>0.50160000000000005</v>
      </c>
      <c r="K121" s="101">
        <v>11.3</v>
      </c>
      <c r="L121" s="101">
        <v>0.3</v>
      </c>
      <c r="M121" s="101" t="s">
        <v>1001</v>
      </c>
      <c r="N121" s="101">
        <v>2000</v>
      </c>
      <c r="O121" s="101" t="s">
        <v>753</v>
      </c>
      <c r="P121" s="101">
        <v>359315</v>
      </c>
      <c r="Q121" t="s">
        <v>703</v>
      </c>
      <c r="R121" t="s">
        <v>348</v>
      </c>
      <c r="S121"/>
      <c r="T121"/>
      <c r="U121"/>
      <c r="V121" s="220"/>
    </row>
    <row r="122" spans="1:22" x14ac:dyDescent="0.2">
      <c r="A122" t="s">
        <v>1109</v>
      </c>
      <c r="B122" s="101">
        <v>9</v>
      </c>
      <c r="C122" s="101">
        <v>3</v>
      </c>
      <c r="D122" s="101">
        <v>-1</v>
      </c>
      <c r="E122" s="101">
        <v>12</v>
      </c>
      <c r="F122" s="101">
        <v>16</v>
      </c>
      <c r="G122" s="101">
        <v>-7</v>
      </c>
      <c r="H122" s="101">
        <v>-1.4000000000000001</v>
      </c>
      <c r="I122" s="102">
        <v>0.21</v>
      </c>
      <c r="J122" s="102">
        <v>0.50170000000000003</v>
      </c>
      <c r="K122" s="101">
        <v>11.3</v>
      </c>
      <c r="L122" s="101">
        <v>0.3</v>
      </c>
      <c r="M122" s="101" t="s">
        <v>1001</v>
      </c>
      <c r="N122" s="101">
        <v>2000</v>
      </c>
      <c r="O122" s="101" t="s">
        <v>753</v>
      </c>
      <c r="P122" s="101">
        <v>287656</v>
      </c>
      <c r="Q122" t="s">
        <v>703</v>
      </c>
      <c r="R122" t="s">
        <v>473</v>
      </c>
      <c r="S122"/>
      <c r="T122"/>
      <c r="U122"/>
      <c r="V122" s="220"/>
    </row>
    <row r="123" spans="1:22" x14ac:dyDescent="0.2">
      <c r="A123" t="s">
        <v>1110</v>
      </c>
      <c r="B123" s="101">
        <v>8</v>
      </c>
      <c r="C123" s="101">
        <v>3</v>
      </c>
      <c r="D123" s="101">
        <v>-1</v>
      </c>
      <c r="E123" s="101">
        <v>11</v>
      </c>
      <c r="F123" s="101">
        <v>10</v>
      </c>
      <c r="G123" s="101">
        <v>-12</v>
      </c>
      <c r="H123" s="101">
        <v>-2.6</v>
      </c>
      <c r="I123" s="102">
        <v>0.21</v>
      </c>
      <c r="J123" s="102">
        <v>0.50209999999999999</v>
      </c>
      <c r="K123" s="101">
        <v>12.8</v>
      </c>
      <c r="L123" s="101">
        <v>0.2</v>
      </c>
      <c r="M123" s="101" t="s">
        <v>1001</v>
      </c>
      <c r="N123" s="101">
        <v>2000</v>
      </c>
      <c r="O123" s="101" t="s">
        <v>753</v>
      </c>
      <c r="P123" s="101">
        <v>215996</v>
      </c>
      <c r="Q123" t="s">
        <v>703</v>
      </c>
      <c r="R123" t="s">
        <v>473</v>
      </c>
      <c r="S123"/>
      <c r="T123"/>
      <c r="U123"/>
      <c r="V123" s="220"/>
    </row>
    <row r="124" spans="1:22" x14ac:dyDescent="0.2">
      <c r="A124" t="s">
        <v>1111</v>
      </c>
      <c r="B124" s="101">
        <v>5</v>
      </c>
      <c r="C124" s="101">
        <v>2</v>
      </c>
      <c r="D124" s="101">
        <v>2</v>
      </c>
      <c r="E124" s="101">
        <v>7</v>
      </c>
      <c r="F124" s="101">
        <v>16</v>
      </c>
      <c r="G124" s="101">
        <v>14</v>
      </c>
      <c r="H124" s="101">
        <v>2.7</v>
      </c>
      <c r="I124" s="102">
        <v>0.21</v>
      </c>
      <c r="J124" s="102">
        <v>0.49890000000000001</v>
      </c>
      <c r="K124" s="101">
        <v>2.7</v>
      </c>
      <c r="L124" s="101">
        <v>1.2</v>
      </c>
      <c r="M124" s="101" t="s">
        <v>1001</v>
      </c>
      <c r="N124" s="101">
        <v>2000</v>
      </c>
      <c r="O124" s="101" t="s">
        <v>753</v>
      </c>
      <c r="P124" s="101">
        <v>502633</v>
      </c>
      <c r="Q124" t="s">
        <v>703</v>
      </c>
      <c r="R124" t="s">
        <v>344</v>
      </c>
      <c r="S124"/>
      <c r="T124"/>
      <c r="U124"/>
      <c r="V124" s="220"/>
    </row>
    <row r="125" spans="1:22" x14ac:dyDescent="0.2">
      <c r="A125" t="s">
        <v>722</v>
      </c>
      <c r="B125" s="101">
        <v>13</v>
      </c>
      <c r="C125" s="101">
        <v>2</v>
      </c>
      <c r="D125" s="101">
        <v>1</v>
      </c>
      <c r="E125" s="101">
        <v>16</v>
      </c>
      <c r="F125" s="101">
        <v>23</v>
      </c>
      <c r="G125" s="101">
        <v>2</v>
      </c>
      <c r="H125" s="101">
        <v>0.4</v>
      </c>
      <c r="I125" s="102">
        <v>0.21</v>
      </c>
      <c r="J125" s="102">
        <v>0.71</v>
      </c>
      <c r="K125" s="101">
        <v>17.5</v>
      </c>
      <c r="L125" s="101">
        <v>0.4</v>
      </c>
      <c r="M125" s="101" t="s">
        <v>1001</v>
      </c>
      <c r="N125" s="101">
        <v>2000</v>
      </c>
      <c r="O125" s="101" t="s">
        <v>753</v>
      </c>
      <c r="P125" s="101">
        <v>721860</v>
      </c>
      <c r="Q125" t="s">
        <v>776</v>
      </c>
      <c r="R125" t="s">
        <v>671</v>
      </c>
      <c r="S125" t="s">
        <v>1024</v>
      </c>
      <c r="T125"/>
      <c r="U125"/>
      <c r="V125" s="220"/>
    </row>
    <row r="126" spans="1:22" x14ac:dyDescent="0.2">
      <c r="A126" t="s">
        <v>233</v>
      </c>
      <c r="B126" s="101">
        <v>-4</v>
      </c>
      <c r="C126" s="101">
        <v>-2</v>
      </c>
      <c r="D126" s="101">
        <v>-8</v>
      </c>
      <c r="E126" s="101">
        <v>-5</v>
      </c>
      <c r="F126" s="101">
        <v>-20</v>
      </c>
      <c r="G126" s="101">
        <v>-42</v>
      </c>
      <c r="H126" s="101">
        <v>-10.4</v>
      </c>
      <c r="I126" s="102">
        <v>0.22</v>
      </c>
      <c r="J126" s="102">
        <v>0.72</v>
      </c>
      <c r="K126" s="101">
        <v>13.4</v>
      </c>
      <c r="L126" s="101">
        <v>-0.6</v>
      </c>
      <c r="M126" s="101" t="s">
        <v>1001</v>
      </c>
      <c r="N126" s="101">
        <v>2000</v>
      </c>
      <c r="O126" s="101" t="s">
        <v>753</v>
      </c>
      <c r="P126" s="101">
        <v>506881</v>
      </c>
      <c r="Q126" t="s">
        <v>776</v>
      </c>
      <c r="R126" t="s">
        <v>226</v>
      </c>
      <c r="S126" t="s">
        <v>1024</v>
      </c>
      <c r="T126"/>
      <c r="U126"/>
      <c r="V126" s="220"/>
    </row>
    <row r="127" spans="1:22" x14ac:dyDescent="0.2">
      <c r="A127" t="s">
        <v>1032</v>
      </c>
      <c r="B127" s="101"/>
      <c r="C127" s="101">
        <v>0</v>
      </c>
      <c r="D127" s="101"/>
      <c r="E127" s="101"/>
      <c r="F127" s="101"/>
      <c r="G127" s="101"/>
      <c r="H127" s="101"/>
      <c r="I127" s="102">
        <v>0.22</v>
      </c>
      <c r="J127" s="102">
        <v>0.4</v>
      </c>
      <c r="K127" s="101"/>
      <c r="L127" s="101"/>
      <c r="M127" s="101" t="s">
        <v>1001</v>
      </c>
      <c r="N127" s="101">
        <v>2012</v>
      </c>
      <c r="O127" s="101" t="s">
        <v>753</v>
      </c>
      <c r="P127" s="101">
        <v>316513</v>
      </c>
      <c r="Q127" t="s">
        <v>684</v>
      </c>
      <c r="R127" t="s">
        <v>102</v>
      </c>
      <c r="S127"/>
      <c r="T127"/>
      <c r="U127"/>
      <c r="V127" s="220"/>
    </row>
    <row r="128" spans="1:22" x14ac:dyDescent="0.2">
      <c r="A128" t="s">
        <v>1033</v>
      </c>
      <c r="B128" s="101"/>
      <c r="C128" s="101">
        <v>0</v>
      </c>
      <c r="D128" s="101"/>
      <c r="E128" s="101"/>
      <c r="F128" s="101"/>
      <c r="G128" s="101"/>
      <c r="H128" s="101"/>
      <c r="I128" s="102">
        <v>0.22</v>
      </c>
      <c r="J128" s="102">
        <v>0.4</v>
      </c>
      <c r="K128" s="101"/>
      <c r="L128" s="101"/>
      <c r="M128" s="101" t="s">
        <v>1001</v>
      </c>
      <c r="N128" s="101">
        <v>2012</v>
      </c>
      <c r="O128" s="101" t="s">
        <v>753</v>
      </c>
      <c r="P128" s="101">
        <v>683318</v>
      </c>
      <c r="Q128" t="s">
        <v>684</v>
      </c>
      <c r="R128" t="s">
        <v>727</v>
      </c>
      <c r="S128"/>
      <c r="T128"/>
      <c r="U128"/>
      <c r="V128" s="220"/>
    </row>
    <row r="129" spans="1:22" x14ac:dyDescent="0.2">
      <c r="A129" t="s">
        <v>302</v>
      </c>
      <c r="B129" s="101">
        <v>8</v>
      </c>
      <c r="C129" s="101">
        <v>10</v>
      </c>
      <c r="D129" s="101">
        <v>5</v>
      </c>
      <c r="E129" s="101">
        <v>8</v>
      </c>
      <c r="F129" s="101">
        <v>-11</v>
      </c>
      <c r="G129" s="101">
        <v>-12</v>
      </c>
      <c r="H129" s="101">
        <v>-2.4</v>
      </c>
      <c r="I129" s="102">
        <v>0.22</v>
      </c>
      <c r="J129" s="102">
        <v>0.6</v>
      </c>
      <c r="K129" s="101">
        <v>9.5</v>
      </c>
      <c r="L129" s="101">
        <v>-0.5</v>
      </c>
      <c r="M129" s="101" t="s">
        <v>1001</v>
      </c>
      <c r="N129" s="101">
        <v>2000</v>
      </c>
      <c r="O129" s="101" t="s">
        <v>753</v>
      </c>
      <c r="P129" s="101">
        <v>319822</v>
      </c>
      <c r="Q129" t="s">
        <v>796</v>
      </c>
      <c r="R129" t="s">
        <v>301</v>
      </c>
      <c r="S129" t="s">
        <v>1024</v>
      </c>
      <c r="T129"/>
      <c r="U129"/>
      <c r="V129" s="220"/>
    </row>
    <row r="130" spans="1:22" x14ac:dyDescent="0.2">
      <c r="A130" t="s">
        <v>124</v>
      </c>
      <c r="B130" s="101">
        <v>3</v>
      </c>
      <c r="C130" s="101">
        <v>0</v>
      </c>
      <c r="D130" s="101">
        <v>1</v>
      </c>
      <c r="E130" s="101">
        <v>5</v>
      </c>
      <c r="F130" s="101">
        <v>11</v>
      </c>
      <c r="G130" s="101">
        <v>11</v>
      </c>
      <c r="H130" s="101">
        <v>2.2000000000000002</v>
      </c>
      <c r="I130" s="102">
        <v>0.22</v>
      </c>
      <c r="J130" s="102">
        <v>0.8</v>
      </c>
      <c r="K130" s="101">
        <v>2.6</v>
      </c>
      <c r="L130" s="101">
        <v>0.70000000000000007</v>
      </c>
      <c r="M130" s="101" t="s">
        <v>1001</v>
      </c>
      <c r="N130" s="101">
        <v>2004</v>
      </c>
      <c r="O130" s="101" t="s">
        <v>753</v>
      </c>
      <c r="P130" s="101">
        <v>121780</v>
      </c>
      <c r="Q130" t="s">
        <v>174</v>
      </c>
      <c r="R130" t="s">
        <v>293</v>
      </c>
      <c r="S130" t="s">
        <v>1024</v>
      </c>
      <c r="T130"/>
      <c r="U130"/>
      <c r="V130" s="220"/>
    </row>
    <row r="131" spans="1:22" x14ac:dyDescent="0.2">
      <c r="A131" t="s">
        <v>513</v>
      </c>
      <c r="B131" s="101">
        <v>10</v>
      </c>
      <c r="C131" s="101">
        <v>5</v>
      </c>
      <c r="D131" s="101">
        <v>2</v>
      </c>
      <c r="E131" s="101">
        <v>13</v>
      </c>
      <c r="F131" s="101">
        <v>16</v>
      </c>
      <c r="G131" s="101">
        <v>-6</v>
      </c>
      <c r="H131" s="101">
        <v>-1.3</v>
      </c>
      <c r="I131" s="102">
        <v>0.22</v>
      </c>
      <c r="J131" s="102">
        <v>0.76</v>
      </c>
      <c r="K131" s="101">
        <v>8.8000000000000007</v>
      </c>
      <c r="L131" s="101">
        <v>0.4</v>
      </c>
      <c r="M131" s="101" t="s">
        <v>1001</v>
      </c>
      <c r="N131" s="101">
        <v>2003</v>
      </c>
      <c r="O131" s="101" t="s">
        <v>753</v>
      </c>
      <c r="P131" s="101">
        <v>702381</v>
      </c>
      <c r="Q131" t="s">
        <v>174</v>
      </c>
      <c r="R131" t="s">
        <v>145</v>
      </c>
      <c r="S131" t="s">
        <v>1024</v>
      </c>
      <c r="T131"/>
      <c r="U131"/>
      <c r="V131" s="220"/>
    </row>
    <row r="132" spans="1:22" x14ac:dyDescent="0.2">
      <c r="A132" t="s">
        <v>484</v>
      </c>
      <c r="B132" s="101">
        <v>9</v>
      </c>
      <c r="C132" s="101">
        <v>2</v>
      </c>
      <c r="D132" s="101">
        <v>0</v>
      </c>
      <c r="E132" s="101">
        <v>13</v>
      </c>
      <c r="F132" s="101">
        <v>9</v>
      </c>
      <c r="G132" s="101">
        <v>-13</v>
      </c>
      <c r="H132" s="101">
        <v>-2.7</v>
      </c>
      <c r="I132" s="102">
        <v>0.22</v>
      </c>
      <c r="J132" s="102">
        <v>0.5</v>
      </c>
      <c r="K132" s="101">
        <v>11.1</v>
      </c>
      <c r="L132" s="101">
        <v>0.2</v>
      </c>
      <c r="M132" s="101" t="s">
        <v>1001</v>
      </c>
      <c r="N132" s="101">
        <v>2000</v>
      </c>
      <c r="O132" s="101" t="s">
        <v>753</v>
      </c>
      <c r="P132" s="101">
        <v>635623</v>
      </c>
      <c r="Q132" t="s">
        <v>699</v>
      </c>
      <c r="R132" t="s">
        <v>473</v>
      </c>
      <c r="S132"/>
      <c r="T132"/>
      <c r="U132"/>
      <c r="V132" s="220"/>
    </row>
    <row r="133" spans="1:22" x14ac:dyDescent="0.2">
      <c r="A133" t="s">
        <v>346</v>
      </c>
      <c r="B133" s="101">
        <v>6</v>
      </c>
      <c r="C133" s="101">
        <v>2</v>
      </c>
      <c r="D133" s="101">
        <v>2</v>
      </c>
      <c r="E133" s="101">
        <v>9</v>
      </c>
      <c r="F133" s="101">
        <v>12</v>
      </c>
      <c r="G133" s="101">
        <v>3</v>
      </c>
      <c r="H133" s="101">
        <v>0.6</v>
      </c>
      <c r="I133" s="102">
        <v>0.22</v>
      </c>
      <c r="J133" s="102">
        <v>0.48</v>
      </c>
      <c r="K133" s="101">
        <v>4.8</v>
      </c>
      <c r="L133" s="101">
        <v>0.4</v>
      </c>
      <c r="M133" s="101" t="s">
        <v>1001</v>
      </c>
      <c r="N133" s="101">
        <v>2000</v>
      </c>
      <c r="O133" s="101" t="s">
        <v>753</v>
      </c>
      <c r="P133" s="101">
        <v>850602</v>
      </c>
      <c r="Q133" t="s">
        <v>699</v>
      </c>
      <c r="R133" t="s">
        <v>344</v>
      </c>
      <c r="S133"/>
      <c r="T133"/>
      <c r="U133"/>
      <c r="V133" s="220"/>
    </row>
    <row r="134" spans="1:22" x14ac:dyDescent="0.2">
      <c r="A134" t="s">
        <v>347</v>
      </c>
      <c r="B134" s="101">
        <v>7</v>
      </c>
      <c r="C134" s="101">
        <v>2</v>
      </c>
      <c r="D134" s="101">
        <v>1</v>
      </c>
      <c r="E134" s="101">
        <v>10</v>
      </c>
      <c r="F134" s="101">
        <v>10</v>
      </c>
      <c r="G134" s="101">
        <v>-8</v>
      </c>
      <c r="H134" s="101">
        <v>-1.6</v>
      </c>
      <c r="I134" s="102">
        <v>0.22</v>
      </c>
      <c r="J134" s="102">
        <v>0.48</v>
      </c>
      <c r="K134" s="101">
        <v>7.5</v>
      </c>
      <c r="L134" s="101">
        <v>0.3</v>
      </c>
      <c r="M134" s="101" t="s">
        <v>1001</v>
      </c>
      <c r="N134" s="101">
        <v>2000</v>
      </c>
      <c r="O134" s="101" t="s">
        <v>753</v>
      </c>
      <c r="P134" s="101">
        <v>814772</v>
      </c>
      <c r="Q134" t="s">
        <v>699</v>
      </c>
      <c r="R134" t="s">
        <v>344</v>
      </c>
      <c r="S134"/>
      <c r="T134"/>
      <c r="U134"/>
      <c r="V134" s="220"/>
    </row>
    <row r="135" spans="1:22" x14ac:dyDescent="0.2">
      <c r="A135" t="s">
        <v>352</v>
      </c>
      <c r="B135" s="101">
        <v>8</v>
      </c>
      <c r="C135" s="101">
        <v>2</v>
      </c>
      <c r="D135" s="101">
        <v>1</v>
      </c>
      <c r="E135" s="101">
        <v>12</v>
      </c>
      <c r="F135" s="101">
        <v>10</v>
      </c>
      <c r="G135" s="101">
        <v>-12</v>
      </c>
      <c r="H135" s="101">
        <v>-2.6</v>
      </c>
      <c r="I135" s="102">
        <v>0.22</v>
      </c>
      <c r="J135" s="102">
        <v>0.48</v>
      </c>
      <c r="K135" s="101">
        <v>10.6</v>
      </c>
      <c r="L135" s="101">
        <v>0.2</v>
      </c>
      <c r="M135" s="101" t="s">
        <v>1001</v>
      </c>
      <c r="N135" s="101">
        <v>2000</v>
      </c>
      <c r="O135" s="101" t="s">
        <v>753</v>
      </c>
      <c r="P135" s="101">
        <v>778944</v>
      </c>
      <c r="Q135" t="s">
        <v>699</v>
      </c>
      <c r="R135" t="s">
        <v>348</v>
      </c>
      <c r="S135"/>
      <c r="T135"/>
      <c r="U135"/>
      <c r="V135" s="220"/>
    </row>
    <row r="136" spans="1:22" x14ac:dyDescent="0.2">
      <c r="A136" t="s">
        <v>351</v>
      </c>
      <c r="B136" s="101">
        <v>9</v>
      </c>
      <c r="C136" s="101">
        <v>3</v>
      </c>
      <c r="D136" s="101">
        <v>0</v>
      </c>
      <c r="E136" s="101">
        <v>13</v>
      </c>
      <c r="F136" s="101">
        <v>10</v>
      </c>
      <c r="G136" s="101">
        <v>-13</v>
      </c>
      <c r="H136" s="101">
        <v>-2.7</v>
      </c>
      <c r="I136" s="102">
        <v>0.22</v>
      </c>
      <c r="J136" s="102">
        <v>0.48</v>
      </c>
      <c r="K136" s="101">
        <v>11.1</v>
      </c>
      <c r="L136" s="101">
        <v>0.2</v>
      </c>
      <c r="M136" s="101" t="s">
        <v>1001</v>
      </c>
      <c r="N136" s="101">
        <v>2000</v>
      </c>
      <c r="O136" s="101" t="s">
        <v>753</v>
      </c>
      <c r="P136" s="101">
        <v>743112</v>
      </c>
      <c r="Q136" t="s">
        <v>699</v>
      </c>
      <c r="R136" t="s">
        <v>348</v>
      </c>
      <c r="S136"/>
      <c r="T136"/>
      <c r="U136"/>
      <c r="V136" s="220"/>
    </row>
    <row r="137" spans="1:22" x14ac:dyDescent="0.2">
      <c r="A137" t="s">
        <v>490</v>
      </c>
      <c r="B137" s="101">
        <v>9</v>
      </c>
      <c r="C137" s="101">
        <v>2</v>
      </c>
      <c r="D137" s="101">
        <v>0</v>
      </c>
      <c r="E137" s="101">
        <v>13</v>
      </c>
      <c r="F137" s="101">
        <v>10</v>
      </c>
      <c r="G137" s="101">
        <v>-13</v>
      </c>
      <c r="H137" s="101">
        <v>-2.7</v>
      </c>
      <c r="I137" s="102">
        <v>0.22</v>
      </c>
      <c r="J137" s="102">
        <v>0.48</v>
      </c>
      <c r="K137" s="101">
        <v>11.1</v>
      </c>
      <c r="L137" s="101">
        <v>0.2</v>
      </c>
      <c r="M137" s="101" t="s">
        <v>1001</v>
      </c>
      <c r="N137" s="101">
        <v>2000</v>
      </c>
      <c r="O137" s="101" t="s">
        <v>753</v>
      </c>
      <c r="P137" s="101">
        <v>707281</v>
      </c>
      <c r="Q137" t="s">
        <v>699</v>
      </c>
      <c r="R137" t="s">
        <v>348</v>
      </c>
      <c r="S137"/>
      <c r="T137"/>
      <c r="U137"/>
      <c r="V137" s="220"/>
    </row>
    <row r="138" spans="1:22" x14ac:dyDescent="0.2">
      <c r="A138" t="s">
        <v>489</v>
      </c>
      <c r="B138" s="101">
        <v>9</v>
      </c>
      <c r="C138" s="101">
        <v>2</v>
      </c>
      <c r="D138" s="101">
        <v>0</v>
      </c>
      <c r="E138" s="101">
        <v>13</v>
      </c>
      <c r="F138" s="101">
        <v>10</v>
      </c>
      <c r="G138" s="101">
        <v>-13</v>
      </c>
      <c r="H138" s="101">
        <v>-2.7</v>
      </c>
      <c r="I138" s="102">
        <v>0.22</v>
      </c>
      <c r="J138" s="102">
        <v>0.49</v>
      </c>
      <c r="K138" s="101">
        <v>11.1</v>
      </c>
      <c r="L138" s="101">
        <v>0.2</v>
      </c>
      <c r="M138" s="101" t="s">
        <v>1001</v>
      </c>
      <c r="N138" s="101">
        <v>2000</v>
      </c>
      <c r="O138" s="101" t="s">
        <v>753</v>
      </c>
      <c r="P138" s="101">
        <v>671453</v>
      </c>
      <c r="Q138" t="s">
        <v>699</v>
      </c>
      <c r="R138" t="s">
        <v>473</v>
      </c>
      <c r="S138"/>
      <c r="T138"/>
      <c r="U138"/>
      <c r="V138" s="220"/>
    </row>
    <row r="139" spans="1:22" x14ac:dyDescent="0.2">
      <c r="A139" t="s">
        <v>538</v>
      </c>
      <c r="B139" s="101">
        <v>14</v>
      </c>
      <c r="C139" s="101">
        <v>2</v>
      </c>
      <c r="D139" s="101">
        <v>1</v>
      </c>
      <c r="E139" s="101">
        <v>17</v>
      </c>
      <c r="F139" s="101">
        <v>19</v>
      </c>
      <c r="G139" s="101">
        <v>2</v>
      </c>
      <c r="H139" s="101">
        <v>0.4</v>
      </c>
      <c r="I139" s="102">
        <v>0.22</v>
      </c>
      <c r="J139" s="102">
        <v>0.72</v>
      </c>
      <c r="K139" s="101">
        <v>17.600000000000001</v>
      </c>
      <c r="L139" s="101">
        <v>0.3</v>
      </c>
      <c r="M139" s="101" t="s">
        <v>1001</v>
      </c>
      <c r="N139" s="101">
        <v>2003</v>
      </c>
      <c r="O139" s="101" t="s">
        <v>753</v>
      </c>
      <c r="P139" s="101">
        <v>902783</v>
      </c>
      <c r="Q139" t="s">
        <v>174</v>
      </c>
      <c r="R139" t="s">
        <v>671</v>
      </c>
      <c r="S139" t="s">
        <v>1024</v>
      </c>
      <c r="T139"/>
      <c r="U139"/>
      <c r="V139" s="220"/>
    </row>
    <row r="140" spans="1:22" x14ac:dyDescent="0.2">
      <c r="A140" t="s">
        <v>28</v>
      </c>
      <c r="B140" s="101">
        <v>-3</v>
      </c>
      <c r="C140" s="101">
        <v>0</v>
      </c>
      <c r="D140" s="101">
        <v>3</v>
      </c>
      <c r="E140" s="101">
        <v>-2</v>
      </c>
      <c r="F140" s="101">
        <v>-5</v>
      </c>
      <c r="G140" s="101">
        <v>3</v>
      </c>
      <c r="H140" s="101">
        <v>0.5</v>
      </c>
      <c r="I140" s="102">
        <v>0.23</v>
      </c>
      <c r="J140" s="102">
        <v>0.50004300000000002</v>
      </c>
      <c r="K140" s="101">
        <v>8.4</v>
      </c>
      <c r="L140" s="101">
        <v>-0.3</v>
      </c>
      <c r="M140" s="101" t="s">
        <v>1001</v>
      </c>
      <c r="N140" s="101">
        <v>2000</v>
      </c>
      <c r="O140" s="101" t="s">
        <v>753</v>
      </c>
      <c r="P140" s="101">
        <v>325902</v>
      </c>
      <c r="Q140" t="s">
        <v>838</v>
      </c>
      <c r="R140" t="s">
        <v>546</v>
      </c>
      <c r="S140"/>
      <c r="T140"/>
      <c r="U140"/>
      <c r="V140" s="220"/>
    </row>
    <row r="141" spans="1:22" x14ac:dyDescent="0.2">
      <c r="A141" t="s">
        <v>27</v>
      </c>
      <c r="B141" s="101">
        <v>0</v>
      </c>
      <c r="C141" s="101">
        <v>0</v>
      </c>
      <c r="D141" s="101">
        <v>3</v>
      </c>
      <c r="E141" s="101">
        <v>1</v>
      </c>
      <c r="F141" s="101">
        <v>1</v>
      </c>
      <c r="G141" s="101">
        <v>9</v>
      </c>
      <c r="H141" s="101">
        <v>1.7</v>
      </c>
      <c r="I141" s="102">
        <v>0.23</v>
      </c>
      <c r="J141" s="102">
        <v>0.50000299999999998</v>
      </c>
      <c r="K141" s="101">
        <v>6.7</v>
      </c>
      <c r="L141" s="101">
        <v>-0.1</v>
      </c>
      <c r="M141" s="101" t="s">
        <v>1001</v>
      </c>
      <c r="N141" s="101">
        <v>2007</v>
      </c>
      <c r="O141" s="101" t="s">
        <v>753</v>
      </c>
      <c r="P141" s="101">
        <v>554691</v>
      </c>
      <c r="Q141" t="s">
        <v>838</v>
      </c>
      <c r="R141" t="s">
        <v>546</v>
      </c>
      <c r="S141"/>
      <c r="T141"/>
      <c r="U141"/>
      <c r="V141" s="220"/>
    </row>
    <row r="142" spans="1:22" x14ac:dyDescent="0.2">
      <c r="A142" t="s">
        <v>26</v>
      </c>
      <c r="B142" s="101">
        <v>1</v>
      </c>
      <c r="C142" s="101">
        <v>0</v>
      </c>
      <c r="D142" s="101">
        <v>1</v>
      </c>
      <c r="E142" s="101">
        <v>2</v>
      </c>
      <c r="F142" s="101">
        <v>3</v>
      </c>
      <c r="G142" s="101">
        <v>11</v>
      </c>
      <c r="H142" s="101">
        <v>2.1</v>
      </c>
      <c r="I142" s="102">
        <v>0.23</v>
      </c>
      <c r="J142" s="102">
        <v>0.50001799999999996</v>
      </c>
      <c r="K142" s="101">
        <v>0.4</v>
      </c>
      <c r="L142" s="101">
        <v>-2.3000000000000003</v>
      </c>
      <c r="M142" s="101" t="s">
        <v>1001</v>
      </c>
      <c r="N142" s="101">
        <v>2000</v>
      </c>
      <c r="O142" s="101" t="s">
        <v>753</v>
      </c>
      <c r="P142" s="101">
        <v>361733</v>
      </c>
      <c r="Q142" t="s">
        <v>838</v>
      </c>
      <c r="R142" t="s">
        <v>491</v>
      </c>
      <c r="S142"/>
      <c r="T142"/>
      <c r="U142"/>
      <c r="V142" s="220"/>
    </row>
    <row r="143" spans="1:22" x14ac:dyDescent="0.2">
      <c r="A143" t="s">
        <v>835</v>
      </c>
      <c r="B143" s="101">
        <v>12</v>
      </c>
      <c r="C143" s="101">
        <v>3</v>
      </c>
      <c r="D143" s="101">
        <v>5</v>
      </c>
      <c r="E143" s="101">
        <v>15</v>
      </c>
      <c r="F143" s="101">
        <v>25</v>
      </c>
      <c r="G143" s="101">
        <v>-1</v>
      </c>
      <c r="H143" s="101">
        <v>-0.2</v>
      </c>
      <c r="I143" s="102">
        <v>0.23</v>
      </c>
      <c r="J143" s="102">
        <v>0.4</v>
      </c>
      <c r="K143" s="101">
        <v>16.2</v>
      </c>
      <c r="L143" s="101">
        <v>0.4</v>
      </c>
      <c r="M143" s="101" t="s">
        <v>1001</v>
      </c>
      <c r="N143" s="101">
        <v>2000</v>
      </c>
      <c r="O143" s="101" t="s">
        <v>753</v>
      </c>
      <c r="P143" s="101">
        <v>760116</v>
      </c>
      <c r="Q143" t="s">
        <v>836</v>
      </c>
      <c r="R143" t="s">
        <v>727</v>
      </c>
      <c r="S143"/>
      <c r="T143"/>
      <c r="U143"/>
      <c r="V143" s="220"/>
    </row>
    <row r="144" spans="1:22" x14ac:dyDescent="0.2">
      <c r="A144" t="s">
        <v>483</v>
      </c>
      <c r="B144" s="101">
        <v>9</v>
      </c>
      <c r="C144" s="101">
        <v>2</v>
      </c>
      <c r="D144" s="101">
        <v>0</v>
      </c>
      <c r="E144" s="101">
        <v>13</v>
      </c>
      <c r="F144" s="101">
        <v>9</v>
      </c>
      <c r="G144" s="101">
        <v>-14</v>
      </c>
      <c r="H144" s="101">
        <v>-2.9</v>
      </c>
      <c r="I144" s="102">
        <v>0.23</v>
      </c>
      <c r="J144" s="102">
        <v>0.56000000000000005</v>
      </c>
      <c r="K144" s="101">
        <v>11.1</v>
      </c>
      <c r="L144" s="101">
        <v>0.2</v>
      </c>
      <c r="M144" s="101" t="s">
        <v>1001</v>
      </c>
      <c r="N144" s="101">
        <v>2001</v>
      </c>
      <c r="O144" s="101" t="s">
        <v>753</v>
      </c>
      <c r="P144" s="101">
        <v>832360</v>
      </c>
      <c r="Q144" t="s">
        <v>699</v>
      </c>
      <c r="R144" t="s">
        <v>473</v>
      </c>
      <c r="S144"/>
      <c r="T144"/>
      <c r="U144"/>
      <c r="V144" s="220"/>
    </row>
    <row r="145" spans="1:22" x14ac:dyDescent="0.2">
      <c r="A145" t="s">
        <v>961</v>
      </c>
      <c r="B145" s="101">
        <v>12</v>
      </c>
      <c r="C145" s="101">
        <v>5</v>
      </c>
      <c r="D145" s="101">
        <v>1</v>
      </c>
      <c r="E145" s="101">
        <v>17</v>
      </c>
      <c r="F145" s="101">
        <v>17</v>
      </c>
      <c r="G145" s="101">
        <v>-1</v>
      </c>
      <c r="H145" s="101">
        <v>-0.2</v>
      </c>
      <c r="I145" s="102">
        <v>0.23</v>
      </c>
      <c r="J145" s="102">
        <v>0.70000000000000007</v>
      </c>
      <c r="K145" s="101">
        <v>18.400000000000002</v>
      </c>
      <c r="L145" s="101">
        <v>0.3</v>
      </c>
      <c r="M145" s="101" t="s">
        <v>1001</v>
      </c>
      <c r="N145" s="101">
        <v>2000</v>
      </c>
      <c r="O145" s="101" t="s">
        <v>753</v>
      </c>
      <c r="P145" s="101">
        <v>104844</v>
      </c>
      <c r="Q145" t="s">
        <v>796</v>
      </c>
      <c r="R145" t="s">
        <v>671</v>
      </c>
      <c r="S145" t="s">
        <v>1024</v>
      </c>
      <c r="T145"/>
      <c r="U145"/>
      <c r="V145" s="220"/>
    </row>
    <row r="146" spans="1:22" x14ac:dyDescent="0.2">
      <c r="A146" t="s">
        <v>472</v>
      </c>
      <c r="B146" s="101">
        <v>8</v>
      </c>
      <c r="C146" s="101">
        <v>2</v>
      </c>
      <c r="D146" s="101">
        <v>1</v>
      </c>
      <c r="E146" s="101">
        <v>11</v>
      </c>
      <c r="F146" s="101">
        <v>19</v>
      </c>
      <c r="G146" s="101">
        <v>0</v>
      </c>
      <c r="H146" s="101">
        <v>0</v>
      </c>
      <c r="I146" s="102">
        <v>0.23</v>
      </c>
      <c r="J146" s="102">
        <v>0.5</v>
      </c>
      <c r="K146" s="101">
        <v>6.5</v>
      </c>
      <c r="L146" s="101">
        <v>0.6</v>
      </c>
      <c r="M146" s="101" t="s">
        <v>1001</v>
      </c>
      <c r="N146" s="101">
        <v>2000</v>
      </c>
      <c r="O146" s="101" t="s">
        <v>753</v>
      </c>
      <c r="P146" s="101">
        <v>972679</v>
      </c>
      <c r="Q146" t="s">
        <v>790</v>
      </c>
      <c r="R146" t="s">
        <v>348</v>
      </c>
      <c r="S146"/>
      <c r="T146"/>
      <c r="U146"/>
      <c r="V146" s="220"/>
    </row>
    <row r="147" spans="1:22" x14ac:dyDescent="0.2">
      <c r="A147" t="s">
        <v>474</v>
      </c>
      <c r="B147" s="101">
        <v>10</v>
      </c>
      <c r="C147" s="101">
        <v>2</v>
      </c>
      <c r="D147" s="101">
        <v>1</v>
      </c>
      <c r="E147" s="101">
        <v>14</v>
      </c>
      <c r="F147" s="101">
        <v>19</v>
      </c>
      <c r="G147" s="101">
        <v>-7</v>
      </c>
      <c r="H147" s="101">
        <v>-1.5</v>
      </c>
      <c r="I147" s="102">
        <v>0.23</v>
      </c>
      <c r="J147" s="102">
        <v>0.5</v>
      </c>
      <c r="K147" s="101">
        <v>9.4</v>
      </c>
      <c r="L147" s="101">
        <v>0.5</v>
      </c>
      <c r="M147" s="101" t="s">
        <v>1001</v>
      </c>
      <c r="N147" s="101">
        <v>2000</v>
      </c>
      <c r="O147" s="101" t="s">
        <v>753</v>
      </c>
      <c r="P147" s="101">
        <v>901017</v>
      </c>
      <c r="Q147" t="s">
        <v>790</v>
      </c>
      <c r="R147" t="s">
        <v>348</v>
      </c>
      <c r="S147"/>
      <c r="T147"/>
      <c r="U147"/>
      <c r="V147" s="220"/>
    </row>
    <row r="148" spans="1:22" x14ac:dyDescent="0.2">
      <c r="A148" t="s">
        <v>475</v>
      </c>
      <c r="B148" s="101">
        <v>10</v>
      </c>
      <c r="C148" s="101">
        <v>2</v>
      </c>
      <c r="D148" s="101">
        <v>1</v>
      </c>
      <c r="E148" s="101">
        <v>14</v>
      </c>
      <c r="F148" s="101">
        <v>19</v>
      </c>
      <c r="G148" s="101">
        <v>-7</v>
      </c>
      <c r="H148" s="101">
        <v>-1.5</v>
      </c>
      <c r="I148" s="102">
        <v>0.23</v>
      </c>
      <c r="J148" s="102">
        <v>0.5</v>
      </c>
      <c r="K148" s="101">
        <v>9.3000000000000007</v>
      </c>
      <c r="L148" s="101">
        <v>0.5</v>
      </c>
      <c r="M148" s="101" t="s">
        <v>1001</v>
      </c>
      <c r="N148" s="101">
        <v>2000</v>
      </c>
      <c r="O148" s="101" t="s">
        <v>753</v>
      </c>
      <c r="P148" s="101">
        <v>829358</v>
      </c>
      <c r="Q148" t="s">
        <v>790</v>
      </c>
      <c r="R148" t="s">
        <v>473</v>
      </c>
      <c r="S148"/>
      <c r="T148"/>
      <c r="U148"/>
      <c r="V148" s="220"/>
    </row>
    <row r="149" spans="1:22" x14ac:dyDescent="0.2">
      <c r="A149" t="s">
        <v>493</v>
      </c>
      <c r="B149" s="101">
        <v>2</v>
      </c>
      <c r="C149" s="101">
        <v>1</v>
      </c>
      <c r="D149" s="101">
        <v>1</v>
      </c>
      <c r="E149" s="101">
        <v>2</v>
      </c>
      <c r="F149" s="101">
        <v>5</v>
      </c>
      <c r="G149" s="101">
        <v>14</v>
      </c>
      <c r="H149" s="101">
        <v>2.6</v>
      </c>
      <c r="I149" s="102">
        <v>0.23</v>
      </c>
      <c r="J149" s="102">
        <v>0.48</v>
      </c>
      <c r="K149" s="101">
        <v>0.3</v>
      </c>
      <c r="L149" s="101">
        <v>0.4</v>
      </c>
      <c r="M149" s="101" t="s">
        <v>1001</v>
      </c>
      <c r="N149" s="101">
        <v>2001</v>
      </c>
      <c r="O149" s="101" t="s">
        <v>753</v>
      </c>
      <c r="P149" s="101">
        <v>134593</v>
      </c>
      <c r="Q149" t="s">
        <v>704</v>
      </c>
      <c r="R149" t="s">
        <v>491</v>
      </c>
      <c r="S149"/>
      <c r="T149"/>
      <c r="U149"/>
      <c r="V149" s="220"/>
    </row>
    <row r="150" spans="1:22" x14ac:dyDescent="0.2">
      <c r="A150" t="s">
        <v>545</v>
      </c>
      <c r="B150" s="101">
        <v>1</v>
      </c>
      <c r="C150" s="101">
        <v>0</v>
      </c>
      <c r="D150" s="101">
        <v>0</v>
      </c>
      <c r="E150" s="101">
        <v>1</v>
      </c>
      <c r="F150" s="101">
        <v>3</v>
      </c>
      <c r="G150" s="101">
        <v>9</v>
      </c>
      <c r="H150" s="101">
        <v>1.8</v>
      </c>
      <c r="I150" s="102">
        <v>0.24</v>
      </c>
      <c r="J150" s="102">
        <v>0.51292099999999996</v>
      </c>
      <c r="K150" s="101">
        <v>0.2</v>
      </c>
      <c r="L150" s="101">
        <v>-3.6</v>
      </c>
      <c r="M150" s="101" t="s">
        <v>1001</v>
      </c>
      <c r="N150" s="101">
        <v>2004</v>
      </c>
      <c r="O150" s="101" t="s">
        <v>753</v>
      </c>
      <c r="P150" s="101">
        <v>654988</v>
      </c>
      <c r="Q150" t="s">
        <v>675</v>
      </c>
      <c r="R150" t="s">
        <v>491</v>
      </c>
      <c r="S150"/>
      <c r="T150"/>
      <c r="U150"/>
      <c r="V150" s="220"/>
    </row>
    <row r="151" spans="1:22" x14ac:dyDescent="0.2">
      <c r="A151" t="s">
        <v>837</v>
      </c>
      <c r="B151" s="101">
        <v>1</v>
      </c>
      <c r="C151" s="101">
        <v>0</v>
      </c>
      <c r="D151" s="101">
        <v>1</v>
      </c>
      <c r="E151" s="101">
        <v>2</v>
      </c>
      <c r="F151" s="101">
        <v>3</v>
      </c>
      <c r="G151" s="101">
        <v>8</v>
      </c>
      <c r="H151" s="101">
        <v>1.6</v>
      </c>
      <c r="I151" s="102">
        <v>0.24</v>
      </c>
      <c r="J151" s="102">
        <v>0.5</v>
      </c>
      <c r="K151" s="101">
        <v>0.3</v>
      </c>
      <c r="L151" s="101">
        <v>-2.9</v>
      </c>
      <c r="M151" s="101" t="s">
        <v>1001</v>
      </c>
      <c r="N151" s="101">
        <v>2000</v>
      </c>
      <c r="O151" s="101" t="s">
        <v>753</v>
      </c>
      <c r="P151" s="101">
        <v>867606</v>
      </c>
      <c r="Q151" t="s">
        <v>836</v>
      </c>
      <c r="R151" t="s">
        <v>491</v>
      </c>
      <c r="S151"/>
      <c r="T151"/>
      <c r="U151"/>
      <c r="V151" s="220"/>
    </row>
    <row r="152" spans="1:22" x14ac:dyDescent="0.2">
      <c r="A152" t="s">
        <v>1112</v>
      </c>
      <c r="B152" s="101"/>
      <c r="C152" s="101"/>
      <c r="D152" s="101"/>
      <c r="E152" s="101"/>
      <c r="F152" s="101"/>
      <c r="G152" s="101"/>
      <c r="H152" s="101"/>
      <c r="I152" s="102">
        <v>0.24</v>
      </c>
      <c r="J152" s="102">
        <v>0.75</v>
      </c>
      <c r="K152" s="101"/>
      <c r="L152" s="101"/>
      <c r="M152" s="101" t="s">
        <v>1001</v>
      </c>
      <c r="N152" s="101">
        <v>2012</v>
      </c>
      <c r="O152" s="101" t="s">
        <v>753</v>
      </c>
      <c r="P152" s="101">
        <v>184119</v>
      </c>
      <c r="Q152" t="s">
        <v>796</v>
      </c>
      <c r="R152" t="s">
        <v>145</v>
      </c>
      <c r="S152" t="s">
        <v>1024</v>
      </c>
      <c r="T152"/>
      <c r="U152"/>
      <c r="V152" s="220"/>
    </row>
    <row r="153" spans="1:22" x14ac:dyDescent="0.2">
      <c r="A153" t="s">
        <v>614</v>
      </c>
      <c r="B153" s="101">
        <v>0</v>
      </c>
      <c r="C153" s="101">
        <v>-1</v>
      </c>
      <c r="D153" s="101">
        <v>1</v>
      </c>
      <c r="E153" s="101">
        <v>3</v>
      </c>
      <c r="F153" s="101">
        <v>16</v>
      </c>
      <c r="G153" s="101">
        <v>27</v>
      </c>
      <c r="H153" s="101">
        <v>5</v>
      </c>
      <c r="I153" s="102">
        <v>0.24</v>
      </c>
      <c r="J153" s="102">
        <v>0.6</v>
      </c>
      <c r="K153" s="101">
        <v>4.2</v>
      </c>
      <c r="L153" s="101">
        <v>0.8</v>
      </c>
      <c r="M153" s="101" t="s">
        <v>1001</v>
      </c>
      <c r="N153" s="101">
        <v>2001</v>
      </c>
      <c r="O153" s="101" t="s">
        <v>753</v>
      </c>
      <c r="P153" s="101">
        <v>469817</v>
      </c>
      <c r="Q153" t="s">
        <v>680</v>
      </c>
      <c r="R153" t="s">
        <v>611</v>
      </c>
      <c r="S153"/>
      <c r="T153"/>
      <c r="U153"/>
      <c r="V153" s="220"/>
    </row>
    <row r="154" spans="1:22" x14ac:dyDescent="0.2">
      <c r="A154" t="s">
        <v>549</v>
      </c>
      <c r="B154" s="101">
        <v>3</v>
      </c>
      <c r="C154" s="101">
        <v>1</v>
      </c>
      <c r="D154" s="101">
        <v>3</v>
      </c>
      <c r="E154" s="101">
        <v>5</v>
      </c>
      <c r="F154" s="101">
        <v>12</v>
      </c>
      <c r="G154" s="101">
        <v>27</v>
      </c>
      <c r="H154" s="101">
        <v>5</v>
      </c>
      <c r="I154" s="102">
        <v>0.24</v>
      </c>
      <c r="J154" s="102">
        <v>0.70000000000000007</v>
      </c>
      <c r="K154" s="101">
        <v>2.5</v>
      </c>
      <c r="L154" s="101">
        <v>0.9</v>
      </c>
      <c r="M154" s="101" t="s">
        <v>1001</v>
      </c>
      <c r="N154" s="101">
        <v>2002</v>
      </c>
      <c r="O154" s="101" t="s">
        <v>753</v>
      </c>
      <c r="P154" s="101">
        <v>807453</v>
      </c>
      <c r="Q154" t="s">
        <v>790</v>
      </c>
      <c r="R154" t="s">
        <v>546</v>
      </c>
      <c r="S154"/>
      <c r="T154"/>
      <c r="U154"/>
      <c r="V154" s="220"/>
    </row>
    <row r="155" spans="1:22" x14ac:dyDescent="0.2">
      <c r="A155" t="s">
        <v>551</v>
      </c>
      <c r="B155" s="101">
        <v>3</v>
      </c>
      <c r="C155" s="101">
        <v>1</v>
      </c>
      <c r="D155" s="101">
        <v>3</v>
      </c>
      <c r="E155" s="101">
        <v>5</v>
      </c>
      <c r="F155" s="101">
        <v>18</v>
      </c>
      <c r="G155" s="101">
        <v>34</v>
      </c>
      <c r="H155" s="101">
        <v>6</v>
      </c>
      <c r="I155" s="102">
        <v>0.24</v>
      </c>
      <c r="J155" s="102">
        <v>0.6</v>
      </c>
      <c r="K155" s="101">
        <v>4.6000000000000005</v>
      </c>
      <c r="L155" s="101">
        <v>0.9</v>
      </c>
      <c r="M155" s="101" t="s">
        <v>1001</v>
      </c>
      <c r="N155" s="101">
        <v>2000</v>
      </c>
      <c r="O155" s="101" t="s">
        <v>753</v>
      </c>
      <c r="P155" s="101">
        <v>726117</v>
      </c>
      <c r="Q155" t="s">
        <v>680</v>
      </c>
      <c r="R155" t="s">
        <v>546</v>
      </c>
      <c r="S155"/>
      <c r="T155"/>
      <c r="U155"/>
      <c r="V155" s="220"/>
    </row>
    <row r="156" spans="1:22" x14ac:dyDescent="0.2">
      <c r="A156" t="s">
        <v>500</v>
      </c>
      <c r="B156" s="101">
        <v>1</v>
      </c>
      <c r="C156" s="101">
        <v>0</v>
      </c>
      <c r="D156" s="101">
        <v>1</v>
      </c>
      <c r="E156" s="101">
        <v>2</v>
      </c>
      <c r="F156" s="101">
        <v>3</v>
      </c>
      <c r="G156" s="101">
        <v>10</v>
      </c>
      <c r="H156" s="101">
        <v>1.9000000000000001</v>
      </c>
      <c r="I156" s="102">
        <v>0.24</v>
      </c>
      <c r="J156" s="102">
        <v>0.4</v>
      </c>
      <c r="K156" s="101">
        <v>0.3</v>
      </c>
      <c r="L156" s="101">
        <v>-1.7</v>
      </c>
      <c r="M156" s="101" t="s">
        <v>1001</v>
      </c>
      <c r="N156" s="101">
        <v>2000</v>
      </c>
      <c r="O156" s="101" t="s">
        <v>753</v>
      </c>
      <c r="P156" s="101">
        <v>331983</v>
      </c>
      <c r="Q156" t="s">
        <v>680</v>
      </c>
      <c r="R156" t="s">
        <v>491</v>
      </c>
      <c r="S156"/>
      <c r="T156"/>
      <c r="U156"/>
      <c r="V156" s="220"/>
    </row>
    <row r="157" spans="1:22" x14ac:dyDescent="0.2">
      <c r="A157" t="s">
        <v>550</v>
      </c>
      <c r="B157" s="101">
        <v>2</v>
      </c>
      <c r="C157" s="101">
        <v>1</v>
      </c>
      <c r="D157" s="101">
        <v>1</v>
      </c>
      <c r="E157" s="101">
        <v>2</v>
      </c>
      <c r="F157" s="101">
        <v>4</v>
      </c>
      <c r="G157" s="101">
        <v>13</v>
      </c>
      <c r="H157" s="101">
        <v>2.5</v>
      </c>
      <c r="I157" s="102">
        <v>0.24</v>
      </c>
      <c r="J157" s="102">
        <v>0.70000000000000007</v>
      </c>
      <c r="K157" s="101">
        <v>0.4</v>
      </c>
      <c r="L157" s="101">
        <v>-1.2</v>
      </c>
      <c r="M157" s="101" t="s">
        <v>1001</v>
      </c>
      <c r="N157" s="101">
        <v>2005</v>
      </c>
      <c r="O157" s="101" t="s">
        <v>753</v>
      </c>
      <c r="P157" s="101">
        <v>413260</v>
      </c>
      <c r="Q157" t="s">
        <v>790</v>
      </c>
      <c r="R157" t="s">
        <v>546</v>
      </c>
      <c r="S157"/>
      <c r="T157"/>
      <c r="U157"/>
      <c r="V157" s="220"/>
    </row>
    <row r="158" spans="1:22" x14ac:dyDescent="0.2">
      <c r="A158" t="s">
        <v>593</v>
      </c>
      <c r="B158" s="101">
        <v>6</v>
      </c>
      <c r="C158" s="101">
        <v>2</v>
      </c>
      <c r="D158" s="101">
        <v>4</v>
      </c>
      <c r="E158" s="101">
        <v>6</v>
      </c>
      <c r="F158" s="101">
        <v>11</v>
      </c>
      <c r="G158" s="101">
        <v>19</v>
      </c>
      <c r="H158" s="101">
        <v>3.5</v>
      </c>
      <c r="I158" s="102">
        <v>0.25</v>
      </c>
      <c r="J158" s="102">
        <v>0.53</v>
      </c>
      <c r="K158" s="101">
        <v>0.8</v>
      </c>
      <c r="L158" s="101">
        <v>2.4</v>
      </c>
      <c r="M158" s="101" t="s">
        <v>1001</v>
      </c>
      <c r="N158" s="101">
        <v>2003</v>
      </c>
      <c r="O158" s="101" t="s">
        <v>753</v>
      </c>
      <c r="P158" s="101">
        <v>384750</v>
      </c>
      <c r="Q158" t="s">
        <v>674</v>
      </c>
      <c r="R158" t="s">
        <v>546</v>
      </c>
      <c r="S158"/>
      <c r="T158"/>
      <c r="U158"/>
      <c r="V158" s="220"/>
    </row>
    <row r="159" spans="1:22" x14ac:dyDescent="0.2">
      <c r="A159" t="s">
        <v>422</v>
      </c>
      <c r="B159" s="101">
        <v>0</v>
      </c>
      <c r="C159" s="101">
        <v>-2</v>
      </c>
      <c r="D159" s="101">
        <v>1</v>
      </c>
      <c r="E159" s="101">
        <v>3</v>
      </c>
      <c r="F159" s="101">
        <v>15</v>
      </c>
      <c r="G159" s="101">
        <v>27</v>
      </c>
      <c r="H159" s="101">
        <v>4.9000000000000004</v>
      </c>
      <c r="I159" s="102">
        <v>0.25</v>
      </c>
      <c r="J159" s="102">
        <v>0.75</v>
      </c>
      <c r="K159" s="101">
        <v>4.2</v>
      </c>
      <c r="L159" s="101">
        <v>0.8</v>
      </c>
      <c r="M159" s="101" t="s">
        <v>1001</v>
      </c>
      <c r="N159" s="101">
        <v>2003</v>
      </c>
      <c r="O159" s="101" t="s">
        <v>633</v>
      </c>
      <c r="P159" s="101">
        <v>496497</v>
      </c>
      <c r="Q159" t="s">
        <v>792</v>
      </c>
      <c r="R159" t="s">
        <v>611</v>
      </c>
      <c r="S159"/>
      <c r="T159"/>
      <c r="U159"/>
      <c r="V159" s="220"/>
    </row>
    <row r="160" spans="1:22" x14ac:dyDescent="0.2">
      <c r="A160" t="s">
        <v>111</v>
      </c>
      <c r="B160" s="101">
        <v>4</v>
      </c>
      <c r="C160" s="101">
        <v>1</v>
      </c>
      <c r="D160" s="101">
        <v>3</v>
      </c>
      <c r="E160" s="101">
        <v>6</v>
      </c>
      <c r="F160" s="101">
        <v>16</v>
      </c>
      <c r="G160" s="101">
        <v>31</v>
      </c>
      <c r="H160" s="101">
        <v>5.5</v>
      </c>
      <c r="I160" s="102">
        <v>0.25</v>
      </c>
      <c r="J160" s="102">
        <v>0.78</v>
      </c>
      <c r="K160" s="101">
        <v>3.2</v>
      </c>
      <c r="L160" s="101">
        <v>1.1000000000000001</v>
      </c>
      <c r="M160" s="101" t="s">
        <v>1001</v>
      </c>
      <c r="N160" s="101">
        <v>2000</v>
      </c>
      <c r="O160" s="101" t="s">
        <v>633</v>
      </c>
      <c r="P160" s="101">
        <v>682377</v>
      </c>
      <c r="Q160" t="s">
        <v>677</v>
      </c>
      <c r="R160" t="s">
        <v>546</v>
      </c>
      <c r="S160"/>
      <c r="T160"/>
      <c r="U160"/>
      <c r="V160" s="220"/>
    </row>
    <row r="161" spans="1:22" x14ac:dyDescent="0.2">
      <c r="A161" t="s">
        <v>728</v>
      </c>
      <c r="B161" s="101">
        <v>12</v>
      </c>
      <c r="C161" s="101">
        <v>2</v>
      </c>
      <c r="D161" s="101">
        <v>2</v>
      </c>
      <c r="E161" s="101">
        <v>17</v>
      </c>
      <c r="F161" s="101">
        <v>23</v>
      </c>
      <c r="G161" s="101">
        <v>3</v>
      </c>
      <c r="H161" s="101">
        <v>0.70000000000000007</v>
      </c>
      <c r="I161" s="102">
        <v>0.25</v>
      </c>
      <c r="J161" s="102">
        <v>0.49770000000000003</v>
      </c>
      <c r="K161" s="101">
        <v>15.6</v>
      </c>
      <c r="L161" s="101">
        <v>0.4</v>
      </c>
      <c r="M161" s="101" t="s">
        <v>1001</v>
      </c>
      <c r="N161" s="101">
        <v>2005</v>
      </c>
      <c r="O161" s="101" t="s">
        <v>753</v>
      </c>
      <c r="P161" s="101">
        <v>577833</v>
      </c>
      <c r="Q161" t="s">
        <v>684</v>
      </c>
      <c r="R161" t="s">
        <v>727</v>
      </c>
      <c r="S161" t="s">
        <v>1024</v>
      </c>
      <c r="T161"/>
      <c r="U161"/>
      <c r="V161" s="220"/>
    </row>
    <row r="162" spans="1:22" x14ac:dyDescent="0.2">
      <c r="A162" t="s">
        <v>806</v>
      </c>
      <c r="B162" s="101">
        <v>9</v>
      </c>
      <c r="C162" s="101">
        <v>3</v>
      </c>
      <c r="D162" s="101">
        <v>1</v>
      </c>
      <c r="E162" s="101">
        <v>14</v>
      </c>
      <c r="F162" s="101">
        <v>11</v>
      </c>
      <c r="G162" s="101">
        <v>-18</v>
      </c>
      <c r="H162" s="101">
        <v>-3.9</v>
      </c>
      <c r="I162" s="102">
        <v>0.26</v>
      </c>
      <c r="J162" s="102">
        <v>0.51</v>
      </c>
      <c r="K162" s="101">
        <v>9.7000000000000011</v>
      </c>
      <c r="L162" s="101">
        <v>0.2</v>
      </c>
      <c r="M162" s="101" t="s">
        <v>1001</v>
      </c>
      <c r="N162" s="101">
        <v>2000</v>
      </c>
      <c r="O162" s="101" t="s">
        <v>753</v>
      </c>
      <c r="P162" s="101">
        <v>252411</v>
      </c>
      <c r="Q162" t="s">
        <v>433</v>
      </c>
      <c r="R162" t="s">
        <v>145</v>
      </c>
      <c r="S162"/>
      <c r="T162"/>
      <c r="U162"/>
      <c r="V162" s="220"/>
    </row>
    <row r="163" spans="1:22" x14ac:dyDescent="0.2">
      <c r="A163" t="s">
        <v>10</v>
      </c>
      <c r="B163" s="101">
        <v>4</v>
      </c>
      <c r="C163" s="101">
        <v>0</v>
      </c>
      <c r="D163" s="101">
        <v>2</v>
      </c>
      <c r="E163" s="101">
        <v>5</v>
      </c>
      <c r="F163" s="101">
        <v>12</v>
      </c>
      <c r="G163" s="101">
        <v>26</v>
      </c>
      <c r="H163" s="101">
        <v>4.7</v>
      </c>
      <c r="I163" s="102">
        <v>0.26</v>
      </c>
      <c r="J163" s="102">
        <v>0.61</v>
      </c>
      <c r="K163" s="101">
        <v>3.1</v>
      </c>
      <c r="L163" s="101">
        <v>0.70000000000000007</v>
      </c>
      <c r="M163" s="101" t="s">
        <v>1001</v>
      </c>
      <c r="N163" s="101">
        <v>2000</v>
      </c>
      <c r="O163" s="101" t="s">
        <v>753</v>
      </c>
      <c r="P163" s="101">
        <v>901603</v>
      </c>
      <c r="Q163" t="s">
        <v>433</v>
      </c>
      <c r="R163" t="s">
        <v>546</v>
      </c>
      <c r="S163"/>
      <c r="T163"/>
      <c r="U163"/>
      <c r="V163" s="220"/>
    </row>
    <row r="164" spans="1:22" x14ac:dyDescent="0.2">
      <c r="A164" t="s">
        <v>252</v>
      </c>
      <c r="B164" s="101">
        <v>3</v>
      </c>
      <c r="C164" s="101">
        <v>5</v>
      </c>
      <c r="D164" s="101">
        <v>3</v>
      </c>
      <c r="E164" s="101">
        <v>2</v>
      </c>
      <c r="F164" s="101">
        <v>-6</v>
      </c>
      <c r="G164" s="101">
        <v>4</v>
      </c>
      <c r="H164" s="101">
        <v>0.70000000000000007</v>
      </c>
      <c r="I164" s="102">
        <v>0.26</v>
      </c>
      <c r="J164" s="102">
        <v>0.60280699999999998</v>
      </c>
      <c r="K164" s="101">
        <v>7.7</v>
      </c>
      <c r="L164" s="101">
        <v>-0.4</v>
      </c>
      <c r="M164" s="101" t="s">
        <v>1003</v>
      </c>
      <c r="N164" s="101">
        <v>2001</v>
      </c>
      <c r="O164" s="101" t="s">
        <v>633</v>
      </c>
      <c r="P164" s="101">
        <v>111518</v>
      </c>
      <c r="Q164" t="s">
        <v>754</v>
      </c>
      <c r="R164" t="s">
        <v>626</v>
      </c>
      <c r="S164"/>
      <c r="T164"/>
      <c r="U164"/>
      <c r="V164" s="220"/>
    </row>
    <row r="165" spans="1:22" x14ac:dyDescent="0.2">
      <c r="A165" t="s">
        <v>1055</v>
      </c>
      <c r="B165" s="101">
        <v>2</v>
      </c>
      <c r="C165" s="101">
        <v>5</v>
      </c>
      <c r="D165" s="101">
        <v>-1</v>
      </c>
      <c r="E165" s="101">
        <v>0</v>
      </c>
      <c r="F165" s="101">
        <v>-10</v>
      </c>
      <c r="G165" s="101">
        <v>1</v>
      </c>
      <c r="H165" s="101">
        <v>0.2</v>
      </c>
      <c r="I165" s="102">
        <v>0.26</v>
      </c>
      <c r="J165" s="102">
        <v>0.45</v>
      </c>
      <c r="K165" s="101">
        <v>5.9</v>
      </c>
      <c r="L165" s="101">
        <v>-0.9</v>
      </c>
      <c r="M165" s="101" t="s">
        <v>1002</v>
      </c>
      <c r="N165" s="101">
        <v>2001</v>
      </c>
      <c r="O165" s="101" t="s">
        <v>633</v>
      </c>
      <c r="P165" s="101">
        <v>621631</v>
      </c>
      <c r="Q165" t="s">
        <v>766</v>
      </c>
      <c r="R165" t="s">
        <v>615</v>
      </c>
      <c r="S165"/>
      <c r="T165"/>
      <c r="U165"/>
      <c r="V165" s="220"/>
    </row>
    <row r="166" spans="1:22" x14ac:dyDescent="0.2">
      <c r="A166" t="s">
        <v>622</v>
      </c>
      <c r="B166" s="101">
        <v>7</v>
      </c>
      <c r="C166" s="101">
        <v>3</v>
      </c>
      <c r="D166" s="101">
        <v>3</v>
      </c>
      <c r="E166" s="101">
        <v>8</v>
      </c>
      <c r="F166" s="101">
        <v>8</v>
      </c>
      <c r="G166" s="101">
        <v>27</v>
      </c>
      <c r="H166" s="101">
        <v>4.9000000000000004</v>
      </c>
      <c r="I166" s="102">
        <v>0.26</v>
      </c>
      <c r="J166" s="102">
        <v>0.8</v>
      </c>
      <c r="K166" s="101">
        <v>7.4</v>
      </c>
      <c r="L166" s="101">
        <v>0.1</v>
      </c>
      <c r="M166" s="101" t="s">
        <v>1003</v>
      </c>
      <c r="N166" s="101">
        <v>2006</v>
      </c>
      <c r="O166" s="101" t="s">
        <v>633</v>
      </c>
      <c r="P166" s="101">
        <v>252296</v>
      </c>
      <c r="Q166" t="s">
        <v>795</v>
      </c>
      <c r="R166" t="s">
        <v>626</v>
      </c>
      <c r="S166"/>
      <c r="T166"/>
      <c r="U166"/>
      <c r="V166" s="220"/>
    </row>
    <row r="167" spans="1:22" x14ac:dyDescent="0.2">
      <c r="A167" t="s">
        <v>172</v>
      </c>
      <c r="B167" s="101">
        <v>8</v>
      </c>
      <c r="C167" s="101">
        <v>-1</v>
      </c>
      <c r="D167" s="101">
        <v>-6</v>
      </c>
      <c r="E167" s="101">
        <v>11</v>
      </c>
      <c r="F167" s="101">
        <v>21</v>
      </c>
      <c r="G167" s="101">
        <v>-2</v>
      </c>
      <c r="H167" s="101">
        <v>-0.3</v>
      </c>
      <c r="I167" s="102">
        <v>0.26</v>
      </c>
      <c r="J167" s="102">
        <v>0.65017799999999992</v>
      </c>
      <c r="K167" s="101">
        <v>12.8</v>
      </c>
      <c r="L167" s="101">
        <v>0.4</v>
      </c>
      <c r="M167" s="101" t="s">
        <v>1001</v>
      </c>
      <c r="N167" s="101">
        <v>2006</v>
      </c>
      <c r="O167" s="101" t="s">
        <v>753</v>
      </c>
      <c r="P167" s="101">
        <v>399865</v>
      </c>
      <c r="Q167" t="s">
        <v>677</v>
      </c>
      <c r="R167" t="s">
        <v>261</v>
      </c>
      <c r="S167"/>
      <c r="T167"/>
      <c r="U167"/>
      <c r="V167" s="220"/>
    </row>
    <row r="168" spans="1:22" x14ac:dyDescent="0.2">
      <c r="A168" t="s">
        <v>901</v>
      </c>
      <c r="B168" s="101">
        <v>4</v>
      </c>
      <c r="C168" s="101">
        <v>1</v>
      </c>
      <c r="D168" s="101">
        <v>3</v>
      </c>
      <c r="E168" s="101">
        <v>3</v>
      </c>
      <c r="F168" s="101"/>
      <c r="G168" s="101"/>
      <c r="H168" s="101"/>
      <c r="I168" s="102">
        <v>0.26</v>
      </c>
      <c r="J168" s="102">
        <v>0.95382</v>
      </c>
      <c r="K168" s="101"/>
      <c r="L168" s="101"/>
      <c r="M168" s="101" t="s">
        <v>1001</v>
      </c>
      <c r="N168" s="101">
        <v>2011</v>
      </c>
      <c r="O168" s="101" t="s">
        <v>633</v>
      </c>
      <c r="P168" s="101">
        <v>191437</v>
      </c>
      <c r="Q168" t="s">
        <v>397</v>
      </c>
      <c r="R168" t="s">
        <v>626</v>
      </c>
      <c r="S168"/>
      <c r="T168"/>
      <c r="U168"/>
      <c r="V168" s="220"/>
    </row>
    <row r="169" spans="1:22" x14ac:dyDescent="0.2">
      <c r="A169" t="s">
        <v>749</v>
      </c>
      <c r="B169" s="101">
        <v>11</v>
      </c>
      <c r="C169" s="101">
        <v>9</v>
      </c>
      <c r="D169" s="101">
        <v>4</v>
      </c>
      <c r="E169" s="101">
        <v>13</v>
      </c>
      <c r="F169" s="101">
        <v>0</v>
      </c>
      <c r="G169" s="101">
        <v>-24</v>
      </c>
      <c r="H169" s="101">
        <v>-5.3</v>
      </c>
      <c r="I169" s="102">
        <v>0.26</v>
      </c>
      <c r="J169" s="102">
        <v>0.46400000000000002</v>
      </c>
      <c r="K169" s="101">
        <v>13</v>
      </c>
      <c r="L169" s="101">
        <v>-0.1</v>
      </c>
      <c r="M169" s="101" t="s">
        <v>1002</v>
      </c>
      <c r="N169" s="101">
        <v>2000</v>
      </c>
      <c r="O169" s="101" t="s">
        <v>633</v>
      </c>
      <c r="P169" s="101">
        <v>515387</v>
      </c>
      <c r="Q169" t="s">
        <v>100</v>
      </c>
      <c r="R169" t="s">
        <v>96</v>
      </c>
      <c r="S169" t="s">
        <v>1024</v>
      </c>
      <c r="T169"/>
      <c r="U169"/>
      <c r="V169" s="220"/>
    </row>
    <row r="170" spans="1:22" x14ac:dyDescent="0.2">
      <c r="A170" t="s">
        <v>793</v>
      </c>
      <c r="B170" s="101">
        <v>6</v>
      </c>
      <c r="C170" s="101">
        <v>12</v>
      </c>
      <c r="D170" s="101">
        <v>-7</v>
      </c>
      <c r="E170" s="101">
        <v>3</v>
      </c>
      <c r="F170" s="101">
        <v>-5</v>
      </c>
      <c r="G170" s="101">
        <v>-32</v>
      </c>
      <c r="H170" s="101">
        <v>-7.5</v>
      </c>
      <c r="I170" s="102">
        <v>0.26</v>
      </c>
      <c r="J170" s="102">
        <v>0.45400000000000001</v>
      </c>
      <c r="K170" s="101">
        <v>19.400000000000002</v>
      </c>
      <c r="L170" s="101">
        <v>-0.1</v>
      </c>
      <c r="M170" s="101" t="s">
        <v>1002</v>
      </c>
      <c r="N170" s="101">
        <v>2005</v>
      </c>
      <c r="O170" s="101" t="s">
        <v>633</v>
      </c>
      <c r="P170" s="101">
        <v>133298</v>
      </c>
      <c r="Q170" t="s">
        <v>100</v>
      </c>
      <c r="R170" t="s">
        <v>239</v>
      </c>
      <c r="S170" t="s">
        <v>1024</v>
      </c>
      <c r="T170"/>
      <c r="U170"/>
      <c r="V170" s="220"/>
    </row>
    <row r="171" spans="1:22" x14ac:dyDescent="0.2">
      <c r="A171" t="s">
        <v>184</v>
      </c>
      <c r="B171" s="101">
        <v>12</v>
      </c>
      <c r="C171" s="101">
        <v>0</v>
      </c>
      <c r="D171" s="101">
        <v>2</v>
      </c>
      <c r="E171" s="101">
        <v>16</v>
      </c>
      <c r="F171" s="101">
        <v>22</v>
      </c>
      <c r="G171" s="101">
        <v>6</v>
      </c>
      <c r="H171" s="101">
        <v>1.2</v>
      </c>
      <c r="I171" s="102">
        <v>0.26</v>
      </c>
      <c r="J171" s="102">
        <v>0.5</v>
      </c>
      <c r="K171" s="101">
        <v>15.200000000000001</v>
      </c>
      <c r="L171" s="101">
        <v>0.4</v>
      </c>
      <c r="M171" s="101" t="s">
        <v>1001</v>
      </c>
      <c r="N171" s="101">
        <v>2000</v>
      </c>
      <c r="O171" s="101" t="s">
        <v>753</v>
      </c>
      <c r="P171" s="101">
        <v>661124</v>
      </c>
      <c r="Q171" t="s">
        <v>182</v>
      </c>
      <c r="R171" t="s">
        <v>727</v>
      </c>
      <c r="S171"/>
      <c r="T171"/>
      <c r="U171"/>
      <c r="V171" s="220"/>
    </row>
    <row r="172" spans="1:22" x14ac:dyDescent="0.2">
      <c r="A172" t="s">
        <v>529</v>
      </c>
      <c r="B172" s="101">
        <v>4</v>
      </c>
      <c r="C172" s="101">
        <v>1</v>
      </c>
      <c r="D172" s="101">
        <v>2</v>
      </c>
      <c r="E172" s="101">
        <v>6</v>
      </c>
      <c r="F172" s="101">
        <v>13</v>
      </c>
      <c r="G172" s="101">
        <v>15</v>
      </c>
      <c r="H172" s="101">
        <v>2.8000000000000003</v>
      </c>
      <c r="I172" s="102">
        <v>0.27</v>
      </c>
      <c r="J172" s="102">
        <v>1.22</v>
      </c>
      <c r="K172" s="101">
        <v>2.4</v>
      </c>
      <c r="L172" s="101">
        <v>1.1000000000000001</v>
      </c>
      <c r="M172" s="101" t="s">
        <v>1001</v>
      </c>
      <c r="N172" s="101">
        <v>2004</v>
      </c>
      <c r="O172" s="101" t="s">
        <v>753</v>
      </c>
      <c r="P172" s="101">
        <v>855387</v>
      </c>
      <c r="Q172" t="s">
        <v>174</v>
      </c>
      <c r="R172" t="s">
        <v>348</v>
      </c>
      <c r="S172"/>
      <c r="T172"/>
      <c r="U172"/>
      <c r="V172" s="220"/>
    </row>
    <row r="173" spans="1:22" x14ac:dyDescent="0.2">
      <c r="A173" t="s">
        <v>526</v>
      </c>
      <c r="B173" s="101">
        <v>6</v>
      </c>
      <c r="C173" s="101">
        <v>1</v>
      </c>
      <c r="D173" s="101">
        <v>2</v>
      </c>
      <c r="E173" s="101">
        <v>8</v>
      </c>
      <c r="F173" s="101">
        <v>15</v>
      </c>
      <c r="G173" s="101">
        <v>6</v>
      </c>
      <c r="H173" s="101">
        <v>1.2</v>
      </c>
      <c r="I173" s="102">
        <v>0.27</v>
      </c>
      <c r="J173" s="102">
        <v>1.22</v>
      </c>
      <c r="K173" s="101">
        <v>4.5</v>
      </c>
      <c r="L173" s="101">
        <v>0.70000000000000007</v>
      </c>
      <c r="M173" s="101" t="s">
        <v>1001</v>
      </c>
      <c r="N173" s="101">
        <v>2004</v>
      </c>
      <c r="O173" s="101" t="s">
        <v>753</v>
      </c>
      <c r="P173" s="101">
        <v>819557</v>
      </c>
      <c r="Q173" t="s">
        <v>174</v>
      </c>
      <c r="R173" t="s">
        <v>348</v>
      </c>
      <c r="S173"/>
      <c r="T173"/>
      <c r="U173"/>
      <c r="V173" s="220"/>
    </row>
    <row r="174" spans="1:22" x14ac:dyDescent="0.2">
      <c r="A174" t="s">
        <v>442</v>
      </c>
      <c r="B174" s="101">
        <v>6</v>
      </c>
      <c r="C174" s="101">
        <v>1</v>
      </c>
      <c r="D174" s="101">
        <v>-3</v>
      </c>
      <c r="E174" s="101">
        <v>6</v>
      </c>
      <c r="F174" s="101">
        <v>2</v>
      </c>
      <c r="G174" s="101">
        <v>-17</v>
      </c>
      <c r="H174" s="101">
        <v>-3.6</v>
      </c>
      <c r="I174" s="102">
        <v>0.27</v>
      </c>
      <c r="J174" s="102">
        <v>0.48200000000000004</v>
      </c>
      <c r="K174" s="101">
        <v>11.6</v>
      </c>
      <c r="L174" s="101">
        <v>0</v>
      </c>
      <c r="M174" s="101" t="s">
        <v>1002</v>
      </c>
      <c r="N174" s="101">
        <v>2005</v>
      </c>
      <c r="O174" s="101" t="s">
        <v>633</v>
      </c>
      <c r="P174" s="101">
        <v>997460</v>
      </c>
      <c r="Q174" t="s">
        <v>100</v>
      </c>
      <c r="R174" t="s">
        <v>131</v>
      </c>
      <c r="S174" t="s">
        <v>1024</v>
      </c>
      <c r="T174"/>
      <c r="U174"/>
      <c r="V174" s="220"/>
    </row>
    <row r="175" spans="1:22" x14ac:dyDescent="0.2">
      <c r="A175" t="s">
        <v>515</v>
      </c>
      <c r="B175" s="101">
        <v>9</v>
      </c>
      <c r="C175" s="101">
        <v>2</v>
      </c>
      <c r="D175" s="101">
        <v>2</v>
      </c>
      <c r="E175" s="101">
        <v>12</v>
      </c>
      <c r="F175" s="101">
        <v>14</v>
      </c>
      <c r="G175" s="101">
        <v>-7</v>
      </c>
      <c r="H175" s="101">
        <v>-1.5</v>
      </c>
      <c r="I175" s="102">
        <v>0.27</v>
      </c>
      <c r="J175" s="102">
        <v>1.22</v>
      </c>
      <c r="K175" s="101">
        <v>9.8000000000000007</v>
      </c>
      <c r="L175" s="101">
        <v>0.3</v>
      </c>
      <c r="M175" s="101" t="s">
        <v>1001</v>
      </c>
      <c r="N175" s="101">
        <v>2004</v>
      </c>
      <c r="O175" s="101" t="s">
        <v>753</v>
      </c>
      <c r="P175" s="101">
        <v>747899</v>
      </c>
      <c r="Q175" t="s">
        <v>174</v>
      </c>
      <c r="R175" t="s">
        <v>473</v>
      </c>
      <c r="S175"/>
      <c r="T175"/>
      <c r="U175"/>
      <c r="V175" s="220"/>
    </row>
    <row r="176" spans="1:22" x14ac:dyDescent="0.2">
      <c r="A176" t="s">
        <v>1034</v>
      </c>
      <c r="B176" s="101"/>
      <c r="C176" s="101">
        <v>3</v>
      </c>
      <c r="D176" s="101"/>
      <c r="E176" s="101"/>
      <c r="F176" s="101"/>
      <c r="G176" s="101"/>
      <c r="H176" s="101"/>
      <c r="I176" s="102">
        <v>0.27</v>
      </c>
      <c r="J176" s="102">
        <v>1.2</v>
      </c>
      <c r="K176" s="101"/>
      <c r="L176" s="101"/>
      <c r="M176" s="101" t="s">
        <v>1001</v>
      </c>
      <c r="N176" s="101">
        <v>2012</v>
      </c>
      <c r="O176" s="101" t="s">
        <v>753</v>
      </c>
      <c r="P176" s="101">
        <v>320762</v>
      </c>
      <c r="Q176" t="s">
        <v>174</v>
      </c>
      <c r="R176" t="s">
        <v>473</v>
      </c>
      <c r="S176"/>
      <c r="T176"/>
      <c r="U176"/>
      <c r="V176" s="220"/>
    </row>
    <row r="177" spans="1:22" x14ac:dyDescent="0.2">
      <c r="A177" t="s">
        <v>519</v>
      </c>
      <c r="B177" s="101">
        <v>8</v>
      </c>
      <c r="C177" s="101">
        <v>2</v>
      </c>
      <c r="D177" s="101">
        <v>2</v>
      </c>
      <c r="E177" s="101">
        <v>11</v>
      </c>
      <c r="F177" s="101">
        <v>15</v>
      </c>
      <c r="G177" s="101">
        <v>-3</v>
      </c>
      <c r="H177" s="101">
        <v>-0.6</v>
      </c>
      <c r="I177" s="102">
        <v>0.27</v>
      </c>
      <c r="J177" s="102">
        <v>1.22</v>
      </c>
      <c r="K177" s="101">
        <v>8</v>
      </c>
      <c r="L177" s="101">
        <v>0.4</v>
      </c>
      <c r="M177" s="101" t="s">
        <v>1001</v>
      </c>
      <c r="N177" s="101">
        <v>2004</v>
      </c>
      <c r="O177" s="101" t="s">
        <v>753</v>
      </c>
      <c r="P177" s="101">
        <v>783720</v>
      </c>
      <c r="Q177" t="s">
        <v>174</v>
      </c>
      <c r="R177" t="s">
        <v>473</v>
      </c>
      <c r="S177"/>
      <c r="T177"/>
      <c r="U177"/>
      <c r="V177" s="220"/>
    </row>
    <row r="178" spans="1:22" x14ac:dyDescent="0.2">
      <c r="A178" t="s">
        <v>7</v>
      </c>
      <c r="B178" s="101">
        <v>8</v>
      </c>
      <c r="C178" s="101">
        <v>4</v>
      </c>
      <c r="D178" s="101">
        <v>0</v>
      </c>
      <c r="E178" s="101">
        <v>13</v>
      </c>
      <c r="F178" s="101">
        <v>13</v>
      </c>
      <c r="G178" s="101">
        <v>-12</v>
      </c>
      <c r="H178" s="101">
        <v>-2.6</v>
      </c>
      <c r="I178" s="102">
        <v>0.28000000000000003</v>
      </c>
      <c r="J178" s="102">
        <v>0.57000000000000006</v>
      </c>
      <c r="K178" s="101">
        <v>9.7000000000000011</v>
      </c>
      <c r="L178" s="101">
        <v>0.3</v>
      </c>
      <c r="M178" s="101" t="s">
        <v>1001</v>
      </c>
      <c r="N178" s="101">
        <v>2002</v>
      </c>
      <c r="O178" s="101" t="s">
        <v>753</v>
      </c>
      <c r="P178" s="101">
        <v>613729</v>
      </c>
      <c r="Q178" t="s">
        <v>433</v>
      </c>
      <c r="R178" t="s">
        <v>145</v>
      </c>
      <c r="S178" t="s">
        <v>1024</v>
      </c>
      <c r="T178"/>
      <c r="U178"/>
      <c r="V178" s="220"/>
    </row>
    <row r="179" spans="1:22" x14ac:dyDescent="0.2">
      <c r="A179" t="s">
        <v>375</v>
      </c>
      <c r="B179" s="101">
        <v>3</v>
      </c>
      <c r="C179" s="101">
        <v>1</v>
      </c>
      <c r="D179" s="101">
        <v>1</v>
      </c>
      <c r="E179" s="101">
        <v>3</v>
      </c>
      <c r="F179" s="101">
        <v>5</v>
      </c>
      <c r="G179" s="101">
        <v>12</v>
      </c>
      <c r="H179" s="101">
        <v>2.3000000000000003</v>
      </c>
      <c r="I179" s="102">
        <v>0.28000000000000003</v>
      </c>
      <c r="J179" s="102">
        <v>0.6</v>
      </c>
      <c r="K179" s="101">
        <v>0.3</v>
      </c>
      <c r="L179" s="101">
        <v>0.6</v>
      </c>
      <c r="M179" s="101" t="s">
        <v>1001</v>
      </c>
      <c r="N179" s="101">
        <v>2000</v>
      </c>
      <c r="O179" s="101" t="s">
        <v>753</v>
      </c>
      <c r="P179" s="101">
        <v>308908</v>
      </c>
      <c r="Q179" t="s">
        <v>672</v>
      </c>
      <c r="R179" t="s">
        <v>491</v>
      </c>
      <c r="S179" t="s">
        <v>1024</v>
      </c>
      <c r="T179"/>
      <c r="U179"/>
      <c r="V179" s="220"/>
    </row>
    <row r="180" spans="1:22" x14ac:dyDescent="0.2">
      <c r="A180" t="s">
        <v>962</v>
      </c>
      <c r="B180" s="101">
        <v>7</v>
      </c>
      <c r="C180" s="101">
        <v>4</v>
      </c>
      <c r="D180" s="101">
        <v>-2</v>
      </c>
      <c r="E180" s="101">
        <v>4</v>
      </c>
      <c r="F180" s="101"/>
      <c r="G180" s="101"/>
      <c r="H180" s="101"/>
      <c r="I180" s="102">
        <v>0.28000000000000003</v>
      </c>
      <c r="J180" s="102">
        <v>1.03</v>
      </c>
      <c r="K180" s="101"/>
      <c r="L180" s="101"/>
      <c r="M180" s="101" t="s">
        <v>1001</v>
      </c>
      <c r="N180" s="101">
        <v>2011</v>
      </c>
      <c r="O180" s="101" t="s">
        <v>753</v>
      </c>
      <c r="P180" s="101">
        <v>459891</v>
      </c>
      <c r="Q180" t="s">
        <v>796</v>
      </c>
      <c r="R180" t="s">
        <v>161</v>
      </c>
      <c r="S180" t="s">
        <v>1024</v>
      </c>
      <c r="T180"/>
      <c r="U180"/>
      <c r="V180" s="220"/>
    </row>
    <row r="181" spans="1:22" x14ac:dyDescent="0.2">
      <c r="A181" t="s">
        <v>1056</v>
      </c>
      <c r="B181" s="101">
        <v>3</v>
      </c>
      <c r="C181" s="101">
        <v>4</v>
      </c>
      <c r="D181" s="101">
        <v>1</v>
      </c>
      <c r="E181" s="101">
        <v>3</v>
      </c>
      <c r="F181" s="101">
        <v>-8</v>
      </c>
      <c r="G181" s="101">
        <v>18</v>
      </c>
      <c r="H181" s="101">
        <v>3.4</v>
      </c>
      <c r="I181" s="102">
        <v>0.28000000000000003</v>
      </c>
      <c r="J181" s="102">
        <v>0.65</v>
      </c>
      <c r="K181" s="101">
        <v>7.2</v>
      </c>
      <c r="L181" s="101">
        <v>-0.6</v>
      </c>
      <c r="M181" s="101" t="s">
        <v>1002</v>
      </c>
      <c r="N181" s="101">
        <v>2000</v>
      </c>
      <c r="O181" s="101" t="s">
        <v>633</v>
      </c>
      <c r="P181" s="101">
        <v>426726</v>
      </c>
      <c r="Q181" t="s">
        <v>766</v>
      </c>
      <c r="R181" t="s">
        <v>615</v>
      </c>
      <c r="S181"/>
      <c r="T181"/>
      <c r="U181"/>
      <c r="V181" s="220"/>
    </row>
    <row r="182" spans="1:22" x14ac:dyDescent="0.2">
      <c r="A182" t="s">
        <v>11</v>
      </c>
      <c r="B182" s="101">
        <v>-2</v>
      </c>
      <c r="C182" s="101">
        <v>1</v>
      </c>
      <c r="D182" s="101">
        <v>-6</v>
      </c>
      <c r="E182" s="101">
        <v>-3</v>
      </c>
      <c r="F182" s="101"/>
      <c r="G182" s="101"/>
      <c r="H182" s="101"/>
      <c r="I182" s="102">
        <v>0.28000000000000003</v>
      </c>
      <c r="J182" s="102">
        <v>0.77</v>
      </c>
      <c r="K182" s="101"/>
      <c r="L182" s="101"/>
      <c r="M182" s="101" t="s">
        <v>1001</v>
      </c>
      <c r="N182" s="101">
        <v>2010</v>
      </c>
      <c r="O182" s="101" t="s">
        <v>753</v>
      </c>
      <c r="P182" s="101">
        <v>110098</v>
      </c>
      <c r="Q182" t="s">
        <v>677</v>
      </c>
      <c r="R182" t="s">
        <v>279</v>
      </c>
      <c r="S182"/>
      <c r="T182"/>
      <c r="U182"/>
      <c r="V182" s="220"/>
    </row>
    <row r="183" spans="1:22" x14ac:dyDescent="0.2">
      <c r="A183" t="s">
        <v>922</v>
      </c>
      <c r="B183" s="101">
        <v>1</v>
      </c>
      <c r="C183" s="101">
        <v>-1</v>
      </c>
      <c r="D183" s="101">
        <v>2</v>
      </c>
      <c r="E183" s="101">
        <v>3</v>
      </c>
      <c r="F183" s="101">
        <v>17</v>
      </c>
      <c r="G183" s="101">
        <v>28</v>
      </c>
      <c r="H183" s="101">
        <v>5</v>
      </c>
      <c r="I183" s="102">
        <v>0.28000000000000003</v>
      </c>
      <c r="J183" s="102">
        <v>0.70400000000000007</v>
      </c>
      <c r="K183" s="101">
        <v>4.2</v>
      </c>
      <c r="L183" s="101">
        <v>0.9</v>
      </c>
      <c r="M183" s="101" t="s">
        <v>1001</v>
      </c>
      <c r="N183" s="101">
        <v>2009</v>
      </c>
      <c r="O183" s="101" t="s">
        <v>753</v>
      </c>
      <c r="P183" s="101">
        <v>189662</v>
      </c>
      <c r="Q183" t="s">
        <v>763</v>
      </c>
      <c r="R183" t="s">
        <v>611</v>
      </c>
      <c r="S183"/>
      <c r="T183"/>
      <c r="U183"/>
      <c r="V183" s="220"/>
    </row>
    <row r="184" spans="1:22" x14ac:dyDescent="0.2">
      <c r="A184" t="s">
        <v>1057</v>
      </c>
      <c r="B184" s="101">
        <v>9</v>
      </c>
      <c r="C184" s="101">
        <v>2</v>
      </c>
      <c r="D184" s="101">
        <v>-2</v>
      </c>
      <c r="E184" s="101">
        <v>9</v>
      </c>
      <c r="F184" s="101">
        <v>18</v>
      </c>
      <c r="G184" s="101">
        <v>-18</v>
      </c>
      <c r="H184" s="101">
        <v>-3.8000000000000003</v>
      </c>
      <c r="I184" s="102">
        <v>0.28999999999999998</v>
      </c>
      <c r="J184" s="102">
        <v>1.07</v>
      </c>
      <c r="K184" s="101">
        <v>12.4</v>
      </c>
      <c r="L184" s="101">
        <v>0.4</v>
      </c>
      <c r="M184" s="101" t="s">
        <v>1003</v>
      </c>
      <c r="N184" s="101">
        <v>2008</v>
      </c>
      <c r="O184" s="101" t="s">
        <v>633</v>
      </c>
      <c r="P184" s="101">
        <v>352468</v>
      </c>
      <c r="Q184" t="s">
        <v>842</v>
      </c>
      <c r="R184" t="s">
        <v>145</v>
      </c>
      <c r="S184" t="s">
        <v>1024</v>
      </c>
      <c r="T184"/>
      <c r="U184"/>
      <c r="V184" s="220"/>
    </row>
    <row r="185" spans="1:22" x14ac:dyDescent="0.2">
      <c r="A185" t="s">
        <v>294</v>
      </c>
      <c r="B185" s="101">
        <v>4</v>
      </c>
      <c r="C185" s="101">
        <v>1</v>
      </c>
      <c r="D185" s="101">
        <v>1</v>
      </c>
      <c r="E185" s="101">
        <v>6</v>
      </c>
      <c r="F185" s="101">
        <v>14</v>
      </c>
      <c r="G185" s="101">
        <v>19</v>
      </c>
      <c r="H185" s="101">
        <v>3.5</v>
      </c>
      <c r="I185" s="102">
        <v>0.28999999999999998</v>
      </c>
      <c r="J185" s="102">
        <v>0.6</v>
      </c>
      <c r="K185" s="101">
        <v>3.5</v>
      </c>
      <c r="L185" s="101">
        <v>0.8</v>
      </c>
      <c r="M185" s="101" t="s">
        <v>1001</v>
      </c>
      <c r="N185" s="101">
        <v>2000</v>
      </c>
      <c r="O185" s="101" t="s">
        <v>753</v>
      </c>
      <c r="P185" s="101">
        <v>981175</v>
      </c>
      <c r="Q185" t="s">
        <v>746</v>
      </c>
      <c r="R185" t="s">
        <v>293</v>
      </c>
      <c r="S185" t="s">
        <v>1024</v>
      </c>
      <c r="T185"/>
      <c r="U185"/>
      <c r="V185" s="220"/>
    </row>
    <row r="186" spans="1:22" x14ac:dyDescent="0.2">
      <c r="A186" t="s">
        <v>295</v>
      </c>
      <c r="B186" s="101">
        <v>7</v>
      </c>
      <c r="C186" s="101">
        <v>2</v>
      </c>
      <c r="D186" s="101">
        <v>0</v>
      </c>
      <c r="E186" s="101">
        <v>10</v>
      </c>
      <c r="F186" s="101">
        <v>15</v>
      </c>
      <c r="G186" s="101">
        <v>7</v>
      </c>
      <c r="H186" s="101">
        <v>1.3</v>
      </c>
      <c r="I186" s="102">
        <v>0.28999999999999998</v>
      </c>
      <c r="J186" s="102">
        <v>0.6</v>
      </c>
      <c r="K186" s="101">
        <v>8.7000000000000011</v>
      </c>
      <c r="L186" s="101">
        <v>0.4</v>
      </c>
      <c r="M186" s="101" t="s">
        <v>1001</v>
      </c>
      <c r="N186" s="101">
        <v>2000</v>
      </c>
      <c r="O186" s="101" t="s">
        <v>753</v>
      </c>
      <c r="P186" s="101">
        <v>117002</v>
      </c>
      <c r="Q186" t="s">
        <v>746</v>
      </c>
      <c r="R186" t="s">
        <v>293</v>
      </c>
      <c r="S186" t="s">
        <v>1024</v>
      </c>
      <c r="T186"/>
      <c r="U186"/>
      <c r="V186" s="220"/>
    </row>
    <row r="187" spans="1:22" x14ac:dyDescent="0.2">
      <c r="A187" t="s">
        <v>747</v>
      </c>
      <c r="B187" s="101">
        <v>9</v>
      </c>
      <c r="C187" s="101">
        <v>2</v>
      </c>
      <c r="D187" s="101">
        <v>0</v>
      </c>
      <c r="E187" s="101">
        <v>13</v>
      </c>
      <c r="F187" s="101">
        <v>18</v>
      </c>
      <c r="G187" s="101">
        <v>-1</v>
      </c>
      <c r="H187" s="101">
        <v>-0.2</v>
      </c>
      <c r="I187" s="102">
        <v>0.28999999999999998</v>
      </c>
      <c r="J187" s="102">
        <v>0.6</v>
      </c>
      <c r="K187" s="101">
        <v>12.8</v>
      </c>
      <c r="L187" s="101">
        <v>0.3</v>
      </c>
      <c r="M187" s="101" t="s">
        <v>1001</v>
      </c>
      <c r="N187" s="101">
        <v>2000</v>
      </c>
      <c r="O187" s="101" t="s">
        <v>753</v>
      </c>
      <c r="P187" s="101">
        <v>152835</v>
      </c>
      <c r="Q187" t="s">
        <v>746</v>
      </c>
      <c r="R187" t="s">
        <v>730</v>
      </c>
      <c r="S187" t="s">
        <v>1024</v>
      </c>
      <c r="T187"/>
      <c r="U187"/>
      <c r="V187" s="220"/>
    </row>
    <row r="188" spans="1:22" x14ac:dyDescent="0.2">
      <c r="A188" t="s">
        <v>669</v>
      </c>
      <c r="B188" s="101">
        <v>11</v>
      </c>
      <c r="C188" s="101">
        <v>1</v>
      </c>
      <c r="D188" s="101">
        <v>1</v>
      </c>
      <c r="E188" s="101">
        <v>16</v>
      </c>
      <c r="F188" s="101">
        <v>15</v>
      </c>
      <c r="G188" s="101">
        <v>-14</v>
      </c>
      <c r="H188" s="101">
        <v>-3.1</v>
      </c>
      <c r="I188" s="102">
        <v>0.3</v>
      </c>
      <c r="J188" s="102">
        <v>0.61287700000000001</v>
      </c>
      <c r="K188" s="101">
        <v>16.3</v>
      </c>
      <c r="L188" s="101">
        <v>0.3</v>
      </c>
      <c r="M188" s="101" t="s">
        <v>1001</v>
      </c>
      <c r="N188" s="101">
        <v>2000</v>
      </c>
      <c r="O188" s="101" t="s">
        <v>753</v>
      </c>
      <c r="P188" s="101">
        <v>838441</v>
      </c>
      <c r="Q188" t="s">
        <v>675</v>
      </c>
      <c r="R188" t="s">
        <v>727</v>
      </c>
      <c r="S188"/>
      <c r="T188"/>
      <c r="U188"/>
      <c r="V188" s="220"/>
    </row>
    <row r="189" spans="1:22" x14ac:dyDescent="0.2">
      <c r="A189" t="s">
        <v>528</v>
      </c>
      <c r="B189" s="101">
        <v>18</v>
      </c>
      <c r="C189" s="101">
        <v>5</v>
      </c>
      <c r="D189" s="101">
        <v>1</v>
      </c>
      <c r="E189" s="101">
        <v>13</v>
      </c>
      <c r="F189" s="101">
        <v>13</v>
      </c>
      <c r="G189" s="101">
        <v>-28</v>
      </c>
      <c r="H189" s="101">
        <v>-6.3</v>
      </c>
      <c r="I189" s="102">
        <v>0.3</v>
      </c>
      <c r="J189" s="102">
        <v>1.43</v>
      </c>
      <c r="K189" s="101">
        <v>20.900000000000002</v>
      </c>
      <c r="L189" s="101">
        <v>0.2</v>
      </c>
      <c r="M189" s="101" t="s">
        <v>1001</v>
      </c>
      <c r="N189" s="101">
        <v>2000</v>
      </c>
      <c r="O189" s="101" t="s">
        <v>753</v>
      </c>
      <c r="P189" s="101">
        <v>825109</v>
      </c>
      <c r="Q189" t="s">
        <v>174</v>
      </c>
      <c r="R189" t="s">
        <v>208</v>
      </c>
      <c r="S189"/>
      <c r="T189"/>
      <c r="U189"/>
      <c r="V189" s="220"/>
    </row>
    <row r="190" spans="1:22" x14ac:dyDescent="0.2">
      <c r="A190" t="s">
        <v>921</v>
      </c>
      <c r="B190" s="101">
        <v>3</v>
      </c>
      <c r="C190" s="101">
        <v>1</v>
      </c>
      <c r="D190" s="101">
        <v>3</v>
      </c>
      <c r="E190" s="101">
        <v>5</v>
      </c>
      <c r="F190" s="101">
        <v>12</v>
      </c>
      <c r="G190" s="101">
        <v>26</v>
      </c>
      <c r="H190" s="101">
        <v>4.8</v>
      </c>
      <c r="I190" s="102">
        <v>0.3</v>
      </c>
      <c r="J190" s="102">
        <v>0.76700000000000002</v>
      </c>
      <c r="K190" s="101">
        <v>2.6</v>
      </c>
      <c r="L190" s="101">
        <v>0.9</v>
      </c>
      <c r="M190" s="101" t="s">
        <v>1001</v>
      </c>
      <c r="N190" s="101">
        <v>2003</v>
      </c>
      <c r="O190" s="101" t="s">
        <v>633</v>
      </c>
      <c r="P190" s="101">
        <v>734558</v>
      </c>
      <c r="Q190" t="s">
        <v>920</v>
      </c>
      <c r="R190" t="s">
        <v>546</v>
      </c>
      <c r="S190"/>
      <c r="T190"/>
      <c r="U190"/>
      <c r="V190" s="220"/>
    </row>
    <row r="191" spans="1:22" x14ac:dyDescent="0.2">
      <c r="A191" t="s">
        <v>99</v>
      </c>
      <c r="B191" s="101">
        <v>10</v>
      </c>
      <c r="C191" s="101">
        <v>9</v>
      </c>
      <c r="D191" s="101">
        <v>5</v>
      </c>
      <c r="E191" s="101">
        <v>13</v>
      </c>
      <c r="F191" s="101">
        <v>-1</v>
      </c>
      <c r="G191" s="101">
        <v>-26</v>
      </c>
      <c r="H191" s="101">
        <v>-6</v>
      </c>
      <c r="I191" s="102">
        <v>0.3</v>
      </c>
      <c r="J191" s="102">
        <v>0.67930000000000001</v>
      </c>
      <c r="K191" s="101">
        <v>12.6</v>
      </c>
      <c r="L191" s="101">
        <v>-0.1</v>
      </c>
      <c r="M191" s="101" t="s">
        <v>1001</v>
      </c>
      <c r="N191" s="101">
        <v>2000</v>
      </c>
      <c r="O191" s="101" t="s">
        <v>753</v>
      </c>
      <c r="P191" s="101">
        <v>570630</v>
      </c>
      <c r="Q191" t="s">
        <v>684</v>
      </c>
      <c r="R191" t="s">
        <v>96</v>
      </c>
      <c r="S191" t="s">
        <v>1024</v>
      </c>
      <c r="T191"/>
      <c r="U191"/>
      <c r="V191" s="220"/>
    </row>
    <row r="192" spans="1:22" x14ac:dyDescent="0.2">
      <c r="A192" t="s">
        <v>238</v>
      </c>
      <c r="B192" s="101">
        <v>-4</v>
      </c>
      <c r="C192" s="101">
        <v>-1</v>
      </c>
      <c r="D192" s="101">
        <v>-8</v>
      </c>
      <c r="E192" s="101">
        <v>-3</v>
      </c>
      <c r="F192" s="101">
        <v>-9</v>
      </c>
      <c r="G192" s="101">
        <v>-33</v>
      </c>
      <c r="H192" s="101">
        <v>-7.7</v>
      </c>
      <c r="I192" s="102">
        <v>0.3</v>
      </c>
      <c r="J192" s="102">
        <v>0.67949999999999999</v>
      </c>
      <c r="K192" s="101">
        <v>13.5</v>
      </c>
      <c r="L192" s="101">
        <v>-0.3</v>
      </c>
      <c r="M192" s="101" t="s">
        <v>1001</v>
      </c>
      <c r="N192" s="101">
        <v>2000</v>
      </c>
      <c r="O192" s="101" t="s">
        <v>753</v>
      </c>
      <c r="P192" s="101">
        <v>606467</v>
      </c>
      <c r="Q192" t="s">
        <v>684</v>
      </c>
      <c r="R192" t="s">
        <v>226</v>
      </c>
      <c r="S192" t="s">
        <v>1024</v>
      </c>
      <c r="T192"/>
      <c r="U192"/>
      <c r="V192" s="220"/>
    </row>
    <row r="193" spans="1:22" x14ac:dyDescent="0.2">
      <c r="A193" t="s">
        <v>135</v>
      </c>
      <c r="B193" s="101">
        <v>15</v>
      </c>
      <c r="C193" s="101">
        <v>4</v>
      </c>
      <c r="D193" s="101">
        <v>4</v>
      </c>
      <c r="E193" s="101">
        <v>14</v>
      </c>
      <c r="F193" s="101">
        <v>15</v>
      </c>
      <c r="G193" s="101">
        <v>-8</v>
      </c>
      <c r="H193" s="101">
        <v>-1.7</v>
      </c>
      <c r="I193" s="102">
        <v>0.3</v>
      </c>
      <c r="J193" s="102">
        <v>0.68020000000000003</v>
      </c>
      <c r="K193" s="101">
        <v>14.3</v>
      </c>
      <c r="L193" s="101">
        <v>0.3</v>
      </c>
      <c r="M193" s="101" t="s">
        <v>1001</v>
      </c>
      <c r="N193" s="101">
        <v>2000</v>
      </c>
      <c r="O193" s="101" t="s">
        <v>753</v>
      </c>
      <c r="P193" s="101">
        <v>642298</v>
      </c>
      <c r="Q193" t="s">
        <v>684</v>
      </c>
      <c r="R193" t="s">
        <v>131</v>
      </c>
      <c r="S193" t="s">
        <v>1024</v>
      </c>
      <c r="T193"/>
      <c r="U193"/>
      <c r="V193" s="220"/>
    </row>
    <row r="194" spans="1:22" x14ac:dyDescent="0.2">
      <c r="A194" t="s">
        <v>104</v>
      </c>
      <c r="B194" s="101">
        <v>11</v>
      </c>
      <c r="C194" s="101">
        <v>2</v>
      </c>
      <c r="D194" s="101">
        <v>1</v>
      </c>
      <c r="E194" s="101">
        <v>19</v>
      </c>
      <c r="F194" s="101">
        <v>32</v>
      </c>
      <c r="G194" s="101">
        <v>0</v>
      </c>
      <c r="H194" s="101">
        <v>-0.1</v>
      </c>
      <c r="I194" s="102">
        <v>0.3</v>
      </c>
      <c r="J194" s="102">
        <v>0.69369999999999998</v>
      </c>
      <c r="K194" s="101">
        <v>10.1</v>
      </c>
      <c r="L194" s="101">
        <v>0.8</v>
      </c>
      <c r="M194" s="101" t="s">
        <v>1001</v>
      </c>
      <c r="N194" s="101">
        <v>2000</v>
      </c>
      <c r="O194" s="101" t="s">
        <v>753</v>
      </c>
      <c r="P194" s="101">
        <v>678128</v>
      </c>
      <c r="Q194" t="s">
        <v>684</v>
      </c>
      <c r="R194" t="s">
        <v>102</v>
      </c>
      <c r="S194" t="s">
        <v>1024</v>
      </c>
      <c r="T194"/>
      <c r="U194"/>
      <c r="V194" s="220"/>
    </row>
    <row r="195" spans="1:22" x14ac:dyDescent="0.2">
      <c r="A195" t="s">
        <v>553</v>
      </c>
      <c r="B195" s="101">
        <v>-2</v>
      </c>
      <c r="C195" s="101">
        <v>0</v>
      </c>
      <c r="D195" s="101">
        <v>1</v>
      </c>
      <c r="E195" s="101">
        <v>0</v>
      </c>
      <c r="F195" s="101">
        <v>15</v>
      </c>
      <c r="G195" s="101">
        <v>26</v>
      </c>
      <c r="H195" s="101">
        <v>4.7</v>
      </c>
      <c r="I195" s="102">
        <v>0.3</v>
      </c>
      <c r="J195" s="102">
        <v>0.68</v>
      </c>
      <c r="K195" s="101">
        <v>4.2</v>
      </c>
      <c r="L195" s="101">
        <v>0.8</v>
      </c>
      <c r="M195" s="101" t="s">
        <v>1001</v>
      </c>
      <c r="N195" s="101">
        <v>2005</v>
      </c>
      <c r="O195" s="101" t="s">
        <v>753</v>
      </c>
      <c r="P195" s="101">
        <v>483099</v>
      </c>
      <c r="Q195" t="s">
        <v>704</v>
      </c>
      <c r="R195" t="s">
        <v>546</v>
      </c>
      <c r="S195"/>
      <c r="T195"/>
      <c r="U195"/>
      <c r="V195" s="220"/>
    </row>
    <row r="196" spans="1:22" x14ac:dyDescent="0.2">
      <c r="A196" t="s">
        <v>506</v>
      </c>
      <c r="B196" s="101">
        <v>7</v>
      </c>
      <c r="C196" s="101">
        <v>2</v>
      </c>
      <c r="D196" s="101">
        <v>0</v>
      </c>
      <c r="E196" s="101">
        <v>15</v>
      </c>
      <c r="F196" s="101">
        <v>29</v>
      </c>
      <c r="G196" s="101">
        <v>6</v>
      </c>
      <c r="H196" s="101">
        <v>1.1000000000000001</v>
      </c>
      <c r="I196" s="102">
        <v>0.3</v>
      </c>
      <c r="J196" s="102">
        <v>1.43</v>
      </c>
      <c r="K196" s="101">
        <v>9.5</v>
      </c>
      <c r="L196" s="101">
        <v>0.70000000000000007</v>
      </c>
      <c r="M196" s="101" t="s">
        <v>1001</v>
      </c>
      <c r="N196" s="101">
        <v>2000</v>
      </c>
      <c r="O196" s="101" t="s">
        <v>753</v>
      </c>
      <c r="P196" s="101">
        <v>319236</v>
      </c>
      <c r="Q196" t="s">
        <v>174</v>
      </c>
      <c r="R196" t="s">
        <v>102</v>
      </c>
      <c r="S196"/>
      <c r="T196"/>
      <c r="U196"/>
      <c r="V196" s="220"/>
    </row>
    <row r="197" spans="1:22" x14ac:dyDescent="0.2">
      <c r="A197" t="s">
        <v>1100</v>
      </c>
      <c r="B197" s="101">
        <v>9</v>
      </c>
      <c r="C197" s="101">
        <v>3</v>
      </c>
      <c r="D197" s="101">
        <v>-1</v>
      </c>
      <c r="E197" s="101">
        <v>8</v>
      </c>
      <c r="F197" s="101">
        <v>11</v>
      </c>
      <c r="G197" s="101">
        <v>-17</v>
      </c>
      <c r="H197" s="101">
        <v>-3.7</v>
      </c>
      <c r="I197" s="102">
        <v>0.3</v>
      </c>
      <c r="J197" s="102">
        <v>1.43</v>
      </c>
      <c r="K197" s="101">
        <v>13.9</v>
      </c>
      <c r="L197" s="101">
        <v>0.2</v>
      </c>
      <c r="M197" s="101" t="s">
        <v>1001</v>
      </c>
      <c r="N197" s="101">
        <v>2000</v>
      </c>
      <c r="O197" s="101" t="s">
        <v>753</v>
      </c>
      <c r="P197" s="101">
        <v>104257</v>
      </c>
      <c r="Q197" t="s">
        <v>174</v>
      </c>
      <c r="R197" t="s">
        <v>131</v>
      </c>
      <c r="S197"/>
      <c r="T197"/>
      <c r="U197"/>
      <c r="V197" s="220"/>
    </row>
    <row r="198" spans="1:22" x14ac:dyDescent="0.2">
      <c r="A198" t="s">
        <v>509</v>
      </c>
      <c r="B198" s="101">
        <v>12</v>
      </c>
      <c r="C198" s="101">
        <v>4</v>
      </c>
      <c r="D198" s="101">
        <v>1</v>
      </c>
      <c r="E198" s="101">
        <v>15</v>
      </c>
      <c r="F198" s="101">
        <v>17</v>
      </c>
      <c r="G198" s="101">
        <v>-2</v>
      </c>
      <c r="H198" s="101">
        <v>-0.4</v>
      </c>
      <c r="I198" s="102">
        <v>0.3</v>
      </c>
      <c r="J198" s="102">
        <v>1.43</v>
      </c>
      <c r="K198" s="101">
        <v>12.1</v>
      </c>
      <c r="L198" s="101">
        <v>0.3</v>
      </c>
      <c r="M198" s="101" t="s">
        <v>1001</v>
      </c>
      <c r="N198" s="101">
        <v>2000</v>
      </c>
      <c r="O198" s="101" t="s">
        <v>753</v>
      </c>
      <c r="P198" s="101">
        <v>641704</v>
      </c>
      <c r="Q198" t="s">
        <v>174</v>
      </c>
      <c r="R198" t="s">
        <v>730</v>
      </c>
      <c r="S198" t="s">
        <v>1024</v>
      </c>
      <c r="T198"/>
      <c r="U198"/>
      <c r="V198" s="220"/>
    </row>
    <row r="199" spans="1:22" x14ac:dyDescent="0.2">
      <c r="A199" t="s">
        <v>540</v>
      </c>
      <c r="B199" s="101">
        <v>13</v>
      </c>
      <c r="C199" s="101">
        <v>6</v>
      </c>
      <c r="D199" s="101">
        <v>-1</v>
      </c>
      <c r="E199" s="101">
        <v>18</v>
      </c>
      <c r="F199" s="101">
        <v>21</v>
      </c>
      <c r="G199" s="101">
        <v>1</v>
      </c>
      <c r="H199" s="101">
        <v>0.2</v>
      </c>
      <c r="I199" s="102">
        <v>0.3</v>
      </c>
      <c r="J199" s="102">
        <v>1.43</v>
      </c>
      <c r="K199" s="101">
        <v>21.1</v>
      </c>
      <c r="L199" s="101">
        <v>0.3</v>
      </c>
      <c r="M199" s="101" t="s">
        <v>1001</v>
      </c>
      <c r="N199" s="101">
        <v>2001</v>
      </c>
      <c r="O199" s="101" t="s">
        <v>753</v>
      </c>
      <c r="P199" s="101">
        <v>939850</v>
      </c>
      <c r="Q199" t="s">
        <v>174</v>
      </c>
      <c r="R199" t="s">
        <v>671</v>
      </c>
      <c r="S199"/>
      <c r="T199"/>
      <c r="U199"/>
      <c r="V199" s="220"/>
    </row>
    <row r="200" spans="1:22" x14ac:dyDescent="0.2">
      <c r="A200" t="s">
        <v>503</v>
      </c>
      <c r="B200" s="101">
        <v>-4</v>
      </c>
      <c r="C200" s="101">
        <v>-2</v>
      </c>
      <c r="D200" s="101">
        <v>-8</v>
      </c>
      <c r="E200" s="101">
        <v>-3</v>
      </c>
      <c r="F200" s="101">
        <v>-11</v>
      </c>
      <c r="G200" s="101">
        <v>-37</v>
      </c>
      <c r="H200" s="101">
        <v>-8.9</v>
      </c>
      <c r="I200" s="102">
        <v>0.3</v>
      </c>
      <c r="J200" s="102">
        <v>1.44</v>
      </c>
      <c r="K200" s="101">
        <v>14.200000000000001</v>
      </c>
      <c r="L200" s="101">
        <v>-0.3</v>
      </c>
      <c r="M200" s="101" t="s">
        <v>1001</v>
      </c>
      <c r="N200" s="101">
        <v>2000</v>
      </c>
      <c r="O200" s="101" t="s">
        <v>753</v>
      </c>
      <c r="P200" s="101">
        <v>211748</v>
      </c>
      <c r="Q200" t="s">
        <v>174</v>
      </c>
      <c r="R200" t="s">
        <v>226</v>
      </c>
      <c r="S200"/>
      <c r="T200"/>
      <c r="U200"/>
      <c r="V200" s="220"/>
    </row>
    <row r="201" spans="1:22" x14ac:dyDescent="0.2">
      <c r="A201" t="s">
        <v>502</v>
      </c>
      <c r="B201" s="101">
        <v>9</v>
      </c>
      <c r="C201" s="101">
        <v>2</v>
      </c>
      <c r="D201" s="101">
        <v>-1</v>
      </c>
      <c r="E201" s="101">
        <v>12</v>
      </c>
      <c r="F201" s="101">
        <v>16</v>
      </c>
      <c r="G201" s="101">
        <v>-6</v>
      </c>
      <c r="H201" s="101">
        <v>-1.3</v>
      </c>
      <c r="I201" s="102">
        <v>0.3</v>
      </c>
      <c r="J201" s="102">
        <v>1.43</v>
      </c>
      <c r="K201" s="101">
        <v>12.1</v>
      </c>
      <c r="L201" s="101">
        <v>0.3</v>
      </c>
      <c r="M201" s="101" t="s">
        <v>1001</v>
      </c>
      <c r="N201" s="101">
        <v>2000</v>
      </c>
      <c r="O201" s="101" t="s">
        <v>753</v>
      </c>
      <c r="P201" s="101">
        <v>175919</v>
      </c>
      <c r="Q201" t="s">
        <v>174</v>
      </c>
      <c r="R201" t="s">
        <v>730</v>
      </c>
      <c r="S201"/>
      <c r="T201"/>
      <c r="U201"/>
      <c r="V201" s="220"/>
    </row>
    <row r="202" spans="1:22" x14ac:dyDescent="0.2">
      <c r="A202" t="s">
        <v>539</v>
      </c>
      <c r="B202" s="101">
        <v>11</v>
      </c>
      <c r="C202" s="101">
        <v>4</v>
      </c>
      <c r="D202" s="101">
        <v>7</v>
      </c>
      <c r="E202" s="101">
        <v>20</v>
      </c>
      <c r="F202" s="101">
        <v>28</v>
      </c>
      <c r="G202" s="101">
        <v>14</v>
      </c>
      <c r="H202" s="101">
        <v>2.7</v>
      </c>
      <c r="I202" s="102">
        <v>0.3</v>
      </c>
      <c r="J202" s="102">
        <v>1.43</v>
      </c>
      <c r="K202" s="101">
        <v>9.7000000000000011</v>
      </c>
      <c r="L202" s="101">
        <v>0.70000000000000007</v>
      </c>
      <c r="M202" s="101" t="s">
        <v>1001</v>
      </c>
      <c r="N202" s="101">
        <v>2000</v>
      </c>
      <c r="O202" s="101" t="s">
        <v>753</v>
      </c>
      <c r="P202" s="101">
        <v>928341</v>
      </c>
      <c r="Q202" t="s">
        <v>174</v>
      </c>
      <c r="R202" t="s">
        <v>270</v>
      </c>
      <c r="S202"/>
      <c r="T202"/>
      <c r="U202"/>
      <c r="V202" s="220"/>
    </row>
    <row r="203" spans="1:22" x14ac:dyDescent="0.2">
      <c r="A203" t="s">
        <v>527</v>
      </c>
      <c r="B203" s="101">
        <v>15</v>
      </c>
      <c r="C203" s="101">
        <v>4</v>
      </c>
      <c r="D203" s="101">
        <v>-1</v>
      </c>
      <c r="E203" s="101">
        <v>17</v>
      </c>
      <c r="F203" s="101">
        <v>13</v>
      </c>
      <c r="G203" s="101">
        <v>-16</v>
      </c>
      <c r="H203" s="101">
        <v>-3.4</v>
      </c>
      <c r="I203" s="102">
        <v>0.3</v>
      </c>
      <c r="J203" s="102">
        <v>1.43</v>
      </c>
      <c r="K203" s="101">
        <v>16.3</v>
      </c>
      <c r="L203" s="101">
        <v>0.2</v>
      </c>
      <c r="M203" s="101" t="s">
        <v>1001</v>
      </c>
      <c r="N203" s="101">
        <v>2000</v>
      </c>
      <c r="O203" s="101" t="s">
        <v>753</v>
      </c>
      <c r="P203" s="101">
        <v>820852</v>
      </c>
      <c r="Q203" t="s">
        <v>174</v>
      </c>
      <c r="R203" t="s">
        <v>748</v>
      </c>
      <c r="S203"/>
      <c r="T203"/>
      <c r="U203"/>
      <c r="V203" s="220"/>
    </row>
    <row r="204" spans="1:22" x14ac:dyDescent="0.2">
      <c r="A204" t="s">
        <v>508</v>
      </c>
      <c r="B204" s="101">
        <v>9</v>
      </c>
      <c r="C204" s="101">
        <v>5</v>
      </c>
      <c r="D204" s="101">
        <v>-1</v>
      </c>
      <c r="E204" s="101">
        <v>6</v>
      </c>
      <c r="F204" s="101">
        <v>-12</v>
      </c>
      <c r="G204" s="101">
        <v>-39</v>
      </c>
      <c r="H204" s="101">
        <v>-9.4</v>
      </c>
      <c r="I204" s="102">
        <v>0.3</v>
      </c>
      <c r="J204" s="102">
        <v>1.43</v>
      </c>
      <c r="K204" s="101">
        <v>15</v>
      </c>
      <c r="L204" s="101">
        <v>-0.3</v>
      </c>
      <c r="M204" s="101" t="s">
        <v>1001</v>
      </c>
      <c r="N204" s="101">
        <v>2006</v>
      </c>
      <c r="O204" s="101" t="s">
        <v>753</v>
      </c>
      <c r="P204" s="101">
        <v>384693</v>
      </c>
      <c r="Q204" t="s">
        <v>174</v>
      </c>
      <c r="R204" t="s">
        <v>145</v>
      </c>
      <c r="S204"/>
      <c r="T204"/>
      <c r="U204"/>
      <c r="V204" s="220"/>
    </row>
    <row r="205" spans="1:22" x14ac:dyDescent="0.2">
      <c r="A205" t="s">
        <v>542</v>
      </c>
      <c r="B205" s="101">
        <v>14</v>
      </c>
      <c r="C205" s="101">
        <v>0</v>
      </c>
      <c r="D205" s="101">
        <v>3</v>
      </c>
      <c r="E205" s="101">
        <v>15</v>
      </c>
      <c r="F205" s="101">
        <v>38</v>
      </c>
      <c r="G205" s="101">
        <v>-2</v>
      </c>
      <c r="H205" s="101">
        <v>-0.3</v>
      </c>
      <c r="I205" s="102">
        <v>0.3</v>
      </c>
      <c r="J205" s="102">
        <v>1.43</v>
      </c>
      <c r="K205" s="101">
        <v>9.8000000000000007</v>
      </c>
      <c r="L205" s="101">
        <v>1</v>
      </c>
      <c r="M205" s="101" t="s">
        <v>1001</v>
      </c>
      <c r="N205" s="101">
        <v>2000</v>
      </c>
      <c r="O205" s="101" t="s">
        <v>753</v>
      </c>
      <c r="P205" s="101">
        <v>968420</v>
      </c>
      <c r="Q205" t="s">
        <v>174</v>
      </c>
      <c r="R205" t="s">
        <v>279</v>
      </c>
      <c r="S205"/>
      <c r="T205"/>
      <c r="U205"/>
      <c r="V205" s="220"/>
    </row>
    <row r="206" spans="1:22" x14ac:dyDescent="0.2">
      <c r="A206" t="s">
        <v>537</v>
      </c>
      <c r="B206" s="101">
        <v>24</v>
      </c>
      <c r="C206" s="101">
        <v>11</v>
      </c>
      <c r="D206" s="101">
        <v>3</v>
      </c>
      <c r="E206" s="101">
        <v>22</v>
      </c>
      <c r="F206" s="101">
        <v>16</v>
      </c>
      <c r="G206" s="101">
        <v>-27</v>
      </c>
      <c r="H206" s="101">
        <v>-6.1000000000000005</v>
      </c>
      <c r="I206" s="102">
        <v>0.3</v>
      </c>
      <c r="J206" s="102">
        <v>1.43</v>
      </c>
      <c r="K206" s="101">
        <v>17.100000000000001</v>
      </c>
      <c r="L206" s="101">
        <v>0.3</v>
      </c>
      <c r="M206" s="101" t="s">
        <v>1001</v>
      </c>
      <c r="N206" s="101">
        <v>2000</v>
      </c>
      <c r="O206" s="101" t="s">
        <v>753</v>
      </c>
      <c r="P206" s="101">
        <v>896761</v>
      </c>
      <c r="Q206" t="s">
        <v>174</v>
      </c>
      <c r="R206" t="s">
        <v>92</v>
      </c>
      <c r="S206"/>
      <c r="T206"/>
      <c r="U206"/>
      <c r="V206" s="220"/>
    </row>
    <row r="207" spans="1:22" x14ac:dyDescent="0.2">
      <c r="A207" t="s">
        <v>531</v>
      </c>
      <c r="B207" s="101">
        <v>17</v>
      </c>
      <c r="C207" s="101">
        <v>6</v>
      </c>
      <c r="D207" s="101">
        <v>-4</v>
      </c>
      <c r="E207" s="101">
        <v>17</v>
      </c>
      <c r="F207" s="101">
        <v>20</v>
      </c>
      <c r="G207" s="101">
        <v>-7</v>
      </c>
      <c r="H207" s="101">
        <v>-1.4000000000000001</v>
      </c>
      <c r="I207" s="102">
        <v>0.3</v>
      </c>
      <c r="J207" s="102">
        <v>1.44</v>
      </c>
      <c r="K207" s="101">
        <v>20</v>
      </c>
      <c r="L207" s="101">
        <v>0.3</v>
      </c>
      <c r="M207" s="101" t="s">
        <v>1001</v>
      </c>
      <c r="N207" s="101">
        <v>2000</v>
      </c>
      <c r="O207" s="101" t="s">
        <v>753</v>
      </c>
      <c r="P207" s="101">
        <v>860932</v>
      </c>
      <c r="Q207" t="s">
        <v>174</v>
      </c>
      <c r="R207" t="s">
        <v>748</v>
      </c>
      <c r="S207"/>
      <c r="T207"/>
      <c r="U207"/>
      <c r="V207" s="220"/>
    </row>
    <row r="208" spans="1:22" x14ac:dyDescent="0.2">
      <c r="A208" t="s">
        <v>530</v>
      </c>
      <c r="B208" s="101">
        <v>9</v>
      </c>
      <c r="C208" s="101">
        <v>1</v>
      </c>
      <c r="D208" s="101">
        <v>-5</v>
      </c>
      <c r="E208" s="101">
        <v>14</v>
      </c>
      <c r="F208" s="101">
        <v>28</v>
      </c>
      <c r="G208" s="101">
        <v>6</v>
      </c>
      <c r="H208" s="101">
        <v>1.2</v>
      </c>
      <c r="I208" s="102">
        <v>0.3</v>
      </c>
      <c r="J208" s="102">
        <v>1.43</v>
      </c>
      <c r="K208" s="101">
        <v>18.100000000000001</v>
      </c>
      <c r="L208" s="101">
        <v>0.5</v>
      </c>
      <c r="M208" s="101" t="s">
        <v>1001</v>
      </c>
      <c r="N208" s="101">
        <v>2000</v>
      </c>
      <c r="O208" s="101" t="s">
        <v>753</v>
      </c>
      <c r="P208" s="101">
        <v>856682</v>
      </c>
      <c r="Q208" t="s">
        <v>174</v>
      </c>
      <c r="R208" t="s">
        <v>724</v>
      </c>
      <c r="S208"/>
      <c r="T208"/>
      <c r="U208"/>
      <c r="V208" s="220"/>
    </row>
    <row r="209" spans="1:22" x14ac:dyDescent="0.2">
      <c r="A209" t="s">
        <v>996</v>
      </c>
      <c r="B209" s="101">
        <v>6</v>
      </c>
      <c r="C209" s="101">
        <v>-1</v>
      </c>
      <c r="D209" s="101">
        <v>-6</v>
      </c>
      <c r="E209" s="101">
        <v>9</v>
      </c>
      <c r="F209" s="101">
        <v>25</v>
      </c>
      <c r="G209" s="101">
        <v>4</v>
      </c>
      <c r="H209" s="101">
        <v>0.8</v>
      </c>
      <c r="I209" s="102">
        <v>0.3</v>
      </c>
      <c r="J209" s="102">
        <v>1.43</v>
      </c>
      <c r="K209" s="101">
        <v>12.700000000000001</v>
      </c>
      <c r="L209" s="101">
        <v>0.5</v>
      </c>
      <c r="M209" s="101" t="s">
        <v>1001</v>
      </c>
      <c r="N209" s="101">
        <v>2000</v>
      </c>
      <c r="O209" s="101" t="s">
        <v>753</v>
      </c>
      <c r="P209" s="101">
        <v>283408</v>
      </c>
      <c r="Q209" t="s">
        <v>174</v>
      </c>
      <c r="R209" t="s">
        <v>279</v>
      </c>
      <c r="S209"/>
      <c r="T209"/>
      <c r="U209"/>
      <c r="V209" s="220"/>
    </row>
    <row r="210" spans="1:22" x14ac:dyDescent="0.2">
      <c r="A210" t="s">
        <v>379</v>
      </c>
      <c r="B210" s="101">
        <v>4</v>
      </c>
      <c r="C210" s="101">
        <v>5</v>
      </c>
      <c r="D210" s="101">
        <v>0</v>
      </c>
      <c r="E210" s="101">
        <v>3</v>
      </c>
      <c r="F210" s="101">
        <v>-5</v>
      </c>
      <c r="G210" s="101">
        <v>17</v>
      </c>
      <c r="H210" s="101">
        <v>3.2</v>
      </c>
      <c r="I210" s="102">
        <v>0.3</v>
      </c>
      <c r="J210" s="102">
        <v>0.69000000000000006</v>
      </c>
      <c r="K210" s="101">
        <v>6</v>
      </c>
      <c r="L210" s="101">
        <v>-0.5</v>
      </c>
      <c r="M210" s="101" t="s">
        <v>1002</v>
      </c>
      <c r="N210" s="101">
        <v>2010</v>
      </c>
      <c r="O210" s="101" t="s">
        <v>633</v>
      </c>
      <c r="P210" s="101">
        <v>203000</v>
      </c>
      <c r="Q210" t="s">
        <v>303</v>
      </c>
      <c r="R210" t="s">
        <v>615</v>
      </c>
      <c r="S210"/>
      <c r="T210"/>
      <c r="U210"/>
      <c r="V210" s="220"/>
    </row>
    <row r="211" spans="1:22" x14ac:dyDescent="0.2">
      <c r="A211" t="s">
        <v>554</v>
      </c>
      <c r="B211" s="101">
        <v>4</v>
      </c>
      <c r="C211" s="101">
        <v>1</v>
      </c>
      <c r="D211" s="101">
        <v>3</v>
      </c>
      <c r="E211" s="101">
        <v>5</v>
      </c>
      <c r="F211" s="101">
        <v>11</v>
      </c>
      <c r="G211" s="101">
        <v>22</v>
      </c>
      <c r="H211" s="101">
        <v>4.0999999999999996</v>
      </c>
      <c r="I211" s="102">
        <v>0.31</v>
      </c>
      <c r="J211" s="102">
        <v>0.72967700000000002</v>
      </c>
      <c r="K211" s="101">
        <v>0.70000000000000007</v>
      </c>
      <c r="L211" s="101">
        <v>2.7</v>
      </c>
      <c r="M211" s="101" t="s">
        <v>1001</v>
      </c>
      <c r="N211" s="101">
        <v>2000</v>
      </c>
      <c r="O211" s="101" t="s">
        <v>753</v>
      </c>
      <c r="P211" s="101">
        <v>112755</v>
      </c>
      <c r="Q211" t="s">
        <v>675</v>
      </c>
      <c r="R211" t="s">
        <v>546</v>
      </c>
      <c r="S211"/>
      <c r="T211"/>
      <c r="U211"/>
      <c r="V211" s="220"/>
    </row>
    <row r="212" spans="1:22" x14ac:dyDescent="0.2">
      <c r="A212" t="s">
        <v>276</v>
      </c>
      <c r="B212" s="101">
        <v>12</v>
      </c>
      <c r="C212" s="101">
        <v>3</v>
      </c>
      <c r="D212" s="101">
        <v>8</v>
      </c>
      <c r="E212" s="101">
        <v>23</v>
      </c>
      <c r="F212" s="101">
        <v>39</v>
      </c>
      <c r="G212" s="101">
        <v>36</v>
      </c>
      <c r="H212" s="101">
        <v>6.3</v>
      </c>
      <c r="I212" s="102">
        <v>0.31</v>
      </c>
      <c r="J212" s="102">
        <v>0.61799999999999999</v>
      </c>
      <c r="K212" s="101">
        <v>10.5</v>
      </c>
      <c r="L212" s="101">
        <v>1</v>
      </c>
      <c r="M212" s="101" t="s">
        <v>1002</v>
      </c>
      <c r="N212" s="101">
        <v>2001</v>
      </c>
      <c r="O212" s="101" t="s">
        <v>633</v>
      </c>
      <c r="P212" s="101">
        <v>416982</v>
      </c>
      <c r="Q212" t="s">
        <v>100</v>
      </c>
      <c r="R212" t="s">
        <v>270</v>
      </c>
      <c r="S212"/>
      <c r="T212"/>
      <c r="U212"/>
      <c r="V212" s="220"/>
    </row>
    <row r="213" spans="1:22" x14ac:dyDescent="0.2">
      <c r="A213" t="s">
        <v>151</v>
      </c>
      <c r="B213" s="101">
        <v>1</v>
      </c>
      <c r="C213" s="101">
        <v>1</v>
      </c>
      <c r="D213" s="101">
        <v>-3</v>
      </c>
      <c r="E213" s="101">
        <v>5</v>
      </c>
      <c r="F213" s="101">
        <v>24</v>
      </c>
      <c r="G213" s="101">
        <v>18</v>
      </c>
      <c r="H213" s="101">
        <v>3.3000000000000003</v>
      </c>
      <c r="I213" s="102">
        <v>0.31</v>
      </c>
      <c r="J213" s="102">
        <v>0.60699999999999998</v>
      </c>
      <c r="K213" s="101">
        <v>9.2000000000000011</v>
      </c>
      <c r="L213" s="101">
        <v>0.70000000000000007</v>
      </c>
      <c r="M213" s="101" t="s">
        <v>1002</v>
      </c>
      <c r="N213" s="101">
        <v>2000</v>
      </c>
      <c r="O213" s="101" t="s">
        <v>633</v>
      </c>
      <c r="P213" s="101">
        <v>479550</v>
      </c>
      <c r="Q213" t="s">
        <v>100</v>
      </c>
      <c r="R213" t="s">
        <v>145</v>
      </c>
      <c r="S213"/>
      <c r="T213"/>
      <c r="U213"/>
      <c r="V213" s="220"/>
    </row>
    <row r="214" spans="1:22" x14ac:dyDescent="0.2">
      <c r="A214" t="s">
        <v>1058</v>
      </c>
      <c r="B214" s="101">
        <v>5</v>
      </c>
      <c r="C214" s="101">
        <v>0</v>
      </c>
      <c r="D214" s="101">
        <v>1</v>
      </c>
      <c r="E214" s="101">
        <v>6</v>
      </c>
      <c r="F214" s="101">
        <v>11</v>
      </c>
      <c r="G214" s="101">
        <v>0</v>
      </c>
      <c r="H214" s="101">
        <v>0.1</v>
      </c>
      <c r="I214" s="102">
        <v>0.31</v>
      </c>
      <c r="J214" s="102">
        <v>1.51</v>
      </c>
      <c r="K214" s="101">
        <v>5.8</v>
      </c>
      <c r="L214" s="101">
        <v>0.4</v>
      </c>
      <c r="M214" s="101" t="s">
        <v>1001</v>
      </c>
      <c r="N214" s="101">
        <v>2004</v>
      </c>
      <c r="O214" s="101" t="s">
        <v>753</v>
      </c>
      <c r="P214" s="101">
        <v>985952</v>
      </c>
      <c r="Q214" t="s">
        <v>174</v>
      </c>
      <c r="R214" t="s">
        <v>293</v>
      </c>
      <c r="S214" t="s">
        <v>1024</v>
      </c>
      <c r="T214"/>
      <c r="U214"/>
      <c r="V214" s="220"/>
    </row>
    <row r="215" spans="1:22" x14ac:dyDescent="0.2">
      <c r="A215" t="s">
        <v>415</v>
      </c>
      <c r="B215" s="101">
        <v>13</v>
      </c>
      <c r="C215" s="101">
        <v>2</v>
      </c>
      <c r="D215" s="101">
        <v>0</v>
      </c>
      <c r="E215" s="101">
        <v>16</v>
      </c>
      <c r="F215" s="101">
        <v>17</v>
      </c>
      <c r="G215" s="101">
        <v>-9</v>
      </c>
      <c r="H215" s="101">
        <v>-1.9000000000000001</v>
      </c>
      <c r="I215" s="102">
        <v>0.32</v>
      </c>
      <c r="J215" s="102">
        <v>1.6500000000000001</v>
      </c>
      <c r="K215" s="101">
        <v>17.5</v>
      </c>
      <c r="L215" s="101">
        <v>0.3</v>
      </c>
      <c r="M215" s="101" t="s">
        <v>1001</v>
      </c>
      <c r="N215" s="101">
        <v>2007</v>
      </c>
      <c r="O215" s="101" t="s">
        <v>753</v>
      </c>
      <c r="P215" s="101">
        <v>853499</v>
      </c>
      <c r="Q215" t="s">
        <v>174</v>
      </c>
      <c r="R215" t="s">
        <v>671</v>
      </c>
      <c r="S215" t="s">
        <v>1024</v>
      </c>
      <c r="T215"/>
      <c r="U215"/>
      <c r="V215" s="220"/>
    </row>
    <row r="216" spans="1:22" x14ac:dyDescent="0.2">
      <c r="A216" t="s">
        <v>630</v>
      </c>
      <c r="B216" s="101">
        <v>0</v>
      </c>
      <c r="C216" s="101">
        <v>3</v>
      </c>
      <c r="D216" s="101">
        <v>-1</v>
      </c>
      <c r="E216" s="101">
        <v>1</v>
      </c>
      <c r="F216" s="101">
        <v>-4</v>
      </c>
      <c r="G216" s="101">
        <v>20</v>
      </c>
      <c r="H216" s="101">
        <v>3.6</v>
      </c>
      <c r="I216" s="102">
        <v>0.33</v>
      </c>
      <c r="J216" s="102">
        <v>0.79</v>
      </c>
      <c r="K216" s="101">
        <v>6.4</v>
      </c>
      <c r="L216" s="101">
        <v>-0.5</v>
      </c>
      <c r="M216" s="101" t="s">
        <v>1002</v>
      </c>
      <c r="N216" s="101">
        <v>2000</v>
      </c>
      <c r="O216" s="101" t="s">
        <v>633</v>
      </c>
      <c r="P216" s="101">
        <v>515973</v>
      </c>
      <c r="Q216" t="s">
        <v>58</v>
      </c>
      <c r="R216" t="s">
        <v>626</v>
      </c>
      <c r="S216"/>
      <c r="T216"/>
      <c r="U216"/>
      <c r="V216" s="220"/>
    </row>
    <row r="217" spans="1:22" x14ac:dyDescent="0.2">
      <c r="A217" t="s">
        <v>1059</v>
      </c>
      <c r="B217" s="101">
        <v>10</v>
      </c>
      <c r="C217" s="101">
        <v>-1</v>
      </c>
      <c r="D217" s="101">
        <v>1</v>
      </c>
      <c r="E217" s="101">
        <v>6</v>
      </c>
      <c r="F217" s="101">
        <v>18</v>
      </c>
      <c r="G217" s="101">
        <v>2</v>
      </c>
      <c r="H217" s="101">
        <v>0.3</v>
      </c>
      <c r="I217" s="102">
        <v>0.33</v>
      </c>
      <c r="J217" s="102">
        <v>0.94000000000000006</v>
      </c>
      <c r="K217" s="101">
        <v>15.1</v>
      </c>
      <c r="L217" s="101">
        <v>0.3</v>
      </c>
      <c r="M217" s="101" t="s">
        <v>1001</v>
      </c>
      <c r="N217" s="101">
        <v>2000</v>
      </c>
      <c r="O217" s="101" t="s">
        <v>633</v>
      </c>
      <c r="P217" s="101">
        <v>585216</v>
      </c>
      <c r="Q217" t="s">
        <v>397</v>
      </c>
      <c r="R217" t="s">
        <v>727</v>
      </c>
      <c r="S217"/>
      <c r="T217"/>
      <c r="U217"/>
      <c r="V217" s="220"/>
    </row>
    <row r="218" spans="1:22" x14ac:dyDescent="0.2">
      <c r="A218" t="s">
        <v>840</v>
      </c>
      <c r="B218" s="101">
        <v>11</v>
      </c>
      <c r="C218" s="101">
        <v>3</v>
      </c>
      <c r="D218" s="101">
        <v>-2</v>
      </c>
      <c r="E218" s="101">
        <v>16</v>
      </c>
      <c r="F218" s="101">
        <v>40</v>
      </c>
      <c r="G218" s="101">
        <v>0</v>
      </c>
      <c r="H218" s="101">
        <v>0</v>
      </c>
      <c r="I218" s="102">
        <v>0.33</v>
      </c>
      <c r="J218" s="102">
        <v>1.72</v>
      </c>
      <c r="K218" s="101">
        <v>13.3</v>
      </c>
      <c r="L218" s="101">
        <v>0.8</v>
      </c>
      <c r="M218" s="101" t="s">
        <v>1001</v>
      </c>
      <c r="N218" s="101">
        <v>2007</v>
      </c>
      <c r="O218" s="101" t="s">
        <v>753</v>
      </c>
      <c r="P218" s="101">
        <v>766667</v>
      </c>
      <c r="Q218" t="s">
        <v>174</v>
      </c>
      <c r="R218" t="s">
        <v>724</v>
      </c>
      <c r="S218"/>
      <c r="T218"/>
      <c r="U218"/>
      <c r="V218" s="220"/>
    </row>
    <row r="219" spans="1:22" x14ac:dyDescent="0.2">
      <c r="A219" t="s">
        <v>70</v>
      </c>
      <c r="B219" s="101">
        <v>10</v>
      </c>
      <c r="C219" s="101">
        <v>8</v>
      </c>
      <c r="D219" s="101">
        <v>2</v>
      </c>
      <c r="E219" s="101">
        <v>11</v>
      </c>
      <c r="F219" s="101">
        <v>-3</v>
      </c>
      <c r="G219" s="101">
        <v>-25</v>
      </c>
      <c r="H219" s="101">
        <v>-5.6000000000000005</v>
      </c>
      <c r="I219" s="102">
        <v>0.33</v>
      </c>
      <c r="J219" s="102">
        <v>1.72</v>
      </c>
      <c r="K219" s="101">
        <v>12.4</v>
      </c>
      <c r="L219" s="101">
        <v>-0.2</v>
      </c>
      <c r="M219" s="101" t="s">
        <v>1001</v>
      </c>
      <c r="N219" s="101">
        <v>2004</v>
      </c>
      <c r="O219" s="101" t="s">
        <v>753</v>
      </c>
      <c r="P219" s="101">
        <v>914291</v>
      </c>
      <c r="Q219" t="s">
        <v>174</v>
      </c>
      <c r="R219" t="s">
        <v>44</v>
      </c>
      <c r="S219" t="s">
        <v>1024</v>
      </c>
      <c r="T219"/>
      <c r="U219"/>
      <c r="V219" s="220"/>
    </row>
    <row r="220" spans="1:22" x14ac:dyDescent="0.2">
      <c r="A220" t="s">
        <v>625</v>
      </c>
      <c r="B220" s="101">
        <v>-1</v>
      </c>
      <c r="C220" s="101">
        <v>3</v>
      </c>
      <c r="D220" s="101">
        <v>-2</v>
      </c>
      <c r="E220" s="101">
        <v>-1</v>
      </c>
      <c r="F220" s="101">
        <v>-6</v>
      </c>
      <c r="G220" s="101">
        <v>17</v>
      </c>
      <c r="H220" s="101">
        <v>3.2</v>
      </c>
      <c r="I220" s="102">
        <v>0.34</v>
      </c>
      <c r="J220" s="102">
        <v>0.81</v>
      </c>
      <c r="K220" s="101">
        <v>6.5</v>
      </c>
      <c r="L220" s="101">
        <v>-0.5</v>
      </c>
      <c r="M220" s="101" t="s">
        <v>1002</v>
      </c>
      <c r="N220" s="101">
        <v>2000</v>
      </c>
      <c r="O220" s="101" t="s">
        <v>633</v>
      </c>
      <c r="P220" s="101">
        <v>587634</v>
      </c>
      <c r="Q220" t="s">
        <v>58</v>
      </c>
      <c r="R220" t="s">
        <v>615</v>
      </c>
      <c r="S220"/>
      <c r="T220"/>
      <c r="U220"/>
      <c r="V220" s="220"/>
    </row>
    <row r="221" spans="1:22" x14ac:dyDescent="0.2">
      <c r="A221" t="s">
        <v>332</v>
      </c>
      <c r="B221" s="101">
        <v>10</v>
      </c>
      <c r="C221" s="101">
        <v>3</v>
      </c>
      <c r="D221" s="101">
        <v>5</v>
      </c>
      <c r="E221" s="101">
        <v>11</v>
      </c>
      <c r="F221" s="101">
        <v>24</v>
      </c>
      <c r="G221" s="101">
        <v>41</v>
      </c>
      <c r="H221" s="101">
        <v>7.1000000000000005</v>
      </c>
      <c r="I221" s="102">
        <v>0.34</v>
      </c>
      <c r="J221" s="102">
        <v>1.25</v>
      </c>
      <c r="K221" s="101">
        <v>3</v>
      </c>
      <c r="L221" s="101">
        <v>1.9000000000000001</v>
      </c>
      <c r="M221" s="101" t="s">
        <v>1001</v>
      </c>
      <c r="N221" s="101">
        <v>2010</v>
      </c>
      <c r="O221" s="101" t="s">
        <v>633</v>
      </c>
      <c r="P221" s="101">
        <v>537639</v>
      </c>
      <c r="Q221" t="s">
        <v>859</v>
      </c>
      <c r="R221" t="s">
        <v>626</v>
      </c>
      <c r="S221"/>
      <c r="T221"/>
      <c r="U221"/>
      <c r="V221" s="220"/>
    </row>
    <row r="222" spans="1:22" x14ac:dyDescent="0.2">
      <c r="A222" t="s">
        <v>616</v>
      </c>
      <c r="B222" s="101">
        <v>7</v>
      </c>
      <c r="C222" s="101">
        <v>6</v>
      </c>
      <c r="D222" s="101">
        <v>2</v>
      </c>
      <c r="E222" s="101">
        <v>6</v>
      </c>
      <c r="F222" s="101">
        <v>1</v>
      </c>
      <c r="G222" s="101">
        <v>23</v>
      </c>
      <c r="H222" s="101">
        <v>4.3</v>
      </c>
      <c r="I222" s="102">
        <v>0.34</v>
      </c>
      <c r="J222" s="102">
        <v>0.85</v>
      </c>
      <c r="K222" s="101">
        <v>6</v>
      </c>
      <c r="L222" s="101">
        <v>-0.2</v>
      </c>
      <c r="M222" s="101" t="s">
        <v>1002</v>
      </c>
      <c r="N222" s="101">
        <v>2000</v>
      </c>
      <c r="O222" s="101" t="s">
        <v>633</v>
      </c>
      <c r="P222" s="101">
        <v>390898</v>
      </c>
      <c r="Q222" t="s">
        <v>766</v>
      </c>
      <c r="R222" t="s">
        <v>615</v>
      </c>
      <c r="S222"/>
      <c r="T222"/>
      <c r="U222"/>
      <c r="V222" s="220"/>
    </row>
    <row r="223" spans="1:22" x14ac:dyDescent="0.2">
      <c r="A223" t="s">
        <v>12</v>
      </c>
      <c r="B223" s="101">
        <v>-1</v>
      </c>
      <c r="C223" s="101">
        <v>-1</v>
      </c>
      <c r="D223" s="101">
        <v>1</v>
      </c>
      <c r="E223" s="101">
        <v>6</v>
      </c>
      <c r="F223" s="101">
        <v>7</v>
      </c>
      <c r="G223" s="101">
        <v>35</v>
      </c>
      <c r="H223" s="101">
        <v>6.2</v>
      </c>
      <c r="I223" s="102">
        <v>0.34</v>
      </c>
      <c r="J223" s="102">
        <v>0.78600000000000003</v>
      </c>
      <c r="K223" s="101">
        <v>11.700000000000001</v>
      </c>
      <c r="L223" s="101">
        <v>0.1</v>
      </c>
      <c r="M223" s="101" t="s">
        <v>1004</v>
      </c>
      <c r="N223" s="101">
        <v>2003</v>
      </c>
      <c r="O223" s="101" t="s">
        <v>633</v>
      </c>
      <c r="P223" s="101">
        <v>316752</v>
      </c>
      <c r="Q223" t="s">
        <v>423</v>
      </c>
      <c r="R223" t="s">
        <v>626</v>
      </c>
      <c r="S223"/>
      <c r="T223"/>
      <c r="U223"/>
      <c r="V223" s="220"/>
    </row>
    <row r="224" spans="1:22" x14ac:dyDescent="0.2">
      <c r="A224" t="s">
        <v>152</v>
      </c>
      <c r="B224" s="101">
        <v>11</v>
      </c>
      <c r="C224" s="101">
        <v>7</v>
      </c>
      <c r="D224" s="101">
        <v>2</v>
      </c>
      <c r="E224" s="101">
        <v>13</v>
      </c>
      <c r="F224" s="101">
        <v>23</v>
      </c>
      <c r="G224" s="101">
        <v>-3</v>
      </c>
      <c r="H224" s="101">
        <v>-0.6</v>
      </c>
      <c r="I224" s="102">
        <v>0.34</v>
      </c>
      <c r="J224" s="102">
        <v>1</v>
      </c>
      <c r="K224" s="101">
        <v>12.4</v>
      </c>
      <c r="L224" s="101">
        <v>0.5</v>
      </c>
      <c r="M224" s="101" t="s">
        <v>1003</v>
      </c>
      <c r="N224" s="101">
        <v>2002</v>
      </c>
      <c r="O224" s="101" t="s">
        <v>633</v>
      </c>
      <c r="P224" s="101">
        <v>984187</v>
      </c>
      <c r="Q224" t="s">
        <v>795</v>
      </c>
      <c r="R224" t="s">
        <v>145</v>
      </c>
      <c r="S224"/>
      <c r="T224"/>
      <c r="U224"/>
      <c r="V224" s="220"/>
    </row>
    <row r="225" spans="1:22" x14ac:dyDescent="0.2">
      <c r="A225" t="s">
        <v>153</v>
      </c>
      <c r="B225" s="101">
        <v>7</v>
      </c>
      <c r="C225" s="101">
        <v>2</v>
      </c>
      <c r="D225" s="101">
        <v>-5</v>
      </c>
      <c r="E225" s="101">
        <v>8</v>
      </c>
      <c r="F225" s="101">
        <v>-1</v>
      </c>
      <c r="G225" s="101">
        <v>-21</v>
      </c>
      <c r="H225" s="101">
        <v>-4.7</v>
      </c>
      <c r="I225" s="102">
        <v>0.34</v>
      </c>
      <c r="J225" s="102">
        <v>1</v>
      </c>
      <c r="K225" s="101">
        <v>15.700000000000001</v>
      </c>
      <c r="L225" s="101">
        <v>0</v>
      </c>
      <c r="M225" s="101" t="s">
        <v>1003</v>
      </c>
      <c r="N225" s="101">
        <v>2002</v>
      </c>
      <c r="O225" s="101" t="s">
        <v>633</v>
      </c>
      <c r="P225" s="101">
        <v>120014</v>
      </c>
      <c r="Q225" t="s">
        <v>795</v>
      </c>
      <c r="R225" t="s">
        <v>145</v>
      </c>
      <c r="S225"/>
      <c r="T225"/>
      <c r="U225"/>
      <c r="V225" s="220"/>
    </row>
    <row r="226" spans="1:22" x14ac:dyDescent="0.2">
      <c r="A226" t="s">
        <v>507</v>
      </c>
      <c r="B226" s="101">
        <v>12</v>
      </c>
      <c r="C226" s="101">
        <v>7</v>
      </c>
      <c r="D226" s="101">
        <v>2</v>
      </c>
      <c r="E226" s="101">
        <v>11</v>
      </c>
      <c r="F226" s="101">
        <v>1</v>
      </c>
      <c r="G226" s="101">
        <v>-24</v>
      </c>
      <c r="H226" s="101">
        <v>-5.2</v>
      </c>
      <c r="I226" s="102">
        <v>0.34</v>
      </c>
      <c r="J226" s="102">
        <v>1.84</v>
      </c>
      <c r="K226" s="101">
        <v>13.3</v>
      </c>
      <c r="L226" s="101">
        <v>0</v>
      </c>
      <c r="M226" s="101" t="s">
        <v>1001</v>
      </c>
      <c r="N226" s="101">
        <v>2006</v>
      </c>
      <c r="O226" s="101" t="s">
        <v>753</v>
      </c>
      <c r="P226" s="101">
        <v>348862</v>
      </c>
      <c r="Q226" t="s">
        <v>174</v>
      </c>
      <c r="R226" t="s">
        <v>367</v>
      </c>
      <c r="S226"/>
      <c r="T226"/>
      <c r="U226"/>
      <c r="V226" s="220"/>
    </row>
    <row r="227" spans="1:22" x14ac:dyDescent="0.2">
      <c r="A227" t="s">
        <v>1060</v>
      </c>
      <c r="B227" s="101">
        <v>14</v>
      </c>
      <c r="C227" s="101">
        <v>6</v>
      </c>
      <c r="D227" s="101">
        <v>6</v>
      </c>
      <c r="E227" s="101">
        <v>21</v>
      </c>
      <c r="F227" s="101"/>
      <c r="G227" s="101"/>
      <c r="H227" s="101"/>
      <c r="I227" s="102">
        <v>0.35000000000000003</v>
      </c>
      <c r="J227" s="102">
        <v>0.75</v>
      </c>
      <c r="K227" s="101"/>
      <c r="L227" s="101"/>
      <c r="M227" s="101" t="s">
        <v>1001</v>
      </c>
      <c r="N227" s="101">
        <v>2009</v>
      </c>
      <c r="O227" s="101" t="s">
        <v>633</v>
      </c>
      <c r="P227" s="101">
        <v>959098</v>
      </c>
      <c r="Q227" t="s">
        <v>766</v>
      </c>
      <c r="R227" t="s">
        <v>626</v>
      </c>
      <c r="S227"/>
      <c r="T227"/>
      <c r="U227"/>
      <c r="V227" s="220"/>
    </row>
    <row r="228" spans="1:22" x14ac:dyDescent="0.2">
      <c r="A228" t="s">
        <v>841</v>
      </c>
      <c r="B228" s="101">
        <v>3</v>
      </c>
      <c r="C228" s="101">
        <v>1</v>
      </c>
      <c r="D228" s="101">
        <v>1</v>
      </c>
      <c r="E228" s="101">
        <v>4</v>
      </c>
      <c r="F228" s="101">
        <v>11</v>
      </c>
      <c r="G228" s="101">
        <v>15</v>
      </c>
      <c r="H228" s="101">
        <v>2.8000000000000003</v>
      </c>
      <c r="I228" s="102">
        <v>0.35000000000000003</v>
      </c>
      <c r="J228" s="102">
        <v>0.9</v>
      </c>
      <c r="K228" s="101">
        <v>2.1</v>
      </c>
      <c r="L228" s="101">
        <v>0.8</v>
      </c>
      <c r="M228" s="101" t="s">
        <v>1001</v>
      </c>
      <c r="N228" s="101">
        <v>2000</v>
      </c>
      <c r="O228" s="101" t="s">
        <v>753</v>
      </c>
      <c r="P228" s="101">
        <v>403642</v>
      </c>
      <c r="Q228" t="s">
        <v>680</v>
      </c>
      <c r="R228" t="s">
        <v>293</v>
      </c>
      <c r="S228"/>
      <c r="T228"/>
      <c r="U228"/>
      <c r="V228" s="220"/>
    </row>
    <row r="229" spans="1:22" x14ac:dyDescent="0.2">
      <c r="A229" t="s">
        <v>1009</v>
      </c>
      <c r="B229" s="101"/>
      <c r="C229" s="101">
        <v>3</v>
      </c>
      <c r="D229" s="101">
        <v>5</v>
      </c>
      <c r="E229" s="101"/>
      <c r="F229" s="101"/>
      <c r="G229" s="101"/>
      <c r="H229" s="101"/>
      <c r="I229" s="102">
        <v>0.35000000000000003</v>
      </c>
      <c r="J229" s="102">
        <v>0.8</v>
      </c>
      <c r="K229" s="101"/>
      <c r="L229" s="101"/>
      <c r="M229" s="101" t="s">
        <v>1001</v>
      </c>
      <c r="N229" s="101">
        <v>2012</v>
      </c>
      <c r="O229" s="101" t="s">
        <v>753</v>
      </c>
      <c r="P229" s="101">
        <v>832717</v>
      </c>
      <c r="Q229" t="s">
        <v>32</v>
      </c>
      <c r="R229" t="s">
        <v>626</v>
      </c>
      <c r="S229"/>
      <c r="T229"/>
      <c r="U229"/>
      <c r="V229" s="220"/>
    </row>
    <row r="230" spans="1:22" x14ac:dyDescent="0.2">
      <c r="A230" t="s">
        <v>1017</v>
      </c>
      <c r="B230" s="101">
        <v>11</v>
      </c>
      <c r="C230" s="101">
        <v>7</v>
      </c>
      <c r="D230" s="101">
        <v>4</v>
      </c>
      <c r="E230" s="101"/>
      <c r="F230" s="101"/>
      <c r="G230" s="101"/>
      <c r="H230" s="101"/>
      <c r="I230" s="102">
        <v>0.35000000000000003</v>
      </c>
      <c r="J230" s="102">
        <v>0.8</v>
      </c>
      <c r="K230" s="101"/>
      <c r="L230" s="101"/>
      <c r="M230" s="101" t="s">
        <v>1003</v>
      </c>
      <c r="N230" s="101">
        <v>2012</v>
      </c>
      <c r="O230" s="101" t="s">
        <v>633</v>
      </c>
      <c r="P230" s="101">
        <v>980284</v>
      </c>
      <c r="Q230" t="s">
        <v>522</v>
      </c>
      <c r="R230" t="s">
        <v>626</v>
      </c>
      <c r="S230"/>
      <c r="T230"/>
      <c r="U230"/>
      <c r="V230" s="220"/>
    </row>
    <row r="231" spans="1:22" x14ac:dyDescent="0.2">
      <c r="A231" t="s">
        <v>325</v>
      </c>
      <c r="B231" s="101">
        <v>5</v>
      </c>
      <c r="C231" s="101">
        <v>2</v>
      </c>
      <c r="D231" s="101">
        <v>-3</v>
      </c>
      <c r="E231" s="101">
        <v>4</v>
      </c>
      <c r="F231" s="101">
        <v>12</v>
      </c>
      <c r="G231" s="101">
        <v>-5</v>
      </c>
      <c r="H231" s="101">
        <v>-1.1000000000000001</v>
      </c>
      <c r="I231" s="102">
        <v>0.36</v>
      </c>
      <c r="J231" s="102">
        <v>1.19</v>
      </c>
      <c r="K231" s="101">
        <v>10.200000000000001</v>
      </c>
      <c r="L231" s="101">
        <v>0.3</v>
      </c>
      <c r="M231" s="101" t="s">
        <v>1001</v>
      </c>
      <c r="N231" s="101">
        <v>2000</v>
      </c>
      <c r="O231" s="101" t="s">
        <v>633</v>
      </c>
      <c r="P231" s="101">
        <v>159509</v>
      </c>
      <c r="Q231" t="s">
        <v>859</v>
      </c>
      <c r="R231" t="s">
        <v>293</v>
      </c>
      <c r="S231"/>
      <c r="T231"/>
      <c r="U231"/>
      <c r="V231" s="220"/>
    </row>
    <row r="232" spans="1:22" x14ac:dyDescent="0.2">
      <c r="A232" t="s">
        <v>1113</v>
      </c>
      <c r="B232" s="101"/>
      <c r="C232" s="101">
        <v>1</v>
      </c>
      <c r="D232" s="101"/>
      <c r="E232" s="101"/>
      <c r="F232" s="101"/>
      <c r="G232" s="101"/>
      <c r="H232" s="101"/>
      <c r="I232" s="102">
        <v>0.36</v>
      </c>
      <c r="J232" s="102">
        <v>0.9</v>
      </c>
      <c r="K232" s="101"/>
      <c r="L232" s="101"/>
      <c r="M232" s="101" t="s">
        <v>1001</v>
      </c>
      <c r="N232" s="101">
        <v>2012</v>
      </c>
      <c r="O232" s="101" t="s">
        <v>753</v>
      </c>
      <c r="P232" s="101">
        <v>295857</v>
      </c>
      <c r="Q232" t="s">
        <v>684</v>
      </c>
      <c r="R232" t="s">
        <v>161</v>
      </c>
      <c r="S232"/>
      <c r="T232"/>
      <c r="U232"/>
      <c r="V232" s="220"/>
    </row>
    <row r="233" spans="1:22" x14ac:dyDescent="0.2">
      <c r="A233" t="s">
        <v>1061</v>
      </c>
      <c r="B233" s="101"/>
      <c r="C233" s="101">
        <v>4</v>
      </c>
      <c r="D233" s="101"/>
      <c r="E233" s="101"/>
      <c r="F233" s="101"/>
      <c r="G233" s="101"/>
      <c r="H233" s="101"/>
      <c r="I233" s="102">
        <v>0.36</v>
      </c>
      <c r="J233" s="102">
        <v>0.85</v>
      </c>
      <c r="K233" s="101"/>
      <c r="L233" s="101"/>
      <c r="M233" s="101" t="s">
        <v>1001</v>
      </c>
      <c r="N233" s="101">
        <v>2012</v>
      </c>
      <c r="O233" s="101" t="s">
        <v>633</v>
      </c>
      <c r="P233" s="101">
        <v>664482</v>
      </c>
      <c r="Q233" t="s">
        <v>766</v>
      </c>
      <c r="R233" t="s">
        <v>615</v>
      </c>
      <c r="S233"/>
      <c r="T233"/>
      <c r="U233"/>
      <c r="V233" s="220"/>
    </row>
    <row r="234" spans="1:22" x14ac:dyDescent="0.2">
      <c r="A234" t="s">
        <v>1062</v>
      </c>
      <c r="B234" s="101"/>
      <c r="C234" s="101">
        <v>6</v>
      </c>
      <c r="D234" s="101"/>
      <c r="E234" s="101"/>
      <c r="F234" s="101"/>
      <c r="G234" s="101"/>
      <c r="H234" s="101"/>
      <c r="I234" s="102">
        <v>0.36</v>
      </c>
      <c r="J234" s="102">
        <v>0.95000000000000007</v>
      </c>
      <c r="K234" s="101"/>
      <c r="L234" s="101"/>
      <c r="M234" s="101" t="s">
        <v>1001</v>
      </c>
      <c r="N234" s="101">
        <v>2012</v>
      </c>
      <c r="O234" s="101" t="s">
        <v>633</v>
      </c>
      <c r="P234" s="101">
        <v>700310</v>
      </c>
      <c r="Q234" t="s">
        <v>766</v>
      </c>
      <c r="R234" t="s">
        <v>615</v>
      </c>
      <c r="S234"/>
      <c r="T234"/>
      <c r="U234"/>
      <c r="V234" s="220"/>
    </row>
    <row r="235" spans="1:22" x14ac:dyDescent="0.2">
      <c r="A235" t="s">
        <v>786</v>
      </c>
      <c r="B235" s="101">
        <v>15</v>
      </c>
      <c r="C235" s="101">
        <v>5</v>
      </c>
      <c r="D235" s="101">
        <v>-2</v>
      </c>
      <c r="E235" s="101">
        <v>17</v>
      </c>
      <c r="F235" s="101">
        <v>14</v>
      </c>
      <c r="G235" s="101">
        <v>-17</v>
      </c>
      <c r="H235" s="101">
        <v>-3.7</v>
      </c>
      <c r="I235" s="102">
        <v>0.36</v>
      </c>
      <c r="J235" s="102">
        <v>1.41</v>
      </c>
      <c r="K235" s="101">
        <v>18.7</v>
      </c>
      <c r="L235" s="101">
        <v>0.2</v>
      </c>
      <c r="M235" s="101" t="s">
        <v>1001</v>
      </c>
      <c r="N235" s="101">
        <v>2008</v>
      </c>
      <c r="O235" s="101" t="s">
        <v>753</v>
      </c>
      <c r="P235" s="101">
        <v>552869</v>
      </c>
      <c r="Q235" t="s">
        <v>703</v>
      </c>
      <c r="R235" t="s">
        <v>748</v>
      </c>
      <c r="S235"/>
      <c r="T235"/>
      <c r="U235"/>
      <c r="V235" s="220"/>
    </row>
    <row r="236" spans="1:22" x14ac:dyDescent="0.2">
      <c r="A236" t="s">
        <v>706</v>
      </c>
      <c r="B236" s="101">
        <v>10</v>
      </c>
      <c r="C236" s="101">
        <v>1</v>
      </c>
      <c r="D236" s="101">
        <v>-1</v>
      </c>
      <c r="E236" s="101">
        <v>13</v>
      </c>
      <c r="F236" s="101">
        <v>14</v>
      </c>
      <c r="G236" s="101">
        <v>-4</v>
      </c>
      <c r="H236" s="101">
        <v>-0.9</v>
      </c>
      <c r="I236" s="102">
        <v>0.36</v>
      </c>
      <c r="J236" s="102">
        <v>1.41</v>
      </c>
      <c r="K236" s="101">
        <v>18.2</v>
      </c>
      <c r="L236" s="101">
        <v>0.2</v>
      </c>
      <c r="M236" s="101" t="s">
        <v>1001</v>
      </c>
      <c r="N236" s="101">
        <v>2003</v>
      </c>
      <c r="O236" s="101" t="s">
        <v>753</v>
      </c>
      <c r="P236" s="101">
        <v>254185</v>
      </c>
      <c r="Q236" t="s">
        <v>703</v>
      </c>
      <c r="R236" t="s">
        <v>671</v>
      </c>
      <c r="S236"/>
      <c r="T236"/>
      <c r="U236"/>
      <c r="V236" s="220"/>
    </row>
    <row r="237" spans="1:22" x14ac:dyDescent="0.2">
      <c r="A237" t="s">
        <v>548</v>
      </c>
      <c r="B237" s="101">
        <v>12</v>
      </c>
      <c r="C237" s="101">
        <v>5</v>
      </c>
      <c r="D237" s="101">
        <v>7</v>
      </c>
      <c r="E237" s="101">
        <v>10</v>
      </c>
      <c r="F237" s="101">
        <v>22</v>
      </c>
      <c r="G237" s="101">
        <v>13</v>
      </c>
      <c r="H237" s="101">
        <v>2.4</v>
      </c>
      <c r="I237" s="102">
        <v>0.37</v>
      </c>
      <c r="J237" s="102">
        <v>1.0507</v>
      </c>
      <c r="K237" s="101">
        <v>6.1000000000000005</v>
      </c>
      <c r="L237" s="101">
        <v>0.9</v>
      </c>
      <c r="M237" s="101" t="s">
        <v>1001</v>
      </c>
      <c r="N237" s="101">
        <v>2004</v>
      </c>
      <c r="O237" s="101" t="s">
        <v>753</v>
      </c>
      <c r="P237" s="101">
        <v>104786</v>
      </c>
      <c r="Q237" t="s">
        <v>684</v>
      </c>
      <c r="R237" t="s">
        <v>626</v>
      </c>
      <c r="S237"/>
      <c r="T237"/>
      <c r="U237"/>
      <c r="V237" s="220"/>
    </row>
    <row r="238" spans="1:22" x14ac:dyDescent="0.2">
      <c r="A238" t="s">
        <v>902</v>
      </c>
      <c r="B238" s="101">
        <v>7</v>
      </c>
      <c r="C238" s="101">
        <v>-1</v>
      </c>
      <c r="D238" s="101">
        <v>-8</v>
      </c>
      <c r="E238" s="101">
        <v>-3</v>
      </c>
      <c r="F238" s="101">
        <v>6</v>
      </c>
      <c r="G238" s="101">
        <v>-14</v>
      </c>
      <c r="H238" s="101">
        <v>-2.9</v>
      </c>
      <c r="I238" s="102">
        <v>0.37</v>
      </c>
      <c r="J238" s="102">
        <v>1.74</v>
      </c>
      <c r="K238" s="101">
        <v>18.400000000000002</v>
      </c>
      <c r="L238" s="101">
        <v>0.1</v>
      </c>
      <c r="M238" s="101" t="s">
        <v>1001</v>
      </c>
      <c r="N238" s="101">
        <v>2009</v>
      </c>
      <c r="O238" s="101" t="s">
        <v>633</v>
      </c>
      <c r="P238" s="101">
        <v>908095</v>
      </c>
      <c r="Q238" t="s">
        <v>397</v>
      </c>
      <c r="R238" t="s">
        <v>748</v>
      </c>
      <c r="S238"/>
      <c r="T238"/>
      <c r="U238"/>
      <c r="V238" s="220"/>
    </row>
    <row r="239" spans="1:22" x14ac:dyDescent="0.2">
      <c r="A239" t="s">
        <v>994</v>
      </c>
      <c r="B239" s="101">
        <v>13</v>
      </c>
      <c r="C239" s="101">
        <v>4</v>
      </c>
      <c r="D239" s="101">
        <v>1</v>
      </c>
      <c r="E239" s="101">
        <v>18</v>
      </c>
      <c r="F239" s="101">
        <v>22</v>
      </c>
      <c r="G239" s="101">
        <v>5</v>
      </c>
      <c r="H239" s="101">
        <v>1.1000000000000001</v>
      </c>
      <c r="I239" s="102">
        <v>0.37</v>
      </c>
      <c r="J239" s="102">
        <v>1.5</v>
      </c>
      <c r="K239" s="101">
        <v>17</v>
      </c>
      <c r="L239" s="101">
        <v>0.4</v>
      </c>
      <c r="M239" s="101" t="s">
        <v>1001</v>
      </c>
      <c r="N239" s="101">
        <v>2008</v>
      </c>
      <c r="O239" s="101" t="s">
        <v>753</v>
      </c>
      <c r="P239" s="101">
        <v>203067</v>
      </c>
      <c r="Q239" t="s">
        <v>703</v>
      </c>
      <c r="R239" t="s">
        <v>671</v>
      </c>
      <c r="S239" t="s">
        <v>1024</v>
      </c>
      <c r="T239"/>
      <c r="U239"/>
      <c r="V239" s="220"/>
    </row>
    <row r="240" spans="1:22" x14ac:dyDescent="0.2">
      <c r="A240" t="s">
        <v>355</v>
      </c>
      <c r="B240" s="101">
        <v>17</v>
      </c>
      <c r="C240" s="101">
        <v>0</v>
      </c>
      <c r="D240" s="101">
        <v>3</v>
      </c>
      <c r="E240" s="101">
        <v>20</v>
      </c>
      <c r="F240" s="101">
        <v>56</v>
      </c>
      <c r="G240" s="101">
        <v>9</v>
      </c>
      <c r="H240" s="101">
        <v>1.7</v>
      </c>
      <c r="I240" s="102">
        <v>0.37</v>
      </c>
      <c r="J240" s="102">
        <v>1.682777</v>
      </c>
      <c r="K240" s="101">
        <v>11.9</v>
      </c>
      <c r="L240" s="101">
        <v>1.2</v>
      </c>
      <c r="M240" s="101" t="s">
        <v>1005</v>
      </c>
      <c r="N240" s="101">
        <v>2007</v>
      </c>
      <c r="O240" s="101" t="s">
        <v>633</v>
      </c>
      <c r="P240" s="101">
        <v>800664</v>
      </c>
      <c r="Q240" t="s">
        <v>361</v>
      </c>
      <c r="R240" t="s">
        <v>145</v>
      </c>
      <c r="S240"/>
      <c r="T240"/>
      <c r="U240"/>
      <c r="V240" s="220"/>
    </row>
    <row r="241" spans="1:22" x14ac:dyDescent="0.2">
      <c r="A241" t="s">
        <v>683</v>
      </c>
      <c r="B241" s="101">
        <v>21</v>
      </c>
      <c r="C241" s="101">
        <v>5</v>
      </c>
      <c r="D241" s="101">
        <v>0</v>
      </c>
      <c r="E241" s="101">
        <v>27</v>
      </c>
      <c r="F241" s="101">
        <v>41</v>
      </c>
      <c r="G241" s="101">
        <v>32</v>
      </c>
      <c r="H241" s="101">
        <v>5.6000000000000005</v>
      </c>
      <c r="I241" s="102">
        <v>0.38</v>
      </c>
      <c r="J241" s="102">
        <v>1.22</v>
      </c>
      <c r="K241" s="101">
        <v>19.900000000000002</v>
      </c>
      <c r="L241" s="101">
        <v>0.6</v>
      </c>
      <c r="M241" s="101" t="s">
        <v>1001</v>
      </c>
      <c r="N241" s="101">
        <v>2000</v>
      </c>
      <c r="O241" s="101" t="s">
        <v>753</v>
      </c>
      <c r="P241" s="101">
        <v>291906</v>
      </c>
      <c r="Q241" t="s">
        <v>682</v>
      </c>
      <c r="R241" t="s">
        <v>671</v>
      </c>
      <c r="S241"/>
      <c r="T241"/>
      <c r="U241"/>
      <c r="V241" s="220"/>
    </row>
    <row r="242" spans="1:22" x14ac:dyDescent="0.2">
      <c r="A242" t="s">
        <v>1114</v>
      </c>
      <c r="B242" s="101">
        <v>-4</v>
      </c>
      <c r="C242" s="101">
        <v>3</v>
      </c>
      <c r="D242" s="101">
        <v>-4</v>
      </c>
      <c r="E242" s="101">
        <v>-5</v>
      </c>
      <c r="F242" s="101">
        <v>-9</v>
      </c>
      <c r="G242" s="101">
        <v>-9</v>
      </c>
      <c r="H242" s="101">
        <v>-1.8</v>
      </c>
      <c r="I242" s="102">
        <v>0.38</v>
      </c>
      <c r="J242" s="102">
        <v>0.82000000000000006</v>
      </c>
      <c r="K242" s="101"/>
      <c r="L242" s="101"/>
      <c r="M242" s="101" t="s">
        <v>1002</v>
      </c>
      <c r="N242" s="101">
        <v>2011</v>
      </c>
      <c r="O242" s="101" t="s">
        <v>633</v>
      </c>
      <c r="P242" s="101">
        <v>857037</v>
      </c>
      <c r="Q242" t="s">
        <v>126</v>
      </c>
      <c r="R242" t="s">
        <v>301</v>
      </c>
      <c r="S242"/>
      <c r="T242"/>
      <c r="U242"/>
      <c r="V242" s="220"/>
    </row>
    <row r="243" spans="1:22" x14ac:dyDescent="0.2">
      <c r="A243" t="s">
        <v>617</v>
      </c>
      <c r="B243" s="101">
        <v>0</v>
      </c>
      <c r="C243" s="101">
        <v>3</v>
      </c>
      <c r="D243" s="101">
        <v>-1</v>
      </c>
      <c r="E243" s="101">
        <v>-1</v>
      </c>
      <c r="F243" s="101"/>
      <c r="G243" s="101"/>
      <c r="H243" s="101"/>
      <c r="I243" s="102">
        <v>0.38</v>
      </c>
      <c r="J243" s="102">
        <v>0.9</v>
      </c>
      <c r="K243" s="101"/>
      <c r="L243" s="101"/>
      <c r="M243" s="101" t="s">
        <v>1002</v>
      </c>
      <c r="N243" s="101">
        <v>2011</v>
      </c>
      <c r="O243" s="101" t="s">
        <v>633</v>
      </c>
      <c r="P243" s="101">
        <v>288001</v>
      </c>
      <c r="Q243" t="s">
        <v>126</v>
      </c>
      <c r="R243" t="s">
        <v>615</v>
      </c>
      <c r="S243"/>
      <c r="T243"/>
      <c r="U243"/>
      <c r="V243" s="220"/>
    </row>
    <row r="244" spans="1:22" x14ac:dyDescent="0.2">
      <c r="A244" t="s">
        <v>618</v>
      </c>
      <c r="B244" s="101">
        <v>6</v>
      </c>
      <c r="C244" s="101">
        <v>6</v>
      </c>
      <c r="D244" s="101">
        <v>2</v>
      </c>
      <c r="E244" s="101">
        <v>6</v>
      </c>
      <c r="F244" s="101">
        <v>-2</v>
      </c>
      <c r="G244" s="101">
        <v>-2</v>
      </c>
      <c r="H244" s="101">
        <v>-0.3</v>
      </c>
      <c r="I244" s="102">
        <v>0.38</v>
      </c>
      <c r="J244" s="102">
        <v>0.9</v>
      </c>
      <c r="K244" s="101">
        <v>7</v>
      </c>
      <c r="L244" s="101">
        <v>-0.3</v>
      </c>
      <c r="M244" s="101" t="s">
        <v>1002</v>
      </c>
      <c r="N244" s="101">
        <v>2000</v>
      </c>
      <c r="O244" s="101" t="s">
        <v>633</v>
      </c>
      <c r="P244" s="101">
        <v>203836</v>
      </c>
      <c r="Q244" t="s">
        <v>782</v>
      </c>
      <c r="R244" t="s">
        <v>615</v>
      </c>
      <c r="S244"/>
      <c r="T244"/>
      <c r="U244"/>
      <c r="V244" s="220"/>
    </row>
    <row r="245" spans="1:22" x14ac:dyDescent="0.2">
      <c r="A245" t="s">
        <v>34</v>
      </c>
      <c r="B245" s="101">
        <v>-2</v>
      </c>
      <c r="C245" s="101">
        <v>-2</v>
      </c>
      <c r="D245" s="101">
        <v>0</v>
      </c>
      <c r="E245" s="101">
        <v>5</v>
      </c>
      <c r="F245" s="101">
        <v>4</v>
      </c>
      <c r="G245" s="101">
        <v>34</v>
      </c>
      <c r="H245" s="101">
        <v>6</v>
      </c>
      <c r="I245" s="102">
        <v>0.38</v>
      </c>
      <c r="J245" s="102">
        <v>0.88820199999999994</v>
      </c>
      <c r="K245" s="101">
        <v>11.1</v>
      </c>
      <c r="L245" s="101">
        <v>0</v>
      </c>
      <c r="M245" s="101" t="s">
        <v>1004</v>
      </c>
      <c r="N245" s="101">
        <v>2000</v>
      </c>
      <c r="O245" s="101" t="s">
        <v>633</v>
      </c>
      <c r="P245" s="101">
        <v>483800</v>
      </c>
      <c r="Q245" t="s">
        <v>434</v>
      </c>
      <c r="R245" t="s">
        <v>626</v>
      </c>
      <c r="S245"/>
      <c r="T245"/>
      <c r="U245"/>
      <c r="V245" s="220"/>
    </row>
    <row r="246" spans="1:22" x14ac:dyDescent="0.2">
      <c r="A246" t="s">
        <v>700</v>
      </c>
      <c r="B246" s="101">
        <v>13</v>
      </c>
      <c r="C246" s="101">
        <v>1</v>
      </c>
      <c r="D246" s="101">
        <v>0</v>
      </c>
      <c r="E246" s="101">
        <v>16</v>
      </c>
      <c r="F246" s="101">
        <v>28</v>
      </c>
      <c r="G246" s="101">
        <v>9</v>
      </c>
      <c r="H246" s="101">
        <v>1.7</v>
      </c>
      <c r="I246" s="102">
        <v>0.38</v>
      </c>
      <c r="J246" s="102">
        <v>1.3</v>
      </c>
      <c r="K246" s="101">
        <v>17.100000000000001</v>
      </c>
      <c r="L246" s="101">
        <v>0.5</v>
      </c>
      <c r="M246" s="101" t="s">
        <v>1001</v>
      </c>
      <c r="N246" s="101">
        <v>2000</v>
      </c>
      <c r="O246" s="101" t="s">
        <v>753</v>
      </c>
      <c r="P246" s="101">
        <v>528133</v>
      </c>
      <c r="Q246" t="s">
        <v>699</v>
      </c>
      <c r="R246" t="s">
        <v>671</v>
      </c>
      <c r="S246"/>
      <c r="T246"/>
      <c r="U246"/>
      <c r="V246" s="220"/>
    </row>
    <row r="247" spans="1:22" x14ac:dyDescent="0.2">
      <c r="A247" t="s">
        <v>47</v>
      </c>
      <c r="B247" s="101">
        <v>13</v>
      </c>
      <c r="C247" s="101">
        <v>10</v>
      </c>
      <c r="D247" s="101">
        <v>3</v>
      </c>
      <c r="E247" s="101">
        <v>15</v>
      </c>
      <c r="F247" s="101">
        <v>-6</v>
      </c>
      <c r="G247" s="101">
        <v>-31</v>
      </c>
      <c r="H247" s="101">
        <v>-7</v>
      </c>
      <c r="I247" s="102">
        <v>0.38</v>
      </c>
      <c r="J247" s="102">
        <v>1.53</v>
      </c>
      <c r="K247" s="101">
        <v>15.5</v>
      </c>
      <c r="L247" s="101">
        <v>-0.2</v>
      </c>
      <c r="M247" s="101" t="s">
        <v>1001</v>
      </c>
      <c r="N247" s="101">
        <v>2000</v>
      </c>
      <c r="O247" s="101" t="s">
        <v>753</v>
      </c>
      <c r="P247" s="101">
        <v>108506</v>
      </c>
      <c r="Q247" t="s">
        <v>703</v>
      </c>
      <c r="R247" t="s">
        <v>44</v>
      </c>
      <c r="S247"/>
      <c r="T247"/>
      <c r="U247"/>
      <c r="V247" s="220"/>
    </row>
    <row r="248" spans="1:22" x14ac:dyDescent="0.2">
      <c r="A248" t="s">
        <v>105</v>
      </c>
      <c r="B248" s="101">
        <v>7</v>
      </c>
      <c r="C248" s="101">
        <v>1</v>
      </c>
      <c r="D248" s="101">
        <v>-2</v>
      </c>
      <c r="E248" s="101">
        <v>14</v>
      </c>
      <c r="F248" s="101">
        <v>25</v>
      </c>
      <c r="G248" s="101">
        <v>-2</v>
      </c>
      <c r="H248" s="101">
        <v>-0.4</v>
      </c>
      <c r="I248" s="102">
        <v>0.38</v>
      </c>
      <c r="J248" s="102">
        <v>1.55</v>
      </c>
      <c r="K248" s="101">
        <v>9.8000000000000007</v>
      </c>
      <c r="L248" s="101">
        <v>0.6</v>
      </c>
      <c r="M248" s="101" t="s">
        <v>1001</v>
      </c>
      <c r="N248" s="101">
        <v>2001</v>
      </c>
      <c r="O248" s="101" t="s">
        <v>753</v>
      </c>
      <c r="P248" s="101">
        <v>684795</v>
      </c>
      <c r="Q248" t="s">
        <v>703</v>
      </c>
      <c r="R248" t="s">
        <v>102</v>
      </c>
      <c r="S248"/>
      <c r="T248"/>
      <c r="U248"/>
      <c r="V248" s="220"/>
    </row>
    <row r="249" spans="1:22" x14ac:dyDescent="0.2">
      <c r="A249" t="s">
        <v>46</v>
      </c>
      <c r="B249" s="101">
        <v>15</v>
      </c>
      <c r="C249" s="101">
        <v>8</v>
      </c>
      <c r="D249" s="101">
        <v>1</v>
      </c>
      <c r="E249" s="101">
        <v>17</v>
      </c>
      <c r="F249" s="101">
        <v>4</v>
      </c>
      <c r="G249" s="101">
        <v>-18</v>
      </c>
      <c r="H249" s="101">
        <v>-4</v>
      </c>
      <c r="I249" s="102">
        <v>0.38</v>
      </c>
      <c r="J249" s="102">
        <v>1.55</v>
      </c>
      <c r="K249" s="101">
        <v>15.3</v>
      </c>
      <c r="L249" s="101">
        <v>0</v>
      </c>
      <c r="M249" s="101" t="s">
        <v>1001</v>
      </c>
      <c r="N249" s="101">
        <v>2001</v>
      </c>
      <c r="O249" s="101" t="s">
        <v>753</v>
      </c>
      <c r="P249" s="101">
        <v>577304</v>
      </c>
      <c r="Q249" t="s">
        <v>703</v>
      </c>
      <c r="R249" t="s">
        <v>44</v>
      </c>
      <c r="S249"/>
      <c r="T249"/>
      <c r="U249"/>
      <c r="V249" s="220"/>
    </row>
    <row r="250" spans="1:22" x14ac:dyDescent="0.2">
      <c r="A250" t="s">
        <v>282</v>
      </c>
      <c r="B250" s="101">
        <v>17</v>
      </c>
      <c r="C250" s="101">
        <v>4</v>
      </c>
      <c r="D250" s="101">
        <v>4</v>
      </c>
      <c r="E250" s="101">
        <v>17</v>
      </c>
      <c r="F250" s="101">
        <v>56</v>
      </c>
      <c r="G250" s="101">
        <v>32</v>
      </c>
      <c r="H250" s="101">
        <v>5.7</v>
      </c>
      <c r="I250" s="102">
        <v>0.38</v>
      </c>
      <c r="J250" s="102">
        <v>1.31</v>
      </c>
      <c r="K250" s="101">
        <v>18.400000000000002</v>
      </c>
      <c r="L250" s="101">
        <v>0.8</v>
      </c>
      <c r="M250" s="101" t="s">
        <v>1001</v>
      </c>
      <c r="N250" s="101">
        <v>2001</v>
      </c>
      <c r="O250" s="101" t="s">
        <v>753</v>
      </c>
      <c r="P250" s="101">
        <v>313742</v>
      </c>
      <c r="Q250" t="s">
        <v>699</v>
      </c>
      <c r="R250" t="s">
        <v>279</v>
      </c>
      <c r="S250"/>
      <c r="T250"/>
      <c r="U250"/>
      <c r="V250" s="220"/>
    </row>
    <row r="251" spans="1:22" x14ac:dyDescent="0.2">
      <c r="A251" t="s">
        <v>733</v>
      </c>
      <c r="B251" s="101">
        <v>15</v>
      </c>
      <c r="C251" s="101">
        <v>4</v>
      </c>
      <c r="D251" s="101">
        <v>7</v>
      </c>
      <c r="E251" s="101">
        <v>14</v>
      </c>
      <c r="F251" s="101">
        <v>25</v>
      </c>
      <c r="G251" s="101">
        <v>28</v>
      </c>
      <c r="H251" s="101">
        <v>5.1000000000000005</v>
      </c>
      <c r="I251" s="102">
        <v>0.39</v>
      </c>
      <c r="J251" s="102">
        <v>1.04</v>
      </c>
      <c r="K251" s="101">
        <v>5.8</v>
      </c>
      <c r="L251" s="101">
        <v>1</v>
      </c>
      <c r="M251" s="101" t="s">
        <v>1001</v>
      </c>
      <c r="N251" s="101">
        <v>2009</v>
      </c>
      <c r="O251" s="101" t="s">
        <v>633</v>
      </c>
      <c r="P251" s="101">
        <v>408898</v>
      </c>
      <c r="Q251" t="s">
        <v>690</v>
      </c>
      <c r="R251" t="s">
        <v>626</v>
      </c>
      <c r="S251"/>
      <c r="T251"/>
      <c r="U251"/>
      <c r="V251" s="220"/>
    </row>
    <row r="252" spans="1:22" x14ac:dyDescent="0.2">
      <c r="A252" t="s">
        <v>1063</v>
      </c>
      <c r="B252" s="101">
        <v>12</v>
      </c>
      <c r="C252" s="101">
        <v>9</v>
      </c>
      <c r="D252" s="101">
        <v>4</v>
      </c>
      <c r="E252" s="101">
        <v>9</v>
      </c>
      <c r="F252" s="101">
        <v>10</v>
      </c>
      <c r="G252" s="101">
        <v>32</v>
      </c>
      <c r="H252" s="101">
        <v>5.6000000000000005</v>
      </c>
      <c r="I252" s="102">
        <v>0.39</v>
      </c>
      <c r="J252" s="102">
        <v>0.75</v>
      </c>
      <c r="K252" s="101">
        <v>10.5</v>
      </c>
      <c r="L252" s="101">
        <v>0.2</v>
      </c>
      <c r="M252" s="101" t="s">
        <v>1002</v>
      </c>
      <c r="N252" s="101">
        <v>2001</v>
      </c>
      <c r="O252" s="101" t="s">
        <v>633</v>
      </c>
      <c r="P252" s="101">
        <v>549972</v>
      </c>
      <c r="Q252" t="s">
        <v>766</v>
      </c>
      <c r="R252" t="s">
        <v>615</v>
      </c>
      <c r="S252"/>
      <c r="T252"/>
      <c r="U252"/>
      <c r="V252" s="220"/>
    </row>
    <row r="253" spans="1:22" x14ac:dyDescent="0.2">
      <c r="A253" t="s">
        <v>234</v>
      </c>
      <c r="B253" s="101">
        <v>-3</v>
      </c>
      <c r="C253" s="101">
        <v>-2</v>
      </c>
      <c r="D253" s="101">
        <v>-7</v>
      </c>
      <c r="E253" s="101">
        <v>-2</v>
      </c>
      <c r="F253" s="101">
        <v>-9</v>
      </c>
      <c r="G253" s="101">
        <v>-35</v>
      </c>
      <c r="H253" s="101">
        <v>-8.1999999999999993</v>
      </c>
      <c r="I253" s="102">
        <v>0.39</v>
      </c>
      <c r="J253" s="102">
        <v>1.6</v>
      </c>
      <c r="K253" s="101">
        <v>13.200000000000001</v>
      </c>
      <c r="L253" s="101">
        <v>-0.3</v>
      </c>
      <c r="M253" s="101" t="s">
        <v>1001</v>
      </c>
      <c r="N253" s="101">
        <v>2001</v>
      </c>
      <c r="O253" s="101" t="s">
        <v>753</v>
      </c>
      <c r="P253" s="101">
        <v>756452</v>
      </c>
      <c r="Q253" t="s">
        <v>703</v>
      </c>
      <c r="R253" t="s">
        <v>226</v>
      </c>
      <c r="S253"/>
      <c r="T253"/>
      <c r="U253"/>
      <c r="V253" s="220"/>
    </row>
    <row r="254" spans="1:22" x14ac:dyDescent="0.2">
      <c r="A254" t="s">
        <v>504</v>
      </c>
      <c r="B254" s="101">
        <v>11</v>
      </c>
      <c r="C254" s="101">
        <v>2</v>
      </c>
      <c r="D254" s="101">
        <v>-3</v>
      </c>
      <c r="E254" s="101">
        <v>13</v>
      </c>
      <c r="F254" s="101">
        <v>21</v>
      </c>
      <c r="G254" s="101">
        <v>10</v>
      </c>
      <c r="H254" s="101">
        <v>1.9000000000000001</v>
      </c>
      <c r="I254" s="102">
        <v>0.39</v>
      </c>
      <c r="J254" s="102">
        <v>1.6</v>
      </c>
      <c r="K254" s="101">
        <v>15.6</v>
      </c>
      <c r="L254" s="101">
        <v>0.4</v>
      </c>
      <c r="M254" s="101" t="s">
        <v>1001</v>
      </c>
      <c r="N254" s="101">
        <v>2007</v>
      </c>
      <c r="O254" s="101" t="s">
        <v>633</v>
      </c>
      <c r="P254" s="101">
        <v>286294</v>
      </c>
      <c r="Q254" t="s">
        <v>505</v>
      </c>
      <c r="R254" t="s">
        <v>748</v>
      </c>
      <c r="S254"/>
      <c r="T254"/>
      <c r="U254"/>
      <c r="V254" s="220"/>
    </row>
    <row r="255" spans="1:22" x14ac:dyDescent="0.2">
      <c r="A255" t="s">
        <v>134</v>
      </c>
      <c r="B255" s="101">
        <v>9</v>
      </c>
      <c r="C255" s="101">
        <v>3</v>
      </c>
      <c r="D255" s="101">
        <v>-2</v>
      </c>
      <c r="E255" s="101">
        <v>7</v>
      </c>
      <c r="F255" s="101">
        <v>10</v>
      </c>
      <c r="G255" s="101">
        <v>-20</v>
      </c>
      <c r="H255" s="101">
        <v>-4.4000000000000004</v>
      </c>
      <c r="I255" s="102">
        <v>0.39</v>
      </c>
      <c r="J255" s="102">
        <v>1.6</v>
      </c>
      <c r="K255" s="101">
        <v>13.9</v>
      </c>
      <c r="L255" s="101">
        <v>0.2</v>
      </c>
      <c r="M255" s="101" t="s">
        <v>1001</v>
      </c>
      <c r="N255" s="101">
        <v>2001</v>
      </c>
      <c r="O255" s="101" t="s">
        <v>753</v>
      </c>
      <c r="P255" s="101">
        <v>720623</v>
      </c>
      <c r="Q255" t="s">
        <v>703</v>
      </c>
      <c r="R255" t="s">
        <v>131</v>
      </c>
      <c r="S255"/>
      <c r="T255"/>
      <c r="U255"/>
      <c r="V255" s="220"/>
    </row>
    <row r="256" spans="1:22" x14ac:dyDescent="0.2">
      <c r="A256" t="s">
        <v>1010</v>
      </c>
      <c r="B256" s="101">
        <v>7</v>
      </c>
      <c r="C256" s="101">
        <v>3</v>
      </c>
      <c r="D256" s="101">
        <v>-2</v>
      </c>
      <c r="E256" s="101">
        <v>11</v>
      </c>
      <c r="F256" s="101">
        <v>9</v>
      </c>
      <c r="G256" s="101">
        <v>-14</v>
      </c>
      <c r="H256" s="101">
        <v>-3</v>
      </c>
      <c r="I256" s="102">
        <v>0.39</v>
      </c>
      <c r="J256" s="102">
        <v>1.6</v>
      </c>
      <c r="K256" s="101">
        <v>9.6</v>
      </c>
      <c r="L256" s="101">
        <v>0.2</v>
      </c>
      <c r="M256" s="101" t="s">
        <v>1001</v>
      </c>
      <c r="N256" s="101">
        <v>2012</v>
      </c>
      <c r="O256" s="101" t="s">
        <v>633</v>
      </c>
      <c r="P256" s="101">
        <v>282517</v>
      </c>
      <c r="Q256" t="s">
        <v>505</v>
      </c>
      <c r="R256" t="s">
        <v>145</v>
      </c>
      <c r="S256"/>
      <c r="T256"/>
      <c r="U256"/>
      <c r="V256" s="220"/>
    </row>
    <row r="257" spans="1:22" x14ac:dyDescent="0.2">
      <c r="A257" t="s">
        <v>632</v>
      </c>
      <c r="B257" s="101">
        <v>0</v>
      </c>
      <c r="C257" s="101">
        <v>-1</v>
      </c>
      <c r="D257" s="101">
        <v>1</v>
      </c>
      <c r="E257" s="101">
        <v>10</v>
      </c>
      <c r="F257" s="101">
        <v>12</v>
      </c>
      <c r="G257" s="101">
        <v>30</v>
      </c>
      <c r="H257" s="101">
        <v>5.5</v>
      </c>
      <c r="I257" s="102">
        <v>0.4</v>
      </c>
      <c r="J257" s="102">
        <v>0.98</v>
      </c>
      <c r="K257" s="101">
        <v>14.700000000000001</v>
      </c>
      <c r="L257" s="101">
        <v>0.2</v>
      </c>
      <c r="M257" s="101" t="s">
        <v>1004</v>
      </c>
      <c r="N257" s="101">
        <v>2000</v>
      </c>
      <c r="O257" s="101" t="s">
        <v>633</v>
      </c>
      <c r="P257" s="101">
        <v>551804</v>
      </c>
      <c r="Q257" t="s">
        <v>58</v>
      </c>
      <c r="R257" t="s">
        <v>626</v>
      </c>
      <c r="S257"/>
      <c r="T257"/>
      <c r="U257"/>
      <c r="V257" s="220"/>
    </row>
    <row r="258" spans="1:22" x14ac:dyDescent="0.2">
      <c r="A258" t="s">
        <v>313</v>
      </c>
      <c r="B258" s="101">
        <v>20</v>
      </c>
      <c r="C258" s="101">
        <v>10</v>
      </c>
      <c r="D258" s="101">
        <v>5</v>
      </c>
      <c r="E258" s="101">
        <v>13</v>
      </c>
      <c r="F258" s="101">
        <v>3</v>
      </c>
      <c r="G258" s="101">
        <v>41</v>
      </c>
      <c r="H258" s="101">
        <v>7.1000000000000005</v>
      </c>
      <c r="I258" s="102">
        <v>0.4</v>
      </c>
      <c r="J258" s="102">
        <v>1</v>
      </c>
      <c r="K258" s="101">
        <v>12.200000000000001</v>
      </c>
      <c r="L258" s="101">
        <v>0</v>
      </c>
      <c r="M258" s="101" t="s">
        <v>1002</v>
      </c>
      <c r="N258" s="101">
        <v>2010</v>
      </c>
      <c r="O258" s="101" t="s">
        <v>633</v>
      </c>
      <c r="P258" s="101">
        <v>955435</v>
      </c>
      <c r="Q258" t="s">
        <v>303</v>
      </c>
      <c r="R258" t="s">
        <v>615</v>
      </c>
      <c r="S258"/>
      <c r="T258"/>
      <c r="U258"/>
      <c r="V258" s="220"/>
    </row>
    <row r="259" spans="1:22" x14ac:dyDescent="0.2">
      <c r="A259" t="s">
        <v>68</v>
      </c>
      <c r="B259" s="101">
        <v>12</v>
      </c>
      <c r="C259" s="101">
        <v>4</v>
      </c>
      <c r="D259" s="101">
        <v>-1</v>
      </c>
      <c r="E259" s="101">
        <v>15</v>
      </c>
      <c r="F259" s="101">
        <v>26</v>
      </c>
      <c r="G259" s="101"/>
      <c r="H259" s="101"/>
      <c r="I259" s="102">
        <v>0.4</v>
      </c>
      <c r="J259" s="102">
        <v>1.0150000000000001</v>
      </c>
      <c r="K259" s="101">
        <v>20.5</v>
      </c>
      <c r="L259" s="101">
        <v>0.4</v>
      </c>
      <c r="M259" s="101" t="s">
        <v>1001</v>
      </c>
      <c r="N259" s="101">
        <v>2008</v>
      </c>
      <c r="O259" s="101" t="s">
        <v>753</v>
      </c>
      <c r="P259" s="101">
        <v>490292</v>
      </c>
      <c r="Q259" t="s">
        <v>701</v>
      </c>
      <c r="R259" t="s">
        <v>671</v>
      </c>
      <c r="S259"/>
      <c r="T259"/>
      <c r="U259"/>
      <c r="V259" s="220"/>
    </row>
    <row r="260" spans="1:22" x14ac:dyDescent="0.2">
      <c r="A260" t="s">
        <v>297</v>
      </c>
      <c r="B260" s="101">
        <v>8</v>
      </c>
      <c r="C260" s="101">
        <v>1</v>
      </c>
      <c r="D260" s="101">
        <v>1</v>
      </c>
      <c r="E260" s="101">
        <v>11</v>
      </c>
      <c r="F260" s="101">
        <v>18</v>
      </c>
      <c r="G260" s="101">
        <v>5</v>
      </c>
      <c r="H260" s="101">
        <v>1</v>
      </c>
      <c r="I260" s="102">
        <v>0.4</v>
      </c>
      <c r="J260" s="102">
        <v>1.25</v>
      </c>
      <c r="K260" s="101">
        <v>7</v>
      </c>
      <c r="L260" s="101">
        <v>0.6</v>
      </c>
      <c r="M260" s="101" t="s">
        <v>1001</v>
      </c>
      <c r="N260" s="101">
        <v>2002</v>
      </c>
      <c r="O260" s="101" t="s">
        <v>753</v>
      </c>
      <c r="P260" s="101">
        <v>879114</v>
      </c>
      <c r="Q260" t="s">
        <v>790</v>
      </c>
      <c r="R260" t="s">
        <v>293</v>
      </c>
      <c r="S260"/>
      <c r="T260"/>
      <c r="U260"/>
      <c r="V260" s="220"/>
    </row>
    <row r="261" spans="1:22" x14ac:dyDescent="0.2">
      <c r="A261" t="s">
        <v>1115</v>
      </c>
      <c r="B261" s="101"/>
      <c r="C261" s="101"/>
      <c r="D261" s="101"/>
      <c r="E261" s="101"/>
      <c r="F261" s="101"/>
      <c r="G261" s="101"/>
      <c r="H261" s="101"/>
      <c r="I261" s="102">
        <v>0.4</v>
      </c>
      <c r="J261" s="102" t="e">
        <v>#N/A</v>
      </c>
      <c r="K261" s="101"/>
      <c r="L261" s="101"/>
      <c r="M261" s="101" t="s">
        <v>1001</v>
      </c>
      <c r="N261" s="101">
        <v>2012</v>
      </c>
      <c r="O261" s="101" t="s">
        <v>633</v>
      </c>
      <c r="P261" s="101">
        <v>734319</v>
      </c>
      <c r="Q261" t="s">
        <v>522</v>
      </c>
      <c r="R261" t="s">
        <v>626</v>
      </c>
      <c r="S261" t="s">
        <v>1024</v>
      </c>
      <c r="T261"/>
      <c r="U261"/>
      <c r="V261" s="220"/>
    </row>
    <row r="262" spans="1:22" x14ac:dyDescent="0.2">
      <c r="A262" t="s">
        <v>1116</v>
      </c>
      <c r="B262" s="101">
        <v>8</v>
      </c>
      <c r="C262" s="101">
        <v>2</v>
      </c>
      <c r="D262" s="101">
        <v>2</v>
      </c>
      <c r="E262" s="101">
        <v>8</v>
      </c>
      <c r="F262" s="101">
        <v>17</v>
      </c>
      <c r="G262" s="101">
        <v>21</v>
      </c>
      <c r="H262" s="101">
        <v>3.8000000000000003</v>
      </c>
      <c r="I262" s="102">
        <v>0.41000000000000003</v>
      </c>
      <c r="J262" s="102">
        <v>0.98</v>
      </c>
      <c r="K262" s="101">
        <v>4.2</v>
      </c>
      <c r="L262" s="101">
        <v>0.9</v>
      </c>
      <c r="M262" s="101" t="s">
        <v>1001</v>
      </c>
      <c r="N262" s="101">
        <v>2005</v>
      </c>
      <c r="O262" s="101" t="s">
        <v>753</v>
      </c>
      <c r="P262" s="101">
        <v>963462</v>
      </c>
      <c r="Q262" t="s">
        <v>433</v>
      </c>
      <c r="R262" t="s">
        <v>293</v>
      </c>
      <c r="S262"/>
      <c r="T262"/>
      <c r="U262"/>
      <c r="V262" s="220"/>
    </row>
    <row r="263" spans="1:22" x14ac:dyDescent="0.2">
      <c r="A263" t="s">
        <v>381</v>
      </c>
      <c r="B263" s="101">
        <v>11</v>
      </c>
      <c r="C263" s="101">
        <v>1</v>
      </c>
      <c r="D263" s="101">
        <v>2</v>
      </c>
      <c r="E263" s="101">
        <v>15</v>
      </c>
      <c r="F263" s="101">
        <v>22</v>
      </c>
      <c r="G263" s="101">
        <v>12</v>
      </c>
      <c r="H263" s="101">
        <v>2.3000000000000003</v>
      </c>
      <c r="I263" s="102">
        <v>0.41000000000000003</v>
      </c>
      <c r="J263" s="102">
        <v>1.4000000000000001</v>
      </c>
      <c r="K263" s="101">
        <v>14.9</v>
      </c>
      <c r="L263" s="101">
        <v>0.4</v>
      </c>
      <c r="M263" s="101" t="s">
        <v>1001</v>
      </c>
      <c r="N263" s="101">
        <v>2000</v>
      </c>
      <c r="O263" s="101" t="s">
        <v>753</v>
      </c>
      <c r="P263" s="101">
        <v>393314</v>
      </c>
      <c r="Q263" t="s">
        <v>859</v>
      </c>
      <c r="R263" t="s">
        <v>671</v>
      </c>
      <c r="S263"/>
      <c r="T263"/>
      <c r="U263"/>
      <c r="V263" s="220"/>
    </row>
    <row r="264" spans="1:22" x14ac:dyDescent="0.2">
      <c r="A264" t="s">
        <v>517</v>
      </c>
      <c r="B264" s="101">
        <v>5</v>
      </c>
      <c r="C264" s="101">
        <v>2</v>
      </c>
      <c r="D264" s="101">
        <v>-6</v>
      </c>
      <c r="E264" s="101">
        <v>-2</v>
      </c>
      <c r="F264" s="101">
        <v>2</v>
      </c>
      <c r="G264" s="101">
        <v>-38</v>
      </c>
      <c r="H264" s="101">
        <v>-9.2000000000000011</v>
      </c>
      <c r="I264" s="102">
        <v>0.41000000000000003</v>
      </c>
      <c r="J264" s="102">
        <v>2.4700000000000002</v>
      </c>
      <c r="K264" s="101">
        <v>22.900000000000002</v>
      </c>
      <c r="L264" s="101">
        <v>0.1</v>
      </c>
      <c r="M264" s="101" t="s">
        <v>1001</v>
      </c>
      <c r="N264" s="101">
        <v>2001</v>
      </c>
      <c r="O264" s="101" t="s">
        <v>753</v>
      </c>
      <c r="P264" s="101">
        <v>752204</v>
      </c>
      <c r="Q264" t="s">
        <v>174</v>
      </c>
      <c r="R264" t="s">
        <v>368</v>
      </c>
      <c r="S264"/>
      <c r="T264"/>
      <c r="U264"/>
      <c r="V264" s="220"/>
    </row>
    <row r="265" spans="1:22" x14ac:dyDescent="0.2">
      <c r="A265" t="s">
        <v>40</v>
      </c>
      <c r="B265" s="101">
        <v>13</v>
      </c>
      <c r="C265" s="101">
        <v>4</v>
      </c>
      <c r="D265" s="101">
        <v>1</v>
      </c>
      <c r="E265" s="101">
        <v>16</v>
      </c>
      <c r="F265" s="101">
        <v>5</v>
      </c>
      <c r="G265" s="101">
        <v>-21</v>
      </c>
      <c r="H265" s="101">
        <v>-4.6000000000000005</v>
      </c>
      <c r="I265" s="102">
        <v>0.41000000000000003</v>
      </c>
      <c r="J265" s="102">
        <v>1.3</v>
      </c>
      <c r="K265" s="101">
        <v>16.600000000000001</v>
      </c>
      <c r="L265" s="101">
        <v>0.1</v>
      </c>
      <c r="M265" s="101" t="s">
        <v>1001</v>
      </c>
      <c r="N265" s="101">
        <v>2005</v>
      </c>
      <c r="O265" s="101" t="s">
        <v>753</v>
      </c>
      <c r="P265" s="101">
        <v>484923</v>
      </c>
      <c r="Q265" t="s">
        <v>790</v>
      </c>
      <c r="R265" t="s">
        <v>748</v>
      </c>
      <c r="S265"/>
      <c r="T265"/>
      <c r="U265"/>
      <c r="V265" s="220"/>
    </row>
    <row r="266" spans="1:22" x14ac:dyDescent="0.2">
      <c r="A266" t="s">
        <v>791</v>
      </c>
      <c r="B266" s="101">
        <v>9</v>
      </c>
      <c r="C266" s="101">
        <v>1</v>
      </c>
      <c r="D266" s="101">
        <v>1</v>
      </c>
      <c r="E266" s="101">
        <v>9</v>
      </c>
      <c r="F266" s="101">
        <v>13</v>
      </c>
      <c r="G266" s="101">
        <v>-14</v>
      </c>
      <c r="H266" s="101">
        <v>-3</v>
      </c>
      <c r="I266" s="102">
        <v>0.41000000000000003</v>
      </c>
      <c r="J266" s="102">
        <v>1.31</v>
      </c>
      <c r="K266" s="101">
        <v>9.4</v>
      </c>
      <c r="L266" s="101">
        <v>0.3</v>
      </c>
      <c r="M266" s="101" t="s">
        <v>1001</v>
      </c>
      <c r="N266" s="101">
        <v>2007</v>
      </c>
      <c r="O266" s="101" t="s">
        <v>633</v>
      </c>
      <c r="P266" s="101">
        <v>537696</v>
      </c>
      <c r="Q266" t="s">
        <v>792</v>
      </c>
      <c r="R266" t="s">
        <v>473</v>
      </c>
      <c r="S266"/>
      <c r="T266"/>
      <c r="U266"/>
      <c r="V266" s="220"/>
    </row>
    <row r="267" spans="1:22" x14ac:dyDescent="0.2">
      <c r="A267" t="s">
        <v>784</v>
      </c>
      <c r="B267" s="101">
        <v>2</v>
      </c>
      <c r="C267" s="101">
        <v>4</v>
      </c>
      <c r="D267" s="101">
        <v>0</v>
      </c>
      <c r="E267" s="101">
        <v>3</v>
      </c>
      <c r="F267" s="101">
        <v>-1</v>
      </c>
      <c r="G267" s="101">
        <v>-11</v>
      </c>
      <c r="H267" s="101">
        <v>-2.4</v>
      </c>
      <c r="I267" s="102">
        <v>0.41000000000000003</v>
      </c>
      <c r="J267" s="102">
        <v>1</v>
      </c>
      <c r="K267" s="101">
        <v>6.6000000000000005</v>
      </c>
      <c r="L267" s="101">
        <v>-0.2</v>
      </c>
      <c r="M267" s="101" t="s">
        <v>1002</v>
      </c>
      <c r="N267" s="101">
        <v>2000</v>
      </c>
      <c r="O267" s="101" t="s">
        <v>633</v>
      </c>
      <c r="P267" s="101">
        <v>132175</v>
      </c>
      <c r="Q267" t="s">
        <v>782</v>
      </c>
      <c r="R267" t="s">
        <v>626</v>
      </c>
      <c r="S267"/>
      <c r="T267"/>
      <c r="U267"/>
      <c r="V267" s="220"/>
    </row>
    <row r="268" spans="1:22" x14ac:dyDescent="0.2">
      <c r="A268" t="s">
        <v>568</v>
      </c>
      <c r="B268" s="101">
        <v>-6</v>
      </c>
      <c r="C268" s="101">
        <v>1</v>
      </c>
      <c r="D268" s="101">
        <v>-10</v>
      </c>
      <c r="E268" s="101">
        <v>-5</v>
      </c>
      <c r="F268" s="101">
        <v>-6</v>
      </c>
      <c r="G268" s="101">
        <v>-8</v>
      </c>
      <c r="H268" s="101">
        <v>-1.6</v>
      </c>
      <c r="I268" s="102">
        <v>0.41000000000000003</v>
      </c>
      <c r="J268" s="102">
        <v>1.75</v>
      </c>
      <c r="K268" s="101">
        <v>16.100000000000001</v>
      </c>
      <c r="L268" s="101">
        <v>-0.2</v>
      </c>
      <c r="M268" s="101" t="s">
        <v>1001</v>
      </c>
      <c r="N268" s="101">
        <v>2008</v>
      </c>
      <c r="O268" s="101" t="s">
        <v>753</v>
      </c>
      <c r="P268" s="101">
        <v>588699</v>
      </c>
      <c r="Q268" t="s">
        <v>703</v>
      </c>
      <c r="R268" t="s">
        <v>369</v>
      </c>
      <c r="S268"/>
      <c r="T268"/>
      <c r="U268"/>
      <c r="V268" s="220"/>
    </row>
    <row r="269" spans="1:22" x14ac:dyDescent="0.2">
      <c r="A269" t="s">
        <v>1019</v>
      </c>
      <c r="B269" s="101"/>
      <c r="C269" s="101">
        <v>2</v>
      </c>
      <c r="D269" s="101">
        <v>3</v>
      </c>
      <c r="E269" s="101"/>
      <c r="F269" s="101"/>
      <c r="G269" s="101"/>
      <c r="H269" s="101"/>
      <c r="I269" s="102">
        <v>0.41000000000000003</v>
      </c>
      <c r="J269" s="102">
        <v>1.2</v>
      </c>
      <c r="K269" s="101"/>
      <c r="L269" s="101"/>
      <c r="M269" s="101" t="s">
        <v>1001</v>
      </c>
      <c r="N269" s="101">
        <v>2012</v>
      </c>
      <c r="O269" s="101" t="s">
        <v>633</v>
      </c>
      <c r="P269" s="101">
        <v>299511</v>
      </c>
      <c r="Q269" t="s">
        <v>828</v>
      </c>
      <c r="R269" t="s">
        <v>626</v>
      </c>
      <c r="S269"/>
      <c r="T269"/>
      <c r="U269"/>
      <c r="V269" s="220"/>
    </row>
    <row r="270" spans="1:22" x14ac:dyDescent="0.2">
      <c r="A270" t="s">
        <v>267</v>
      </c>
      <c r="B270" s="101">
        <v>10</v>
      </c>
      <c r="C270" s="101">
        <v>0</v>
      </c>
      <c r="D270" s="101">
        <v>0</v>
      </c>
      <c r="E270" s="101">
        <v>14</v>
      </c>
      <c r="F270" s="101">
        <v>15</v>
      </c>
      <c r="G270" s="101">
        <v>-3</v>
      </c>
      <c r="H270" s="101">
        <v>-0.6</v>
      </c>
      <c r="I270" s="102">
        <v>0.41000000000000003</v>
      </c>
      <c r="J270" s="102">
        <v>1.3</v>
      </c>
      <c r="K270" s="101">
        <v>13.8</v>
      </c>
      <c r="L270" s="101">
        <v>0.3</v>
      </c>
      <c r="M270" s="101" t="s">
        <v>1001</v>
      </c>
      <c r="N270" s="101">
        <v>2002</v>
      </c>
      <c r="O270" s="101" t="s">
        <v>753</v>
      </c>
      <c r="P270" s="101">
        <v>158261</v>
      </c>
      <c r="Q270" t="s">
        <v>790</v>
      </c>
      <c r="R270" t="s">
        <v>671</v>
      </c>
      <c r="S270"/>
      <c r="T270"/>
      <c r="U270"/>
      <c r="V270" s="220"/>
    </row>
    <row r="271" spans="1:22" x14ac:dyDescent="0.2">
      <c r="A271" t="s">
        <v>689</v>
      </c>
      <c r="B271" s="101">
        <v>16</v>
      </c>
      <c r="C271" s="101">
        <v>3</v>
      </c>
      <c r="D271" s="101">
        <v>-3</v>
      </c>
      <c r="E271" s="101">
        <v>22</v>
      </c>
      <c r="F271" s="101">
        <v>42</v>
      </c>
      <c r="G271" s="101"/>
      <c r="H271" s="101"/>
      <c r="I271" s="102">
        <v>0.42</v>
      </c>
      <c r="J271" s="102">
        <v>1.41</v>
      </c>
      <c r="K271" s="101">
        <v>18.900000000000002</v>
      </c>
      <c r="L271" s="101">
        <v>0.6</v>
      </c>
      <c r="M271" s="101" t="s">
        <v>1001</v>
      </c>
      <c r="N271" s="101">
        <v>2009</v>
      </c>
      <c r="O271" s="101" t="s">
        <v>753</v>
      </c>
      <c r="P271" s="101">
        <v>140491</v>
      </c>
      <c r="Q271" t="s">
        <v>682</v>
      </c>
      <c r="R271" t="s">
        <v>748</v>
      </c>
      <c r="S271"/>
      <c r="T271"/>
      <c r="U271"/>
      <c r="V271" s="220"/>
    </row>
    <row r="272" spans="1:22" x14ac:dyDescent="0.2">
      <c r="A272" t="s">
        <v>337</v>
      </c>
      <c r="B272" s="101">
        <v>-1</v>
      </c>
      <c r="C272" s="101">
        <v>-5</v>
      </c>
      <c r="D272" s="101">
        <v>-8</v>
      </c>
      <c r="E272" s="101">
        <v>1</v>
      </c>
      <c r="F272" s="101">
        <v>3</v>
      </c>
      <c r="G272" s="101">
        <v>-21</v>
      </c>
      <c r="H272" s="101">
        <v>-4.6000000000000005</v>
      </c>
      <c r="I272" s="102">
        <v>0.42</v>
      </c>
      <c r="J272" s="102">
        <v>1.45</v>
      </c>
      <c r="K272" s="101">
        <v>11.1</v>
      </c>
      <c r="L272" s="101">
        <v>0</v>
      </c>
      <c r="M272" s="101" t="s">
        <v>1001</v>
      </c>
      <c r="N272" s="101">
        <v>2000</v>
      </c>
      <c r="O272" s="101" t="s">
        <v>633</v>
      </c>
      <c r="P272" s="101">
        <v>914358</v>
      </c>
      <c r="Q272" t="s">
        <v>859</v>
      </c>
      <c r="R272" t="s">
        <v>261</v>
      </c>
      <c r="S272"/>
      <c r="T272"/>
      <c r="U272"/>
      <c r="V272" s="220"/>
    </row>
    <row r="273" spans="1:22" x14ac:dyDescent="0.2">
      <c r="A273" t="s">
        <v>781</v>
      </c>
      <c r="B273" s="101">
        <v>12</v>
      </c>
      <c r="C273" s="101">
        <v>1</v>
      </c>
      <c r="D273" s="101">
        <v>1</v>
      </c>
      <c r="E273" s="101">
        <v>16</v>
      </c>
      <c r="F273" s="101">
        <v>22</v>
      </c>
      <c r="G273" s="101">
        <v>4</v>
      </c>
      <c r="H273" s="101">
        <v>0.8</v>
      </c>
      <c r="I273" s="102">
        <v>0.42</v>
      </c>
      <c r="J273" s="102">
        <v>1.400706</v>
      </c>
      <c r="K273" s="101">
        <v>17</v>
      </c>
      <c r="L273" s="101">
        <v>0.4</v>
      </c>
      <c r="M273" s="101" t="s">
        <v>1001</v>
      </c>
      <c r="N273" s="101">
        <v>2000</v>
      </c>
      <c r="O273" s="101" t="s">
        <v>753</v>
      </c>
      <c r="P273" s="101">
        <v>916189</v>
      </c>
      <c r="Q273" t="s">
        <v>677</v>
      </c>
      <c r="R273" t="s">
        <v>671</v>
      </c>
      <c r="S273"/>
      <c r="T273"/>
      <c r="U273"/>
      <c r="V273" s="220"/>
    </row>
    <row r="274" spans="1:22" x14ac:dyDescent="0.2">
      <c r="A274" t="s">
        <v>366</v>
      </c>
      <c r="B274" s="101">
        <v>6</v>
      </c>
      <c r="C274" s="101">
        <v>1</v>
      </c>
      <c r="D274" s="101">
        <v>1</v>
      </c>
      <c r="E274" s="101">
        <v>7</v>
      </c>
      <c r="F274" s="101">
        <v>9</v>
      </c>
      <c r="G274" s="101">
        <v>-2</v>
      </c>
      <c r="H274" s="101">
        <v>-0.4</v>
      </c>
      <c r="I274" s="102">
        <v>0.42</v>
      </c>
      <c r="J274" s="102">
        <v>1.4011089999999999</v>
      </c>
      <c r="K274" s="101">
        <v>5.8</v>
      </c>
      <c r="L274" s="101">
        <v>0.2</v>
      </c>
      <c r="M274" s="101" t="s">
        <v>1001</v>
      </c>
      <c r="N274" s="101">
        <v>2000</v>
      </c>
      <c r="O274" s="101" t="s">
        <v>753</v>
      </c>
      <c r="P274" s="101">
        <v>665372</v>
      </c>
      <c r="Q274" t="s">
        <v>677</v>
      </c>
      <c r="R274" t="s">
        <v>293</v>
      </c>
      <c r="S274"/>
      <c r="T274"/>
      <c r="U274"/>
      <c r="V274" s="220"/>
    </row>
    <row r="275" spans="1:22" x14ac:dyDescent="0.2">
      <c r="A275" t="s">
        <v>1018</v>
      </c>
      <c r="B275" s="101">
        <v>22</v>
      </c>
      <c r="C275" s="101">
        <v>5</v>
      </c>
      <c r="D275" s="101">
        <v>3</v>
      </c>
      <c r="E275" s="101">
        <v>20</v>
      </c>
      <c r="F275" s="101">
        <v>5</v>
      </c>
      <c r="G275" s="101">
        <v>-14</v>
      </c>
      <c r="H275" s="101">
        <v>-3</v>
      </c>
      <c r="I275" s="102">
        <v>0.42</v>
      </c>
      <c r="J275" s="102">
        <v>1</v>
      </c>
      <c r="K275" s="101">
        <v>16.899999999999999</v>
      </c>
      <c r="L275" s="101">
        <v>0.1</v>
      </c>
      <c r="M275" s="101" t="s">
        <v>1003</v>
      </c>
      <c r="N275" s="101">
        <v>2012</v>
      </c>
      <c r="O275" s="101" t="s">
        <v>633</v>
      </c>
      <c r="P275" s="101">
        <v>116111</v>
      </c>
      <c r="Q275" t="s">
        <v>522</v>
      </c>
      <c r="R275" t="s">
        <v>239</v>
      </c>
      <c r="S275"/>
      <c r="T275"/>
      <c r="U275"/>
      <c r="V275" s="220"/>
    </row>
    <row r="276" spans="1:22" x14ac:dyDescent="0.2">
      <c r="A276" t="s">
        <v>296</v>
      </c>
      <c r="B276" s="101">
        <v>10</v>
      </c>
      <c r="C276" s="101">
        <v>3</v>
      </c>
      <c r="D276" s="101">
        <v>3</v>
      </c>
      <c r="E276" s="101">
        <v>11</v>
      </c>
      <c r="F276" s="101">
        <v>9</v>
      </c>
      <c r="G276" s="101">
        <v>-7</v>
      </c>
      <c r="H276" s="101">
        <v>-1.5</v>
      </c>
      <c r="I276" s="102">
        <v>0.42</v>
      </c>
      <c r="J276" s="102">
        <v>1.52</v>
      </c>
      <c r="K276" s="101">
        <v>6.5</v>
      </c>
      <c r="L276" s="101">
        <v>0.2</v>
      </c>
      <c r="M276" s="101" t="s">
        <v>1001</v>
      </c>
      <c r="N276" s="101">
        <v>2000</v>
      </c>
      <c r="O276" s="101" t="s">
        <v>753</v>
      </c>
      <c r="P276" s="101">
        <v>599795</v>
      </c>
      <c r="Q276" t="s">
        <v>699</v>
      </c>
      <c r="R276" t="s">
        <v>293</v>
      </c>
      <c r="S276"/>
      <c r="T276"/>
      <c r="U276"/>
      <c r="V276" s="220"/>
    </row>
    <row r="277" spans="1:22" x14ac:dyDescent="0.2">
      <c r="A277" t="s">
        <v>229</v>
      </c>
      <c r="B277" s="101">
        <v>22</v>
      </c>
      <c r="C277" s="101">
        <v>14</v>
      </c>
      <c r="D277" s="101">
        <v>9</v>
      </c>
      <c r="E277" s="101">
        <v>14</v>
      </c>
      <c r="F277" s="101">
        <v>14</v>
      </c>
      <c r="G277" s="101">
        <v>17</v>
      </c>
      <c r="H277" s="101">
        <v>3.1</v>
      </c>
      <c r="I277" s="102">
        <v>0.42</v>
      </c>
      <c r="J277" s="102">
        <v>1.02</v>
      </c>
      <c r="K277" s="101">
        <v>13.5</v>
      </c>
      <c r="L277" s="101">
        <v>0.3</v>
      </c>
      <c r="M277" s="101" t="s">
        <v>1002</v>
      </c>
      <c r="N277" s="101">
        <v>2007</v>
      </c>
      <c r="O277" s="101" t="s">
        <v>633</v>
      </c>
      <c r="P277" s="101">
        <v>335463</v>
      </c>
      <c r="Q277" t="s">
        <v>362</v>
      </c>
      <c r="R277" t="s">
        <v>626</v>
      </c>
      <c r="S277"/>
      <c r="T277"/>
      <c r="U277"/>
      <c r="V277" s="220"/>
    </row>
    <row r="278" spans="1:22" x14ac:dyDescent="0.2">
      <c r="A278" t="s">
        <v>55</v>
      </c>
      <c r="B278" s="101">
        <v>10</v>
      </c>
      <c r="C278" s="101">
        <v>8</v>
      </c>
      <c r="D278" s="101">
        <v>6</v>
      </c>
      <c r="E278" s="101">
        <v>12</v>
      </c>
      <c r="F278" s="101">
        <v>0</v>
      </c>
      <c r="G278" s="101">
        <v>-28</v>
      </c>
      <c r="H278" s="101">
        <v>-6.3</v>
      </c>
      <c r="I278" s="102">
        <v>0.42</v>
      </c>
      <c r="J278" s="102">
        <v>1.53</v>
      </c>
      <c r="K278" s="101">
        <v>12.9</v>
      </c>
      <c r="L278" s="101">
        <v>-0.1</v>
      </c>
      <c r="M278" s="101" t="s">
        <v>1001</v>
      </c>
      <c r="N278" s="101">
        <v>2000</v>
      </c>
      <c r="O278" s="101" t="s">
        <v>753</v>
      </c>
      <c r="P278" s="101">
        <v>492306</v>
      </c>
      <c r="Q278" t="s">
        <v>699</v>
      </c>
      <c r="R278" t="s">
        <v>44</v>
      </c>
      <c r="S278"/>
      <c r="T278"/>
      <c r="U278"/>
      <c r="V278" s="220"/>
    </row>
    <row r="279" spans="1:22" x14ac:dyDescent="0.2">
      <c r="A279" t="s">
        <v>149</v>
      </c>
      <c r="B279" s="101">
        <v>13</v>
      </c>
      <c r="C279" s="101">
        <v>7</v>
      </c>
      <c r="D279" s="101">
        <v>2</v>
      </c>
      <c r="E279" s="101">
        <v>19</v>
      </c>
      <c r="F279" s="101">
        <v>15</v>
      </c>
      <c r="G279" s="101">
        <v>-10</v>
      </c>
      <c r="H279" s="101">
        <v>-2.1</v>
      </c>
      <c r="I279" s="102">
        <v>0.42</v>
      </c>
      <c r="J279" s="102">
        <v>1.53</v>
      </c>
      <c r="K279" s="101">
        <v>10.5</v>
      </c>
      <c r="L279" s="101">
        <v>0.3</v>
      </c>
      <c r="M279" s="101" t="s">
        <v>1001</v>
      </c>
      <c r="N279" s="101">
        <v>2004</v>
      </c>
      <c r="O279" s="101" t="s">
        <v>753</v>
      </c>
      <c r="P279" s="101">
        <v>522581</v>
      </c>
      <c r="Q279" t="s">
        <v>699</v>
      </c>
      <c r="R279" t="s">
        <v>145</v>
      </c>
      <c r="S279"/>
      <c r="T279"/>
      <c r="U279"/>
      <c r="V279" s="220"/>
    </row>
    <row r="280" spans="1:22" x14ac:dyDescent="0.2">
      <c r="A280" t="s">
        <v>116</v>
      </c>
      <c r="B280" s="101">
        <v>7</v>
      </c>
      <c r="C280" s="101">
        <v>-1</v>
      </c>
      <c r="D280" s="101">
        <v>-1</v>
      </c>
      <c r="E280" s="101">
        <v>14</v>
      </c>
      <c r="F280" s="101">
        <v>23</v>
      </c>
      <c r="G280" s="101">
        <v>1</v>
      </c>
      <c r="H280" s="101">
        <v>0.3</v>
      </c>
      <c r="I280" s="102">
        <v>0.42</v>
      </c>
      <c r="J280" s="102">
        <v>1.53</v>
      </c>
      <c r="K280" s="101">
        <v>9.6</v>
      </c>
      <c r="L280" s="101">
        <v>0.6</v>
      </c>
      <c r="M280" s="101" t="s">
        <v>1001</v>
      </c>
      <c r="N280" s="101">
        <v>2000</v>
      </c>
      <c r="O280" s="101" t="s">
        <v>753</v>
      </c>
      <c r="P280" s="101">
        <v>456475</v>
      </c>
      <c r="Q280" t="s">
        <v>699</v>
      </c>
      <c r="R280" t="s">
        <v>102</v>
      </c>
      <c r="S280"/>
      <c r="T280"/>
      <c r="U280"/>
      <c r="V280" s="220"/>
    </row>
    <row r="281" spans="1:22" x14ac:dyDescent="0.2">
      <c r="A281" t="s">
        <v>150</v>
      </c>
      <c r="B281" s="101">
        <v>11</v>
      </c>
      <c r="C281" s="101">
        <v>4</v>
      </c>
      <c r="D281" s="101">
        <v>0</v>
      </c>
      <c r="E281" s="101">
        <v>13</v>
      </c>
      <c r="F281" s="101">
        <v>7</v>
      </c>
      <c r="G281" s="101">
        <v>-14</v>
      </c>
      <c r="H281" s="101">
        <v>-3.1</v>
      </c>
      <c r="I281" s="102">
        <v>0.42</v>
      </c>
      <c r="J281" s="102">
        <v>1.52</v>
      </c>
      <c r="K281" s="101">
        <v>11.5</v>
      </c>
      <c r="L281" s="101">
        <v>0.1</v>
      </c>
      <c r="M281" s="101" t="s">
        <v>1001</v>
      </c>
      <c r="N281" s="101">
        <v>2000</v>
      </c>
      <c r="O281" s="101" t="s">
        <v>753</v>
      </c>
      <c r="P281" s="101">
        <v>563965</v>
      </c>
      <c r="Q281" t="s">
        <v>699</v>
      </c>
      <c r="R281" t="s">
        <v>145</v>
      </c>
      <c r="S281"/>
      <c r="T281"/>
      <c r="U281"/>
      <c r="V281" s="220"/>
    </row>
    <row r="282" spans="1:22" x14ac:dyDescent="0.2">
      <c r="A282" t="s">
        <v>903</v>
      </c>
      <c r="B282" s="101">
        <v>3</v>
      </c>
      <c r="C282" s="101">
        <v>1</v>
      </c>
      <c r="D282" s="101">
        <v>2</v>
      </c>
      <c r="E282" s="101">
        <v>4</v>
      </c>
      <c r="F282" s="101"/>
      <c r="G282" s="101"/>
      <c r="H282" s="101"/>
      <c r="I282" s="102">
        <v>0.42</v>
      </c>
      <c r="J282" s="102">
        <v>1.593046</v>
      </c>
      <c r="K282" s="101"/>
      <c r="L282" s="101"/>
      <c r="M282" s="101" t="s">
        <v>1001</v>
      </c>
      <c r="N282" s="101">
        <v>2011</v>
      </c>
      <c r="O282" s="101" t="s">
        <v>633</v>
      </c>
      <c r="P282" s="101">
        <v>155606</v>
      </c>
      <c r="Q282" t="s">
        <v>397</v>
      </c>
      <c r="R282" t="s">
        <v>301</v>
      </c>
      <c r="S282"/>
      <c r="T282"/>
      <c r="U282"/>
      <c r="V282" s="220"/>
    </row>
    <row r="283" spans="1:22" x14ac:dyDescent="0.2">
      <c r="A283" t="s">
        <v>954</v>
      </c>
      <c r="B283" s="101">
        <v>4</v>
      </c>
      <c r="C283" s="101">
        <v>0</v>
      </c>
      <c r="D283" s="101">
        <v>-1</v>
      </c>
      <c r="E283" s="101">
        <v>7</v>
      </c>
      <c r="F283" s="101">
        <v>1</v>
      </c>
      <c r="G283" s="101">
        <v>-4</v>
      </c>
      <c r="H283" s="101">
        <v>-0.70000000000000007</v>
      </c>
      <c r="I283" s="102">
        <v>0.43</v>
      </c>
      <c r="J283" s="102">
        <v>1.03</v>
      </c>
      <c r="K283" s="101">
        <v>9.1</v>
      </c>
      <c r="L283" s="101">
        <v>-0.1</v>
      </c>
      <c r="M283" s="101" t="s">
        <v>1005</v>
      </c>
      <c r="N283" s="101">
        <v>2006</v>
      </c>
      <c r="O283" s="101" t="s">
        <v>633</v>
      </c>
      <c r="P283" s="101">
        <v>551093</v>
      </c>
      <c r="Q283" t="s">
        <v>752</v>
      </c>
      <c r="R283" t="s">
        <v>615</v>
      </c>
      <c r="S283"/>
      <c r="T283"/>
      <c r="U283"/>
      <c r="V283" s="220"/>
    </row>
    <row r="284" spans="1:22" x14ac:dyDescent="0.2">
      <c r="A284" t="s">
        <v>108</v>
      </c>
      <c r="B284" s="101">
        <v>5</v>
      </c>
      <c r="C284" s="101">
        <v>2</v>
      </c>
      <c r="D284" s="101">
        <v>-7</v>
      </c>
      <c r="E284" s="101">
        <v>0</v>
      </c>
      <c r="F284" s="101">
        <v>-6</v>
      </c>
      <c r="G284" s="101">
        <v>-35</v>
      </c>
      <c r="H284" s="101">
        <v>-8.1999999999999993</v>
      </c>
      <c r="I284" s="102">
        <v>0.43</v>
      </c>
      <c r="J284" s="102">
        <v>1.84</v>
      </c>
      <c r="K284" s="101">
        <v>22.6</v>
      </c>
      <c r="L284" s="101">
        <v>0</v>
      </c>
      <c r="M284" s="101" t="s">
        <v>1001</v>
      </c>
      <c r="N284" s="101">
        <v>2007</v>
      </c>
      <c r="O284" s="101" t="s">
        <v>633</v>
      </c>
      <c r="P284" s="101">
        <v>433862</v>
      </c>
      <c r="Q284" t="s">
        <v>505</v>
      </c>
      <c r="R284" t="s">
        <v>368</v>
      </c>
      <c r="S284"/>
      <c r="T284"/>
      <c r="U284"/>
      <c r="V284" s="220"/>
    </row>
    <row r="285" spans="1:22" x14ac:dyDescent="0.2">
      <c r="A285" t="s">
        <v>384</v>
      </c>
      <c r="B285" s="101">
        <v>11</v>
      </c>
      <c r="C285" s="101">
        <v>3</v>
      </c>
      <c r="D285" s="101">
        <v>3</v>
      </c>
      <c r="E285" s="101">
        <v>13</v>
      </c>
      <c r="F285" s="101">
        <v>16</v>
      </c>
      <c r="G285" s="101">
        <v>2</v>
      </c>
      <c r="H285" s="101">
        <v>0.3</v>
      </c>
      <c r="I285" s="102">
        <v>0.43</v>
      </c>
      <c r="J285" s="102">
        <v>1.5</v>
      </c>
      <c r="K285" s="101">
        <v>11.5</v>
      </c>
      <c r="L285" s="101">
        <v>0.3</v>
      </c>
      <c r="M285" s="101" t="s">
        <v>1001</v>
      </c>
      <c r="N285" s="101">
        <v>2000</v>
      </c>
      <c r="O285" s="101" t="s">
        <v>753</v>
      </c>
      <c r="P285" s="101">
        <v>357483</v>
      </c>
      <c r="Q285" t="s">
        <v>859</v>
      </c>
      <c r="R285" t="s">
        <v>730</v>
      </c>
      <c r="S285"/>
      <c r="T285"/>
      <c r="U285"/>
      <c r="V285" s="220"/>
    </row>
    <row r="286" spans="1:22" x14ac:dyDescent="0.2">
      <c r="A286" t="s">
        <v>383</v>
      </c>
      <c r="B286" s="101">
        <v>6</v>
      </c>
      <c r="C286" s="101">
        <v>5</v>
      </c>
      <c r="D286" s="101">
        <v>13</v>
      </c>
      <c r="E286" s="101">
        <v>2</v>
      </c>
      <c r="F286" s="101">
        <v>31</v>
      </c>
      <c r="G286" s="101">
        <v>-29</v>
      </c>
      <c r="H286" s="101">
        <v>-6.7</v>
      </c>
      <c r="I286" s="102">
        <v>0.43</v>
      </c>
      <c r="J286" s="102">
        <v>1.5</v>
      </c>
      <c r="K286" s="101"/>
      <c r="L286" s="101"/>
      <c r="M286" s="101" t="s">
        <v>1001</v>
      </c>
      <c r="N286" s="101">
        <v>2000</v>
      </c>
      <c r="O286" s="101" t="s">
        <v>753</v>
      </c>
      <c r="P286" s="101">
        <v>321653</v>
      </c>
      <c r="Q286" t="s">
        <v>859</v>
      </c>
      <c r="R286" t="s">
        <v>145</v>
      </c>
      <c r="S286"/>
      <c r="T286"/>
      <c r="U286"/>
      <c r="V286" s="220"/>
    </row>
    <row r="287" spans="1:22" x14ac:dyDescent="0.2">
      <c r="A287" t="s">
        <v>1117</v>
      </c>
      <c r="B287" s="101">
        <v>0</v>
      </c>
      <c r="C287" s="101">
        <v>-1</v>
      </c>
      <c r="D287" s="101">
        <v>-1</v>
      </c>
      <c r="E287" s="101">
        <v>0</v>
      </c>
      <c r="F287" s="101">
        <v>-2</v>
      </c>
      <c r="G287" s="101">
        <v>-7</v>
      </c>
      <c r="H287" s="101">
        <v>-1.5</v>
      </c>
      <c r="I287" s="102">
        <v>0.43</v>
      </c>
      <c r="J287" s="102">
        <v>1.5</v>
      </c>
      <c r="K287" s="101">
        <v>6.7</v>
      </c>
      <c r="L287" s="101">
        <v>-0.3</v>
      </c>
      <c r="M287" s="101" t="s">
        <v>1001</v>
      </c>
      <c r="N287" s="101">
        <v>2005</v>
      </c>
      <c r="O287" s="101" t="s">
        <v>633</v>
      </c>
      <c r="P287" s="101">
        <v>887554</v>
      </c>
      <c r="Q287" t="s">
        <v>764</v>
      </c>
      <c r="R287" t="s">
        <v>292</v>
      </c>
      <c r="S287"/>
      <c r="T287"/>
      <c r="U287"/>
      <c r="V287" s="220"/>
    </row>
    <row r="288" spans="1:22" x14ac:dyDescent="0.2">
      <c r="A288" t="s">
        <v>1064</v>
      </c>
      <c r="B288" s="101">
        <v>5</v>
      </c>
      <c r="C288" s="101">
        <v>6</v>
      </c>
      <c r="D288" s="101">
        <v>-1</v>
      </c>
      <c r="E288" s="101">
        <v>2</v>
      </c>
      <c r="F288" s="101">
        <v>7</v>
      </c>
      <c r="G288" s="101">
        <v>-11</v>
      </c>
      <c r="H288" s="101">
        <v>-2.3000000000000003</v>
      </c>
      <c r="I288" s="102">
        <v>0.43</v>
      </c>
      <c r="J288" s="102">
        <v>2</v>
      </c>
      <c r="K288" s="101">
        <v>14.9</v>
      </c>
      <c r="L288" s="101">
        <v>0.1</v>
      </c>
      <c r="M288" s="101" t="s">
        <v>1003</v>
      </c>
      <c r="N288" s="101">
        <v>2008</v>
      </c>
      <c r="O288" s="101" t="s">
        <v>633</v>
      </c>
      <c r="P288" s="101">
        <v>571695</v>
      </c>
      <c r="Q288" t="s">
        <v>842</v>
      </c>
      <c r="R288" t="s">
        <v>44</v>
      </c>
      <c r="S288" t="s">
        <v>1024</v>
      </c>
      <c r="T288"/>
      <c r="U288"/>
      <c r="V288" s="220"/>
    </row>
    <row r="289" spans="1:22" x14ac:dyDescent="0.2">
      <c r="A289" t="s">
        <v>1065</v>
      </c>
      <c r="B289" s="101">
        <v>21</v>
      </c>
      <c r="C289" s="101">
        <v>5</v>
      </c>
      <c r="D289" s="101">
        <v>0</v>
      </c>
      <c r="E289" s="101">
        <v>14</v>
      </c>
      <c r="F289" s="101">
        <v>20</v>
      </c>
      <c r="G289" s="101">
        <v>-16</v>
      </c>
      <c r="H289" s="101">
        <v>-3.4</v>
      </c>
      <c r="I289" s="102">
        <v>0.43</v>
      </c>
      <c r="J289" s="102">
        <v>2</v>
      </c>
      <c r="K289" s="101">
        <v>20.6</v>
      </c>
      <c r="L289" s="101">
        <v>0.3</v>
      </c>
      <c r="M289" s="101" t="s">
        <v>1003</v>
      </c>
      <c r="N289" s="101">
        <v>2008</v>
      </c>
      <c r="O289" s="101" t="s">
        <v>633</v>
      </c>
      <c r="P289" s="101">
        <v>388298</v>
      </c>
      <c r="Q289" t="s">
        <v>842</v>
      </c>
      <c r="R289" t="s">
        <v>748</v>
      </c>
      <c r="S289" t="s">
        <v>1024</v>
      </c>
      <c r="T289"/>
      <c r="U289"/>
      <c r="V289" s="220"/>
    </row>
    <row r="290" spans="1:22" x14ac:dyDescent="0.2">
      <c r="A290" t="s">
        <v>744</v>
      </c>
      <c r="B290" s="101">
        <v>9</v>
      </c>
      <c r="C290" s="101">
        <v>1</v>
      </c>
      <c r="D290" s="101">
        <v>1</v>
      </c>
      <c r="E290" s="101">
        <v>14</v>
      </c>
      <c r="F290" s="101">
        <v>21</v>
      </c>
      <c r="G290" s="101">
        <v>-4</v>
      </c>
      <c r="H290" s="101">
        <v>-0.8</v>
      </c>
      <c r="I290" s="102">
        <v>0.43</v>
      </c>
      <c r="J290" s="102">
        <v>1.4000000000000001</v>
      </c>
      <c r="K290" s="101">
        <v>10.1</v>
      </c>
      <c r="L290" s="101">
        <v>0.5</v>
      </c>
      <c r="M290" s="101" t="s">
        <v>1001</v>
      </c>
      <c r="N290" s="101">
        <v>2002</v>
      </c>
      <c r="O290" s="101" t="s">
        <v>753</v>
      </c>
      <c r="P290" s="101">
        <v>301580</v>
      </c>
      <c r="Q290" t="s">
        <v>790</v>
      </c>
      <c r="R290" t="s">
        <v>730</v>
      </c>
      <c r="S290"/>
      <c r="T290"/>
      <c r="U290"/>
      <c r="V290" s="220"/>
    </row>
    <row r="291" spans="1:22" x14ac:dyDescent="0.2">
      <c r="A291" t="s">
        <v>49</v>
      </c>
      <c r="B291" s="101">
        <v>13</v>
      </c>
      <c r="C291" s="101">
        <v>8</v>
      </c>
      <c r="D291" s="101">
        <v>2</v>
      </c>
      <c r="E291" s="101">
        <v>16</v>
      </c>
      <c r="F291" s="101">
        <v>2</v>
      </c>
      <c r="G291" s="101">
        <v>-33</v>
      </c>
      <c r="H291" s="101">
        <v>-7.6000000000000005</v>
      </c>
      <c r="I291" s="102">
        <v>0.43</v>
      </c>
      <c r="J291" s="102">
        <v>1.4000000000000001</v>
      </c>
      <c r="K291" s="101">
        <v>12.9</v>
      </c>
      <c r="L291" s="101">
        <v>0</v>
      </c>
      <c r="M291" s="101" t="s">
        <v>1001</v>
      </c>
      <c r="N291" s="101">
        <v>2002</v>
      </c>
      <c r="O291" s="101" t="s">
        <v>753</v>
      </c>
      <c r="P291" s="101">
        <v>122432</v>
      </c>
      <c r="Q291" t="s">
        <v>790</v>
      </c>
      <c r="R291" t="s">
        <v>44</v>
      </c>
      <c r="S291"/>
      <c r="T291"/>
      <c r="U291"/>
      <c r="V291" s="220"/>
    </row>
    <row r="292" spans="1:22" x14ac:dyDescent="0.2">
      <c r="A292" t="s">
        <v>143</v>
      </c>
      <c r="B292" s="101">
        <v>8</v>
      </c>
      <c r="C292" s="101">
        <v>3</v>
      </c>
      <c r="D292" s="101">
        <v>-3</v>
      </c>
      <c r="E292" s="101">
        <v>5</v>
      </c>
      <c r="F292" s="101">
        <v>11</v>
      </c>
      <c r="G292" s="101">
        <v>-26</v>
      </c>
      <c r="H292" s="101">
        <v>-5.9</v>
      </c>
      <c r="I292" s="102">
        <v>0.43</v>
      </c>
      <c r="J292" s="102">
        <v>1.59</v>
      </c>
      <c r="K292" s="101">
        <v>14.200000000000001</v>
      </c>
      <c r="L292" s="101">
        <v>0.2</v>
      </c>
      <c r="M292" s="101" t="s">
        <v>1001</v>
      </c>
      <c r="N292" s="101">
        <v>2001</v>
      </c>
      <c r="O292" s="101" t="s">
        <v>753</v>
      </c>
      <c r="P292" s="101">
        <v>385401</v>
      </c>
      <c r="Q292" t="s">
        <v>699</v>
      </c>
      <c r="R292" t="s">
        <v>131</v>
      </c>
      <c r="S292"/>
      <c r="T292"/>
      <c r="U292"/>
      <c r="V292" s="220"/>
    </row>
    <row r="293" spans="1:22" x14ac:dyDescent="0.2">
      <c r="A293" t="s">
        <v>269</v>
      </c>
      <c r="B293" s="101">
        <v>4</v>
      </c>
      <c r="C293" s="101">
        <v>-1</v>
      </c>
      <c r="D293" s="101">
        <v>-7</v>
      </c>
      <c r="E293" s="101">
        <v>5</v>
      </c>
      <c r="F293" s="101">
        <v>11</v>
      </c>
      <c r="G293" s="101">
        <v>-16</v>
      </c>
      <c r="H293" s="101">
        <v>-3.4</v>
      </c>
      <c r="I293" s="102">
        <v>0.43</v>
      </c>
      <c r="J293" s="102">
        <v>1.57</v>
      </c>
      <c r="K293" s="101">
        <v>13</v>
      </c>
      <c r="L293" s="101">
        <v>0.2</v>
      </c>
      <c r="M293" s="101" t="s">
        <v>1001</v>
      </c>
      <c r="N293" s="101">
        <v>2000</v>
      </c>
      <c r="O293" s="101" t="s">
        <v>753</v>
      </c>
      <c r="P293" s="101">
        <v>126094</v>
      </c>
      <c r="Q293" t="s">
        <v>699</v>
      </c>
      <c r="R293" t="s">
        <v>261</v>
      </c>
      <c r="S293"/>
      <c r="T293"/>
      <c r="U293"/>
      <c r="V293" s="220"/>
    </row>
    <row r="294" spans="1:22" x14ac:dyDescent="0.2">
      <c r="A294" t="s">
        <v>109</v>
      </c>
      <c r="B294" s="101">
        <v>10</v>
      </c>
      <c r="C294" s="101">
        <v>7</v>
      </c>
      <c r="D294" s="101">
        <v>-1</v>
      </c>
      <c r="E294" s="101">
        <v>-4</v>
      </c>
      <c r="F294" s="101">
        <v>-9</v>
      </c>
      <c r="G294" s="101">
        <v>-34</v>
      </c>
      <c r="H294" s="101">
        <v>-8</v>
      </c>
      <c r="I294" s="102">
        <v>0.43</v>
      </c>
      <c r="J294" s="102">
        <v>1.84</v>
      </c>
      <c r="K294" s="101">
        <v>20.8</v>
      </c>
      <c r="L294" s="101">
        <v>-0.1</v>
      </c>
      <c r="M294" s="101" t="s">
        <v>1001</v>
      </c>
      <c r="N294" s="101">
        <v>2007</v>
      </c>
      <c r="O294" s="101" t="s">
        <v>633</v>
      </c>
      <c r="P294" s="101">
        <v>469692</v>
      </c>
      <c r="Q294" t="s">
        <v>505</v>
      </c>
      <c r="R294" t="s">
        <v>131</v>
      </c>
      <c r="S294"/>
      <c r="T294"/>
      <c r="U294"/>
      <c r="V294" s="220"/>
    </row>
    <row r="295" spans="1:22" x14ac:dyDescent="0.2">
      <c r="A295" t="s">
        <v>110</v>
      </c>
      <c r="B295" s="101">
        <v>7</v>
      </c>
      <c r="C295" s="101">
        <v>4</v>
      </c>
      <c r="D295" s="101">
        <v>-2</v>
      </c>
      <c r="E295" s="101">
        <v>5</v>
      </c>
      <c r="F295" s="101">
        <v>-1</v>
      </c>
      <c r="G295" s="101">
        <v>-26</v>
      </c>
      <c r="H295" s="101">
        <v>-5.9</v>
      </c>
      <c r="I295" s="102">
        <v>0.43</v>
      </c>
      <c r="J295" s="102">
        <v>1.84</v>
      </c>
      <c r="K295" s="101">
        <v>13.200000000000001</v>
      </c>
      <c r="L295" s="101">
        <v>-0.1</v>
      </c>
      <c r="M295" s="101" t="s">
        <v>1001</v>
      </c>
      <c r="N295" s="101">
        <v>2007</v>
      </c>
      <c r="O295" s="101" t="s">
        <v>633</v>
      </c>
      <c r="P295" s="101">
        <v>653097</v>
      </c>
      <c r="Q295" t="s">
        <v>505</v>
      </c>
      <c r="R295" t="s">
        <v>367</v>
      </c>
      <c r="S295"/>
      <c r="T295"/>
      <c r="U295"/>
      <c r="V295" s="220"/>
    </row>
    <row r="296" spans="1:22" x14ac:dyDescent="0.2">
      <c r="A296" t="s">
        <v>556</v>
      </c>
      <c r="B296" s="101">
        <v>26</v>
      </c>
      <c r="C296" s="101">
        <v>7</v>
      </c>
      <c r="D296" s="101">
        <v>7</v>
      </c>
      <c r="E296" s="101">
        <v>15</v>
      </c>
      <c r="F296" s="101">
        <v>2</v>
      </c>
      <c r="G296" s="101">
        <v>-9</v>
      </c>
      <c r="H296" s="101">
        <v>-1.9000000000000001</v>
      </c>
      <c r="I296" s="102">
        <v>0.43</v>
      </c>
      <c r="J296" s="102">
        <v>1.84</v>
      </c>
      <c r="K296" s="101">
        <v>21</v>
      </c>
      <c r="L296" s="101">
        <v>0</v>
      </c>
      <c r="M296" s="101" t="s">
        <v>1001</v>
      </c>
      <c r="N296" s="101">
        <v>2008</v>
      </c>
      <c r="O296" s="101" t="s">
        <v>633</v>
      </c>
      <c r="P296" s="101">
        <v>167239</v>
      </c>
      <c r="Q296" t="s">
        <v>505</v>
      </c>
      <c r="R296" t="s">
        <v>161</v>
      </c>
      <c r="S296"/>
      <c r="T296"/>
      <c r="U296"/>
      <c r="V296" s="220"/>
    </row>
    <row r="297" spans="1:22" x14ac:dyDescent="0.2">
      <c r="A297" t="s">
        <v>331</v>
      </c>
      <c r="B297" s="101">
        <v>11</v>
      </c>
      <c r="C297" s="101">
        <v>1</v>
      </c>
      <c r="D297" s="101">
        <v>2</v>
      </c>
      <c r="E297" s="101">
        <v>10</v>
      </c>
      <c r="F297" s="101">
        <v>17</v>
      </c>
      <c r="G297" s="101">
        <v>0</v>
      </c>
      <c r="H297" s="101">
        <v>0.1</v>
      </c>
      <c r="I297" s="102">
        <v>0.43</v>
      </c>
      <c r="J297" s="102">
        <v>1.49</v>
      </c>
      <c r="K297" s="101">
        <v>14.6</v>
      </c>
      <c r="L297" s="101">
        <v>0.3</v>
      </c>
      <c r="M297" s="101" t="s">
        <v>1001</v>
      </c>
      <c r="N297" s="101">
        <v>2003</v>
      </c>
      <c r="O297" s="101" t="s">
        <v>753</v>
      </c>
      <c r="P297" s="101">
        <v>386581</v>
      </c>
      <c r="Q297" t="s">
        <v>859</v>
      </c>
      <c r="R297" t="s">
        <v>671</v>
      </c>
      <c r="S297"/>
      <c r="T297"/>
      <c r="U297"/>
      <c r="V297" s="220"/>
    </row>
    <row r="298" spans="1:22" x14ac:dyDescent="0.2">
      <c r="A298" t="s">
        <v>173</v>
      </c>
      <c r="B298" s="101">
        <v>14</v>
      </c>
      <c r="C298" s="101">
        <v>4</v>
      </c>
      <c r="D298" s="101">
        <v>7</v>
      </c>
      <c r="E298" s="101">
        <v>24</v>
      </c>
      <c r="F298" s="101">
        <v>30</v>
      </c>
      <c r="G298" s="101">
        <v>19</v>
      </c>
      <c r="H298" s="101">
        <v>3.5</v>
      </c>
      <c r="I298" s="102">
        <v>0.44</v>
      </c>
      <c r="J298" s="102">
        <v>1.5047219999999999</v>
      </c>
      <c r="K298" s="101">
        <v>9.1</v>
      </c>
      <c r="L298" s="101">
        <v>0.8</v>
      </c>
      <c r="M298" s="101" t="s">
        <v>1001</v>
      </c>
      <c r="N298" s="101">
        <v>2006</v>
      </c>
      <c r="O298" s="101" t="s">
        <v>753</v>
      </c>
      <c r="P298" s="101">
        <v>644005</v>
      </c>
      <c r="Q298" t="s">
        <v>677</v>
      </c>
      <c r="R298" t="s">
        <v>270</v>
      </c>
      <c r="S298"/>
      <c r="T298"/>
      <c r="U298"/>
      <c r="V298" s="220"/>
    </row>
    <row r="299" spans="1:22" x14ac:dyDescent="0.2">
      <c r="A299" t="s">
        <v>694</v>
      </c>
      <c r="B299" s="101">
        <v>9</v>
      </c>
      <c r="C299" s="101">
        <v>2</v>
      </c>
      <c r="D299" s="101">
        <v>-3</v>
      </c>
      <c r="E299" s="101">
        <v>14</v>
      </c>
      <c r="F299" s="101">
        <v>33</v>
      </c>
      <c r="G299" s="101">
        <v>15</v>
      </c>
      <c r="H299" s="101">
        <v>2.8000000000000003</v>
      </c>
      <c r="I299" s="102">
        <v>0.44</v>
      </c>
      <c r="J299" s="102">
        <v>1.501212</v>
      </c>
      <c r="K299" s="101">
        <v>19.5</v>
      </c>
      <c r="L299" s="101">
        <v>0.5</v>
      </c>
      <c r="M299" s="101" t="s">
        <v>1001</v>
      </c>
      <c r="N299" s="101">
        <v>2000</v>
      </c>
      <c r="O299" s="101" t="s">
        <v>753</v>
      </c>
      <c r="P299" s="101">
        <v>952010</v>
      </c>
      <c r="Q299" t="s">
        <v>677</v>
      </c>
      <c r="R299" t="s">
        <v>724</v>
      </c>
      <c r="S299"/>
      <c r="T299"/>
      <c r="U299"/>
      <c r="V299" s="220"/>
    </row>
    <row r="300" spans="1:22" x14ac:dyDescent="0.2">
      <c r="A300" t="s">
        <v>448</v>
      </c>
      <c r="B300" s="101">
        <v>7</v>
      </c>
      <c r="C300" s="101">
        <v>2</v>
      </c>
      <c r="D300" s="101">
        <v>0</v>
      </c>
      <c r="E300" s="101">
        <v>9</v>
      </c>
      <c r="F300" s="101">
        <v>4</v>
      </c>
      <c r="G300" s="101">
        <v>-19</v>
      </c>
      <c r="H300" s="101">
        <v>-4.0999999999999996</v>
      </c>
      <c r="I300" s="102">
        <v>0.45</v>
      </c>
      <c r="J300" s="102">
        <v>1.6</v>
      </c>
      <c r="K300" s="101">
        <v>9.7000000000000011</v>
      </c>
      <c r="L300" s="101">
        <v>0</v>
      </c>
      <c r="M300" s="101" t="s">
        <v>1001</v>
      </c>
      <c r="N300" s="101">
        <v>2008</v>
      </c>
      <c r="O300" s="101" t="s">
        <v>633</v>
      </c>
      <c r="P300" s="101">
        <v>106492</v>
      </c>
      <c r="Q300" t="s">
        <v>764</v>
      </c>
      <c r="R300" t="s">
        <v>145</v>
      </c>
      <c r="S300" t="s">
        <v>1024</v>
      </c>
      <c r="T300"/>
      <c r="U300"/>
      <c r="V300" s="220"/>
    </row>
    <row r="301" spans="1:22" x14ac:dyDescent="0.2">
      <c r="A301" t="s">
        <v>827</v>
      </c>
      <c r="B301" s="101">
        <v>7</v>
      </c>
      <c r="C301" s="101">
        <v>6</v>
      </c>
      <c r="D301" s="101">
        <v>1</v>
      </c>
      <c r="E301" s="101">
        <v>0</v>
      </c>
      <c r="F301" s="101"/>
      <c r="G301" s="101"/>
      <c r="H301" s="101"/>
      <c r="I301" s="102">
        <v>0.45</v>
      </c>
      <c r="J301" s="102">
        <v>2.005611</v>
      </c>
      <c r="K301" s="101"/>
      <c r="L301" s="101"/>
      <c r="M301" s="101" t="s">
        <v>1001</v>
      </c>
      <c r="N301" s="101">
        <v>2011</v>
      </c>
      <c r="O301" s="101" t="s">
        <v>633</v>
      </c>
      <c r="P301" s="101">
        <v>507236</v>
      </c>
      <c r="Q301" t="s">
        <v>828</v>
      </c>
      <c r="R301" t="s">
        <v>626</v>
      </c>
      <c r="S301"/>
      <c r="T301"/>
      <c r="U301"/>
      <c r="V301" s="220"/>
    </row>
    <row r="302" spans="1:22" x14ac:dyDescent="0.2">
      <c r="A302" t="s">
        <v>1118</v>
      </c>
      <c r="B302" s="101">
        <v>5</v>
      </c>
      <c r="C302" s="101">
        <v>2</v>
      </c>
      <c r="D302" s="101">
        <v>-3</v>
      </c>
      <c r="E302" s="101">
        <v>4</v>
      </c>
      <c r="F302" s="101">
        <v>7</v>
      </c>
      <c r="G302" s="101">
        <v>-26</v>
      </c>
      <c r="H302" s="101">
        <v>-5.8</v>
      </c>
      <c r="I302" s="102">
        <v>0.45</v>
      </c>
      <c r="J302" s="102">
        <v>1.6</v>
      </c>
      <c r="K302" s="101">
        <v>10.9</v>
      </c>
      <c r="L302" s="101">
        <v>0.1</v>
      </c>
      <c r="M302" s="101" t="s">
        <v>1001</v>
      </c>
      <c r="N302" s="101">
        <v>2000</v>
      </c>
      <c r="O302" s="101" t="s">
        <v>633</v>
      </c>
      <c r="P302" s="101">
        <v>241497</v>
      </c>
      <c r="Q302" t="s">
        <v>764</v>
      </c>
      <c r="R302" t="s">
        <v>44</v>
      </c>
      <c r="S302"/>
      <c r="T302"/>
      <c r="U302"/>
      <c r="V302" s="220"/>
    </row>
    <row r="303" spans="1:22" x14ac:dyDescent="0.2">
      <c r="A303" t="s">
        <v>1119</v>
      </c>
      <c r="B303" s="101">
        <v>10</v>
      </c>
      <c r="C303" s="101">
        <v>2</v>
      </c>
      <c r="D303" s="101">
        <v>-1</v>
      </c>
      <c r="E303" s="101">
        <v>8</v>
      </c>
      <c r="F303" s="101">
        <v>6</v>
      </c>
      <c r="G303" s="101">
        <v>-22</v>
      </c>
      <c r="H303" s="101">
        <v>-4.9000000000000004</v>
      </c>
      <c r="I303" s="102">
        <v>0.45</v>
      </c>
      <c r="J303" s="102">
        <v>1.6</v>
      </c>
      <c r="K303" s="101">
        <v>15.6</v>
      </c>
      <c r="L303" s="101">
        <v>0.1</v>
      </c>
      <c r="M303" s="101" t="s">
        <v>1001</v>
      </c>
      <c r="N303" s="101">
        <v>2000</v>
      </c>
      <c r="O303" s="101" t="s">
        <v>633</v>
      </c>
      <c r="P303" s="101">
        <v>348987</v>
      </c>
      <c r="Q303" t="s">
        <v>764</v>
      </c>
      <c r="R303" t="s">
        <v>748</v>
      </c>
      <c r="S303"/>
      <c r="T303"/>
      <c r="U303"/>
      <c r="V303" s="220"/>
    </row>
    <row r="304" spans="1:22" x14ac:dyDescent="0.2">
      <c r="A304" t="s">
        <v>444</v>
      </c>
      <c r="B304" s="101">
        <v>13</v>
      </c>
      <c r="C304" s="101">
        <v>0</v>
      </c>
      <c r="D304" s="101">
        <v>1</v>
      </c>
      <c r="E304" s="101">
        <v>10</v>
      </c>
      <c r="F304" s="101"/>
      <c r="G304" s="101"/>
      <c r="H304" s="101"/>
      <c r="I304" s="102">
        <v>0.45</v>
      </c>
      <c r="J304" s="102">
        <v>1.6</v>
      </c>
      <c r="K304" s="101"/>
      <c r="L304" s="101"/>
      <c r="M304" s="101" t="s">
        <v>1001</v>
      </c>
      <c r="N304" s="101">
        <v>2010</v>
      </c>
      <c r="O304" s="101" t="s">
        <v>633</v>
      </c>
      <c r="P304" s="101">
        <v>792697</v>
      </c>
      <c r="Q304" t="s">
        <v>764</v>
      </c>
      <c r="R304" t="s">
        <v>671</v>
      </c>
      <c r="S304"/>
      <c r="T304"/>
      <c r="U304"/>
      <c r="V304" s="220"/>
    </row>
    <row r="305" spans="1:22" x14ac:dyDescent="0.2">
      <c r="A305" t="s">
        <v>443</v>
      </c>
      <c r="B305" s="101">
        <v>1</v>
      </c>
      <c r="C305" s="101">
        <v>-5</v>
      </c>
      <c r="D305" s="101">
        <v>-9</v>
      </c>
      <c r="E305" s="101">
        <v>0</v>
      </c>
      <c r="F305" s="101"/>
      <c r="G305" s="101"/>
      <c r="H305" s="101"/>
      <c r="I305" s="102">
        <v>0.45</v>
      </c>
      <c r="J305" s="102">
        <v>1.6</v>
      </c>
      <c r="K305" s="101"/>
      <c r="L305" s="101"/>
      <c r="M305" s="101" t="s">
        <v>1001</v>
      </c>
      <c r="N305" s="101">
        <v>2010</v>
      </c>
      <c r="O305" s="101" t="s">
        <v>633</v>
      </c>
      <c r="P305" s="101">
        <v>721035</v>
      </c>
      <c r="Q305" t="s">
        <v>764</v>
      </c>
      <c r="R305" t="s">
        <v>724</v>
      </c>
      <c r="S305"/>
      <c r="T305"/>
      <c r="U305"/>
      <c r="V305" s="220"/>
    </row>
    <row r="306" spans="1:22" x14ac:dyDescent="0.2">
      <c r="A306" t="s">
        <v>1046</v>
      </c>
      <c r="B306" s="101">
        <v>10</v>
      </c>
      <c r="C306" s="101">
        <v>1</v>
      </c>
      <c r="D306" s="101">
        <v>2</v>
      </c>
      <c r="E306" s="101">
        <v>13</v>
      </c>
      <c r="F306" s="101">
        <v>12</v>
      </c>
      <c r="G306" s="101">
        <v>-16</v>
      </c>
      <c r="H306" s="101">
        <v>-3.4</v>
      </c>
      <c r="I306" s="102">
        <v>0.45</v>
      </c>
      <c r="J306" s="102">
        <v>1.6</v>
      </c>
      <c r="K306" s="101">
        <v>9.7000000000000011</v>
      </c>
      <c r="L306" s="101">
        <v>0.3</v>
      </c>
      <c r="M306" s="101" t="s">
        <v>1001</v>
      </c>
      <c r="N306" s="101">
        <v>2000</v>
      </c>
      <c r="O306" s="101" t="s">
        <v>633</v>
      </c>
      <c r="P306" s="101">
        <v>384818</v>
      </c>
      <c r="Q306" t="s">
        <v>764</v>
      </c>
      <c r="R306" t="s">
        <v>145</v>
      </c>
      <c r="S306"/>
      <c r="T306"/>
      <c r="U306"/>
      <c r="V306" s="220"/>
    </row>
    <row r="307" spans="1:22" x14ac:dyDescent="0.2">
      <c r="A307" t="s">
        <v>685</v>
      </c>
      <c r="B307" s="101">
        <v>11</v>
      </c>
      <c r="C307" s="101">
        <v>1</v>
      </c>
      <c r="D307" s="101">
        <v>1</v>
      </c>
      <c r="E307" s="101">
        <v>16</v>
      </c>
      <c r="F307" s="101">
        <v>22</v>
      </c>
      <c r="G307" s="101">
        <v>5</v>
      </c>
      <c r="H307" s="101">
        <v>1</v>
      </c>
      <c r="I307" s="102">
        <v>0.45</v>
      </c>
      <c r="J307" s="102">
        <v>1.2179</v>
      </c>
      <c r="K307" s="101">
        <v>15.5</v>
      </c>
      <c r="L307" s="101">
        <v>0.4</v>
      </c>
      <c r="M307" s="101" t="s">
        <v>1001</v>
      </c>
      <c r="N307" s="101">
        <v>2000</v>
      </c>
      <c r="O307" s="101" t="s">
        <v>753</v>
      </c>
      <c r="P307" s="101">
        <v>928937</v>
      </c>
      <c r="Q307" t="s">
        <v>684</v>
      </c>
      <c r="R307" t="s">
        <v>671</v>
      </c>
      <c r="S307"/>
      <c r="T307"/>
      <c r="U307"/>
      <c r="V307" s="220"/>
    </row>
    <row r="308" spans="1:22" x14ac:dyDescent="0.2">
      <c r="A308" t="s">
        <v>113</v>
      </c>
      <c r="B308" s="101">
        <v>10</v>
      </c>
      <c r="C308" s="101">
        <v>4</v>
      </c>
      <c r="D308" s="101">
        <v>-1</v>
      </c>
      <c r="E308" s="101">
        <v>10</v>
      </c>
      <c r="F308" s="101">
        <v>9</v>
      </c>
      <c r="G308" s="101">
        <v>-19</v>
      </c>
      <c r="H308" s="101">
        <v>-4.2</v>
      </c>
      <c r="I308" s="102">
        <v>0.45</v>
      </c>
      <c r="J308" s="102">
        <v>1.57</v>
      </c>
      <c r="K308" s="101">
        <v>13.6</v>
      </c>
      <c r="L308" s="101">
        <v>0.2</v>
      </c>
      <c r="M308" s="101" t="s">
        <v>1004</v>
      </c>
      <c r="N308" s="101">
        <v>2003</v>
      </c>
      <c r="O308" s="101" t="s">
        <v>633</v>
      </c>
      <c r="P308" s="101">
        <v>919787</v>
      </c>
      <c r="Q308" t="s">
        <v>677</v>
      </c>
      <c r="R308" t="s">
        <v>131</v>
      </c>
      <c r="S308"/>
      <c r="T308"/>
      <c r="U308"/>
      <c r="V308" s="220"/>
    </row>
    <row r="309" spans="1:22" x14ac:dyDescent="0.2">
      <c r="A309" t="s">
        <v>523</v>
      </c>
      <c r="B309" s="101">
        <v>13</v>
      </c>
      <c r="C309" s="101">
        <v>3</v>
      </c>
      <c r="D309" s="101">
        <v>0</v>
      </c>
      <c r="E309" s="101">
        <v>16</v>
      </c>
      <c r="F309" s="101">
        <v>13</v>
      </c>
      <c r="G309" s="101">
        <v>-16</v>
      </c>
      <c r="H309" s="101">
        <v>-3.3000000000000003</v>
      </c>
      <c r="I309" s="102">
        <v>0.45</v>
      </c>
      <c r="J309" s="102">
        <v>1</v>
      </c>
      <c r="K309" s="101">
        <v>12.700000000000001</v>
      </c>
      <c r="L309" s="101">
        <v>0.2</v>
      </c>
      <c r="M309" s="101" t="s">
        <v>1003</v>
      </c>
      <c r="N309" s="101">
        <v>2007</v>
      </c>
      <c r="O309" s="101" t="s">
        <v>633</v>
      </c>
      <c r="P309" s="101">
        <v>282632</v>
      </c>
      <c r="Q309" t="s">
        <v>522</v>
      </c>
      <c r="R309" t="s">
        <v>145</v>
      </c>
      <c r="S309"/>
      <c r="T309"/>
      <c r="U309"/>
      <c r="V309" s="220"/>
    </row>
    <row r="310" spans="1:22" x14ac:dyDescent="0.2">
      <c r="A310" t="s">
        <v>382</v>
      </c>
      <c r="B310" s="101">
        <v>1</v>
      </c>
      <c r="C310" s="101">
        <v>4</v>
      </c>
      <c r="D310" s="101">
        <v>0</v>
      </c>
      <c r="E310" s="101">
        <v>2</v>
      </c>
      <c r="F310" s="101"/>
      <c r="G310" s="101"/>
      <c r="H310" s="101"/>
      <c r="I310" s="102">
        <v>0.45</v>
      </c>
      <c r="J310" s="102">
        <v>1.19</v>
      </c>
      <c r="K310" s="101"/>
      <c r="L310" s="101"/>
      <c r="M310" s="101" t="s">
        <v>1002</v>
      </c>
      <c r="N310" s="101">
        <v>2010</v>
      </c>
      <c r="O310" s="101" t="s">
        <v>633</v>
      </c>
      <c r="P310" s="101">
        <v>259499</v>
      </c>
      <c r="Q310" t="s">
        <v>88</v>
      </c>
      <c r="R310" t="s">
        <v>626</v>
      </c>
      <c r="S310"/>
      <c r="T310"/>
      <c r="U310"/>
      <c r="V310" s="220"/>
    </row>
    <row r="311" spans="1:22" x14ac:dyDescent="0.2">
      <c r="A311" t="s">
        <v>277</v>
      </c>
      <c r="B311" s="101">
        <v>13</v>
      </c>
      <c r="C311" s="101">
        <v>3</v>
      </c>
      <c r="D311" s="101">
        <v>8</v>
      </c>
      <c r="E311" s="101">
        <v>22</v>
      </c>
      <c r="F311" s="101">
        <v>35</v>
      </c>
      <c r="G311" s="101">
        <v>19</v>
      </c>
      <c r="H311" s="101">
        <v>3.6</v>
      </c>
      <c r="I311" s="102">
        <v>0.45</v>
      </c>
      <c r="J311" s="102">
        <v>1.5</v>
      </c>
      <c r="K311" s="101">
        <v>9.5</v>
      </c>
      <c r="L311" s="101">
        <v>0.9</v>
      </c>
      <c r="M311" s="101" t="s">
        <v>1001</v>
      </c>
      <c r="N311" s="101">
        <v>2002</v>
      </c>
      <c r="O311" s="101" t="s">
        <v>753</v>
      </c>
      <c r="P311" s="101">
        <v>229922</v>
      </c>
      <c r="Q311" t="s">
        <v>790</v>
      </c>
      <c r="R311" t="s">
        <v>270</v>
      </c>
      <c r="S311"/>
      <c r="T311"/>
      <c r="U311"/>
      <c r="V311" s="220"/>
    </row>
    <row r="312" spans="1:22" x14ac:dyDescent="0.2">
      <c r="A312" t="s">
        <v>829</v>
      </c>
      <c r="B312" s="101">
        <v>9</v>
      </c>
      <c r="C312" s="101">
        <v>2</v>
      </c>
      <c r="D312" s="101">
        <v>0</v>
      </c>
      <c r="E312" s="101">
        <v>15</v>
      </c>
      <c r="F312" s="101">
        <v>27</v>
      </c>
      <c r="G312" s="101">
        <v>0</v>
      </c>
      <c r="H312" s="101">
        <v>0</v>
      </c>
      <c r="I312" s="102">
        <v>0.45</v>
      </c>
      <c r="J312" s="102">
        <v>1.5</v>
      </c>
      <c r="K312" s="101">
        <v>9.6</v>
      </c>
      <c r="L312" s="101">
        <v>0.70000000000000007</v>
      </c>
      <c r="M312" s="101" t="s">
        <v>1001</v>
      </c>
      <c r="N312" s="101">
        <v>2002</v>
      </c>
      <c r="O312" s="101" t="s">
        <v>753</v>
      </c>
      <c r="P312" s="101">
        <v>986604</v>
      </c>
      <c r="Q312" t="s">
        <v>790</v>
      </c>
      <c r="R312" t="s">
        <v>102</v>
      </c>
      <c r="S312"/>
      <c r="T312"/>
      <c r="U312"/>
      <c r="V312" s="220"/>
    </row>
    <row r="313" spans="1:22" x14ac:dyDescent="0.2">
      <c r="A313" t="s">
        <v>592</v>
      </c>
      <c r="B313" s="101">
        <v>5</v>
      </c>
      <c r="C313" s="101">
        <v>3</v>
      </c>
      <c r="D313" s="101">
        <v>-4</v>
      </c>
      <c r="E313" s="101">
        <v>5</v>
      </c>
      <c r="F313" s="101">
        <v>6</v>
      </c>
      <c r="G313" s="101">
        <v>-19</v>
      </c>
      <c r="H313" s="101">
        <v>-4.0999999999999996</v>
      </c>
      <c r="I313" s="102">
        <v>0.45</v>
      </c>
      <c r="J313" s="102">
        <v>1.99</v>
      </c>
      <c r="K313" s="101">
        <v>14.200000000000001</v>
      </c>
      <c r="L313" s="101">
        <v>0.1</v>
      </c>
      <c r="M313" s="101" t="s">
        <v>1001</v>
      </c>
      <c r="N313" s="101">
        <v>2008</v>
      </c>
      <c r="O313" s="101" t="s">
        <v>633</v>
      </c>
      <c r="P313" s="101">
        <v>995571</v>
      </c>
      <c r="Q313" t="s">
        <v>505</v>
      </c>
      <c r="R313" t="s">
        <v>161</v>
      </c>
      <c r="S313"/>
      <c r="T313"/>
      <c r="U313"/>
      <c r="V313" s="220"/>
    </row>
    <row r="314" spans="1:22" x14ac:dyDescent="0.2">
      <c r="A314" t="s">
        <v>628</v>
      </c>
      <c r="B314" s="101">
        <v>1</v>
      </c>
      <c r="C314" s="101">
        <v>0</v>
      </c>
      <c r="D314" s="101">
        <v>2</v>
      </c>
      <c r="E314" s="101">
        <v>4</v>
      </c>
      <c r="F314" s="101">
        <v>11</v>
      </c>
      <c r="G314" s="101">
        <v>41</v>
      </c>
      <c r="H314" s="101">
        <v>7.1000000000000005</v>
      </c>
      <c r="I314" s="102">
        <v>0.45</v>
      </c>
      <c r="J314" s="102">
        <v>1.31</v>
      </c>
      <c r="K314" s="101">
        <v>9.9</v>
      </c>
      <c r="L314" s="101">
        <v>0.2</v>
      </c>
      <c r="M314" s="101" t="s">
        <v>1004</v>
      </c>
      <c r="N314" s="101">
        <v>2000</v>
      </c>
      <c r="O314" s="101" t="s">
        <v>633</v>
      </c>
      <c r="P314" s="101">
        <v>370239</v>
      </c>
      <c r="Q314" t="s">
        <v>354</v>
      </c>
      <c r="R314" t="s">
        <v>626</v>
      </c>
      <c r="S314"/>
      <c r="T314"/>
      <c r="U314"/>
      <c r="V314" s="220"/>
    </row>
    <row r="315" spans="1:22" x14ac:dyDescent="0.2">
      <c r="A315" t="s">
        <v>416</v>
      </c>
      <c r="B315" s="101">
        <v>8</v>
      </c>
      <c r="C315" s="101">
        <v>4</v>
      </c>
      <c r="D315" s="101">
        <v>-2</v>
      </c>
      <c r="E315" s="101">
        <v>11</v>
      </c>
      <c r="F315" s="101"/>
      <c r="G315" s="101"/>
      <c r="H315" s="101"/>
      <c r="I315" s="102">
        <v>0.46</v>
      </c>
      <c r="J315" s="102">
        <v>1.6</v>
      </c>
      <c r="K315" s="101"/>
      <c r="L315" s="101"/>
      <c r="M315" s="101" t="s">
        <v>1001</v>
      </c>
      <c r="N315" s="101">
        <v>2011</v>
      </c>
      <c r="O315" s="101" t="s">
        <v>753</v>
      </c>
      <c r="P315" s="101">
        <v>541235</v>
      </c>
      <c r="Q315" t="s">
        <v>682</v>
      </c>
      <c r="R315" t="s">
        <v>145</v>
      </c>
      <c r="S315"/>
      <c r="T315"/>
      <c r="U315"/>
      <c r="V315" s="220"/>
    </row>
    <row r="316" spans="1:22" x14ac:dyDescent="0.2">
      <c r="A316" t="s">
        <v>386</v>
      </c>
      <c r="B316" s="101">
        <v>12</v>
      </c>
      <c r="C316" s="101">
        <v>2</v>
      </c>
      <c r="D316" s="101">
        <v>1</v>
      </c>
      <c r="E316" s="101">
        <v>18</v>
      </c>
      <c r="F316" s="101">
        <v>34</v>
      </c>
      <c r="G316" s="101">
        <v>13</v>
      </c>
      <c r="H316" s="101">
        <v>2.4</v>
      </c>
      <c r="I316" s="102">
        <v>0.46</v>
      </c>
      <c r="J316" s="102">
        <v>1.6021179999999999</v>
      </c>
      <c r="K316" s="101">
        <v>10.1</v>
      </c>
      <c r="L316" s="101">
        <v>0.8</v>
      </c>
      <c r="M316" s="101" t="s">
        <v>1001</v>
      </c>
      <c r="N316" s="101">
        <v>2011</v>
      </c>
      <c r="O316" s="101" t="s">
        <v>753</v>
      </c>
      <c r="P316" s="101">
        <v>840033</v>
      </c>
      <c r="Q316" t="s">
        <v>677</v>
      </c>
      <c r="R316" t="s">
        <v>102</v>
      </c>
      <c r="S316"/>
      <c r="T316"/>
      <c r="U316"/>
      <c r="V316" s="220"/>
    </row>
    <row r="317" spans="1:22" x14ac:dyDescent="0.2">
      <c r="A317" t="s">
        <v>780</v>
      </c>
      <c r="B317" s="101">
        <v>10</v>
      </c>
      <c r="C317" s="101">
        <v>4</v>
      </c>
      <c r="D317" s="101">
        <v>0</v>
      </c>
      <c r="E317" s="101">
        <v>13</v>
      </c>
      <c r="F317" s="101">
        <v>12</v>
      </c>
      <c r="G317" s="101">
        <v>-13</v>
      </c>
      <c r="H317" s="101">
        <v>-2.7</v>
      </c>
      <c r="I317" s="102">
        <v>0.46</v>
      </c>
      <c r="J317" s="102">
        <v>1.6032229999999998</v>
      </c>
      <c r="K317" s="101">
        <v>10</v>
      </c>
      <c r="L317" s="101">
        <v>0.3</v>
      </c>
      <c r="M317" s="101" t="s">
        <v>1001</v>
      </c>
      <c r="N317" s="101">
        <v>2000</v>
      </c>
      <c r="O317" s="101" t="s">
        <v>753</v>
      </c>
      <c r="P317" s="101">
        <v>123679</v>
      </c>
      <c r="Q317" t="s">
        <v>677</v>
      </c>
      <c r="R317" t="s">
        <v>145</v>
      </c>
      <c r="S317"/>
      <c r="T317"/>
      <c r="U317"/>
      <c r="V317" s="220"/>
    </row>
    <row r="318" spans="1:22" x14ac:dyDescent="0.2">
      <c r="A318" t="s">
        <v>356</v>
      </c>
      <c r="B318" s="101">
        <v>14</v>
      </c>
      <c r="C318" s="101">
        <v>5</v>
      </c>
      <c r="D318" s="101">
        <v>-1</v>
      </c>
      <c r="E318" s="101">
        <v>12</v>
      </c>
      <c r="F318" s="101">
        <v>17</v>
      </c>
      <c r="G318" s="101">
        <v>11</v>
      </c>
      <c r="H318" s="101">
        <v>2.1</v>
      </c>
      <c r="I318" s="102">
        <v>0.46</v>
      </c>
      <c r="J318" s="102">
        <v>1.610787</v>
      </c>
      <c r="K318" s="101">
        <v>15.6</v>
      </c>
      <c r="L318" s="101">
        <v>0.3</v>
      </c>
      <c r="M318" s="101" t="s">
        <v>1001</v>
      </c>
      <c r="N318" s="101">
        <v>2006</v>
      </c>
      <c r="O318" s="101" t="s">
        <v>753</v>
      </c>
      <c r="P318" s="101">
        <v>679837</v>
      </c>
      <c r="Q318" t="s">
        <v>677</v>
      </c>
      <c r="R318" t="s">
        <v>369</v>
      </c>
      <c r="S318"/>
      <c r="T318"/>
      <c r="U318"/>
      <c r="V318" s="220"/>
    </row>
    <row r="319" spans="1:22" x14ac:dyDescent="0.2">
      <c r="A319" t="s">
        <v>353</v>
      </c>
      <c r="B319" s="101">
        <v>15</v>
      </c>
      <c r="C319" s="101">
        <v>4</v>
      </c>
      <c r="D319" s="101">
        <v>1</v>
      </c>
      <c r="E319" s="101">
        <v>17</v>
      </c>
      <c r="F319" s="101">
        <v>16</v>
      </c>
      <c r="G319" s="101">
        <v>-14</v>
      </c>
      <c r="H319" s="101">
        <v>-2.9</v>
      </c>
      <c r="I319" s="102">
        <v>0.46</v>
      </c>
      <c r="J319" s="102">
        <v>1.60025</v>
      </c>
      <c r="K319" s="101">
        <v>16.8</v>
      </c>
      <c r="L319" s="101">
        <v>0.3</v>
      </c>
      <c r="M319" s="101" t="s">
        <v>1001</v>
      </c>
      <c r="N319" s="101">
        <v>2000</v>
      </c>
      <c r="O319" s="101" t="s">
        <v>753</v>
      </c>
      <c r="P319" s="101">
        <v>811117</v>
      </c>
      <c r="Q319" t="s">
        <v>677</v>
      </c>
      <c r="R319" t="s">
        <v>748</v>
      </c>
      <c r="S319"/>
      <c r="T319"/>
      <c r="U319"/>
      <c r="V319" s="220"/>
    </row>
    <row r="320" spans="1:22" x14ac:dyDescent="0.2">
      <c r="A320" t="s">
        <v>964</v>
      </c>
      <c r="B320" s="101">
        <v>5</v>
      </c>
      <c r="C320" s="101">
        <v>0</v>
      </c>
      <c r="D320" s="101">
        <v>-2</v>
      </c>
      <c r="E320" s="101">
        <v>6</v>
      </c>
      <c r="F320" s="101"/>
      <c r="G320" s="101"/>
      <c r="H320" s="101"/>
      <c r="I320" s="102">
        <v>0.46</v>
      </c>
      <c r="J320" s="102">
        <v>1.7807569999999999</v>
      </c>
      <c r="K320" s="101"/>
      <c r="L320" s="101"/>
      <c r="M320" s="101" t="s">
        <v>1001</v>
      </c>
      <c r="N320" s="101">
        <v>2011</v>
      </c>
      <c r="O320" s="101" t="s">
        <v>633</v>
      </c>
      <c r="P320" s="101">
        <v>762880</v>
      </c>
      <c r="Q320" t="s">
        <v>397</v>
      </c>
      <c r="R320" t="s">
        <v>301</v>
      </c>
      <c r="S320"/>
      <c r="T320"/>
      <c r="U320"/>
      <c r="V320" s="220"/>
    </row>
    <row r="321" spans="1:22" x14ac:dyDescent="0.2">
      <c r="A321" t="s">
        <v>363</v>
      </c>
      <c r="B321" s="101">
        <v>10</v>
      </c>
      <c r="C321" s="101">
        <v>5</v>
      </c>
      <c r="D321" s="101">
        <v>-2</v>
      </c>
      <c r="E321" s="101">
        <v>7</v>
      </c>
      <c r="F321" s="101">
        <v>9</v>
      </c>
      <c r="G321" s="101">
        <v>-16</v>
      </c>
      <c r="H321" s="101">
        <v>-3.3000000000000003</v>
      </c>
      <c r="I321" s="102">
        <v>0.46</v>
      </c>
      <c r="J321" s="102">
        <v>1.6169479999999998</v>
      </c>
      <c r="K321" s="101">
        <v>15.1</v>
      </c>
      <c r="L321" s="101">
        <v>0.2</v>
      </c>
      <c r="M321" s="101" t="s">
        <v>1001</v>
      </c>
      <c r="N321" s="101">
        <v>2000</v>
      </c>
      <c r="O321" s="101" t="s">
        <v>753</v>
      </c>
      <c r="P321" s="101">
        <v>987842</v>
      </c>
      <c r="Q321" t="s">
        <v>677</v>
      </c>
      <c r="R321" t="s">
        <v>161</v>
      </c>
      <c r="S321"/>
      <c r="T321"/>
      <c r="U321"/>
      <c r="V321" s="220"/>
    </row>
    <row r="322" spans="1:22" x14ac:dyDescent="0.2">
      <c r="A322" t="s">
        <v>359</v>
      </c>
      <c r="B322" s="101">
        <v>-3</v>
      </c>
      <c r="C322" s="101">
        <v>-2</v>
      </c>
      <c r="D322" s="101">
        <v>-7</v>
      </c>
      <c r="E322" s="101">
        <v>-1</v>
      </c>
      <c r="F322" s="101">
        <v>-8</v>
      </c>
      <c r="G322" s="101">
        <v>-37</v>
      </c>
      <c r="H322" s="101">
        <v>-8.9</v>
      </c>
      <c r="I322" s="102">
        <v>0.46</v>
      </c>
      <c r="J322" s="102">
        <v>1.52</v>
      </c>
      <c r="K322" s="101">
        <v>14.6</v>
      </c>
      <c r="L322" s="101">
        <v>-0.2</v>
      </c>
      <c r="M322" s="101" t="s">
        <v>1001</v>
      </c>
      <c r="N322" s="101">
        <v>2005</v>
      </c>
      <c r="O322" s="101" t="s">
        <v>753</v>
      </c>
      <c r="P322" s="101">
        <v>377432</v>
      </c>
      <c r="Q322" t="s">
        <v>790</v>
      </c>
      <c r="R322" t="s">
        <v>226</v>
      </c>
      <c r="S322"/>
      <c r="T322"/>
      <c r="U322"/>
      <c r="V322" s="220"/>
    </row>
    <row r="323" spans="1:22" x14ac:dyDescent="0.2">
      <c r="A323" t="s">
        <v>385</v>
      </c>
      <c r="B323" s="101">
        <v>6</v>
      </c>
      <c r="C323" s="101">
        <v>3</v>
      </c>
      <c r="D323" s="101">
        <v>-2</v>
      </c>
      <c r="E323" s="101">
        <v>10</v>
      </c>
      <c r="F323" s="101">
        <v>13</v>
      </c>
      <c r="G323" s="101">
        <v>-17</v>
      </c>
      <c r="H323" s="101">
        <v>-3.6</v>
      </c>
      <c r="I323" s="102">
        <v>0.46</v>
      </c>
      <c r="J323" s="102">
        <v>1.51</v>
      </c>
      <c r="K323" s="101">
        <v>11.200000000000001</v>
      </c>
      <c r="L323" s="101">
        <v>0.3</v>
      </c>
      <c r="M323" s="101" t="s">
        <v>1001</v>
      </c>
      <c r="N323" s="101">
        <v>2005</v>
      </c>
      <c r="O323" s="101" t="s">
        <v>753</v>
      </c>
      <c r="P323" s="101">
        <v>520759</v>
      </c>
      <c r="Q323" t="s">
        <v>790</v>
      </c>
      <c r="R323" t="s">
        <v>145</v>
      </c>
      <c r="S323"/>
      <c r="T323"/>
      <c r="U323"/>
      <c r="V323" s="220"/>
    </row>
    <row r="324" spans="1:22" x14ac:dyDescent="0.2">
      <c r="A324" t="s">
        <v>265</v>
      </c>
      <c r="B324" s="101">
        <v>6</v>
      </c>
      <c r="C324" s="101">
        <v>-1</v>
      </c>
      <c r="D324" s="101">
        <v>-7</v>
      </c>
      <c r="E324" s="101">
        <v>8</v>
      </c>
      <c r="F324" s="101">
        <v>17</v>
      </c>
      <c r="G324" s="101">
        <v>1</v>
      </c>
      <c r="H324" s="101">
        <v>0.2</v>
      </c>
      <c r="I324" s="102">
        <v>0.46</v>
      </c>
      <c r="J324" s="102">
        <v>1.53</v>
      </c>
      <c r="K324" s="101">
        <v>12.5</v>
      </c>
      <c r="L324" s="101">
        <v>0.3</v>
      </c>
      <c r="M324" s="101" t="s">
        <v>1001</v>
      </c>
      <c r="N324" s="101">
        <v>2002</v>
      </c>
      <c r="O324" s="101" t="s">
        <v>753</v>
      </c>
      <c r="P324" s="101">
        <v>194092</v>
      </c>
      <c r="Q324" t="s">
        <v>790</v>
      </c>
      <c r="R324" t="s">
        <v>261</v>
      </c>
      <c r="S324"/>
      <c r="T324"/>
      <c r="U324"/>
      <c r="V324" s="220"/>
    </row>
    <row r="325" spans="1:22" x14ac:dyDescent="0.2">
      <c r="A325" t="s">
        <v>380</v>
      </c>
      <c r="B325" s="101">
        <v>-6</v>
      </c>
      <c r="C325" s="101">
        <v>-3</v>
      </c>
      <c r="D325" s="101">
        <v>-3</v>
      </c>
      <c r="E325" s="101">
        <v>-3</v>
      </c>
      <c r="F325" s="101">
        <v>-2</v>
      </c>
      <c r="G325" s="101">
        <v>19</v>
      </c>
      <c r="H325" s="101">
        <v>3.5</v>
      </c>
      <c r="I325" s="102">
        <v>0.46</v>
      </c>
      <c r="J325" s="102">
        <v>1.52</v>
      </c>
      <c r="K325" s="101">
        <v>7.7</v>
      </c>
      <c r="L325" s="101">
        <v>-0.2</v>
      </c>
      <c r="M325" s="101" t="s">
        <v>1001</v>
      </c>
      <c r="N325" s="101">
        <v>2011</v>
      </c>
      <c r="O325" s="101" t="s">
        <v>633</v>
      </c>
      <c r="P325" s="101">
        <v>639633</v>
      </c>
      <c r="Q325" t="s">
        <v>792</v>
      </c>
      <c r="R325" t="s">
        <v>301</v>
      </c>
      <c r="S325"/>
      <c r="T325"/>
      <c r="U325"/>
      <c r="V325" s="220"/>
    </row>
    <row r="326" spans="1:22" x14ac:dyDescent="0.2">
      <c r="A326" t="s">
        <v>170</v>
      </c>
      <c r="B326" s="101">
        <v>14</v>
      </c>
      <c r="C326" s="101">
        <v>7</v>
      </c>
      <c r="D326" s="101">
        <v>-2</v>
      </c>
      <c r="E326" s="101">
        <v>16</v>
      </c>
      <c r="F326" s="101">
        <v>12</v>
      </c>
      <c r="G326" s="101">
        <v>-15</v>
      </c>
      <c r="H326" s="101">
        <v>-3.1</v>
      </c>
      <c r="I326" s="102">
        <v>0.46</v>
      </c>
      <c r="J326" s="102">
        <v>1.600298</v>
      </c>
      <c r="K326" s="101">
        <v>19.8</v>
      </c>
      <c r="L326" s="101">
        <v>0.2</v>
      </c>
      <c r="M326" s="101" t="s">
        <v>1001</v>
      </c>
      <c r="N326" s="101">
        <v>2006</v>
      </c>
      <c r="O326" s="101" t="s">
        <v>753</v>
      </c>
      <c r="P326" s="101">
        <v>751495</v>
      </c>
      <c r="Q326" t="s">
        <v>677</v>
      </c>
      <c r="R326" t="s">
        <v>748</v>
      </c>
      <c r="S326"/>
      <c r="T326"/>
      <c r="U326"/>
      <c r="V326" s="220"/>
    </row>
    <row r="327" spans="1:22" x14ac:dyDescent="0.2">
      <c r="A327" t="s">
        <v>1120</v>
      </c>
      <c r="B327" s="101">
        <v>10</v>
      </c>
      <c r="C327" s="101">
        <v>3</v>
      </c>
      <c r="D327" s="101">
        <v>2</v>
      </c>
      <c r="E327" s="101">
        <v>11</v>
      </c>
      <c r="F327" s="101">
        <v>20</v>
      </c>
      <c r="G327" s="101">
        <v>19</v>
      </c>
      <c r="H327" s="101">
        <v>3.5</v>
      </c>
      <c r="I327" s="102">
        <v>0.47000000000000003</v>
      </c>
      <c r="J327" s="102">
        <v>1.19</v>
      </c>
      <c r="K327" s="101">
        <v>6.9</v>
      </c>
      <c r="L327" s="101">
        <v>0.70000000000000007</v>
      </c>
      <c r="M327" s="101" t="s">
        <v>1001</v>
      </c>
      <c r="N327" s="101">
        <v>2005</v>
      </c>
      <c r="O327" s="101" t="s">
        <v>753</v>
      </c>
      <c r="P327" s="101">
        <v>927632</v>
      </c>
      <c r="Q327" t="s">
        <v>433</v>
      </c>
      <c r="R327" t="s">
        <v>293</v>
      </c>
      <c r="S327"/>
      <c r="T327"/>
      <c r="U327"/>
      <c r="V327" s="220"/>
    </row>
    <row r="328" spans="1:22" x14ac:dyDescent="0.2">
      <c r="A328" t="s">
        <v>923</v>
      </c>
      <c r="B328" s="101">
        <v>11</v>
      </c>
      <c r="C328" s="101">
        <v>1</v>
      </c>
      <c r="D328" s="101">
        <v>0</v>
      </c>
      <c r="E328" s="101">
        <v>14</v>
      </c>
      <c r="F328" s="101">
        <v>20</v>
      </c>
      <c r="G328" s="101">
        <v>5</v>
      </c>
      <c r="H328" s="101">
        <v>1.1000000000000001</v>
      </c>
      <c r="I328" s="102">
        <v>0.47000000000000003</v>
      </c>
      <c r="J328" s="102">
        <v>1.25</v>
      </c>
      <c r="K328" s="101">
        <v>17.100000000000001</v>
      </c>
      <c r="L328" s="101">
        <v>0.3</v>
      </c>
      <c r="M328" s="101" t="s">
        <v>1001</v>
      </c>
      <c r="N328" s="101">
        <v>2000</v>
      </c>
      <c r="O328" s="101" t="s">
        <v>753</v>
      </c>
      <c r="P328" s="101">
        <v>730366</v>
      </c>
      <c r="Q328" t="s">
        <v>763</v>
      </c>
      <c r="R328" t="s">
        <v>671</v>
      </c>
      <c r="S328" t="s">
        <v>1024</v>
      </c>
      <c r="T328"/>
      <c r="U328"/>
      <c r="V328" s="220"/>
    </row>
    <row r="329" spans="1:22" x14ac:dyDescent="0.2">
      <c r="A329" t="s">
        <v>924</v>
      </c>
      <c r="B329" s="101">
        <v>8</v>
      </c>
      <c r="C329" s="101">
        <v>4</v>
      </c>
      <c r="D329" s="101">
        <v>0</v>
      </c>
      <c r="E329" s="101">
        <v>12</v>
      </c>
      <c r="F329" s="101">
        <v>14</v>
      </c>
      <c r="G329" s="101">
        <v>-8</v>
      </c>
      <c r="H329" s="101">
        <v>-1.6</v>
      </c>
      <c r="I329" s="102">
        <v>0.47000000000000003</v>
      </c>
      <c r="J329" s="102">
        <v>1.25</v>
      </c>
      <c r="K329" s="101">
        <v>10.200000000000001</v>
      </c>
      <c r="L329" s="101">
        <v>0.3</v>
      </c>
      <c r="M329" s="101" t="s">
        <v>1001</v>
      </c>
      <c r="N329" s="101">
        <v>2003</v>
      </c>
      <c r="O329" s="101" t="s">
        <v>753</v>
      </c>
      <c r="P329" s="101">
        <v>936781</v>
      </c>
      <c r="Q329" t="s">
        <v>763</v>
      </c>
      <c r="R329" t="s">
        <v>145</v>
      </c>
      <c r="S329" t="s">
        <v>1024</v>
      </c>
      <c r="T329"/>
      <c r="U329"/>
      <c r="V329" s="220"/>
    </row>
    <row r="330" spans="1:22" x14ac:dyDescent="0.2">
      <c r="A330" t="s">
        <v>179</v>
      </c>
      <c r="B330" s="101">
        <v>7</v>
      </c>
      <c r="C330" s="101">
        <v>4</v>
      </c>
      <c r="D330" s="101">
        <v>-6</v>
      </c>
      <c r="E330" s="101">
        <v>3</v>
      </c>
      <c r="F330" s="101">
        <v>5</v>
      </c>
      <c r="G330" s="101">
        <v>-35</v>
      </c>
      <c r="H330" s="101">
        <v>-8.1</v>
      </c>
      <c r="I330" s="102">
        <v>0.47000000000000003</v>
      </c>
      <c r="J330" s="102">
        <v>1.76</v>
      </c>
      <c r="K330" s="101">
        <v>16.5</v>
      </c>
      <c r="L330" s="101">
        <v>0.1</v>
      </c>
      <c r="M330" s="101" t="s">
        <v>1001</v>
      </c>
      <c r="N330" s="101">
        <v>2001</v>
      </c>
      <c r="O330" s="101" t="s">
        <v>753</v>
      </c>
      <c r="P330" s="101">
        <v>206250</v>
      </c>
      <c r="Q330" t="s">
        <v>699</v>
      </c>
      <c r="R330" t="s">
        <v>161</v>
      </c>
      <c r="S330"/>
      <c r="T330"/>
      <c r="U330"/>
      <c r="V330" s="220"/>
    </row>
    <row r="331" spans="1:22" x14ac:dyDescent="0.2">
      <c r="A331" t="s">
        <v>365</v>
      </c>
      <c r="B331" s="101">
        <v>-6</v>
      </c>
      <c r="C331" s="101">
        <v>-2</v>
      </c>
      <c r="D331" s="101">
        <v>-8</v>
      </c>
      <c r="E331" s="101">
        <v>-4</v>
      </c>
      <c r="F331" s="101">
        <v>-11</v>
      </c>
      <c r="G331" s="101">
        <v>-36</v>
      </c>
      <c r="H331" s="101">
        <v>-8.7000000000000011</v>
      </c>
      <c r="I331" s="102">
        <v>0.47000000000000003</v>
      </c>
      <c r="J331" s="102">
        <v>1.6361049999999999</v>
      </c>
      <c r="K331" s="101">
        <v>14.200000000000001</v>
      </c>
      <c r="L331" s="101">
        <v>-0.3</v>
      </c>
      <c r="M331" s="101" t="s">
        <v>1001</v>
      </c>
      <c r="N331" s="101">
        <v>2003</v>
      </c>
      <c r="O331" s="101" t="s">
        <v>753</v>
      </c>
      <c r="P331" s="101">
        <v>203182</v>
      </c>
      <c r="Q331" t="s">
        <v>677</v>
      </c>
      <c r="R331" t="s">
        <v>226</v>
      </c>
      <c r="S331"/>
      <c r="T331"/>
      <c r="U331"/>
      <c r="V331" s="220"/>
    </row>
    <row r="332" spans="1:22" x14ac:dyDescent="0.2">
      <c r="A332" t="s">
        <v>171</v>
      </c>
      <c r="B332" s="101">
        <v>14</v>
      </c>
      <c r="C332" s="101">
        <v>5</v>
      </c>
      <c r="D332" s="101">
        <v>1</v>
      </c>
      <c r="E332" s="101">
        <v>8</v>
      </c>
      <c r="F332" s="101">
        <v>4</v>
      </c>
      <c r="G332" s="101">
        <v>-37</v>
      </c>
      <c r="H332" s="101">
        <v>-8.7000000000000011</v>
      </c>
      <c r="I332" s="102">
        <v>0.47000000000000003</v>
      </c>
      <c r="J332" s="102">
        <v>1.641964</v>
      </c>
      <c r="K332" s="101">
        <v>21.1</v>
      </c>
      <c r="L332" s="101">
        <v>0.1</v>
      </c>
      <c r="M332" s="101" t="s">
        <v>1001</v>
      </c>
      <c r="N332" s="101">
        <v>2006</v>
      </c>
      <c r="O332" s="101" t="s">
        <v>753</v>
      </c>
      <c r="P332" s="101">
        <v>715664</v>
      </c>
      <c r="Q332" t="s">
        <v>677</v>
      </c>
      <c r="R332" t="s">
        <v>208</v>
      </c>
      <c r="S332"/>
      <c r="T332"/>
      <c r="U332"/>
      <c r="V332" s="220"/>
    </row>
    <row r="333" spans="1:22" x14ac:dyDescent="0.2">
      <c r="A333" t="s">
        <v>1047</v>
      </c>
      <c r="B333" s="101">
        <v>13</v>
      </c>
      <c r="C333" s="101">
        <v>1</v>
      </c>
      <c r="D333" s="101">
        <v>5</v>
      </c>
      <c r="E333" s="101">
        <v>20</v>
      </c>
      <c r="F333" s="101">
        <v>25</v>
      </c>
      <c r="G333" s="101">
        <v>2</v>
      </c>
      <c r="H333" s="101">
        <v>0.5</v>
      </c>
      <c r="I333" s="102">
        <v>0.47000000000000003</v>
      </c>
      <c r="J333" s="102">
        <v>1.7</v>
      </c>
      <c r="K333" s="101">
        <v>9.4</v>
      </c>
      <c r="L333" s="101">
        <v>0.70000000000000007</v>
      </c>
      <c r="M333" s="101" t="s">
        <v>1001</v>
      </c>
      <c r="N333" s="101">
        <v>2000</v>
      </c>
      <c r="O333" s="101" t="s">
        <v>633</v>
      </c>
      <c r="P333" s="101">
        <v>313155</v>
      </c>
      <c r="Q333" t="s">
        <v>764</v>
      </c>
      <c r="R333" t="s">
        <v>270</v>
      </c>
      <c r="S333"/>
      <c r="T333"/>
      <c r="U333"/>
      <c r="V333" s="220"/>
    </row>
    <row r="334" spans="1:22" x14ac:dyDescent="0.2">
      <c r="A334" t="s">
        <v>627</v>
      </c>
      <c r="B334" s="101">
        <v>1</v>
      </c>
      <c r="C334" s="101">
        <v>4</v>
      </c>
      <c r="D334" s="101">
        <v>0</v>
      </c>
      <c r="E334" s="101">
        <v>1</v>
      </c>
      <c r="F334" s="101">
        <v>-10</v>
      </c>
      <c r="G334" s="101">
        <v>9</v>
      </c>
      <c r="H334" s="101">
        <v>1.8</v>
      </c>
      <c r="I334" s="102">
        <v>0.48</v>
      </c>
      <c r="J334" s="102">
        <v>1.19</v>
      </c>
      <c r="K334" s="101">
        <v>6.1000000000000005</v>
      </c>
      <c r="L334" s="101">
        <v>-0.9</v>
      </c>
      <c r="M334" s="101" t="s">
        <v>1002</v>
      </c>
      <c r="N334" s="101">
        <v>2004</v>
      </c>
      <c r="O334" s="101" t="s">
        <v>633</v>
      </c>
      <c r="P334" s="101">
        <v>808634</v>
      </c>
      <c r="Q334" t="s">
        <v>992</v>
      </c>
      <c r="R334" t="s">
        <v>626</v>
      </c>
      <c r="S334"/>
      <c r="T334"/>
      <c r="U334"/>
      <c r="V334" s="220"/>
    </row>
    <row r="335" spans="1:22" x14ac:dyDescent="0.2">
      <c r="A335" t="s">
        <v>904</v>
      </c>
      <c r="B335" s="101">
        <v>6</v>
      </c>
      <c r="C335" s="101">
        <v>2</v>
      </c>
      <c r="D335" s="101">
        <v>0</v>
      </c>
      <c r="E335" s="101">
        <v>5</v>
      </c>
      <c r="F335" s="101"/>
      <c r="G335" s="101"/>
      <c r="H335" s="101"/>
      <c r="I335" s="102">
        <v>0.48</v>
      </c>
      <c r="J335" s="102">
        <v>1.879562</v>
      </c>
      <c r="K335" s="101"/>
      <c r="L335" s="101"/>
      <c r="M335" s="101" t="s">
        <v>1001</v>
      </c>
      <c r="N335" s="101">
        <v>2011</v>
      </c>
      <c r="O335" s="101" t="s">
        <v>633</v>
      </c>
      <c r="P335" s="101">
        <v>119776</v>
      </c>
      <c r="Q335" t="s">
        <v>397</v>
      </c>
      <c r="R335" t="s">
        <v>301</v>
      </c>
      <c r="S335"/>
      <c r="T335"/>
      <c r="U335"/>
      <c r="V335" s="220"/>
    </row>
    <row r="336" spans="1:22" x14ac:dyDescent="0.2">
      <c r="A336" t="s">
        <v>1048</v>
      </c>
      <c r="B336" s="101">
        <v>11</v>
      </c>
      <c r="C336" s="101">
        <v>7</v>
      </c>
      <c r="D336" s="101">
        <v>-1</v>
      </c>
      <c r="E336" s="101">
        <v>3</v>
      </c>
      <c r="F336" s="101">
        <v>-12</v>
      </c>
      <c r="G336" s="101">
        <v>-33</v>
      </c>
      <c r="H336" s="101">
        <v>-7.8</v>
      </c>
      <c r="I336" s="102">
        <v>0.48</v>
      </c>
      <c r="J336" s="102">
        <v>1.104009</v>
      </c>
      <c r="K336" s="101">
        <v>17.2</v>
      </c>
      <c r="L336" s="101">
        <v>-0.2</v>
      </c>
      <c r="M336" s="101" t="s">
        <v>1002</v>
      </c>
      <c r="N336" s="101">
        <v>2008</v>
      </c>
      <c r="O336" s="101" t="s">
        <v>633</v>
      </c>
      <c r="P336" s="101">
        <v>989491</v>
      </c>
      <c r="Q336" t="s">
        <v>449</v>
      </c>
      <c r="R336" t="s">
        <v>145</v>
      </c>
      <c r="S336"/>
      <c r="T336"/>
      <c r="U336"/>
      <c r="V336" s="220"/>
    </row>
    <row r="337" spans="1:22" x14ac:dyDescent="0.2">
      <c r="A337" t="s">
        <v>388</v>
      </c>
      <c r="B337" s="101">
        <v>8</v>
      </c>
      <c r="C337" s="101">
        <v>3</v>
      </c>
      <c r="D337" s="101">
        <v>-3</v>
      </c>
      <c r="E337" s="101">
        <v>8</v>
      </c>
      <c r="F337" s="101">
        <v>-4</v>
      </c>
      <c r="G337" s="101">
        <v>-35</v>
      </c>
      <c r="H337" s="101">
        <v>-8.1999999999999993</v>
      </c>
      <c r="I337" s="102">
        <v>0.48</v>
      </c>
      <c r="J337" s="102">
        <v>1.74</v>
      </c>
      <c r="K337" s="101">
        <v>14.6</v>
      </c>
      <c r="L337" s="101">
        <v>-0.1</v>
      </c>
      <c r="M337" s="101" t="s">
        <v>1001</v>
      </c>
      <c r="N337" s="101">
        <v>2000</v>
      </c>
      <c r="O337" s="101" t="s">
        <v>753</v>
      </c>
      <c r="P337" s="101">
        <v>285825</v>
      </c>
      <c r="Q337" t="s">
        <v>859</v>
      </c>
      <c r="R337" t="s">
        <v>161</v>
      </c>
      <c r="S337"/>
      <c r="T337"/>
      <c r="U337"/>
      <c r="V337" s="220"/>
    </row>
    <row r="338" spans="1:22" x14ac:dyDescent="0.2">
      <c r="A338" t="s">
        <v>927</v>
      </c>
      <c r="B338" s="101">
        <v>10</v>
      </c>
      <c r="C338" s="101">
        <v>2</v>
      </c>
      <c r="D338" s="101">
        <v>0</v>
      </c>
      <c r="E338" s="101">
        <v>9</v>
      </c>
      <c r="F338" s="101">
        <v>16</v>
      </c>
      <c r="G338" s="101">
        <v>-10</v>
      </c>
      <c r="H338" s="101">
        <v>-2</v>
      </c>
      <c r="I338" s="102">
        <v>0.49</v>
      </c>
      <c r="J338" s="102">
        <v>1.3180000000000001</v>
      </c>
      <c r="K338" s="101">
        <v>13</v>
      </c>
      <c r="L338" s="101">
        <v>0.3</v>
      </c>
      <c r="M338" s="101" t="s">
        <v>1001</v>
      </c>
      <c r="N338" s="101">
        <v>2003</v>
      </c>
      <c r="O338" s="101" t="s">
        <v>633</v>
      </c>
      <c r="P338" s="101">
        <v>586982</v>
      </c>
      <c r="Q338" t="s">
        <v>920</v>
      </c>
      <c r="R338" t="s">
        <v>131</v>
      </c>
      <c r="S338"/>
      <c r="T338"/>
      <c r="U338"/>
      <c r="V338" s="220"/>
    </row>
    <row r="339" spans="1:22" x14ac:dyDescent="0.2">
      <c r="A339" t="s">
        <v>249</v>
      </c>
      <c r="B339" s="101">
        <v>22</v>
      </c>
      <c r="C339" s="101">
        <v>9</v>
      </c>
      <c r="D339" s="101">
        <v>4</v>
      </c>
      <c r="E339" s="101">
        <v>17</v>
      </c>
      <c r="F339" s="101">
        <v>29</v>
      </c>
      <c r="G339" s="101">
        <v>-10</v>
      </c>
      <c r="H339" s="101">
        <v>-2.2000000000000002</v>
      </c>
      <c r="I339" s="102">
        <v>0.49</v>
      </c>
      <c r="J339" s="102">
        <v>1.2119059999999999</v>
      </c>
      <c r="K339" s="101">
        <v>20.8</v>
      </c>
      <c r="L339" s="101">
        <v>0.4</v>
      </c>
      <c r="M339" s="101" t="s">
        <v>1003</v>
      </c>
      <c r="N339" s="101">
        <v>2001</v>
      </c>
      <c r="O339" s="101" t="s">
        <v>633</v>
      </c>
      <c r="P339" s="101">
        <v>183178</v>
      </c>
      <c r="Q339" t="s">
        <v>754</v>
      </c>
      <c r="R339" t="s">
        <v>239</v>
      </c>
      <c r="S339"/>
      <c r="T339"/>
      <c r="U339"/>
      <c r="V339" s="220"/>
    </row>
    <row r="340" spans="1:22" x14ac:dyDescent="0.2">
      <c r="A340" t="s">
        <v>844</v>
      </c>
      <c r="B340" s="101">
        <v>5</v>
      </c>
      <c r="C340" s="101">
        <v>1</v>
      </c>
      <c r="D340" s="101">
        <v>1</v>
      </c>
      <c r="E340" s="101">
        <v>7</v>
      </c>
      <c r="F340" s="101">
        <v>11</v>
      </c>
      <c r="G340" s="101">
        <v>6</v>
      </c>
      <c r="H340" s="101">
        <v>1.2</v>
      </c>
      <c r="I340" s="102">
        <v>0.49</v>
      </c>
      <c r="J340" s="102">
        <v>1.4000000000000001</v>
      </c>
      <c r="K340" s="101">
        <v>5.9</v>
      </c>
      <c r="L340" s="101">
        <v>0.3</v>
      </c>
      <c r="M340" s="101" t="s">
        <v>1001</v>
      </c>
      <c r="N340" s="101">
        <v>2000</v>
      </c>
      <c r="O340" s="101" t="s">
        <v>753</v>
      </c>
      <c r="P340" s="101">
        <v>546960</v>
      </c>
      <c r="Q340" t="s">
        <v>680</v>
      </c>
      <c r="R340" t="s">
        <v>293</v>
      </c>
      <c r="S340"/>
      <c r="T340"/>
      <c r="U340"/>
      <c r="V340" s="220"/>
    </row>
    <row r="341" spans="1:22" x14ac:dyDescent="0.2">
      <c r="A341" t="s">
        <v>51</v>
      </c>
      <c r="B341" s="101">
        <v>11</v>
      </c>
      <c r="C341" s="101">
        <v>9</v>
      </c>
      <c r="D341" s="101">
        <v>3</v>
      </c>
      <c r="E341" s="101">
        <v>13</v>
      </c>
      <c r="F341" s="101">
        <v>-4</v>
      </c>
      <c r="G341" s="101">
        <v>-30</v>
      </c>
      <c r="H341" s="101">
        <v>-6.8</v>
      </c>
      <c r="I341" s="102">
        <v>0.49</v>
      </c>
      <c r="J341" s="102">
        <v>1.4000000000000001</v>
      </c>
      <c r="K341" s="101">
        <v>14.3</v>
      </c>
      <c r="L341" s="101">
        <v>-0.2</v>
      </c>
      <c r="M341" s="101" t="s">
        <v>1001</v>
      </c>
      <c r="N341" s="101">
        <v>2000</v>
      </c>
      <c r="O341" s="101" t="s">
        <v>753</v>
      </c>
      <c r="P341" s="101">
        <v>654459</v>
      </c>
      <c r="Q341" t="s">
        <v>680</v>
      </c>
      <c r="R341" t="s">
        <v>44</v>
      </c>
      <c r="S341"/>
      <c r="T341"/>
      <c r="U341"/>
      <c r="V341" s="220"/>
    </row>
    <row r="342" spans="1:22" x14ac:dyDescent="0.2">
      <c r="A342" t="s">
        <v>237</v>
      </c>
      <c r="B342" s="101">
        <v>-4</v>
      </c>
      <c r="C342" s="101">
        <v>-2</v>
      </c>
      <c r="D342" s="101">
        <v>-9</v>
      </c>
      <c r="E342" s="101">
        <v>-5</v>
      </c>
      <c r="F342" s="101">
        <v>-11</v>
      </c>
      <c r="G342" s="101">
        <v>-34</v>
      </c>
      <c r="H342" s="101">
        <v>-7.9</v>
      </c>
      <c r="I342" s="102">
        <v>0.49</v>
      </c>
      <c r="J342" s="102">
        <v>1.4000000000000001</v>
      </c>
      <c r="K342" s="101">
        <v>15.1</v>
      </c>
      <c r="L342" s="101">
        <v>-0.3</v>
      </c>
      <c r="M342" s="101" t="s">
        <v>1001</v>
      </c>
      <c r="N342" s="101">
        <v>2000</v>
      </c>
      <c r="O342" s="101" t="s">
        <v>753</v>
      </c>
      <c r="P342" s="101">
        <v>582791</v>
      </c>
      <c r="Q342" t="s">
        <v>680</v>
      </c>
      <c r="R342" t="s">
        <v>226</v>
      </c>
      <c r="S342"/>
      <c r="T342"/>
      <c r="U342"/>
      <c r="V342" s="220"/>
    </row>
    <row r="343" spans="1:22" x14ac:dyDescent="0.2">
      <c r="A343" t="s">
        <v>1035</v>
      </c>
      <c r="B343" s="101"/>
      <c r="C343" s="101">
        <v>3</v>
      </c>
      <c r="D343" s="101">
        <v>-3</v>
      </c>
      <c r="E343" s="101"/>
      <c r="F343" s="101"/>
      <c r="G343" s="101"/>
      <c r="H343" s="101"/>
      <c r="I343" s="102">
        <v>0.49</v>
      </c>
      <c r="J343" s="102">
        <v>1.4000000000000001</v>
      </c>
      <c r="K343" s="101"/>
      <c r="L343" s="101"/>
      <c r="M343" s="101" t="s">
        <v>1001</v>
      </c>
      <c r="N343" s="101">
        <v>2012</v>
      </c>
      <c r="O343" s="101" t="s">
        <v>753</v>
      </c>
      <c r="P343" s="101">
        <v>611657</v>
      </c>
      <c r="Q343" t="s">
        <v>680</v>
      </c>
      <c r="R343" t="s">
        <v>748</v>
      </c>
      <c r="S343"/>
      <c r="T343"/>
      <c r="U343"/>
      <c r="V343" s="220"/>
    </row>
    <row r="344" spans="1:22" x14ac:dyDescent="0.2">
      <c r="A344" t="s">
        <v>1121</v>
      </c>
      <c r="B344" s="101">
        <v>7</v>
      </c>
      <c r="C344" s="101">
        <v>1</v>
      </c>
      <c r="D344" s="101">
        <v>0</v>
      </c>
      <c r="E344" s="101">
        <v>8</v>
      </c>
      <c r="F344" s="101"/>
      <c r="G344" s="101"/>
      <c r="H344" s="101"/>
      <c r="I344" s="102">
        <v>0.49</v>
      </c>
      <c r="J344" s="102">
        <v>0.9</v>
      </c>
      <c r="K344" s="101"/>
      <c r="L344" s="101"/>
      <c r="M344" s="101" t="s">
        <v>1001</v>
      </c>
      <c r="N344" s="101">
        <v>2010</v>
      </c>
      <c r="O344" s="101" t="s">
        <v>753</v>
      </c>
      <c r="P344" s="101">
        <v>476895</v>
      </c>
      <c r="Q344" t="s">
        <v>13</v>
      </c>
      <c r="R344" t="s">
        <v>671</v>
      </c>
      <c r="S344"/>
      <c r="T344"/>
      <c r="U344"/>
      <c r="V344" s="220"/>
    </row>
    <row r="345" spans="1:22" x14ac:dyDescent="0.2">
      <c r="A345" t="s">
        <v>726</v>
      </c>
      <c r="B345" s="101">
        <v>6</v>
      </c>
      <c r="C345" s="101">
        <v>1</v>
      </c>
      <c r="D345" s="101">
        <v>-3</v>
      </c>
      <c r="E345" s="101">
        <v>11</v>
      </c>
      <c r="F345" s="101">
        <v>30</v>
      </c>
      <c r="G345" s="101">
        <v>11</v>
      </c>
      <c r="H345" s="101">
        <v>2</v>
      </c>
      <c r="I345" s="102">
        <v>0.49</v>
      </c>
      <c r="J345" s="102">
        <v>1.4000000000000001</v>
      </c>
      <c r="K345" s="101">
        <v>17.7</v>
      </c>
      <c r="L345" s="101">
        <v>0.5</v>
      </c>
      <c r="M345" s="101" t="s">
        <v>1001</v>
      </c>
      <c r="N345" s="101">
        <v>2002</v>
      </c>
      <c r="O345" s="101" t="s">
        <v>753</v>
      </c>
      <c r="P345" s="101">
        <v>103606</v>
      </c>
      <c r="Q345" t="s">
        <v>680</v>
      </c>
      <c r="R345" t="s">
        <v>724</v>
      </c>
      <c r="S345"/>
      <c r="T345"/>
      <c r="U345"/>
      <c r="V345" s="220"/>
    </row>
    <row r="346" spans="1:22" x14ac:dyDescent="0.2">
      <c r="A346" t="s">
        <v>681</v>
      </c>
      <c r="B346" s="101">
        <v>12</v>
      </c>
      <c r="C346" s="101">
        <v>1</v>
      </c>
      <c r="D346" s="101">
        <v>1</v>
      </c>
      <c r="E346" s="101">
        <v>14</v>
      </c>
      <c r="F346" s="101">
        <v>17</v>
      </c>
      <c r="G346" s="101">
        <v>1</v>
      </c>
      <c r="H346" s="101">
        <v>0.2</v>
      </c>
      <c r="I346" s="102">
        <v>0.49</v>
      </c>
      <c r="J346" s="102">
        <v>1.4000000000000001</v>
      </c>
      <c r="K346" s="101">
        <v>17.3</v>
      </c>
      <c r="L346" s="101">
        <v>0.3</v>
      </c>
      <c r="M346" s="101" t="s">
        <v>1001</v>
      </c>
      <c r="N346" s="101">
        <v>2000</v>
      </c>
      <c r="O346" s="101" t="s">
        <v>753</v>
      </c>
      <c r="P346" s="101">
        <v>690289</v>
      </c>
      <c r="Q346" t="s">
        <v>680</v>
      </c>
      <c r="R346" t="s">
        <v>671</v>
      </c>
      <c r="S346"/>
      <c r="T346"/>
      <c r="U346"/>
      <c r="V346" s="220"/>
    </row>
    <row r="347" spans="1:22" x14ac:dyDescent="0.2">
      <c r="A347" t="s">
        <v>264</v>
      </c>
      <c r="B347" s="101">
        <v>8</v>
      </c>
      <c r="C347" s="101">
        <v>0</v>
      </c>
      <c r="D347" s="101">
        <v>-4</v>
      </c>
      <c r="E347" s="101">
        <v>13</v>
      </c>
      <c r="F347" s="101">
        <v>30</v>
      </c>
      <c r="G347" s="101">
        <v>7</v>
      </c>
      <c r="H347" s="101">
        <v>1.4000000000000001</v>
      </c>
      <c r="I347" s="102">
        <v>0.49</v>
      </c>
      <c r="J347" s="102">
        <v>1.4000000000000001</v>
      </c>
      <c r="K347" s="101">
        <v>12.200000000000001</v>
      </c>
      <c r="L347" s="101">
        <v>0.6</v>
      </c>
      <c r="M347" s="101" t="s">
        <v>1001</v>
      </c>
      <c r="N347" s="101">
        <v>2000</v>
      </c>
      <c r="O347" s="101" t="s">
        <v>753</v>
      </c>
      <c r="P347" s="101">
        <v>439471</v>
      </c>
      <c r="Q347" t="s">
        <v>680</v>
      </c>
      <c r="R347" t="s">
        <v>261</v>
      </c>
      <c r="S347"/>
      <c r="T347"/>
      <c r="U347"/>
      <c r="V347" s="220"/>
    </row>
    <row r="348" spans="1:22" x14ac:dyDescent="0.2">
      <c r="A348" t="s">
        <v>115</v>
      </c>
      <c r="B348" s="101">
        <v>11</v>
      </c>
      <c r="C348" s="101">
        <v>2</v>
      </c>
      <c r="D348" s="101">
        <v>2</v>
      </c>
      <c r="E348" s="101">
        <v>18</v>
      </c>
      <c r="F348" s="101">
        <v>30</v>
      </c>
      <c r="G348" s="101">
        <v>-1</v>
      </c>
      <c r="H348" s="101">
        <v>-0.3</v>
      </c>
      <c r="I348" s="102">
        <v>0.49</v>
      </c>
      <c r="J348" s="102">
        <v>1.4000000000000001</v>
      </c>
      <c r="K348" s="101">
        <v>9.9</v>
      </c>
      <c r="L348" s="101">
        <v>0.70000000000000007</v>
      </c>
      <c r="M348" s="101" t="s">
        <v>1001</v>
      </c>
      <c r="N348" s="101">
        <v>2000</v>
      </c>
      <c r="O348" s="101" t="s">
        <v>753</v>
      </c>
      <c r="P348" s="101">
        <v>511139</v>
      </c>
      <c r="Q348" t="s">
        <v>680</v>
      </c>
      <c r="R348" t="s">
        <v>102</v>
      </c>
      <c r="S348"/>
      <c r="T348"/>
      <c r="U348"/>
      <c r="V348" s="220"/>
    </row>
    <row r="349" spans="1:22" x14ac:dyDescent="0.2">
      <c r="A349" t="s">
        <v>160</v>
      </c>
      <c r="B349" s="101">
        <v>8</v>
      </c>
      <c r="C349" s="101">
        <v>5</v>
      </c>
      <c r="D349" s="101">
        <v>0</v>
      </c>
      <c r="E349" s="101">
        <v>11</v>
      </c>
      <c r="F349" s="101">
        <v>11</v>
      </c>
      <c r="G349" s="101">
        <v>-16</v>
      </c>
      <c r="H349" s="101">
        <v>-3.4</v>
      </c>
      <c r="I349" s="102">
        <v>0.49</v>
      </c>
      <c r="J349" s="102">
        <v>1.4000000000000001</v>
      </c>
      <c r="K349" s="101">
        <v>9.9</v>
      </c>
      <c r="L349" s="101">
        <v>0.2</v>
      </c>
      <c r="M349" s="101" t="s">
        <v>1001</v>
      </c>
      <c r="N349" s="101">
        <v>2000</v>
      </c>
      <c r="O349" s="101" t="s">
        <v>753</v>
      </c>
      <c r="P349" s="101">
        <v>475301</v>
      </c>
      <c r="Q349" t="s">
        <v>680</v>
      </c>
      <c r="R349" t="s">
        <v>145</v>
      </c>
      <c r="S349"/>
      <c r="T349"/>
      <c r="U349"/>
      <c r="V349" s="220"/>
    </row>
    <row r="350" spans="1:22" x14ac:dyDescent="0.2">
      <c r="A350" t="s">
        <v>185</v>
      </c>
      <c r="B350" s="101">
        <v>7</v>
      </c>
      <c r="C350" s="101">
        <v>6</v>
      </c>
      <c r="D350" s="101">
        <v>2</v>
      </c>
      <c r="E350" s="101">
        <v>7</v>
      </c>
      <c r="F350" s="101">
        <v>-3</v>
      </c>
      <c r="G350" s="101">
        <v>13</v>
      </c>
      <c r="H350" s="101">
        <v>2.5</v>
      </c>
      <c r="I350" s="102">
        <v>0.49</v>
      </c>
      <c r="J350" s="102">
        <v>1.2250000000000001</v>
      </c>
      <c r="K350" s="101">
        <v>6.7</v>
      </c>
      <c r="L350" s="101">
        <v>-0.3</v>
      </c>
      <c r="M350" s="101" t="s">
        <v>1002</v>
      </c>
      <c r="N350" s="101">
        <v>2003</v>
      </c>
      <c r="O350" s="101" t="s">
        <v>633</v>
      </c>
      <c r="P350" s="101">
        <v>280925</v>
      </c>
      <c r="Q350" t="s">
        <v>423</v>
      </c>
      <c r="R350" t="s">
        <v>615</v>
      </c>
      <c r="S350"/>
      <c r="T350"/>
      <c r="U350"/>
      <c r="V350" s="220"/>
    </row>
    <row r="351" spans="1:22" x14ac:dyDescent="0.2">
      <c r="A351" t="s">
        <v>843</v>
      </c>
      <c r="B351" s="101">
        <v>9</v>
      </c>
      <c r="C351" s="101">
        <v>1</v>
      </c>
      <c r="D351" s="101">
        <v>-1</v>
      </c>
      <c r="E351" s="101">
        <v>8</v>
      </c>
      <c r="F351" s="101">
        <v>13</v>
      </c>
      <c r="G351" s="101">
        <v>-8</v>
      </c>
      <c r="H351" s="101">
        <v>-1.7</v>
      </c>
      <c r="I351" s="102">
        <v>0.49</v>
      </c>
      <c r="J351" s="102">
        <v>1.4000000000000001</v>
      </c>
      <c r="K351" s="101">
        <v>12.9</v>
      </c>
      <c r="L351" s="101">
        <v>0.3</v>
      </c>
      <c r="M351" s="101" t="s">
        <v>1001</v>
      </c>
      <c r="N351" s="101">
        <v>2000</v>
      </c>
      <c r="O351" s="101" t="s">
        <v>753</v>
      </c>
      <c r="P351" s="101">
        <v>367813</v>
      </c>
      <c r="Q351" t="s">
        <v>680</v>
      </c>
      <c r="R351" t="s">
        <v>730</v>
      </c>
      <c r="S351"/>
      <c r="T351"/>
      <c r="U351"/>
      <c r="V351" s="220"/>
    </row>
    <row r="352" spans="1:22" x14ac:dyDescent="0.2">
      <c r="A352" t="s">
        <v>8</v>
      </c>
      <c r="B352" s="101">
        <v>11</v>
      </c>
      <c r="C352" s="101">
        <v>2</v>
      </c>
      <c r="D352" s="101">
        <v>1</v>
      </c>
      <c r="E352" s="101">
        <v>13</v>
      </c>
      <c r="F352" s="101">
        <v>26</v>
      </c>
      <c r="G352" s="101">
        <v>30</v>
      </c>
      <c r="H352" s="101">
        <v>5.4</v>
      </c>
      <c r="I352" s="102">
        <v>0.5</v>
      </c>
      <c r="J352" s="102">
        <v>1.27</v>
      </c>
      <c r="K352" s="101">
        <v>9.7000000000000011</v>
      </c>
      <c r="L352" s="101">
        <v>0.70000000000000007</v>
      </c>
      <c r="M352" s="101" t="s">
        <v>1001</v>
      </c>
      <c r="N352" s="101">
        <v>2000</v>
      </c>
      <c r="O352" s="101" t="s">
        <v>753</v>
      </c>
      <c r="P352" s="101">
        <v>829945</v>
      </c>
      <c r="Q352" t="s">
        <v>433</v>
      </c>
      <c r="R352" t="s">
        <v>292</v>
      </c>
      <c r="S352"/>
      <c r="T352"/>
      <c r="U352"/>
      <c r="V352" s="220"/>
    </row>
    <row r="353" spans="1:22" x14ac:dyDescent="0.2">
      <c r="A353" t="s">
        <v>1066</v>
      </c>
      <c r="B353" s="101"/>
      <c r="C353" s="101">
        <v>2</v>
      </c>
      <c r="D353" s="101"/>
      <c r="E353" s="101"/>
      <c r="F353" s="101"/>
      <c r="G353" s="101"/>
      <c r="H353" s="101"/>
      <c r="I353" s="102">
        <v>0.5</v>
      </c>
      <c r="J353" s="102">
        <v>1.25</v>
      </c>
      <c r="K353" s="101"/>
      <c r="L353" s="101"/>
      <c r="M353" s="101" t="s">
        <v>1002</v>
      </c>
      <c r="N353" s="101">
        <v>2012</v>
      </c>
      <c r="O353" s="101" t="s">
        <v>633</v>
      </c>
      <c r="P353" s="101">
        <v>906792</v>
      </c>
      <c r="Q353" t="s">
        <v>1067</v>
      </c>
      <c r="R353" t="s">
        <v>626</v>
      </c>
      <c r="S353"/>
      <c r="T353"/>
      <c r="U353"/>
      <c r="V353" s="220"/>
    </row>
    <row r="354" spans="1:22" x14ac:dyDescent="0.2">
      <c r="A354" t="s">
        <v>925</v>
      </c>
      <c r="B354" s="101">
        <v>10</v>
      </c>
      <c r="C354" s="101">
        <v>2</v>
      </c>
      <c r="D354" s="101">
        <v>-3</v>
      </c>
      <c r="E354" s="101">
        <v>3</v>
      </c>
      <c r="F354" s="101">
        <v>3</v>
      </c>
      <c r="G354" s="101">
        <v>-12</v>
      </c>
      <c r="H354" s="101">
        <v>-2.5</v>
      </c>
      <c r="I354" s="102">
        <v>0.5</v>
      </c>
      <c r="J354" s="102">
        <v>1.3210000000000002</v>
      </c>
      <c r="K354" s="101">
        <v>18.2</v>
      </c>
      <c r="L354" s="101">
        <v>0.1</v>
      </c>
      <c r="M354" s="101" t="s">
        <v>1001</v>
      </c>
      <c r="N354" s="101">
        <v>2010</v>
      </c>
      <c r="O354" s="101" t="s">
        <v>633</v>
      </c>
      <c r="P354" s="101">
        <v>242495</v>
      </c>
      <c r="Q354" t="s">
        <v>920</v>
      </c>
      <c r="R354" t="s">
        <v>748</v>
      </c>
      <c r="S354"/>
      <c r="T354"/>
      <c r="U354"/>
      <c r="V354" s="220"/>
    </row>
    <row r="355" spans="1:22" x14ac:dyDescent="0.2">
      <c r="A355" t="s">
        <v>926</v>
      </c>
      <c r="B355" s="101">
        <v>7</v>
      </c>
      <c r="C355" s="101">
        <v>4</v>
      </c>
      <c r="D355" s="101">
        <v>-1</v>
      </c>
      <c r="E355" s="101">
        <v>7</v>
      </c>
      <c r="F355" s="101">
        <v>13</v>
      </c>
      <c r="G355" s="101">
        <v>-13</v>
      </c>
      <c r="H355" s="101">
        <v>-2.8000000000000003</v>
      </c>
      <c r="I355" s="102">
        <v>0.5</v>
      </c>
      <c r="J355" s="102">
        <v>1.3220000000000001</v>
      </c>
      <c r="K355" s="101">
        <v>10.8</v>
      </c>
      <c r="L355" s="101">
        <v>0.2</v>
      </c>
      <c r="M355" s="101" t="s">
        <v>1001</v>
      </c>
      <c r="N355" s="101">
        <v>2011</v>
      </c>
      <c r="O355" s="101" t="s">
        <v>633</v>
      </c>
      <c r="P355" s="101">
        <v>503573</v>
      </c>
      <c r="Q355" t="s">
        <v>920</v>
      </c>
      <c r="R355" t="s">
        <v>145</v>
      </c>
      <c r="S355" t="s">
        <v>1024</v>
      </c>
      <c r="T355"/>
      <c r="U355"/>
      <c r="V355" s="220"/>
    </row>
    <row r="356" spans="1:22" x14ac:dyDescent="0.2">
      <c r="A356" t="s">
        <v>629</v>
      </c>
      <c r="B356" s="101">
        <v>11</v>
      </c>
      <c r="C356" s="101">
        <v>3</v>
      </c>
      <c r="D356" s="101">
        <v>4</v>
      </c>
      <c r="E356" s="101">
        <v>15</v>
      </c>
      <c r="F356" s="101">
        <v>28</v>
      </c>
      <c r="G356" s="101">
        <v>45</v>
      </c>
      <c r="H356" s="101">
        <v>7.8</v>
      </c>
      <c r="I356" s="102">
        <v>0.51</v>
      </c>
      <c r="J356" s="102">
        <v>1.53</v>
      </c>
      <c r="K356" s="101">
        <v>9.5</v>
      </c>
      <c r="L356" s="101">
        <v>0.70000000000000007</v>
      </c>
      <c r="M356" s="101" t="s">
        <v>1004</v>
      </c>
      <c r="N356" s="101">
        <v>2000</v>
      </c>
      <c r="O356" s="101" t="s">
        <v>633</v>
      </c>
      <c r="P356" s="101">
        <v>298570</v>
      </c>
      <c r="Q356" t="s">
        <v>354</v>
      </c>
      <c r="R356" t="s">
        <v>626</v>
      </c>
      <c r="S356"/>
      <c r="T356"/>
      <c r="U356"/>
      <c r="V356" s="220"/>
    </row>
    <row r="357" spans="1:22" x14ac:dyDescent="0.2">
      <c r="A357" t="s">
        <v>390</v>
      </c>
      <c r="B357" s="101">
        <v>7</v>
      </c>
      <c r="C357" s="101">
        <v>6</v>
      </c>
      <c r="D357" s="101">
        <v>-1</v>
      </c>
      <c r="E357" s="101">
        <v>6</v>
      </c>
      <c r="F357" s="101">
        <v>-13</v>
      </c>
      <c r="G357" s="101">
        <v>-48</v>
      </c>
      <c r="H357" s="101">
        <v>-12.4</v>
      </c>
      <c r="I357" s="102">
        <v>0.51</v>
      </c>
      <c r="J357" s="102">
        <v>1.9100000000000001</v>
      </c>
      <c r="K357" s="101">
        <v>15.4</v>
      </c>
      <c r="L357" s="101">
        <v>-0.3</v>
      </c>
      <c r="M357" s="101" t="s">
        <v>1001</v>
      </c>
      <c r="N357" s="101">
        <v>2004</v>
      </c>
      <c r="O357" s="101" t="s">
        <v>753</v>
      </c>
      <c r="P357" s="101">
        <v>838383</v>
      </c>
      <c r="Q357" t="s">
        <v>859</v>
      </c>
      <c r="R357" t="s">
        <v>367</v>
      </c>
      <c r="S357"/>
      <c r="T357"/>
      <c r="U357"/>
      <c r="V357" s="220"/>
    </row>
    <row r="358" spans="1:22" x14ac:dyDescent="0.2">
      <c r="A358" t="s">
        <v>101</v>
      </c>
      <c r="B358" s="101">
        <v>10</v>
      </c>
      <c r="C358" s="101">
        <v>11</v>
      </c>
      <c r="D358" s="101">
        <v>8</v>
      </c>
      <c r="E358" s="101">
        <v>2</v>
      </c>
      <c r="F358" s="101">
        <v>-17</v>
      </c>
      <c r="G358" s="101">
        <v>-39</v>
      </c>
      <c r="H358" s="101">
        <v>-9.5</v>
      </c>
      <c r="I358" s="102">
        <v>0.51</v>
      </c>
      <c r="J358" s="102">
        <v>1.25</v>
      </c>
      <c r="K358" s="101">
        <v>18.400000000000002</v>
      </c>
      <c r="L358" s="101">
        <v>-0.3</v>
      </c>
      <c r="M358" s="101" t="s">
        <v>1002</v>
      </c>
      <c r="N358" s="101">
        <v>2000</v>
      </c>
      <c r="O358" s="101" t="s">
        <v>633</v>
      </c>
      <c r="P358" s="101">
        <v>507475</v>
      </c>
      <c r="Q358" t="s">
        <v>88</v>
      </c>
      <c r="R358" t="s">
        <v>96</v>
      </c>
      <c r="S358"/>
      <c r="T358"/>
      <c r="U358"/>
      <c r="V358" s="220"/>
    </row>
    <row r="359" spans="1:22" x14ac:dyDescent="0.2">
      <c r="A359" t="s">
        <v>225</v>
      </c>
      <c r="B359" s="101">
        <v>12</v>
      </c>
      <c r="C359" s="101">
        <v>7</v>
      </c>
      <c r="D359" s="101">
        <v>-3</v>
      </c>
      <c r="E359" s="101">
        <v>5</v>
      </c>
      <c r="F359" s="101">
        <v>-1</v>
      </c>
      <c r="G359" s="101">
        <v>-35</v>
      </c>
      <c r="H359" s="101">
        <v>-8.4</v>
      </c>
      <c r="I359" s="102">
        <v>0.51</v>
      </c>
      <c r="J359" s="102">
        <v>1.75</v>
      </c>
      <c r="K359" s="101">
        <v>20.8</v>
      </c>
      <c r="L359" s="101">
        <v>0</v>
      </c>
      <c r="M359" s="101" t="s">
        <v>1001</v>
      </c>
      <c r="N359" s="101">
        <v>2005</v>
      </c>
      <c r="O359" s="101" t="s">
        <v>753</v>
      </c>
      <c r="P359" s="101">
        <v>449090</v>
      </c>
      <c r="Q359" t="s">
        <v>790</v>
      </c>
      <c r="R359" t="s">
        <v>208</v>
      </c>
      <c r="S359"/>
      <c r="T359"/>
      <c r="U359"/>
      <c r="V359" s="220"/>
    </row>
    <row r="360" spans="1:22" x14ac:dyDescent="0.2">
      <c r="A360" t="s">
        <v>965</v>
      </c>
      <c r="B360" s="101">
        <v>9</v>
      </c>
      <c r="C360" s="101">
        <v>2</v>
      </c>
      <c r="D360" s="101">
        <v>-2</v>
      </c>
      <c r="E360" s="101">
        <v>8</v>
      </c>
      <c r="F360" s="101">
        <v>17</v>
      </c>
      <c r="G360" s="101">
        <v>-10</v>
      </c>
      <c r="H360" s="101">
        <v>-2.2000000000000002</v>
      </c>
      <c r="I360" s="102">
        <v>0.51</v>
      </c>
      <c r="J360" s="102">
        <v>1.76</v>
      </c>
      <c r="K360" s="101">
        <v>13.3</v>
      </c>
      <c r="L360" s="101">
        <v>0.3</v>
      </c>
      <c r="M360" s="101" t="s">
        <v>1001</v>
      </c>
      <c r="N360" s="101">
        <v>2002</v>
      </c>
      <c r="O360" s="101" t="s">
        <v>753</v>
      </c>
      <c r="P360" s="101">
        <v>914945</v>
      </c>
      <c r="Q360" t="s">
        <v>790</v>
      </c>
      <c r="R360" t="s">
        <v>131</v>
      </c>
      <c r="S360"/>
      <c r="T360"/>
      <c r="U360"/>
      <c r="V360" s="220"/>
    </row>
    <row r="361" spans="1:22" x14ac:dyDescent="0.2">
      <c r="A361" t="s">
        <v>95</v>
      </c>
      <c r="B361" s="101">
        <v>16</v>
      </c>
      <c r="C361" s="101">
        <v>7</v>
      </c>
      <c r="D361" s="101">
        <v>-1</v>
      </c>
      <c r="E361" s="101">
        <v>15</v>
      </c>
      <c r="F361" s="101">
        <v>14</v>
      </c>
      <c r="G361" s="101">
        <v>-19</v>
      </c>
      <c r="H361" s="101">
        <v>-4.2</v>
      </c>
      <c r="I361" s="102">
        <v>0.51</v>
      </c>
      <c r="J361" s="102">
        <v>1.75</v>
      </c>
      <c r="K361" s="101">
        <v>13.700000000000001</v>
      </c>
      <c r="L361" s="101">
        <v>0.3</v>
      </c>
      <c r="M361" s="101" t="s">
        <v>1001</v>
      </c>
      <c r="N361" s="101">
        <v>2005</v>
      </c>
      <c r="O361" s="101" t="s">
        <v>753</v>
      </c>
      <c r="P361" s="101">
        <v>556589</v>
      </c>
      <c r="Q361" t="s">
        <v>790</v>
      </c>
      <c r="R361" t="s">
        <v>92</v>
      </c>
      <c r="S361"/>
      <c r="T361"/>
      <c r="U361"/>
      <c r="V361" s="220"/>
    </row>
    <row r="362" spans="1:22" x14ac:dyDescent="0.2">
      <c r="A362" t="s">
        <v>966</v>
      </c>
      <c r="B362" s="101">
        <v>-1</v>
      </c>
      <c r="C362" s="101">
        <v>2</v>
      </c>
      <c r="D362" s="101">
        <v>-6</v>
      </c>
      <c r="E362" s="101">
        <v>-1</v>
      </c>
      <c r="F362" s="101">
        <v>-3</v>
      </c>
      <c r="G362" s="101">
        <v>-16</v>
      </c>
      <c r="H362" s="101">
        <v>-3.5</v>
      </c>
      <c r="I362" s="102">
        <v>0.51</v>
      </c>
      <c r="J362" s="102">
        <v>1.76</v>
      </c>
      <c r="K362" s="101">
        <v>15.4</v>
      </c>
      <c r="L362" s="101">
        <v>-0.1</v>
      </c>
      <c r="M362" s="101" t="s">
        <v>1001</v>
      </c>
      <c r="N362" s="101">
        <v>2011</v>
      </c>
      <c r="O362" s="101" t="s">
        <v>753</v>
      </c>
      <c r="P362" s="101">
        <v>823039</v>
      </c>
      <c r="Q362" t="s">
        <v>790</v>
      </c>
      <c r="R362" t="s">
        <v>369</v>
      </c>
      <c r="S362"/>
      <c r="T362"/>
      <c r="U362"/>
      <c r="V362" s="220"/>
    </row>
    <row r="363" spans="1:22" x14ac:dyDescent="0.2">
      <c r="A363" t="s">
        <v>771</v>
      </c>
      <c r="B363" s="101">
        <v>7</v>
      </c>
      <c r="C363" s="101">
        <v>1</v>
      </c>
      <c r="D363" s="101">
        <v>0</v>
      </c>
      <c r="E363" s="101">
        <v>7</v>
      </c>
      <c r="F363" s="101">
        <v>5</v>
      </c>
      <c r="G363" s="101">
        <v>15</v>
      </c>
      <c r="H363" s="101">
        <v>2.9</v>
      </c>
      <c r="I363" s="102">
        <v>0.51</v>
      </c>
      <c r="J363" s="102">
        <v>1.2756000000000001</v>
      </c>
      <c r="K363" s="101">
        <v>6.8</v>
      </c>
      <c r="L363" s="101">
        <v>0.1</v>
      </c>
      <c r="M363" s="101" t="s">
        <v>1002</v>
      </c>
      <c r="N363" s="101">
        <v>2008</v>
      </c>
      <c r="O363" s="101" t="s">
        <v>633</v>
      </c>
      <c r="P363" s="101">
        <v>945162</v>
      </c>
      <c r="Q363" t="s">
        <v>767</v>
      </c>
      <c r="R363" t="s">
        <v>626</v>
      </c>
      <c r="S363"/>
      <c r="T363"/>
      <c r="U363"/>
      <c r="V363" s="220"/>
    </row>
    <row r="364" spans="1:22" x14ac:dyDescent="0.2">
      <c r="A364" t="s">
        <v>595</v>
      </c>
      <c r="B364" s="101">
        <v>7</v>
      </c>
      <c r="C364" s="101">
        <v>0</v>
      </c>
      <c r="D364" s="101">
        <v>-2</v>
      </c>
      <c r="E364" s="101">
        <v>9</v>
      </c>
      <c r="F364" s="101">
        <v>5</v>
      </c>
      <c r="G364" s="101">
        <v>-20</v>
      </c>
      <c r="H364" s="101">
        <v>-4.3</v>
      </c>
      <c r="I364" s="102">
        <v>0.52</v>
      </c>
      <c r="J364" s="102">
        <v>1.2010939999999999</v>
      </c>
      <c r="K364" s="101">
        <v>11.5</v>
      </c>
      <c r="L364" s="101">
        <v>0.1</v>
      </c>
      <c r="M364" s="101" t="s">
        <v>1004</v>
      </c>
      <c r="N364" s="101">
        <v>2000</v>
      </c>
      <c r="O364" s="101" t="s">
        <v>633</v>
      </c>
      <c r="P364" s="101">
        <v>555466</v>
      </c>
      <c r="Q364" t="s">
        <v>434</v>
      </c>
      <c r="R364" t="s">
        <v>145</v>
      </c>
      <c r="S364"/>
      <c r="T364"/>
      <c r="U364"/>
      <c r="V364" s="220"/>
    </row>
    <row r="365" spans="1:22" x14ac:dyDescent="0.2">
      <c r="A365" t="s">
        <v>967</v>
      </c>
      <c r="B365" s="101">
        <v>7</v>
      </c>
      <c r="C365" s="101">
        <v>2</v>
      </c>
      <c r="D365" s="101">
        <v>-3</v>
      </c>
      <c r="E365" s="101">
        <v>5</v>
      </c>
      <c r="F365" s="101">
        <v>3</v>
      </c>
      <c r="G365" s="101">
        <v>-18</v>
      </c>
      <c r="H365" s="101">
        <v>-4</v>
      </c>
      <c r="I365" s="102">
        <v>0.52</v>
      </c>
      <c r="J365" s="102">
        <v>1.78</v>
      </c>
      <c r="K365" s="101">
        <v>14.3</v>
      </c>
      <c r="L365" s="101">
        <v>0</v>
      </c>
      <c r="M365" s="101" t="s">
        <v>1001</v>
      </c>
      <c r="N365" s="101">
        <v>2002</v>
      </c>
      <c r="O365" s="101" t="s">
        <v>753</v>
      </c>
      <c r="P365" s="101">
        <v>950774</v>
      </c>
      <c r="Q365" t="s">
        <v>790</v>
      </c>
      <c r="R365" t="s">
        <v>161</v>
      </c>
      <c r="S365"/>
      <c r="T365"/>
      <c r="U365"/>
      <c r="V365" s="220"/>
    </row>
    <row r="366" spans="1:22" x14ac:dyDescent="0.2">
      <c r="A366" t="s">
        <v>1122</v>
      </c>
      <c r="B366" s="101">
        <v>-1</v>
      </c>
      <c r="C366" s="101">
        <v>6</v>
      </c>
      <c r="D366" s="101">
        <v>-8</v>
      </c>
      <c r="E366" s="101">
        <v>-9</v>
      </c>
      <c r="F366" s="101"/>
      <c r="G366" s="101"/>
      <c r="H366" s="101"/>
      <c r="I366" s="102">
        <v>0.52</v>
      </c>
      <c r="J366" s="102">
        <v>1.2</v>
      </c>
      <c r="K366" s="101"/>
      <c r="L366" s="101"/>
      <c r="M366" s="101" t="s">
        <v>1002</v>
      </c>
      <c r="N366" s="101">
        <v>2011</v>
      </c>
      <c r="O366" s="101" t="s">
        <v>633</v>
      </c>
      <c r="P366" s="101">
        <v>157438</v>
      </c>
      <c r="Q366" t="s">
        <v>466</v>
      </c>
      <c r="R366" t="s">
        <v>239</v>
      </c>
      <c r="S366" t="s">
        <v>1024</v>
      </c>
      <c r="T366"/>
      <c r="U366"/>
      <c r="V366" s="220"/>
    </row>
    <row r="367" spans="1:22" x14ac:dyDescent="0.2">
      <c r="A367" t="s">
        <v>1123</v>
      </c>
      <c r="B367" s="101"/>
      <c r="C367" s="101">
        <v>6</v>
      </c>
      <c r="D367" s="101"/>
      <c r="E367" s="101"/>
      <c r="F367" s="101"/>
      <c r="G367" s="101"/>
      <c r="H367" s="101"/>
      <c r="I367" s="102">
        <v>0.52</v>
      </c>
      <c r="J367" s="102">
        <v>1.25</v>
      </c>
      <c r="K367" s="101"/>
      <c r="L367" s="101"/>
      <c r="M367" s="101" t="s">
        <v>1002</v>
      </c>
      <c r="N367" s="101">
        <v>2012</v>
      </c>
      <c r="O367" s="101" t="s">
        <v>633</v>
      </c>
      <c r="P367" s="101">
        <v>849711</v>
      </c>
      <c r="Q367" t="s">
        <v>466</v>
      </c>
      <c r="R367" t="s">
        <v>239</v>
      </c>
      <c r="S367"/>
      <c r="T367"/>
      <c r="U367"/>
      <c r="V367" s="220"/>
    </row>
    <row r="368" spans="1:22" x14ac:dyDescent="0.2">
      <c r="A368" t="s">
        <v>187</v>
      </c>
      <c r="B368" s="101">
        <v>10</v>
      </c>
      <c r="C368" s="101">
        <v>1</v>
      </c>
      <c r="D368" s="101">
        <v>-2</v>
      </c>
      <c r="E368" s="101">
        <v>14</v>
      </c>
      <c r="F368" s="101">
        <v>18</v>
      </c>
      <c r="G368" s="101">
        <v>2</v>
      </c>
      <c r="H368" s="101">
        <v>0.5</v>
      </c>
      <c r="I368" s="102">
        <v>0.52</v>
      </c>
      <c r="J368" s="102">
        <v>1.4000000000000001</v>
      </c>
      <c r="K368" s="101">
        <v>15.6</v>
      </c>
      <c r="L368" s="101">
        <v>0.3</v>
      </c>
      <c r="M368" s="101" t="s">
        <v>1001</v>
      </c>
      <c r="N368" s="101">
        <v>2006</v>
      </c>
      <c r="O368" s="101" t="s">
        <v>753</v>
      </c>
      <c r="P368" s="101">
        <v>636092</v>
      </c>
      <c r="Q368" t="s">
        <v>182</v>
      </c>
      <c r="R368" t="s">
        <v>671</v>
      </c>
      <c r="S368"/>
      <c r="T368"/>
      <c r="U368"/>
      <c r="V368" s="220"/>
    </row>
    <row r="369" spans="1:22" x14ac:dyDescent="0.2">
      <c r="A369" t="s">
        <v>53</v>
      </c>
      <c r="B369" s="101">
        <v>10</v>
      </c>
      <c r="C369" s="101">
        <v>8</v>
      </c>
      <c r="D369" s="101">
        <v>2</v>
      </c>
      <c r="E369" s="101">
        <v>12</v>
      </c>
      <c r="F369" s="101">
        <v>-7</v>
      </c>
      <c r="G369" s="101">
        <v>-31</v>
      </c>
      <c r="H369" s="101">
        <v>-7.1000000000000005</v>
      </c>
      <c r="I369" s="102">
        <v>0.52</v>
      </c>
      <c r="J369" s="102">
        <v>1.87</v>
      </c>
      <c r="K369" s="101">
        <v>14.4</v>
      </c>
      <c r="L369" s="101">
        <v>-0.2</v>
      </c>
      <c r="M369" s="101" t="s">
        <v>1002</v>
      </c>
      <c r="N369" s="101">
        <v>2000</v>
      </c>
      <c r="O369" s="101" t="s">
        <v>633</v>
      </c>
      <c r="P369" s="101">
        <v>327734</v>
      </c>
      <c r="Q369" t="s">
        <v>52</v>
      </c>
      <c r="R369" t="s">
        <v>44</v>
      </c>
      <c r="S369"/>
      <c r="T369"/>
      <c r="U369"/>
      <c r="V369" s="220"/>
    </row>
    <row r="370" spans="1:22" x14ac:dyDescent="0.2">
      <c r="A370" t="s">
        <v>779</v>
      </c>
      <c r="B370" s="101">
        <v>9</v>
      </c>
      <c r="C370" s="101">
        <v>10</v>
      </c>
      <c r="D370" s="101">
        <v>-5</v>
      </c>
      <c r="E370" s="101">
        <v>5</v>
      </c>
      <c r="F370" s="101">
        <v>-4</v>
      </c>
      <c r="G370" s="101">
        <v>-32</v>
      </c>
      <c r="H370" s="101">
        <v>-7.6000000000000005</v>
      </c>
      <c r="I370" s="102">
        <v>0.52</v>
      </c>
      <c r="J370" s="102">
        <v>1.86</v>
      </c>
      <c r="K370" s="101">
        <v>18.600000000000001</v>
      </c>
      <c r="L370" s="101">
        <v>-0.1</v>
      </c>
      <c r="M370" s="101" t="s">
        <v>1002</v>
      </c>
      <c r="N370" s="101">
        <v>2006</v>
      </c>
      <c r="O370" s="101" t="s">
        <v>633</v>
      </c>
      <c r="P370" s="101">
        <v>435693</v>
      </c>
      <c r="Q370" t="s">
        <v>52</v>
      </c>
      <c r="R370" t="s">
        <v>748</v>
      </c>
      <c r="S370"/>
      <c r="T370"/>
      <c r="U370"/>
      <c r="V370" s="220"/>
    </row>
    <row r="371" spans="1:22" x14ac:dyDescent="0.2">
      <c r="A371" t="s">
        <v>846</v>
      </c>
      <c r="B371" s="101">
        <v>13</v>
      </c>
      <c r="C371" s="101">
        <v>8</v>
      </c>
      <c r="D371" s="101">
        <v>1</v>
      </c>
      <c r="E371" s="101">
        <v>12</v>
      </c>
      <c r="F371" s="101">
        <v>4</v>
      </c>
      <c r="G371" s="101"/>
      <c r="H371" s="101"/>
      <c r="I371" s="102">
        <v>0.52</v>
      </c>
      <c r="J371" s="102">
        <v>1.8800000000000001</v>
      </c>
      <c r="K371" s="101">
        <v>13.9</v>
      </c>
      <c r="L371" s="101">
        <v>0</v>
      </c>
      <c r="M371" s="101" t="s">
        <v>1001</v>
      </c>
      <c r="N371" s="101">
        <v>2009</v>
      </c>
      <c r="O371" s="101" t="s">
        <v>633</v>
      </c>
      <c r="P371" s="101">
        <v>425892</v>
      </c>
      <c r="Q371" t="s">
        <v>677</v>
      </c>
      <c r="R371" t="s">
        <v>367</v>
      </c>
      <c r="S371"/>
      <c r="T371"/>
      <c r="U371"/>
      <c r="V371" s="220"/>
    </row>
    <row r="372" spans="1:22" x14ac:dyDescent="0.2">
      <c r="A372" t="s">
        <v>831</v>
      </c>
      <c r="B372" s="101">
        <v>0</v>
      </c>
      <c r="C372" s="101">
        <v>-1</v>
      </c>
      <c r="D372" s="101">
        <v>0</v>
      </c>
      <c r="E372" s="101">
        <v>4</v>
      </c>
      <c r="F372" s="101">
        <v>11</v>
      </c>
      <c r="G372" s="101">
        <v>24</v>
      </c>
      <c r="H372" s="101">
        <v>4.3</v>
      </c>
      <c r="I372" s="102">
        <v>0.52</v>
      </c>
      <c r="J372" s="102">
        <v>1.29</v>
      </c>
      <c r="K372" s="101">
        <v>9.5</v>
      </c>
      <c r="L372" s="101">
        <v>0.3</v>
      </c>
      <c r="M372" s="101" t="s">
        <v>1004</v>
      </c>
      <c r="N372" s="101">
        <v>2006</v>
      </c>
      <c r="O372" s="101" t="s">
        <v>633</v>
      </c>
      <c r="P372" s="101">
        <v>336115</v>
      </c>
      <c r="Q372" t="s">
        <v>752</v>
      </c>
      <c r="R372" t="s">
        <v>626</v>
      </c>
      <c r="S372"/>
      <c r="T372"/>
      <c r="U372"/>
      <c r="V372" s="220"/>
    </row>
    <row r="373" spans="1:22" x14ac:dyDescent="0.2">
      <c r="A373" t="s">
        <v>802</v>
      </c>
      <c r="B373" s="101">
        <v>15</v>
      </c>
      <c r="C373" s="101">
        <v>3</v>
      </c>
      <c r="D373" s="101">
        <v>0</v>
      </c>
      <c r="E373" s="101">
        <v>17</v>
      </c>
      <c r="F373" s="101">
        <v>28</v>
      </c>
      <c r="G373" s="101">
        <v>18</v>
      </c>
      <c r="H373" s="101">
        <v>3.5</v>
      </c>
      <c r="I373" s="102">
        <v>0.52</v>
      </c>
      <c r="J373" s="102">
        <v>1.33</v>
      </c>
      <c r="K373" s="101">
        <v>18.600000000000001</v>
      </c>
      <c r="L373" s="101">
        <v>0.4</v>
      </c>
      <c r="M373" s="101" t="s">
        <v>1001</v>
      </c>
      <c r="N373" s="101">
        <v>2000</v>
      </c>
      <c r="O373" s="101" t="s">
        <v>753</v>
      </c>
      <c r="P373" s="101">
        <v>973263</v>
      </c>
      <c r="Q373" t="s">
        <v>433</v>
      </c>
      <c r="R373" t="s">
        <v>671</v>
      </c>
      <c r="S373"/>
      <c r="T373"/>
      <c r="U373"/>
      <c r="V373" s="220"/>
    </row>
    <row r="374" spans="1:22" x14ac:dyDescent="0.2">
      <c r="A374" t="s">
        <v>1011</v>
      </c>
      <c r="B374" s="101">
        <v>5</v>
      </c>
      <c r="C374" s="101">
        <v>-1</v>
      </c>
      <c r="D374" s="101">
        <v>4</v>
      </c>
      <c r="E374" s="101">
        <v>6</v>
      </c>
      <c r="F374" s="101"/>
      <c r="G374" s="101"/>
      <c r="H374" s="101"/>
      <c r="I374" s="102">
        <v>0.53</v>
      </c>
      <c r="J374" s="102">
        <v>1.24</v>
      </c>
      <c r="K374" s="101"/>
      <c r="L374" s="101"/>
      <c r="M374" s="101" t="s">
        <v>1001</v>
      </c>
      <c r="N374" s="101">
        <v>2011</v>
      </c>
      <c r="O374" s="101" t="s">
        <v>633</v>
      </c>
      <c r="P374" s="101">
        <v>272831</v>
      </c>
      <c r="Q374" t="s">
        <v>454</v>
      </c>
      <c r="R374" t="s">
        <v>145</v>
      </c>
      <c r="S374"/>
      <c r="T374"/>
      <c r="U374"/>
      <c r="V374" s="220"/>
    </row>
    <row r="375" spans="1:22" x14ac:dyDescent="0.2">
      <c r="A375" t="s">
        <v>532</v>
      </c>
      <c r="B375" s="101">
        <v>-8</v>
      </c>
      <c r="C375" s="101">
        <v>-6</v>
      </c>
      <c r="D375" s="101">
        <v>-5</v>
      </c>
      <c r="E375" s="101">
        <v>2</v>
      </c>
      <c r="F375" s="101">
        <v>-3</v>
      </c>
      <c r="G375" s="101"/>
      <c r="H375" s="101"/>
      <c r="I375" s="102">
        <v>0.53</v>
      </c>
      <c r="J375" s="102">
        <v>1.35</v>
      </c>
      <c r="K375" s="101">
        <v>16.3</v>
      </c>
      <c r="L375" s="101">
        <v>-0.1</v>
      </c>
      <c r="M375" s="101" t="s">
        <v>1004</v>
      </c>
      <c r="N375" s="101">
        <v>2009</v>
      </c>
      <c r="O375" s="101" t="s">
        <v>633</v>
      </c>
      <c r="P375" s="101">
        <v>303230</v>
      </c>
      <c r="Q375" t="s">
        <v>812</v>
      </c>
      <c r="R375" t="s">
        <v>145</v>
      </c>
      <c r="S375"/>
      <c r="T375"/>
      <c r="U375"/>
      <c r="V375" s="220"/>
    </row>
    <row r="376" spans="1:22" x14ac:dyDescent="0.2">
      <c r="A376" t="s">
        <v>35</v>
      </c>
      <c r="B376" s="101">
        <v>5</v>
      </c>
      <c r="C376" s="101">
        <v>-1</v>
      </c>
      <c r="D376" s="101">
        <v>-3</v>
      </c>
      <c r="E376" s="101">
        <v>12</v>
      </c>
      <c r="F376" s="101">
        <v>23</v>
      </c>
      <c r="G376" s="101">
        <v>1</v>
      </c>
      <c r="H376" s="101">
        <v>0.2</v>
      </c>
      <c r="I376" s="102">
        <v>0.53</v>
      </c>
      <c r="J376" s="102">
        <v>1.2351669999999999</v>
      </c>
      <c r="K376" s="101">
        <v>10.700000000000001</v>
      </c>
      <c r="L376" s="101">
        <v>0.6</v>
      </c>
      <c r="M376" s="101" t="s">
        <v>1004</v>
      </c>
      <c r="N376" s="101">
        <v>2000</v>
      </c>
      <c r="O376" s="101" t="s">
        <v>633</v>
      </c>
      <c r="P376" s="101">
        <v>304659</v>
      </c>
      <c r="Q376" t="s">
        <v>434</v>
      </c>
      <c r="R376" t="s">
        <v>102</v>
      </c>
      <c r="S376"/>
      <c r="T376"/>
      <c r="U376"/>
      <c r="V376" s="220"/>
    </row>
    <row r="377" spans="1:22" x14ac:dyDescent="0.2">
      <c r="A377" t="s">
        <v>285</v>
      </c>
      <c r="B377" s="101">
        <v>-6</v>
      </c>
      <c r="C377" s="101">
        <v>8</v>
      </c>
      <c r="D377" s="101">
        <v>-10</v>
      </c>
      <c r="E377" s="101">
        <v>-10</v>
      </c>
      <c r="F377" s="101">
        <v>0</v>
      </c>
      <c r="G377" s="101">
        <v>-23</v>
      </c>
      <c r="H377" s="101">
        <v>-5.1000000000000005</v>
      </c>
      <c r="I377" s="102">
        <v>0.53</v>
      </c>
      <c r="J377" s="102">
        <v>1.5786639999999998</v>
      </c>
      <c r="K377" s="101">
        <v>21.7</v>
      </c>
      <c r="L377" s="101">
        <v>0</v>
      </c>
      <c r="M377" s="101" t="s">
        <v>1005</v>
      </c>
      <c r="N377" s="101">
        <v>2003</v>
      </c>
      <c r="O377" s="101" t="s">
        <v>633</v>
      </c>
      <c r="P377" s="101">
        <v>899120</v>
      </c>
      <c r="Q377" t="s">
        <v>361</v>
      </c>
      <c r="R377" t="s">
        <v>279</v>
      </c>
      <c r="S377"/>
      <c r="T377"/>
      <c r="U377"/>
      <c r="V377" s="220"/>
    </row>
    <row r="378" spans="1:22" x14ac:dyDescent="0.2">
      <c r="A378" t="s">
        <v>769</v>
      </c>
      <c r="B378" s="101">
        <v>13</v>
      </c>
      <c r="C378" s="101">
        <v>8</v>
      </c>
      <c r="D378" s="101">
        <v>4</v>
      </c>
      <c r="E378" s="101">
        <v>9</v>
      </c>
      <c r="F378" s="101">
        <v>10</v>
      </c>
      <c r="G378" s="101">
        <v>30</v>
      </c>
      <c r="H378" s="101">
        <v>5.3</v>
      </c>
      <c r="I378" s="102">
        <v>0.53</v>
      </c>
      <c r="J378" s="102">
        <v>1.3228</v>
      </c>
      <c r="K378" s="101">
        <v>8.4</v>
      </c>
      <c r="L378" s="101">
        <v>0.2</v>
      </c>
      <c r="M378" s="101" t="s">
        <v>1002</v>
      </c>
      <c r="N378" s="101">
        <v>2008</v>
      </c>
      <c r="O378" s="101" t="s">
        <v>633</v>
      </c>
      <c r="P378" s="101">
        <v>873505</v>
      </c>
      <c r="Q378" t="s">
        <v>767</v>
      </c>
      <c r="R378" t="s">
        <v>615</v>
      </c>
      <c r="S378"/>
      <c r="T378"/>
      <c r="U378"/>
      <c r="V378" s="220"/>
    </row>
    <row r="379" spans="1:22" x14ac:dyDescent="0.2">
      <c r="A379" t="s">
        <v>765</v>
      </c>
      <c r="B379" s="101">
        <v>9</v>
      </c>
      <c r="C379" s="101">
        <v>2</v>
      </c>
      <c r="D379" s="101">
        <v>-1</v>
      </c>
      <c r="E379" s="101">
        <v>12</v>
      </c>
      <c r="F379" s="101">
        <v>13</v>
      </c>
      <c r="G379" s="101">
        <v>-27</v>
      </c>
      <c r="H379" s="101">
        <v>-6.2</v>
      </c>
      <c r="I379" s="102">
        <v>0.54</v>
      </c>
      <c r="J379" s="102">
        <v>1.26</v>
      </c>
      <c r="K379" s="101">
        <v>16.2</v>
      </c>
      <c r="L379" s="101">
        <v>0.2</v>
      </c>
      <c r="M379" s="101" t="s">
        <v>1001</v>
      </c>
      <c r="N379" s="101">
        <v>2000</v>
      </c>
      <c r="O379" s="101" t="s">
        <v>753</v>
      </c>
      <c r="P379" s="101">
        <v>739458</v>
      </c>
      <c r="Q379" t="s">
        <v>674</v>
      </c>
      <c r="R379" t="s">
        <v>671</v>
      </c>
      <c r="S379" t="s">
        <v>1024</v>
      </c>
      <c r="T379"/>
      <c r="U379"/>
      <c r="V379" s="220"/>
    </row>
    <row r="380" spans="1:22" x14ac:dyDescent="0.2">
      <c r="A380" t="s">
        <v>631</v>
      </c>
      <c r="B380" s="101">
        <v>11</v>
      </c>
      <c r="C380" s="101">
        <v>8</v>
      </c>
      <c r="D380" s="101">
        <v>2</v>
      </c>
      <c r="E380" s="101">
        <v>9</v>
      </c>
      <c r="F380" s="101">
        <v>11</v>
      </c>
      <c r="G380" s="101">
        <v>31</v>
      </c>
      <c r="H380" s="101">
        <v>5.5</v>
      </c>
      <c r="I380" s="102">
        <v>0.54</v>
      </c>
      <c r="J380" s="102">
        <v>1.62</v>
      </c>
      <c r="K380" s="101">
        <v>8.9</v>
      </c>
      <c r="L380" s="101">
        <v>0.3</v>
      </c>
      <c r="M380" s="101" t="s">
        <v>1002</v>
      </c>
      <c r="N380" s="101">
        <v>2003</v>
      </c>
      <c r="O380" s="101" t="s">
        <v>633</v>
      </c>
      <c r="P380" s="101">
        <v>753384</v>
      </c>
      <c r="Q380" t="s">
        <v>354</v>
      </c>
      <c r="R380" t="s">
        <v>626</v>
      </c>
      <c r="S380"/>
      <c r="T380"/>
      <c r="U380"/>
      <c r="V380" s="220"/>
    </row>
    <row r="381" spans="1:22" x14ac:dyDescent="0.2">
      <c r="A381" t="s">
        <v>389</v>
      </c>
      <c r="B381" s="101">
        <v>-1</v>
      </c>
      <c r="C381" s="101">
        <v>-2</v>
      </c>
      <c r="D381" s="101">
        <v>-3</v>
      </c>
      <c r="E381" s="101">
        <v>4</v>
      </c>
      <c r="F381" s="101">
        <v>-25</v>
      </c>
      <c r="G381" s="101"/>
      <c r="H381" s="101"/>
      <c r="I381" s="102">
        <v>0.54</v>
      </c>
      <c r="J381" s="102">
        <v>1.37</v>
      </c>
      <c r="K381" s="101">
        <v>18</v>
      </c>
      <c r="L381" s="101">
        <v>-0.5</v>
      </c>
      <c r="M381" s="101" t="s">
        <v>1002</v>
      </c>
      <c r="N381" s="101">
        <v>2010</v>
      </c>
      <c r="O381" s="101" t="s">
        <v>633</v>
      </c>
      <c r="P381" s="101">
        <v>809699</v>
      </c>
      <c r="Q381" t="s">
        <v>126</v>
      </c>
      <c r="R381" t="s">
        <v>239</v>
      </c>
      <c r="S381"/>
      <c r="T381"/>
      <c r="U381"/>
      <c r="V381" s="220"/>
    </row>
    <row r="382" spans="1:22" x14ac:dyDescent="0.2">
      <c r="A382" t="s">
        <v>858</v>
      </c>
      <c r="B382" s="101">
        <v>9</v>
      </c>
      <c r="C382" s="101">
        <v>4</v>
      </c>
      <c r="D382" s="101">
        <v>4</v>
      </c>
      <c r="E382" s="101">
        <v>14</v>
      </c>
      <c r="F382" s="101">
        <v>34</v>
      </c>
      <c r="G382" s="101">
        <v>14</v>
      </c>
      <c r="H382" s="101">
        <v>2.7</v>
      </c>
      <c r="I382" s="102">
        <v>0.54</v>
      </c>
      <c r="J382" s="102">
        <v>1.599057</v>
      </c>
      <c r="K382" s="101">
        <v>7.5</v>
      </c>
      <c r="L382" s="101">
        <v>1.1000000000000001</v>
      </c>
      <c r="M382" s="101" t="s">
        <v>1005</v>
      </c>
      <c r="N382" s="101">
        <v>2009</v>
      </c>
      <c r="O382" s="101" t="s">
        <v>633</v>
      </c>
      <c r="P382" s="101">
        <v>724690</v>
      </c>
      <c r="Q382" t="s">
        <v>361</v>
      </c>
      <c r="R382" t="s">
        <v>279</v>
      </c>
      <c r="S382"/>
      <c r="T382"/>
      <c r="U382"/>
      <c r="V382" s="220"/>
    </row>
    <row r="383" spans="1:22" x14ac:dyDescent="0.2">
      <c r="A383" t="s">
        <v>953</v>
      </c>
      <c r="B383" s="101">
        <v>15</v>
      </c>
      <c r="C383" s="101">
        <v>3</v>
      </c>
      <c r="D383" s="101">
        <v>3</v>
      </c>
      <c r="E383" s="101">
        <v>18</v>
      </c>
      <c r="F383" s="101">
        <v>8</v>
      </c>
      <c r="G383" s="101">
        <v>36</v>
      </c>
      <c r="H383" s="101">
        <v>6.4</v>
      </c>
      <c r="I383" s="102">
        <v>0.54</v>
      </c>
      <c r="J383" s="102">
        <v>1.37</v>
      </c>
      <c r="K383" s="101">
        <v>9.4</v>
      </c>
      <c r="L383" s="101">
        <v>0.2</v>
      </c>
      <c r="M383" s="101" t="s">
        <v>1005</v>
      </c>
      <c r="N383" s="101">
        <v>2006</v>
      </c>
      <c r="O383" s="101" t="s">
        <v>633</v>
      </c>
      <c r="P383" s="101">
        <v>479436</v>
      </c>
      <c r="Q383" t="s">
        <v>752</v>
      </c>
      <c r="R383" t="s">
        <v>626</v>
      </c>
      <c r="S383"/>
      <c r="T383"/>
      <c r="U383"/>
      <c r="V383" s="220"/>
    </row>
    <row r="384" spans="1:22" x14ac:dyDescent="0.2">
      <c r="A384" t="s">
        <v>596</v>
      </c>
      <c r="B384" s="101">
        <v>5</v>
      </c>
      <c r="C384" s="101">
        <v>1</v>
      </c>
      <c r="D384" s="101">
        <v>-5</v>
      </c>
      <c r="E384" s="101">
        <v>-1</v>
      </c>
      <c r="F384" s="101">
        <v>-11</v>
      </c>
      <c r="G384" s="101">
        <v>-35</v>
      </c>
      <c r="H384" s="101">
        <v>-8.1999999999999993</v>
      </c>
      <c r="I384" s="102">
        <v>0.54</v>
      </c>
      <c r="J384" s="102">
        <v>1.2755259999999999</v>
      </c>
      <c r="K384" s="101">
        <v>14.9</v>
      </c>
      <c r="L384" s="101">
        <v>-0.3</v>
      </c>
      <c r="M384" s="101" t="s">
        <v>1004</v>
      </c>
      <c r="N384" s="101">
        <v>2000</v>
      </c>
      <c r="O384" s="101" t="s">
        <v>633</v>
      </c>
      <c r="P384" s="101">
        <v>232991</v>
      </c>
      <c r="Q384" t="s">
        <v>434</v>
      </c>
      <c r="R384" t="s">
        <v>161</v>
      </c>
      <c r="S384"/>
      <c r="T384"/>
      <c r="U384"/>
      <c r="V384" s="220"/>
    </row>
    <row r="385" spans="1:22" x14ac:dyDescent="0.2">
      <c r="A385" t="s">
        <v>830</v>
      </c>
      <c r="B385" s="101">
        <v>3</v>
      </c>
      <c r="C385" s="101">
        <v>4</v>
      </c>
      <c r="D385" s="101">
        <v>-2</v>
      </c>
      <c r="E385" s="101">
        <v>0</v>
      </c>
      <c r="F385" s="101"/>
      <c r="G385" s="101"/>
      <c r="H385" s="101"/>
      <c r="I385" s="102">
        <v>0.54</v>
      </c>
      <c r="J385" s="102">
        <v>1.35</v>
      </c>
      <c r="K385" s="101"/>
      <c r="L385" s="101"/>
      <c r="M385" s="101" t="s">
        <v>1002</v>
      </c>
      <c r="N385" s="101">
        <v>2011</v>
      </c>
      <c r="O385" s="101" t="s">
        <v>633</v>
      </c>
      <c r="P385" s="101">
        <v>140434</v>
      </c>
      <c r="Q385" t="s">
        <v>126</v>
      </c>
      <c r="R385" t="s">
        <v>626</v>
      </c>
      <c r="S385"/>
      <c r="T385"/>
      <c r="U385"/>
      <c r="V385" s="220"/>
    </row>
    <row r="386" spans="1:22" x14ac:dyDescent="0.2">
      <c r="A386" t="s">
        <v>986</v>
      </c>
      <c r="B386" s="101">
        <v>8</v>
      </c>
      <c r="C386" s="101">
        <v>0</v>
      </c>
      <c r="D386" s="101">
        <v>0</v>
      </c>
      <c r="E386" s="101">
        <v>11</v>
      </c>
      <c r="F386" s="101">
        <v>19</v>
      </c>
      <c r="G386" s="101">
        <v>34</v>
      </c>
      <c r="H386" s="101">
        <v>6</v>
      </c>
      <c r="I386" s="102">
        <v>0.54</v>
      </c>
      <c r="J386" s="102">
        <v>1.6076679999999999</v>
      </c>
      <c r="K386" s="101">
        <v>9.5</v>
      </c>
      <c r="L386" s="101">
        <v>0.5</v>
      </c>
      <c r="M386" s="101" t="s">
        <v>1001</v>
      </c>
      <c r="N386" s="101">
        <v>2000</v>
      </c>
      <c r="O386" s="101" t="s">
        <v>753</v>
      </c>
      <c r="P386" s="101">
        <v>878520</v>
      </c>
      <c r="Q386" t="s">
        <v>701</v>
      </c>
      <c r="R386" t="s">
        <v>293</v>
      </c>
      <c r="S386"/>
      <c r="T386"/>
      <c r="U386"/>
      <c r="V386" s="220"/>
    </row>
    <row r="387" spans="1:22" x14ac:dyDescent="0.2">
      <c r="A387" t="s">
        <v>725</v>
      </c>
      <c r="B387" s="101">
        <v>5</v>
      </c>
      <c r="C387" s="101">
        <v>-1</v>
      </c>
      <c r="D387" s="101">
        <v>-7</v>
      </c>
      <c r="E387" s="101">
        <v>10</v>
      </c>
      <c r="F387" s="101">
        <v>22</v>
      </c>
      <c r="G387" s="101">
        <v>13</v>
      </c>
      <c r="H387" s="101">
        <v>2.5</v>
      </c>
      <c r="I387" s="102">
        <v>0.54</v>
      </c>
      <c r="J387" s="102">
        <v>1.610439</v>
      </c>
      <c r="K387" s="101">
        <v>17.5</v>
      </c>
      <c r="L387" s="101">
        <v>0.4</v>
      </c>
      <c r="M387" s="101" t="s">
        <v>1001</v>
      </c>
      <c r="N387" s="101">
        <v>2000</v>
      </c>
      <c r="O387" s="101" t="s">
        <v>753</v>
      </c>
      <c r="P387" s="101">
        <v>842690</v>
      </c>
      <c r="Q387" t="s">
        <v>701</v>
      </c>
      <c r="R387" t="s">
        <v>724</v>
      </c>
      <c r="S387"/>
      <c r="T387"/>
      <c r="U387"/>
      <c r="V387" s="220"/>
    </row>
    <row r="388" spans="1:22" x14ac:dyDescent="0.2">
      <c r="A388" t="s">
        <v>702</v>
      </c>
      <c r="B388" s="101">
        <v>12</v>
      </c>
      <c r="C388" s="101">
        <v>4</v>
      </c>
      <c r="D388" s="101">
        <v>-1</v>
      </c>
      <c r="E388" s="101">
        <v>14</v>
      </c>
      <c r="F388" s="101">
        <v>24</v>
      </c>
      <c r="G388" s="101">
        <v>11</v>
      </c>
      <c r="H388" s="101">
        <v>2.2000000000000002</v>
      </c>
      <c r="I388" s="102">
        <v>0.54</v>
      </c>
      <c r="J388" s="102">
        <v>1.6110799999999998</v>
      </c>
      <c r="K388" s="101">
        <v>19.100000000000001</v>
      </c>
      <c r="L388" s="101">
        <v>0.4</v>
      </c>
      <c r="M388" s="101" t="s">
        <v>1001</v>
      </c>
      <c r="N388" s="101">
        <v>2000</v>
      </c>
      <c r="O388" s="101" t="s">
        <v>753</v>
      </c>
      <c r="P388" s="101">
        <v>806869</v>
      </c>
      <c r="Q388" t="s">
        <v>701</v>
      </c>
      <c r="R388" t="s">
        <v>671</v>
      </c>
      <c r="S388"/>
      <c r="T388"/>
      <c r="U388"/>
      <c r="V388" s="220"/>
    </row>
    <row r="389" spans="1:22" x14ac:dyDescent="0.2">
      <c r="A389" t="s">
        <v>575</v>
      </c>
      <c r="B389" s="101">
        <v>9</v>
      </c>
      <c r="C389" s="101">
        <v>1</v>
      </c>
      <c r="D389" s="101">
        <v>6</v>
      </c>
      <c r="E389" s="101">
        <v>11</v>
      </c>
      <c r="F389" s="101"/>
      <c r="G389" s="101"/>
      <c r="H389" s="101"/>
      <c r="I389" s="102">
        <v>0.54</v>
      </c>
      <c r="J389" s="102">
        <v>1.25</v>
      </c>
      <c r="K389" s="101"/>
      <c r="L389" s="101"/>
      <c r="M389" s="101" t="s">
        <v>1001</v>
      </c>
      <c r="N389" s="101">
        <v>2010</v>
      </c>
      <c r="O389" s="101" t="s">
        <v>753</v>
      </c>
      <c r="P389" s="101">
        <v>806034</v>
      </c>
      <c r="Q389" t="s">
        <v>576</v>
      </c>
      <c r="R389" t="s">
        <v>145</v>
      </c>
      <c r="S389"/>
      <c r="T389"/>
      <c r="U389"/>
      <c r="V389" s="220"/>
    </row>
    <row r="390" spans="1:22" x14ac:dyDescent="0.2">
      <c r="A390" t="s">
        <v>929</v>
      </c>
      <c r="B390" s="101">
        <v>5</v>
      </c>
      <c r="C390" s="101">
        <v>1</v>
      </c>
      <c r="D390" s="101">
        <v>-4</v>
      </c>
      <c r="E390" s="101">
        <v>11</v>
      </c>
      <c r="F390" s="101">
        <v>30</v>
      </c>
      <c r="G390" s="101">
        <v>11</v>
      </c>
      <c r="H390" s="101">
        <v>2.1</v>
      </c>
      <c r="I390" s="102">
        <v>0.55000000000000004</v>
      </c>
      <c r="J390" s="102">
        <v>1.5</v>
      </c>
      <c r="K390" s="101">
        <v>17.600000000000001</v>
      </c>
      <c r="L390" s="101">
        <v>0.5</v>
      </c>
      <c r="M390" s="101" t="s">
        <v>1001</v>
      </c>
      <c r="N390" s="101">
        <v>2000</v>
      </c>
      <c r="O390" s="101" t="s">
        <v>753</v>
      </c>
      <c r="P390" s="101">
        <v>694539</v>
      </c>
      <c r="Q390" t="s">
        <v>763</v>
      </c>
      <c r="R390" t="s">
        <v>724</v>
      </c>
      <c r="S390" t="s">
        <v>1024</v>
      </c>
      <c r="T390"/>
      <c r="U390"/>
      <c r="V390" s="220"/>
    </row>
    <row r="391" spans="1:22" x14ac:dyDescent="0.2">
      <c r="A391" t="s">
        <v>928</v>
      </c>
      <c r="B391" s="101">
        <v>9</v>
      </c>
      <c r="C391" s="101">
        <v>1</v>
      </c>
      <c r="D391" s="101">
        <v>-4</v>
      </c>
      <c r="E391" s="101">
        <v>14</v>
      </c>
      <c r="F391" s="101">
        <v>32</v>
      </c>
      <c r="G391" s="101">
        <v>16</v>
      </c>
      <c r="H391" s="101">
        <v>3</v>
      </c>
      <c r="I391" s="102">
        <v>0.55000000000000004</v>
      </c>
      <c r="J391" s="102">
        <v>1.5</v>
      </c>
      <c r="K391" s="101">
        <v>19.400000000000002</v>
      </c>
      <c r="L391" s="101">
        <v>0.5</v>
      </c>
      <c r="M391" s="101" t="s">
        <v>1001</v>
      </c>
      <c r="N391" s="101">
        <v>2006</v>
      </c>
      <c r="O391" s="101" t="s">
        <v>753</v>
      </c>
      <c r="P391" s="101">
        <v>416867</v>
      </c>
      <c r="Q391" t="s">
        <v>763</v>
      </c>
      <c r="R391" t="s">
        <v>724</v>
      </c>
      <c r="S391" t="s">
        <v>1024</v>
      </c>
      <c r="T391"/>
      <c r="U391"/>
      <c r="V391" s="220"/>
    </row>
    <row r="392" spans="1:22" x14ac:dyDescent="0.2">
      <c r="A392" t="s">
        <v>930</v>
      </c>
      <c r="B392" s="101">
        <v>-6</v>
      </c>
      <c r="C392" s="101">
        <v>-6</v>
      </c>
      <c r="D392" s="101">
        <v>-16</v>
      </c>
      <c r="E392" s="101">
        <v>-8</v>
      </c>
      <c r="F392" s="101">
        <v>9</v>
      </c>
      <c r="G392" s="101">
        <v>19</v>
      </c>
      <c r="H392" s="101">
        <v>3.6</v>
      </c>
      <c r="I392" s="102">
        <v>0.55000000000000004</v>
      </c>
      <c r="J392" s="102">
        <v>1.51</v>
      </c>
      <c r="K392" s="101">
        <v>15.5</v>
      </c>
      <c r="L392" s="101">
        <v>0.2</v>
      </c>
      <c r="M392" s="101" t="s">
        <v>1003</v>
      </c>
      <c r="N392" s="101">
        <v>2002</v>
      </c>
      <c r="O392" s="101" t="s">
        <v>633</v>
      </c>
      <c r="P392" s="101">
        <v>191676</v>
      </c>
      <c r="Q392" t="s">
        <v>931</v>
      </c>
      <c r="R392" t="s">
        <v>261</v>
      </c>
      <c r="S392"/>
      <c r="T392"/>
      <c r="U392"/>
      <c r="V392" s="220"/>
    </row>
    <row r="393" spans="1:22" x14ac:dyDescent="0.2">
      <c r="A393" t="s">
        <v>283</v>
      </c>
      <c r="B393" s="101">
        <v>10</v>
      </c>
      <c r="C393" s="101">
        <v>-2</v>
      </c>
      <c r="D393" s="101">
        <v>-5</v>
      </c>
      <c r="E393" s="101">
        <v>13</v>
      </c>
      <c r="F393" s="101">
        <v>24</v>
      </c>
      <c r="G393" s="101">
        <v>-10</v>
      </c>
      <c r="H393" s="101">
        <v>-2.1</v>
      </c>
      <c r="I393" s="102">
        <v>0.55000000000000004</v>
      </c>
      <c r="J393" s="102">
        <v>1.6170979999999999</v>
      </c>
      <c r="K393" s="101">
        <v>12.200000000000001</v>
      </c>
      <c r="L393" s="101">
        <v>0.5</v>
      </c>
      <c r="M393" s="101" t="s">
        <v>1001</v>
      </c>
      <c r="N393" s="101">
        <v>2000</v>
      </c>
      <c r="O393" s="101" t="s">
        <v>753</v>
      </c>
      <c r="P393" s="101">
        <v>771030</v>
      </c>
      <c r="Q393" t="s">
        <v>701</v>
      </c>
      <c r="R393" t="s">
        <v>279</v>
      </c>
      <c r="S393"/>
      <c r="T393"/>
      <c r="U393"/>
      <c r="V393" s="220"/>
    </row>
    <row r="394" spans="1:22" x14ac:dyDescent="0.2">
      <c r="A394" t="s">
        <v>934</v>
      </c>
      <c r="B394" s="101">
        <v>9</v>
      </c>
      <c r="C394" s="101">
        <v>2</v>
      </c>
      <c r="D394" s="101">
        <v>0</v>
      </c>
      <c r="E394" s="101">
        <v>11</v>
      </c>
      <c r="F394" s="101"/>
      <c r="G394" s="101"/>
      <c r="H394" s="101"/>
      <c r="I394" s="102">
        <v>0.55000000000000004</v>
      </c>
      <c r="J394" s="102">
        <v>1.5</v>
      </c>
      <c r="K394" s="101"/>
      <c r="L394" s="101"/>
      <c r="M394" s="101" t="s">
        <v>1001</v>
      </c>
      <c r="N394" s="101">
        <v>2011</v>
      </c>
      <c r="O394" s="101" t="s">
        <v>753</v>
      </c>
      <c r="P394" s="101">
        <v>925032</v>
      </c>
      <c r="Q394" t="s">
        <v>905</v>
      </c>
      <c r="R394" t="s">
        <v>301</v>
      </c>
      <c r="S394"/>
      <c r="T394"/>
      <c r="U394"/>
      <c r="V394" s="220"/>
    </row>
    <row r="395" spans="1:22" x14ac:dyDescent="0.2">
      <c r="A395" t="s">
        <v>315</v>
      </c>
      <c r="B395" s="101">
        <v>10</v>
      </c>
      <c r="C395" s="101">
        <v>2</v>
      </c>
      <c r="D395" s="101">
        <v>1</v>
      </c>
      <c r="E395" s="101">
        <v>15</v>
      </c>
      <c r="F395" s="101"/>
      <c r="G395" s="101"/>
      <c r="H395" s="101"/>
      <c r="I395" s="102">
        <v>0.55000000000000004</v>
      </c>
      <c r="J395" s="102">
        <v>1.500006</v>
      </c>
      <c r="K395" s="101"/>
      <c r="L395" s="101"/>
      <c r="M395" s="101" t="s">
        <v>1001</v>
      </c>
      <c r="N395" s="101">
        <v>2010</v>
      </c>
      <c r="O395" s="101" t="s">
        <v>753</v>
      </c>
      <c r="P395" s="101">
        <v>605634</v>
      </c>
      <c r="Q395" t="s">
        <v>905</v>
      </c>
      <c r="R395" t="s">
        <v>671</v>
      </c>
      <c r="S395"/>
      <c r="T395"/>
      <c r="U395"/>
      <c r="V395" s="220"/>
    </row>
    <row r="396" spans="1:22" x14ac:dyDescent="0.2">
      <c r="A396" t="s">
        <v>67</v>
      </c>
      <c r="B396" s="101">
        <v>4</v>
      </c>
      <c r="C396" s="101">
        <v>4</v>
      </c>
      <c r="D396" s="101">
        <v>0</v>
      </c>
      <c r="E396" s="101">
        <v>3</v>
      </c>
      <c r="F396" s="101">
        <v>-5</v>
      </c>
      <c r="G396" s="101">
        <v>1</v>
      </c>
      <c r="H396" s="101">
        <v>0.2</v>
      </c>
      <c r="I396" s="102">
        <v>0.55000000000000004</v>
      </c>
      <c r="J396" s="102">
        <v>1.3</v>
      </c>
      <c r="K396" s="101">
        <v>5.5</v>
      </c>
      <c r="L396" s="101">
        <v>-0.6</v>
      </c>
      <c r="M396" s="101" t="s">
        <v>1002</v>
      </c>
      <c r="N396" s="101">
        <v>2008</v>
      </c>
      <c r="O396" s="101" t="s">
        <v>633</v>
      </c>
      <c r="P396" s="101">
        <v>271064</v>
      </c>
      <c r="Q396" t="s">
        <v>362</v>
      </c>
      <c r="R396" t="s">
        <v>301</v>
      </c>
      <c r="S396"/>
      <c r="T396"/>
      <c r="U396"/>
      <c r="V396" s="220"/>
    </row>
    <row r="397" spans="1:22" x14ac:dyDescent="0.2">
      <c r="A397" t="s">
        <v>863</v>
      </c>
      <c r="B397" s="101">
        <v>13</v>
      </c>
      <c r="C397" s="101">
        <v>8</v>
      </c>
      <c r="D397" s="101">
        <v>3</v>
      </c>
      <c r="E397" s="101">
        <v>-6</v>
      </c>
      <c r="F397" s="101">
        <v>-11</v>
      </c>
      <c r="G397" s="101">
        <v>-34</v>
      </c>
      <c r="H397" s="101">
        <v>-8</v>
      </c>
      <c r="I397" s="102">
        <v>0.55000000000000004</v>
      </c>
      <c r="J397" s="102">
        <v>2.0300000000000002</v>
      </c>
      <c r="K397" s="101">
        <v>23.2</v>
      </c>
      <c r="L397" s="101">
        <v>-0.1</v>
      </c>
      <c r="M397" s="101" t="s">
        <v>1001</v>
      </c>
      <c r="N397" s="101">
        <v>2009</v>
      </c>
      <c r="O397" s="101" t="s">
        <v>633</v>
      </c>
      <c r="P397" s="101">
        <v>354233</v>
      </c>
      <c r="Q397" t="s">
        <v>677</v>
      </c>
      <c r="R397" t="s">
        <v>131</v>
      </c>
      <c r="S397"/>
      <c r="T397"/>
      <c r="U397"/>
      <c r="V397" s="220"/>
    </row>
    <row r="398" spans="1:22" x14ac:dyDescent="0.2">
      <c r="A398" t="s">
        <v>1124</v>
      </c>
      <c r="B398" s="101">
        <v>13</v>
      </c>
      <c r="C398" s="101">
        <v>4</v>
      </c>
      <c r="D398" s="101">
        <v>0</v>
      </c>
      <c r="E398" s="101">
        <v>14</v>
      </c>
      <c r="F398" s="101">
        <v>22</v>
      </c>
      <c r="G398" s="101">
        <v>3</v>
      </c>
      <c r="H398" s="101">
        <v>0.6</v>
      </c>
      <c r="I398" s="102">
        <v>0.56000000000000005</v>
      </c>
      <c r="J398" s="102">
        <v>1.48</v>
      </c>
      <c r="K398" s="101">
        <v>11.6</v>
      </c>
      <c r="L398" s="101">
        <v>0.5</v>
      </c>
      <c r="M398" s="101" t="s">
        <v>1001</v>
      </c>
      <c r="N398" s="101">
        <v>2005</v>
      </c>
      <c r="O398" s="101" t="s">
        <v>753</v>
      </c>
      <c r="P398" s="101">
        <v>891804</v>
      </c>
      <c r="Q398" t="s">
        <v>433</v>
      </c>
      <c r="R398" t="s">
        <v>145</v>
      </c>
      <c r="S398"/>
      <c r="T398"/>
      <c r="U398"/>
      <c r="V398" s="220"/>
    </row>
    <row r="399" spans="1:22" x14ac:dyDescent="0.2">
      <c r="A399" t="s">
        <v>155</v>
      </c>
      <c r="B399" s="101">
        <v>5</v>
      </c>
      <c r="C399" s="101">
        <v>1</v>
      </c>
      <c r="D399" s="101">
        <v>-4</v>
      </c>
      <c r="E399" s="101">
        <v>9</v>
      </c>
      <c r="F399" s="101">
        <v>9</v>
      </c>
      <c r="G399" s="101">
        <v>-15</v>
      </c>
      <c r="H399" s="101">
        <v>-3.1</v>
      </c>
      <c r="I399" s="102">
        <v>0.56000000000000005</v>
      </c>
      <c r="J399" s="102">
        <v>1.7581119999999999</v>
      </c>
      <c r="K399" s="101">
        <v>11.3</v>
      </c>
      <c r="L399" s="101">
        <v>0.2</v>
      </c>
      <c r="M399" s="101" t="s">
        <v>1005</v>
      </c>
      <c r="N399" s="101">
        <v>2003</v>
      </c>
      <c r="O399" s="101" t="s">
        <v>633</v>
      </c>
      <c r="P399" s="101">
        <v>175265</v>
      </c>
      <c r="Q399" t="s">
        <v>361</v>
      </c>
      <c r="R399" t="s">
        <v>145</v>
      </c>
      <c r="S399"/>
      <c r="T399"/>
      <c r="U399"/>
      <c r="V399" s="220"/>
    </row>
    <row r="400" spans="1:22" x14ac:dyDescent="0.2">
      <c r="A400" t="s">
        <v>1068</v>
      </c>
      <c r="B400" s="101"/>
      <c r="C400" s="101"/>
      <c r="D400" s="101"/>
      <c r="E400" s="101"/>
      <c r="F400" s="101"/>
      <c r="G400" s="101"/>
      <c r="H400" s="101"/>
      <c r="I400" s="102">
        <v>0.56000000000000005</v>
      </c>
      <c r="J400" s="102">
        <v>1.3</v>
      </c>
      <c r="K400" s="101"/>
      <c r="L400" s="101"/>
      <c r="M400" s="101" t="s">
        <v>1001</v>
      </c>
      <c r="N400" s="101">
        <v>2012</v>
      </c>
      <c r="O400" s="101" t="s">
        <v>753</v>
      </c>
      <c r="P400" s="101">
        <v>297689</v>
      </c>
      <c r="Q400" t="s">
        <v>13</v>
      </c>
      <c r="R400" t="s">
        <v>102</v>
      </c>
      <c r="S400"/>
      <c r="T400"/>
      <c r="U400"/>
      <c r="V400" s="220"/>
    </row>
    <row r="401" spans="1:22" x14ac:dyDescent="0.2">
      <c r="A401" t="s">
        <v>391</v>
      </c>
      <c r="B401" s="101">
        <v>8</v>
      </c>
      <c r="C401" s="101">
        <v>3</v>
      </c>
      <c r="D401" s="101">
        <v>-3</v>
      </c>
      <c r="E401" s="101">
        <v>4</v>
      </c>
      <c r="F401" s="101">
        <v>9</v>
      </c>
      <c r="G401" s="101">
        <v>-26</v>
      </c>
      <c r="H401" s="101">
        <v>-5.9</v>
      </c>
      <c r="I401" s="102">
        <v>0.56000000000000005</v>
      </c>
      <c r="J401" s="102">
        <v>1.6500000000000001</v>
      </c>
      <c r="K401" s="101">
        <v>13.5</v>
      </c>
      <c r="L401" s="101">
        <v>0.2</v>
      </c>
      <c r="M401" s="101" t="s">
        <v>1001</v>
      </c>
      <c r="N401" s="101">
        <v>2000</v>
      </c>
      <c r="O401" s="101" t="s">
        <v>753</v>
      </c>
      <c r="P401" s="101">
        <v>618629</v>
      </c>
      <c r="Q401" t="s">
        <v>680</v>
      </c>
      <c r="R401" t="s">
        <v>131</v>
      </c>
      <c r="S401"/>
      <c r="T401"/>
      <c r="U401"/>
      <c r="V401" s="220"/>
    </row>
    <row r="402" spans="1:22" x14ac:dyDescent="0.2">
      <c r="A402" t="s">
        <v>186</v>
      </c>
      <c r="B402" s="101">
        <v>8</v>
      </c>
      <c r="C402" s="101">
        <v>7</v>
      </c>
      <c r="D402" s="101">
        <v>2</v>
      </c>
      <c r="E402" s="101">
        <v>5</v>
      </c>
      <c r="F402" s="101">
        <v>-4</v>
      </c>
      <c r="G402" s="101">
        <v>17</v>
      </c>
      <c r="H402" s="101">
        <v>3.3000000000000003</v>
      </c>
      <c r="I402" s="102">
        <v>0.56000000000000005</v>
      </c>
      <c r="J402" s="102">
        <v>1.427</v>
      </c>
      <c r="K402" s="101">
        <v>6.8</v>
      </c>
      <c r="L402" s="101">
        <v>-0.4</v>
      </c>
      <c r="M402" s="101" t="s">
        <v>1002</v>
      </c>
      <c r="N402" s="101">
        <v>2003</v>
      </c>
      <c r="O402" s="101" t="s">
        <v>633</v>
      </c>
      <c r="P402" s="101">
        <v>352583</v>
      </c>
      <c r="Q402" t="s">
        <v>423</v>
      </c>
      <c r="R402" t="s">
        <v>626</v>
      </c>
      <c r="S402"/>
      <c r="T402"/>
      <c r="U402"/>
      <c r="V402" s="220"/>
    </row>
    <row r="403" spans="1:22" x14ac:dyDescent="0.2">
      <c r="A403" t="s">
        <v>906</v>
      </c>
      <c r="B403" s="101">
        <v>7</v>
      </c>
      <c r="C403" s="101">
        <v>0</v>
      </c>
      <c r="D403" s="101">
        <v>0</v>
      </c>
      <c r="E403" s="101">
        <v>5</v>
      </c>
      <c r="F403" s="101"/>
      <c r="G403" s="101"/>
      <c r="H403" s="101"/>
      <c r="I403" s="102">
        <v>0.56000000000000005</v>
      </c>
      <c r="J403" s="102">
        <v>2.3079419999999997</v>
      </c>
      <c r="K403" s="101"/>
      <c r="L403" s="101"/>
      <c r="M403" s="101" t="s">
        <v>1001</v>
      </c>
      <c r="N403" s="101">
        <v>2011</v>
      </c>
      <c r="O403" s="101" t="s">
        <v>633</v>
      </c>
      <c r="P403" s="101">
        <v>983940</v>
      </c>
      <c r="Q403" t="s">
        <v>397</v>
      </c>
      <c r="R403" t="s">
        <v>301</v>
      </c>
      <c r="S403"/>
      <c r="T403"/>
      <c r="U403"/>
      <c r="V403" s="220"/>
    </row>
    <row r="404" spans="1:22" x14ac:dyDescent="0.2">
      <c r="A404" t="s">
        <v>1125</v>
      </c>
      <c r="B404" s="101">
        <v>14</v>
      </c>
      <c r="C404" s="101">
        <v>1</v>
      </c>
      <c r="D404" s="101">
        <v>-1</v>
      </c>
      <c r="E404" s="101">
        <v>3</v>
      </c>
      <c r="F404" s="101">
        <v>3</v>
      </c>
      <c r="G404" s="101">
        <v>-57</v>
      </c>
      <c r="H404" s="101">
        <v>-15.6</v>
      </c>
      <c r="I404" s="102">
        <v>0.57000000000000006</v>
      </c>
      <c r="J404" s="102">
        <v>2.2000000000000002</v>
      </c>
      <c r="K404" s="101">
        <v>19.7</v>
      </c>
      <c r="L404" s="101">
        <v>0.1</v>
      </c>
      <c r="M404" s="101" t="s">
        <v>1001</v>
      </c>
      <c r="N404" s="101">
        <v>2005</v>
      </c>
      <c r="O404" s="101" t="s">
        <v>633</v>
      </c>
      <c r="P404" s="101">
        <v>851725</v>
      </c>
      <c r="Q404" t="s">
        <v>764</v>
      </c>
      <c r="R404" t="s">
        <v>208</v>
      </c>
      <c r="S404"/>
      <c r="T404"/>
      <c r="U404"/>
      <c r="V404" s="220"/>
    </row>
    <row r="405" spans="1:22" x14ac:dyDescent="0.2">
      <c r="A405" t="s">
        <v>757</v>
      </c>
      <c r="B405" s="101">
        <v>8</v>
      </c>
      <c r="C405" s="101">
        <v>6</v>
      </c>
      <c r="D405" s="101">
        <v>2</v>
      </c>
      <c r="E405" s="101">
        <v>6</v>
      </c>
      <c r="F405" s="101">
        <v>-2</v>
      </c>
      <c r="G405" s="101">
        <v>12</v>
      </c>
      <c r="H405" s="101">
        <v>2.2000000000000002</v>
      </c>
      <c r="I405" s="102">
        <v>0.57000000000000006</v>
      </c>
      <c r="J405" s="102">
        <v>1.4000000000000001</v>
      </c>
      <c r="K405" s="101">
        <v>6.4</v>
      </c>
      <c r="L405" s="101">
        <v>-0.3</v>
      </c>
      <c r="M405" s="101" t="s">
        <v>1002</v>
      </c>
      <c r="N405" s="101">
        <v>2002</v>
      </c>
      <c r="O405" s="101" t="s">
        <v>633</v>
      </c>
      <c r="P405" s="101">
        <v>543892</v>
      </c>
      <c r="Q405" t="s">
        <v>756</v>
      </c>
      <c r="R405" t="s">
        <v>615</v>
      </c>
      <c r="S405"/>
      <c r="T405"/>
      <c r="U405"/>
      <c r="V405" s="220"/>
    </row>
    <row r="406" spans="1:22" x14ac:dyDescent="0.2">
      <c r="A406" t="s">
        <v>341</v>
      </c>
      <c r="B406" s="101">
        <v>-1</v>
      </c>
      <c r="C406" s="101">
        <v>1</v>
      </c>
      <c r="D406" s="101">
        <v>-2</v>
      </c>
      <c r="E406" s="101">
        <v>1</v>
      </c>
      <c r="F406" s="101">
        <v>-6</v>
      </c>
      <c r="G406" s="101">
        <v>3</v>
      </c>
      <c r="H406" s="101">
        <v>0.70000000000000007</v>
      </c>
      <c r="I406" s="102">
        <v>0.57000000000000006</v>
      </c>
      <c r="J406" s="102">
        <v>1.3900000000000001</v>
      </c>
      <c r="K406" s="101">
        <v>5.8</v>
      </c>
      <c r="L406" s="101">
        <v>-0.6</v>
      </c>
      <c r="M406" s="101" t="s">
        <v>1002</v>
      </c>
      <c r="N406" s="101">
        <v>2000</v>
      </c>
      <c r="O406" s="101" t="s">
        <v>633</v>
      </c>
      <c r="P406" s="101">
        <v>480145</v>
      </c>
      <c r="Q406" t="s">
        <v>58</v>
      </c>
      <c r="R406" t="s">
        <v>301</v>
      </c>
      <c r="S406"/>
      <c r="T406"/>
      <c r="U406"/>
      <c r="V406" s="220"/>
    </row>
    <row r="407" spans="1:22" x14ac:dyDescent="0.2">
      <c r="A407" t="s">
        <v>36</v>
      </c>
      <c r="B407" s="101">
        <v>15</v>
      </c>
      <c r="C407" s="101">
        <v>3</v>
      </c>
      <c r="D407" s="101">
        <v>-2</v>
      </c>
      <c r="E407" s="101">
        <v>5</v>
      </c>
      <c r="F407" s="101">
        <v>3</v>
      </c>
      <c r="G407" s="101">
        <v>-32</v>
      </c>
      <c r="H407" s="101">
        <v>-7.3</v>
      </c>
      <c r="I407" s="102">
        <v>0.57000000000000006</v>
      </c>
      <c r="J407" s="102">
        <v>1.3534359999999999</v>
      </c>
      <c r="K407" s="101">
        <v>23</v>
      </c>
      <c r="L407" s="101">
        <v>0.1</v>
      </c>
      <c r="M407" s="101" t="s">
        <v>1004</v>
      </c>
      <c r="N407" s="101">
        <v>2000</v>
      </c>
      <c r="O407" s="101" t="s">
        <v>633</v>
      </c>
      <c r="P407" s="101">
        <v>376319</v>
      </c>
      <c r="Q407" t="s">
        <v>434</v>
      </c>
      <c r="R407" t="s">
        <v>208</v>
      </c>
      <c r="S407"/>
      <c r="T407"/>
      <c r="U407"/>
      <c r="V407" s="220"/>
    </row>
    <row r="408" spans="1:22" x14ac:dyDescent="0.2">
      <c r="A408" t="s">
        <v>1126</v>
      </c>
      <c r="B408" s="101">
        <v>6</v>
      </c>
      <c r="C408" s="101">
        <v>2</v>
      </c>
      <c r="D408" s="101">
        <v>-6</v>
      </c>
      <c r="E408" s="101">
        <v>8</v>
      </c>
      <c r="F408" s="101">
        <v>12</v>
      </c>
      <c r="G408" s="101">
        <v>-10</v>
      </c>
      <c r="H408" s="101">
        <v>-2.2000000000000002</v>
      </c>
      <c r="I408" s="102">
        <v>0.57000000000000006</v>
      </c>
      <c r="J408" s="102">
        <v>1.4000000000000001</v>
      </c>
      <c r="K408" s="101">
        <v>19.2</v>
      </c>
      <c r="L408" s="101">
        <v>0.2</v>
      </c>
      <c r="M408" s="101" t="s">
        <v>1001</v>
      </c>
      <c r="N408" s="101">
        <v>2000</v>
      </c>
      <c r="O408" s="101" t="s">
        <v>753</v>
      </c>
      <c r="P408" s="101">
        <v>903435</v>
      </c>
      <c r="Q408" t="s">
        <v>836</v>
      </c>
      <c r="R408" t="s">
        <v>724</v>
      </c>
      <c r="S408"/>
      <c r="T408"/>
      <c r="U408"/>
      <c r="V408" s="220"/>
    </row>
    <row r="409" spans="1:22" x14ac:dyDescent="0.2">
      <c r="A409" t="s">
        <v>857</v>
      </c>
      <c r="B409" s="101">
        <v>2</v>
      </c>
      <c r="C409" s="101">
        <v>1</v>
      </c>
      <c r="D409" s="101">
        <v>-6</v>
      </c>
      <c r="E409" s="101">
        <v>6</v>
      </c>
      <c r="F409" s="101">
        <v>6</v>
      </c>
      <c r="G409" s="101">
        <v>-13</v>
      </c>
      <c r="H409" s="101">
        <v>-2.7</v>
      </c>
      <c r="I409" s="102">
        <v>0.57000000000000006</v>
      </c>
      <c r="J409" s="102">
        <v>1.4000000000000001</v>
      </c>
      <c r="K409" s="101">
        <v>11.700000000000001</v>
      </c>
      <c r="L409" s="101">
        <v>0.2</v>
      </c>
      <c r="M409" s="101" t="s">
        <v>1001</v>
      </c>
      <c r="N409" s="101">
        <v>2000</v>
      </c>
      <c r="O409" s="101" t="s">
        <v>753</v>
      </c>
      <c r="P409" s="101">
        <v>939264</v>
      </c>
      <c r="Q409" t="s">
        <v>836</v>
      </c>
      <c r="R409" t="s">
        <v>261</v>
      </c>
      <c r="S409"/>
      <c r="T409"/>
      <c r="U409"/>
      <c r="V409" s="220"/>
    </row>
    <row r="410" spans="1:22" x14ac:dyDescent="0.2">
      <c r="A410" t="s">
        <v>278</v>
      </c>
      <c r="B410" s="101">
        <v>12</v>
      </c>
      <c r="C410" s="101">
        <v>2</v>
      </c>
      <c r="D410" s="101">
        <v>4</v>
      </c>
      <c r="E410" s="101">
        <v>19</v>
      </c>
      <c r="F410" s="101">
        <v>24</v>
      </c>
      <c r="G410" s="101">
        <v>18</v>
      </c>
      <c r="H410" s="101">
        <v>3.4</v>
      </c>
      <c r="I410" s="102">
        <v>0.57000000000000006</v>
      </c>
      <c r="J410" s="102">
        <v>1.6326000000000001</v>
      </c>
      <c r="K410" s="101">
        <v>9.1</v>
      </c>
      <c r="L410" s="101">
        <v>0.6</v>
      </c>
      <c r="M410" s="101" t="s">
        <v>1001</v>
      </c>
      <c r="N410" s="101">
        <v>2000</v>
      </c>
      <c r="O410" s="101" t="s">
        <v>753</v>
      </c>
      <c r="P410" s="101">
        <v>749788</v>
      </c>
      <c r="Q410" t="s">
        <v>684</v>
      </c>
      <c r="R410" t="s">
        <v>270</v>
      </c>
      <c r="S410"/>
      <c r="T410"/>
      <c r="U410"/>
      <c r="V410" s="220"/>
    </row>
    <row r="411" spans="1:22" x14ac:dyDescent="0.2">
      <c r="A411" t="s">
        <v>343</v>
      </c>
      <c r="B411" s="101">
        <v>2</v>
      </c>
      <c r="C411" s="101">
        <v>1</v>
      </c>
      <c r="D411" s="101">
        <v>-1</v>
      </c>
      <c r="E411" s="101">
        <v>4</v>
      </c>
      <c r="F411" s="101">
        <v>1</v>
      </c>
      <c r="G411" s="101">
        <v>3</v>
      </c>
      <c r="H411" s="101">
        <v>0.6</v>
      </c>
      <c r="I411" s="102">
        <v>0.57000000000000006</v>
      </c>
      <c r="J411" s="102">
        <v>1.4000000000000001</v>
      </c>
      <c r="K411" s="101">
        <v>5.7</v>
      </c>
      <c r="L411" s="101">
        <v>-0.2</v>
      </c>
      <c r="M411" s="101" t="s">
        <v>1002</v>
      </c>
      <c r="N411" s="101">
        <v>2000</v>
      </c>
      <c r="O411" s="101" t="s">
        <v>633</v>
      </c>
      <c r="P411" s="101">
        <v>444315</v>
      </c>
      <c r="Q411" t="s">
        <v>58</v>
      </c>
      <c r="R411" t="s">
        <v>301</v>
      </c>
      <c r="S411"/>
      <c r="T411"/>
      <c r="U411"/>
      <c r="V411" s="220"/>
    </row>
    <row r="412" spans="1:22" x14ac:dyDescent="0.2">
      <c r="A412" t="s">
        <v>394</v>
      </c>
      <c r="B412" s="101">
        <v>14</v>
      </c>
      <c r="C412" s="101">
        <v>10</v>
      </c>
      <c r="D412" s="101">
        <v>1</v>
      </c>
      <c r="E412" s="101">
        <v>-4</v>
      </c>
      <c r="F412" s="101">
        <v>-3</v>
      </c>
      <c r="G412" s="101">
        <v>-31</v>
      </c>
      <c r="H412" s="101">
        <v>-7.3</v>
      </c>
      <c r="I412" s="102">
        <v>0.57999999999999996</v>
      </c>
      <c r="J412" s="102">
        <v>2.21</v>
      </c>
      <c r="K412" s="101">
        <v>21.7</v>
      </c>
      <c r="L412" s="101">
        <v>0</v>
      </c>
      <c r="M412" s="101" t="s">
        <v>1001</v>
      </c>
      <c r="N412" s="101">
        <v>2004</v>
      </c>
      <c r="O412" s="101" t="s">
        <v>753</v>
      </c>
      <c r="P412" s="101">
        <v>505586</v>
      </c>
      <c r="Q412" t="s">
        <v>859</v>
      </c>
      <c r="R412" t="s">
        <v>131</v>
      </c>
      <c r="S412"/>
      <c r="T412"/>
      <c r="U412"/>
      <c r="V412" s="220"/>
    </row>
    <row r="413" spans="1:22" x14ac:dyDescent="0.2">
      <c r="A413" t="s">
        <v>48</v>
      </c>
      <c r="B413" s="101">
        <v>8</v>
      </c>
      <c r="C413" s="101">
        <v>8</v>
      </c>
      <c r="D413" s="101">
        <v>2</v>
      </c>
      <c r="E413" s="101">
        <v>10</v>
      </c>
      <c r="F413" s="101">
        <v>-21</v>
      </c>
      <c r="G413" s="101">
        <v>-49</v>
      </c>
      <c r="H413" s="101">
        <v>-12.5</v>
      </c>
      <c r="I413" s="102">
        <v>0.57999999999999996</v>
      </c>
      <c r="J413" s="102">
        <v>1.460005</v>
      </c>
      <c r="K413" s="101">
        <v>14.1</v>
      </c>
      <c r="L413" s="101">
        <v>-0.6</v>
      </c>
      <c r="M413" s="101" t="s">
        <v>1001</v>
      </c>
      <c r="N413" s="101">
        <v>2000</v>
      </c>
      <c r="O413" s="101" t="s">
        <v>753</v>
      </c>
      <c r="P413" s="101">
        <v>148585</v>
      </c>
      <c r="Q413" t="s">
        <v>675</v>
      </c>
      <c r="R413" t="s">
        <v>44</v>
      </c>
      <c r="S413"/>
      <c r="T413"/>
      <c r="U413"/>
      <c r="V413" s="220"/>
    </row>
    <row r="414" spans="1:22" x14ac:dyDescent="0.2">
      <c r="A414" t="s">
        <v>803</v>
      </c>
      <c r="B414" s="101">
        <v>12</v>
      </c>
      <c r="C414" s="101">
        <v>2</v>
      </c>
      <c r="D414" s="101">
        <v>-6</v>
      </c>
      <c r="E414" s="101">
        <v>15</v>
      </c>
      <c r="F414" s="101">
        <v>2</v>
      </c>
      <c r="G414" s="101">
        <v>-5</v>
      </c>
      <c r="H414" s="101">
        <v>-1</v>
      </c>
      <c r="I414" s="102">
        <v>0.57999999999999996</v>
      </c>
      <c r="J414" s="102">
        <v>1.53</v>
      </c>
      <c r="K414" s="101">
        <v>17.900000000000002</v>
      </c>
      <c r="L414" s="101">
        <v>0</v>
      </c>
      <c r="M414" s="101" t="s">
        <v>1001</v>
      </c>
      <c r="N414" s="101">
        <v>2005</v>
      </c>
      <c r="O414" s="101" t="s">
        <v>753</v>
      </c>
      <c r="P414" s="101">
        <v>832899</v>
      </c>
      <c r="Q414" t="s">
        <v>433</v>
      </c>
      <c r="R414" t="s">
        <v>671</v>
      </c>
      <c r="S414"/>
      <c r="T414"/>
      <c r="U414"/>
      <c r="V414" s="220"/>
    </row>
    <row r="415" spans="1:22" x14ac:dyDescent="0.2">
      <c r="A415" t="s">
        <v>424</v>
      </c>
      <c r="B415" s="101">
        <v>4</v>
      </c>
      <c r="C415" s="101">
        <v>5</v>
      </c>
      <c r="D415" s="101">
        <v>-5</v>
      </c>
      <c r="E415" s="101">
        <v>0</v>
      </c>
      <c r="F415" s="101">
        <v>2</v>
      </c>
      <c r="G415" s="101">
        <v>-20</v>
      </c>
      <c r="H415" s="101">
        <v>-4.4000000000000004</v>
      </c>
      <c r="I415" s="102">
        <v>0.57999999999999996</v>
      </c>
      <c r="J415" s="102">
        <v>1.6</v>
      </c>
      <c r="K415" s="101">
        <v>9.6</v>
      </c>
      <c r="L415" s="101">
        <v>0</v>
      </c>
      <c r="M415" s="101" t="s">
        <v>1002</v>
      </c>
      <c r="N415" s="101">
        <v>2007</v>
      </c>
      <c r="O415" s="101" t="s">
        <v>633</v>
      </c>
      <c r="P415" s="101">
        <v>632430</v>
      </c>
      <c r="Q415" t="s">
        <v>766</v>
      </c>
      <c r="R415" t="s">
        <v>626</v>
      </c>
      <c r="S415"/>
      <c r="T415"/>
      <c r="U415"/>
      <c r="V415" s="220"/>
    </row>
    <row r="416" spans="1:22" x14ac:dyDescent="0.2">
      <c r="A416" t="s">
        <v>932</v>
      </c>
      <c r="B416" s="101">
        <v>9</v>
      </c>
      <c r="C416" s="101">
        <v>-1</v>
      </c>
      <c r="D416" s="101">
        <v>-9</v>
      </c>
      <c r="E416" s="101">
        <v>4</v>
      </c>
      <c r="F416" s="101">
        <v>6</v>
      </c>
      <c r="G416" s="101">
        <v>-44</v>
      </c>
      <c r="H416" s="101">
        <v>-11</v>
      </c>
      <c r="I416" s="102">
        <v>0.57999999999999996</v>
      </c>
      <c r="J416" s="102">
        <v>1.617</v>
      </c>
      <c r="K416" s="101">
        <v>25.1</v>
      </c>
      <c r="L416" s="101">
        <v>0.1</v>
      </c>
      <c r="M416" s="101" t="s">
        <v>1001</v>
      </c>
      <c r="N416" s="101">
        <v>2009</v>
      </c>
      <c r="O416" s="101" t="s">
        <v>633</v>
      </c>
      <c r="P416" s="101">
        <v>225490</v>
      </c>
      <c r="Q416" t="s">
        <v>920</v>
      </c>
      <c r="R416" t="s">
        <v>279</v>
      </c>
      <c r="S416"/>
      <c r="T416"/>
      <c r="U416"/>
      <c r="V416" s="220"/>
    </row>
    <row r="417" spans="1:22" x14ac:dyDescent="0.2">
      <c r="A417" t="s">
        <v>106</v>
      </c>
      <c r="B417" s="101">
        <v>8</v>
      </c>
      <c r="C417" s="101">
        <v>-1</v>
      </c>
      <c r="D417" s="101">
        <v>-1</v>
      </c>
      <c r="E417" s="101">
        <v>14</v>
      </c>
      <c r="F417" s="101">
        <v>19</v>
      </c>
      <c r="G417" s="101">
        <v>4</v>
      </c>
      <c r="H417" s="101">
        <v>0.70000000000000007</v>
      </c>
      <c r="I417" s="102">
        <v>0.57999999999999996</v>
      </c>
      <c r="J417" s="102">
        <v>1.43</v>
      </c>
      <c r="K417" s="101">
        <v>9</v>
      </c>
      <c r="L417" s="101">
        <v>0.5</v>
      </c>
      <c r="M417" s="101" t="s">
        <v>1004</v>
      </c>
      <c r="N417" s="101">
        <v>2000</v>
      </c>
      <c r="O417" s="101" t="s">
        <v>633</v>
      </c>
      <c r="P417" s="101">
        <v>300996</v>
      </c>
      <c r="Q417" t="s">
        <v>58</v>
      </c>
      <c r="R417" t="s">
        <v>102</v>
      </c>
      <c r="S417"/>
      <c r="T417"/>
      <c r="U417"/>
      <c r="V417" s="220"/>
    </row>
    <row r="418" spans="1:22" x14ac:dyDescent="0.2">
      <c r="A418" t="s">
        <v>342</v>
      </c>
      <c r="B418" s="101">
        <v>5</v>
      </c>
      <c r="C418" s="101">
        <v>1</v>
      </c>
      <c r="D418" s="101">
        <v>0</v>
      </c>
      <c r="E418" s="101">
        <v>8</v>
      </c>
      <c r="F418" s="101">
        <v>9</v>
      </c>
      <c r="G418" s="101">
        <v>2</v>
      </c>
      <c r="H418" s="101">
        <v>0.3</v>
      </c>
      <c r="I418" s="102">
        <v>0.57999999999999996</v>
      </c>
      <c r="J418" s="102">
        <v>1.42</v>
      </c>
      <c r="K418" s="101">
        <v>6.6000000000000005</v>
      </c>
      <c r="L418" s="101">
        <v>0.3</v>
      </c>
      <c r="M418" s="101" t="s">
        <v>1002</v>
      </c>
      <c r="N418" s="101">
        <v>2000</v>
      </c>
      <c r="O418" s="101" t="s">
        <v>633</v>
      </c>
      <c r="P418" s="101">
        <v>408484</v>
      </c>
      <c r="Q418" t="s">
        <v>58</v>
      </c>
      <c r="R418" t="s">
        <v>301</v>
      </c>
      <c r="S418"/>
      <c r="T418"/>
      <c r="U418"/>
      <c r="V418" s="220"/>
    </row>
    <row r="419" spans="1:22" x14ac:dyDescent="0.2">
      <c r="A419" t="s">
        <v>804</v>
      </c>
      <c r="B419" s="101">
        <v>20</v>
      </c>
      <c r="C419" s="101">
        <v>7</v>
      </c>
      <c r="D419" s="101">
        <v>3</v>
      </c>
      <c r="E419" s="101">
        <v>23</v>
      </c>
      <c r="F419" s="101">
        <v>30</v>
      </c>
      <c r="G419" s="101">
        <v>9</v>
      </c>
      <c r="H419" s="101">
        <v>1.8</v>
      </c>
      <c r="I419" s="102">
        <v>0.57999999999999996</v>
      </c>
      <c r="J419" s="102">
        <v>1.54</v>
      </c>
      <c r="K419" s="101">
        <v>15.6</v>
      </c>
      <c r="L419" s="101">
        <v>0.5</v>
      </c>
      <c r="M419" s="101" t="s">
        <v>1001</v>
      </c>
      <c r="N419" s="101">
        <v>2000</v>
      </c>
      <c r="O419" s="101" t="s">
        <v>753</v>
      </c>
      <c r="P419" s="101">
        <v>937433</v>
      </c>
      <c r="Q419" t="s">
        <v>433</v>
      </c>
      <c r="R419" t="s">
        <v>730</v>
      </c>
      <c r="S419"/>
      <c r="T419"/>
      <c r="U419"/>
      <c r="V419" s="220"/>
    </row>
    <row r="420" spans="1:22" x14ac:dyDescent="0.2">
      <c r="A420" t="s">
        <v>805</v>
      </c>
      <c r="B420" s="101">
        <v>23</v>
      </c>
      <c r="C420" s="101">
        <v>9</v>
      </c>
      <c r="D420" s="101">
        <v>5</v>
      </c>
      <c r="E420" s="101">
        <v>28</v>
      </c>
      <c r="F420" s="101">
        <v>28</v>
      </c>
      <c r="G420" s="101">
        <v>0</v>
      </c>
      <c r="H420" s="101">
        <v>0</v>
      </c>
      <c r="I420" s="102">
        <v>0.59</v>
      </c>
      <c r="J420" s="102">
        <v>1.57</v>
      </c>
      <c r="K420" s="101">
        <v>14.6</v>
      </c>
      <c r="L420" s="101">
        <v>0.5</v>
      </c>
      <c r="M420" s="101" t="s">
        <v>1001</v>
      </c>
      <c r="N420" s="101">
        <v>2000</v>
      </c>
      <c r="O420" s="101" t="s">
        <v>753</v>
      </c>
      <c r="P420" s="101">
        <v>144923</v>
      </c>
      <c r="Q420" t="s">
        <v>433</v>
      </c>
      <c r="R420" t="s">
        <v>44</v>
      </c>
      <c r="S420"/>
      <c r="T420"/>
      <c r="U420"/>
      <c r="V420" s="220"/>
    </row>
    <row r="421" spans="1:22" x14ac:dyDescent="0.2">
      <c r="A421" t="s">
        <v>963</v>
      </c>
      <c r="B421" s="101">
        <v>16</v>
      </c>
      <c r="C421" s="101">
        <v>10</v>
      </c>
      <c r="D421" s="101">
        <v>4</v>
      </c>
      <c r="E421" s="101">
        <v>12</v>
      </c>
      <c r="F421" s="101">
        <v>7</v>
      </c>
      <c r="G421" s="101">
        <v>8</v>
      </c>
      <c r="H421" s="101">
        <v>1.6</v>
      </c>
      <c r="I421" s="102">
        <v>0.59</v>
      </c>
      <c r="J421" s="102">
        <v>1.51</v>
      </c>
      <c r="K421" s="101">
        <v>14.3</v>
      </c>
      <c r="L421" s="101">
        <v>0.1</v>
      </c>
      <c r="M421" s="101" t="s">
        <v>1002</v>
      </c>
      <c r="N421" s="101">
        <v>2006</v>
      </c>
      <c r="O421" s="101" t="s">
        <v>633</v>
      </c>
      <c r="P421" s="101">
        <v>900894</v>
      </c>
      <c r="Q421" t="s">
        <v>752</v>
      </c>
      <c r="R421" t="s">
        <v>615</v>
      </c>
      <c r="S421"/>
      <c r="T421"/>
      <c r="U421"/>
      <c r="V421" s="220"/>
    </row>
    <row r="422" spans="1:22" x14ac:dyDescent="0.2">
      <c r="A422" t="s">
        <v>69</v>
      </c>
      <c r="B422" s="101">
        <v>11</v>
      </c>
      <c r="C422" s="101">
        <v>4</v>
      </c>
      <c r="D422" s="101">
        <v>3</v>
      </c>
      <c r="E422" s="101">
        <v>15</v>
      </c>
      <c r="F422" s="101">
        <v>6</v>
      </c>
      <c r="G422" s="101">
        <v>-19</v>
      </c>
      <c r="H422" s="101">
        <v>-4.0999999999999996</v>
      </c>
      <c r="I422" s="102">
        <v>0.59</v>
      </c>
      <c r="J422" s="102">
        <v>1.4000000000000001</v>
      </c>
      <c r="K422" s="101">
        <v>12.1</v>
      </c>
      <c r="L422" s="101">
        <v>0.1</v>
      </c>
      <c r="M422" s="101" t="s">
        <v>1001</v>
      </c>
      <c r="N422" s="101">
        <v>2000</v>
      </c>
      <c r="O422" s="101" t="s">
        <v>753</v>
      </c>
      <c r="P422" s="101">
        <v>273078</v>
      </c>
      <c r="Q422" t="s">
        <v>672</v>
      </c>
      <c r="R422" t="s">
        <v>44</v>
      </c>
      <c r="S422" t="s">
        <v>1024</v>
      </c>
      <c r="T422"/>
      <c r="U422"/>
      <c r="V422" s="220"/>
    </row>
    <row r="423" spans="1:22" x14ac:dyDescent="0.2">
      <c r="A423" t="s">
        <v>673</v>
      </c>
      <c r="B423" s="101">
        <v>13</v>
      </c>
      <c r="C423" s="101">
        <v>3</v>
      </c>
      <c r="D423" s="101">
        <v>1</v>
      </c>
      <c r="E423" s="101">
        <v>16</v>
      </c>
      <c r="F423" s="101">
        <v>23</v>
      </c>
      <c r="G423" s="101">
        <v>0</v>
      </c>
      <c r="H423" s="101">
        <v>-0.1</v>
      </c>
      <c r="I423" s="102">
        <v>0.59</v>
      </c>
      <c r="J423" s="102">
        <v>1.4000000000000001</v>
      </c>
      <c r="K423" s="101">
        <v>15.6</v>
      </c>
      <c r="L423" s="101">
        <v>0.4</v>
      </c>
      <c r="M423" s="101" t="s">
        <v>1001</v>
      </c>
      <c r="N423" s="101">
        <v>2000</v>
      </c>
      <c r="O423" s="101" t="s">
        <v>753</v>
      </c>
      <c r="P423" s="101">
        <v>344739</v>
      </c>
      <c r="Q423" t="s">
        <v>672</v>
      </c>
      <c r="R423" t="s">
        <v>671</v>
      </c>
      <c r="S423" t="s">
        <v>1024</v>
      </c>
      <c r="T423"/>
      <c r="U423"/>
      <c r="V423" s="220"/>
    </row>
    <row r="424" spans="1:22" x14ac:dyDescent="0.2">
      <c r="A424" t="s">
        <v>465</v>
      </c>
      <c r="B424" s="101">
        <v>13</v>
      </c>
      <c r="C424" s="101">
        <v>9</v>
      </c>
      <c r="D424" s="101">
        <v>0</v>
      </c>
      <c r="E424" s="101">
        <v>10</v>
      </c>
      <c r="F424" s="101">
        <v>5</v>
      </c>
      <c r="G424" s="101">
        <v>-39</v>
      </c>
      <c r="H424" s="101">
        <v>-9.3000000000000007</v>
      </c>
      <c r="I424" s="102">
        <v>0.59</v>
      </c>
      <c r="J424" s="102">
        <v>1.4070149999999999</v>
      </c>
      <c r="K424" s="101">
        <v>14.8</v>
      </c>
      <c r="L424" s="101">
        <v>0.1</v>
      </c>
      <c r="M424" s="101" t="s">
        <v>1002</v>
      </c>
      <c r="N424" s="101">
        <v>2011</v>
      </c>
      <c r="O424" s="101" t="s">
        <v>633</v>
      </c>
      <c r="P424" s="101">
        <v>891036</v>
      </c>
      <c r="Q424" t="s">
        <v>434</v>
      </c>
      <c r="R424" t="s">
        <v>92</v>
      </c>
      <c r="S424"/>
      <c r="T424"/>
      <c r="U424"/>
      <c r="V424" s="220"/>
    </row>
    <row r="425" spans="1:22" x14ac:dyDescent="0.2">
      <c r="A425" t="s">
        <v>251</v>
      </c>
      <c r="B425" s="101">
        <v>-5</v>
      </c>
      <c r="C425" s="101">
        <v>1</v>
      </c>
      <c r="D425" s="101">
        <v>-8</v>
      </c>
      <c r="E425" s="101">
        <v>-10</v>
      </c>
      <c r="F425" s="101">
        <v>-11</v>
      </c>
      <c r="G425" s="101">
        <v>-29</v>
      </c>
      <c r="H425" s="101">
        <v>-6.7</v>
      </c>
      <c r="I425" s="102">
        <v>0.59</v>
      </c>
      <c r="J425" s="102">
        <v>1.49</v>
      </c>
      <c r="K425" s="101">
        <v>17.3</v>
      </c>
      <c r="L425" s="101">
        <v>-0.2</v>
      </c>
      <c r="M425" s="101" t="s">
        <v>1002</v>
      </c>
      <c r="N425" s="101">
        <v>2008</v>
      </c>
      <c r="O425" s="101" t="s">
        <v>633</v>
      </c>
      <c r="P425" s="101">
        <v>734434</v>
      </c>
      <c r="Q425" t="s">
        <v>88</v>
      </c>
      <c r="R425" t="s">
        <v>279</v>
      </c>
      <c r="S425"/>
      <c r="T425"/>
      <c r="U425"/>
      <c r="V425" s="220"/>
    </row>
    <row r="426" spans="1:22" x14ac:dyDescent="0.2">
      <c r="A426" t="s">
        <v>85</v>
      </c>
      <c r="B426" s="101">
        <v>-52</v>
      </c>
      <c r="C426" s="101">
        <v>-25</v>
      </c>
      <c r="D426" s="101">
        <v>-45</v>
      </c>
      <c r="E426" s="101">
        <v>-58</v>
      </c>
      <c r="F426" s="101">
        <v>-64</v>
      </c>
      <c r="G426" s="101"/>
      <c r="H426" s="101"/>
      <c r="I426" s="102">
        <v>0.59</v>
      </c>
      <c r="J426" s="102">
        <v>1.48</v>
      </c>
      <c r="K426" s="101">
        <v>18.600000000000001</v>
      </c>
      <c r="L426" s="101">
        <v>-1.8</v>
      </c>
      <c r="M426" s="101" t="s">
        <v>1002</v>
      </c>
      <c r="N426" s="101">
        <v>2009</v>
      </c>
      <c r="O426" s="101" t="s">
        <v>633</v>
      </c>
      <c r="P426" s="101">
        <v>749606</v>
      </c>
      <c r="Q426" t="s">
        <v>84</v>
      </c>
      <c r="R426" t="s">
        <v>301</v>
      </c>
      <c r="S426"/>
      <c r="T426"/>
      <c r="U426"/>
      <c r="V426" s="220"/>
    </row>
    <row r="427" spans="1:22" x14ac:dyDescent="0.2">
      <c r="A427" t="s">
        <v>189</v>
      </c>
      <c r="B427" s="101">
        <v>8</v>
      </c>
      <c r="C427" s="101">
        <v>5</v>
      </c>
      <c r="D427" s="101">
        <v>3</v>
      </c>
      <c r="E427" s="101">
        <v>4</v>
      </c>
      <c r="F427" s="101">
        <v>-1</v>
      </c>
      <c r="G427" s="101">
        <v>-29</v>
      </c>
      <c r="H427" s="101">
        <v>-6.5</v>
      </c>
      <c r="I427" s="102">
        <v>0.59</v>
      </c>
      <c r="J427" s="102">
        <v>1.4020000000000001</v>
      </c>
      <c r="K427" s="101">
        <v>12.6</v>
      </c>
      <c r="L427" s="101">
        <v>-0.1</v>
      </c>
      <c r="M427" s="101" t="s">
        <v>1002</v>
      </c>
      <c r="N427" s="101">
        <v>2003</v>
      </c>
      <c r="O427" s="101" t="s">
        <v>633</v>
      </c>
      <c r="P427" s="101">
        <v>810465</v>
      </c>
      <c r="Q427" t="s">
        <v>423</v>
      </c>
      <c r="R427" t="s">
        <v>44</v>
      </c>
      <c r="S427" t="s">
        <v>1024</v>
      </c>
      <c r="T427"/>
      <c r="U427"/>
      <c r="V427" s="220"/>
    </row>
    <row r="428" spans="1:22" x14ac:dyDescent="0.2">
      <c r="A428" t="s">
        <v>248</v>
      </c>
      <c r="B428" s="101">
        <v>23</v>
      </c>
      <c r="C428" s="101">
        <v>9</v>
      </c>
      <c r="D428" s="101">
        <v>2</v>
      </c>
      <c r="E428" s="101">
        <v>18</v>
      </c>
      <c r="F428" s="101">
        <v>22</v>
      </c>
      <c r="G428" s="101">
        <v>-17</v>
      </c>
      <c r="H428" s="101">
        <v>-3.7</v>
      </c>
      <c r="I428" s="102">
        <v>0.59</v>
      </c>
      <c r="J428" s="102">
        <v>1.522718</v>
      </c>
      <c r="K428" s="101">
        <v>21.7</v>
      </c>
      <c r="L428" s="101">
        <v>0.3</v>
      </c>
      <c r="M428" s="101" t="s">
        <v>1003</v>
      </c>
      <c r="N428" s="101">
        <v>2001</v>
      </c>
      <c r="O428" s="101" t="s">
        <v>633</v>
      </c>
      <c r="P428" s="101">
        <v>147348</v>
      </c>
      <c r="Q428" t="s">
        <v>754</v>
      </c>
      <c r="R428" t="s">
        <v>239</v>
      </c>
      <c r="S428"/>
      <c r="T428"/>
      <c r="U428"/>
      <c r="V428" s="220"/>
    </row>
    <row r="429" spans="1:22" x14ac:dyDescent="0.2">
      <c r="A429" t="s">
        <v>676</v>
      </c>
      <c r="B429" s="101">
        <v>12</v>
      </c>
      <c r="C429" s="101">
        <v>1</v>
      </c>
      <c r="D429" s="101">
        <v>0</v>
      </c>
      <c r="E429" s="101">
        <v>17</v>
      </c>
      <c r="F429" s="101">
        <v>18</v>
      </c>
      <c r="G429" s="101">
        <v>-18</v>
      </c>
      <c r="H429" s="101">
        <v>-4</v>
      </c>
      <c r="I429" s="102">
        <v>0.6</v>
      </c>
      <c r="J429" s="102">
        <v>1.5163499999999999</v>
      </c>
      <c r="K429" s="101">
        <v>16.5</v>
      </c>
      <c r="L429" s="101">
        <v>0.3</v>
      </c>
      <c r="M429" s="101" t="s">
        <v>1001</v>
      </c>
      <c r="N429" s="101">
        <v>2000</v>
      </c>
      <c r="O429" s="101" t="s">
        <v>753</v>
      </c>
      <c r="P429" s="101">
        <v>220244</v>
      </c>
      <c r="Q429" t="s">
        <v>675</v>
      </c>
      <c r="R429" t="s">
        <v>671</v>
      </c>
      <c r="S429"/>
      <c r="T429"/>
      <c r="U429"/>
      <c r="V429" s="220"/>
    </row>
    <row r="430" spans="1:22" x14ac:dyDescent="0.2">
      <c r="A430" t="s">
        <v>839</v>
      </c>
      <c r="B430" s="101">
        <v>9</v>
      </c>
      <c r="C430" s="101">
        <v>-1</v>
      </c>
      <c r="D430" s="101">
        <v>-5</v>
      </c>
      <c r="E430" s="101">
        <v>12</v>
      </c>
      <c r="F430" s="101">
        <v>6</v>
      </c>
      <c r="G430" s="101">
        <v>-12</v>
      </c>
      <c r="H430" s="101">
        <v>-2.5</v>
      </c>
      <c r="I430" s="102">
        <v>0.6</v>
      </c>
      <c r="J430" s="102">
        <v>1.5200319999999998</v>
      </c>
      <c r="K430" s="101">
        <v>17.100000000000001</v>
      </c>
      <c r="L430" s="101">
        <v>0.1</v>
      </c>
      <c r="M430" s="101" t="s">
        <v>1001</v>
      </c>
      <c r="N430" s="101">
        <v>2000</v>
      </c>
      <c r="O430" s="101" t="s">
        <v>753</v>
      </c>
      <c r="P430" s="101">
        <v>184416</v>
      </c>
      <c r="Q430" t="s">
        <v>675</v>
      </c>
      <c r="R430" t="s">
        <v>671</v>
      </c>
      <c r="S430"/>
      <c r="T430"/>
      <c r="U430"/>
      <c r="V430" s="220"/>
    </row>
    <row r="431" spans="1:22" x14ac:dyDescent="0.2">
      <c r="A431" t="s">
        <v>583</v>
      </c>
      <c r="B431" s="101">
        <v>12</v>
      </c>
      <c r="C431" s="101">
        <v>7</v>
      </c>
      <c r="D431" s="101">
        <v>0</v>
      </c>
      <c r="E431" s="101">
        <v>2</v>
      </c>
      <c r="F431" s="101">
        <v>-12</v>
      </c>
      <c r="G431" s="101"/>
      <c r="H431" s="101"/>
      <c r="I431" s="102">
        <v>0.6</v>
      </c>
      <c r="J431" s="102">
        <v>2.3000000000000003</v>
      </c>
      <c r="K431" s="101">
        <v>15</v>
      </c>
      <c r="L431" s="101">
        <v>-0.3</v>
      </c>
      <c r="M431" s="101" t="s">
        <v>1002</v>
      </c>
      <c r="N431" s="101">
        <v>2010</v>
      </c>
      <c r="O431" s="101" t="s">
        <v>633</v>
      </c>
      <c r="P431" s="101">
        <v>681544</v>
      </c>
      <c r="Q431" t="s">
        <v>580</v>
      </c>
      <c r="R431" t="s">
        <v>161</v>
      </c>
      <c r="S431"/>
      <c r="T431"/>
      <c r="U431"/>
      <c r="V431" s="220"/>
    </row>
    <row r="432" spans="1:22" x14ac:dyDescent="0.2">
      <c r="A432" t="s">
        <v>114</v>
      </c>
      <c r="B432" s="101">
        <v>10</v>
      </c>
      <c r="C432" s="101">
        <v>0</v>
      </c>
      <c r="D432" s="101">
        <v>-1</v>
      </c>
      <c r="E432" s="101">
        <v>16</v>
      </c>
      <c r="F432" s="101">
        <v>34</v>
      </c>
      <c r="G432" s="101">
        <v>-6</v>
      </c>
      <c r="H432" s="101">
        <v>-1.3</v>
      </c>
      <c r="I432" s="102">
        <v>0.6</v>
      </c>
      <c r="J432" s="102">
        <v>1.43</v>
      </c>
      <c r="K432" s="101">
        <v>11.200000000000001</v>
      </c>
      <c r="L432" s="101">
        <v>0.8</v>
      </c>
      <c r="M432" s="101" t="s">
        <v>1004</v>
      </c>
      <c r="N432" s="101">
        <v>2000</v>
      </c>
      <c r="O432" s="101" t="s">
        <v>633</v>
      </c>
      <c r="P432" s="101">
        <v>616797</v>
      </c>
      <c r="Q432" t="s">
        <v>758</v>
      </c>
      <c r="R432" t="s">
        <v>102</v>
      </c>
      <c r="S432"/>
      <c r="T432"/>
      <c r="U432"/>
      <c r="V432" s="220"/>
    </row>
    <row r="433" spans="1:22" x14ac:dyDescent="0.2">
      <c r="A433" t="s">
        <v>1036</v>
      </c>
      <c r="B433" s="101">
        <v>4</v>
      </c>
      <c r="C433" s="101">
        <v>2</v>
      </c>
      <c r="D433" s="101">
        <v>1</v>
      </c>
      <c r="E433" s="101">
        <v>3</v>
      </c>
      <c r="F433" s="101"/>
      <c r="G433" s="101"/>
      <c r="H433" s="101"/>
      <c r="I433" s="102">
        <v>0.6</v>
      </c>
      <c r="J433" s="102">
        <v>1.423</v>
      </c>
      <c r="K433" s="101"/>
      <c r="L433" s="101"/>
      <c r="M433" s="101" t="s">
        <v>1001</v>
      </c>
      <c r="N433" s="101">
        <v>2012</v>
      </c>
      <c r="O433" s="101" t="s">
        <v>633</v>
      </c>
      <c r="P433" s="101">
        <v>133116</v>
      </c>
      <c r="Q433" t="s">
        <v>397</v>
      </c>
      <c r="R433" t="s">
        <v>293</v>
      </c>
      <c r="S433"/>
      <c r="T433"/>
      <c r="U433"/>
      <c r="V433" s="220"/>
    </row>
    <row r="434" spans="1:22" x14ac:dyDescent="0.2">
      <c r="A434" t="s">
        <v>132</v>
      </c>
      <c r="B434" s="101">
        <v>4</v>
      </c>
      <c r="C434" s="101">
        <v>6</v>
      </c>
      <c r="D434" s="101">
        <v>-4</v>
      </c>
      <c r="E434" s="101">
        <v>2</v>
      </c>
      <c r="F434" s="101">
        <v>-11</v>
      </c>
      <c r="G434" s="101">
        <v>-42</v>
      </c>
      <c r="H434" s="101">
        <v>-10.4</v>
      </c>
      <c r="I434" s="102">
        <v>0.6</v>
      </c>
      <c r="J434" s="102">
        <v>1.72</v>
      </c>
      <c r="K434" s="101">
        <v>14.9</v>
      </c>
      <c r="L434" s="101">
        <v>-0.3</v>
      </c>
      <c r="M434" s="101" t="s">
        <v>1004</v>
      </c>
      <c r="N434" s="101">
        <v>2000</v>
      </c>
      <c r="O434" s="101" t="s">
        <v>633</v>
      </c>
      <c r="P434" s="101">
        <v>334409</v>
      </c>
      <c r="Q434" t="s">
        <v>354</v>
      </c>
      <c r="R434" t="s">
        <v>367</v>
      </c>
      <c r="S434"/>
      <c r="T434"/>
      <c r="U434"/>
      <c r="V434" s="220"/>
    </row>
    <row r="435" spans="1:22" x14ac:dyDescent="0.2">
      <c r="A435" t="s">
        <v>107</v>
      </c>
      <c r="B435" s="101">
        <v>11</v>
      </c>
      <c r="C435" s="101">
        <v>4</v>
      </c>
      <c r="D435" s="101">
        <v>-3</v>
      </c>
      <c r="E435" s="101">
        <v>8</v>
      </c>
      <c r="F435" s="101">
        <v>-4</v>
      </c>
      <c r="G435" s="101">
        <v>-32</v>
      </c>
      <c r="H435" s="101">
        <v>-7.4</v>
      </c>
      <c r="I435" s="102">
        <v>0.6</v>
      </c>
      <c r="J435" s="102">
        <v>1.53369</v>
      </c>
      <c r="K435" s="101">
        <v>16.5</v>
      </c>
      <c r="L435" s="101">
        <v>-0.1</v>
      </c>
      <c r="M435" s="101" t="s">
        <v>1003</v>
      </c>
      <c r="N435" s="101">
        <v>2001</v>
      </c>
      <c r="O435" s="101" t="s">
        <v>633</v>
      </c>
      <c r="P435" s="101">
        <v>219006</v>
      </c>
      <c r="Q435" t="s">
        <v>754</v>
      </c>
      <c r="R435" t="s">
        <v>748</v>
      </c>
      <c r="S435"/>
      <c r="T435"/>
      <c r="U435"/>
      <c r="V435" s="220"/>
    </row>
    <row r="436" spans="1:22" x14ac:dyDescent="0.2">
      <c r="A436" t="s">
        <v>38</v>
      </c>
      <c r="B436" s="101">
        <v>12</v>
      </c>
      <c r="C436" s="101">
        <v>3</v>
      </c>
      <c r="D436" s="101">
        <v>1</v>
      </c>
      <c r="E436" s="101">
        <v>15</v>
      </c>
      <c r="F436" s="101">
        <v>8</v>
      </c>
      <c r="G436" s="101">
        <v>-19</v>
      </c>
      <c r="H436" s="101">
        <v>-4.0999999999999996</v>
      </c>
      <c r="I436" s="102">
        <v>0.6</v>
      </c>
      <c r="J436" s="102">
        <v>1.7389000000000001</v>
      </c>
      <c r="K436" s="101">
        <v>15.4</v>
      </c>
      <c r="L436" s="101">
        <v>0.1</v>
      </c>
      <c r="M436" s="101" t="s">
        <v>1001</v>
      </c>
      <c r="N436" s="101">
        <v>2000</v>
      </c>
      <c r="O436" s="101" t="s">
        <v>753</v>
      </c>
      <c r="P436" s="101">
        <v>857276</v>
      </c>
      <c r="Q436" t="s">
        <v>684</v>
      </c>
      <c r="R436" t="s">
        <v>748</v>
      </c>
      <c r="S436" t="s">
        <v>1024</v>
      </c>
      <c r="T436"/>
      <c r="U436"/>
      <c r="V436" s="220"/>
    </row>
    <row r="437" spans="1:22" x14ac:dyDescent="0.2">
      <c r="A437" t="s">
        <v>907</v>
      </c>
      <c r="B437" s="101">
        <v>5</v>
      </c>
      <c r="C437" s="101">
        <v>1</v>
      </c>
      <c r="D437" s="101">
        <v>-1</v>
      </c>
      <c r="E437" s="101">
        <v>3</v>
      </c>
      <c r="F437" s="101"/>
      <c r="G437" s="101"/>
      <c r="H437" s="101"/>
      <c r="I437" s="102">
        <v>0.6</v>
      </c>
      <c r="J437" s="102">
        <v>2.5351779999999997</v>
      </c>
      <c r="K437" s="101"/>
      <c r="L437" s="101"/>
      <c r="M437" s="101" t="s">
        <v>1001</v>
      </c>
      <c r="N437" s="101">
        <v>2011</v>
      </c>
      <c r="O437" s="101" t="s">
        <v>633</v>
      </c>
      <c r="P437" s="101">
        <v>912287</v>
      </c>
      <c r="Q437" t="s">
        <v>397</v>
      </c>
      <c r="R437" t="s">
        <v>301</v>
      </c>
      <c r="S437"/>
      <c r="T437"/>
      <c r="U437"/>
      <c r="V437" s="220"/>
    </row>
    <row r="438" spans="1:22" x14ac:dyDescent="0.2">
      <c r="A438" t="s">
        <v>59</v>
      </c>
      <c r="B438" s="101">
        <v>13</v>
      </c>
      <c r="C438" s="101">
        <v>4</v>
      </c>
      <c r="D438" s="101">
        <v>3</v>
      </c>
      <c r="E438" s="101">
        <v>11</v>
      </c>
      <c r="F438" s="101">
        <v>21</v>
      </c>
      <c r="G438" s="101">
        <v>4</v>
      </c>
      <c r="H438" s="101">
        <v>0.70000000000000007</v>
      </c>
      <c r="I438" s="102">
        <v>0.6</v>
      </c>
      <c r="J438" s="102">
        <v>1.48</v>
      </c>
      <c r="K438" s="101">
        <v>12.200000000000001</v>
      </c>
      <c r="L438" s="101">
        <v>0.5</v>
      </c>
      <c r="M438" s="101" t="s">
        <v>1002</v>
      </c>
      <c r="N438" s="101">
        <v>2000</v>
      </c>
      <c r="O438" s="101" t="s">
        <v>633</v>
      </c>
      <c r="P438" s="101">
        <v>336826</v>
      </c>
      <c r="Q438" t="s">
        <v>58</v>
      </c>
      <c r="R438" t="s">
        <v>44</v>
      </c>
      <c r="S438"/>
      <c r="T438"/>
      <c r="U438"/>
      <c r="V438" s="220"/>
    </row>
    <row r="439" spans="1:22" x14ac:dyDescent="0.2">
      <c r="A439" t="s">
        <v>89</v>
      </c>
      <c r="B439" s="101">
        <v>9</v>
      </c>
      <c r="C439" s="101">
        <v>9</v>
      </c>
      <c r="D439" s="101">
        <v>5</v>
      </c>
      <c r="E439" s="101">
        <v>-1</v>
      </c>
      <c r="F439" s="101">
        <v>-15</v>
      </c>
      <c r="G439" s="101">
        <v>-45</v>
      </c>
      <c r="H439" s="101">
        <v>-11.3</v>
      </c>
      <c r="I439" s="102">
        <v>0.61</v>
      </c>
      <c r="J439" s="102">
        <v>1.47</v>
      </c>
      <c r="K439" s="101">
        <v>17.8</v>
      </c>
      <c r="L439" s="101">
        <v>-0.3</v>
      </c>
      <c r="M439" s="101" t="s">
        <v>1002</v>
      </c>
      <c r="N439" s="101">
        <v>2000</v>
      </c>
      <c r="O439" s="101" t="s">
        <v>633</v>
      </c>
      <c r="P439" s="101">
        <v>151001</v>
      </c>
      <c r="Q439" t="s">
        <v>758</v>
      </c>
      <c r="R439" t="s">
        <v>86</v>
      </c>
      <c r="S439"/>
      <c r="T439"/>
      <c r="U439"/>
      <c r="V439" s="220"/>
    </row>
    <row r="440" spans="1:22" x14ac:dyDescent="0.2">
      <c r="A440" t="s">
        <v>231</v>
      </c>
      <c r="B440" s="101">
        <v>-6</v>
      </c>
      <c r="C440" s="101">
        <v>-3</v>
      </c>
      <c r="D440" s="101">
        <v>-8</v>
      </c>
      <c r="E440" s="101">
        <v>-4</v>
      </c>
      <c r="F440" s="101">
        <v>-9</v>
      </c>
      <c r="G440" s="101">
        <v>-36</v>
      </c>
      <c r="H440" s="101">
        <v>-8.6</v>
      </c>
      <c r="I440" s="102">
        <v>0.61</v>
      </c>
      <c r="J440" s="102">
        <v>1.47</v>
      </c>
      <c r="K440" s="101">
        <v>14.8</v>
      </c>
      <c r="L440" s="101">
        <v>-0.2</v>
      </c>
      <c r="M440" s="101" t="s">
        <v>1006</v>
      </c>
      <c r="N440" s="101">
        <v>2000</v>
      </c>
      <c r="O440" s="101" t="s">
        <v>633</v>
      </c>
      <c r="P440" s="101">
        <v>365981</v>
      </c>
      <c r="Q440" t="s">
        <v>758</v>
      </c>
      <c r="R440" t="s">
        <v>226</v>
      </c>
      <c r="S440"/>
      <c r="T440"/>
      <c r="U440"/>
      <c r="V440" s="220"/>
    </row>
    <row r="441" spans="1:22" x14ac:dyDescent="0.2">
      <c r="A441" t="s">
        <v>427</v>
      </c>
      <c r="B441" s="101">
        <v>9</v>
      </c>
      <c r="C441" s="101">
        <v>2</v>
      </c>
      <c r="D441" s="101">
        <v>2</v>
      </c>
      <c r="E441" s="101">
        <v>12</v>
      </c>
      <c r="F441" s="101">
        <v>17</v>
      </c>
      <c r="G441" s="101">
        <v>3</v>
      </c>
      <c r="H441" s="101">
        <v>0.6</v>
      </c>
      <c r="I441" s="102">
        <v>0.61</v>
      </c>
      <c r="J441" s="102">
        <v>1.53</v>
      </c>
      <c r="K441" s="101">
        <v>8.3000000000000007</v>
      </c>
      <c r="L441" s="101">
        <v>0.5</v>
      </c>
      <c r="M441" s="101" t="s">
        <v>1002</v>
      </c>
      <c r="N441" s="101">
        <v>2004</v>
      </c>
      <c r="O441" s="101" t="s">
        <v>633</v>
      </c>
      <c r="P441" s="101">
        <v>320358</v>
      </c>
      <c r="Q441" t="s">
        <v>58</v>
      </c>
      <c r="R441" t="s">
        <v>145</v>
      </c>
      <c r="S441"/>
      <c r="T441"/>
      <c r="U441"/>
      <c r="V441" s="220"/>
    </row>
    <row r="442" spans="1:22" x14ac:dyDescent="0.2">
      <c r="A442" t="s">
        <v>133</v>
      </c>
      <c r="B442" s="101">
        <v>8</v>
      </c>
      <c r="C442" s="101">
        <v>4</v>
      </c>
      <c r="D442" s="101">
        <v>-2</v>
      </c>
      <c r="E442" s="101">
        <v>5</v>
      </c>
      <c r="F442" s="101">
        <v>4</v>
      </c>
      <c r="G442" s="101">
        <v>-32</v>
      </c>
      <c r="H442" s="101">
        <v>-7.5</v>
      </c>
      <c r="I442" s="102">
        <v>0.61</v>
      </c>
      <c r="J442" s="102">
        <v>1.75</v>
      </c>
      <c r="K442" s="101">
        <v>15.3</v>
      </c>
      <c r="L442" s="101">
        <v>0</v>
      </c>
      <c r="M442" s="101" t="s">
        <v>1004</v>
      </c>
      <c r="N442" s="101">
        <v>2000</v>
      </c>
      <c r="O442" s="101" t="s">
        <v>633</v>
      </c>
      <c r="P442" s="101">
        <v>477729</v>
      </c>
      <c r="Q442" t="s">
        <v>354</v>
      </c>
      <c r="R442" t="s">
        <v>131</v>
      </c>
      <c r="S442"/>
      <c r="T442"/>
      <c r="U442"/>
      <c r="V442" s="220"/>
    </row>
    <row r="443" spans="1:22" x14ac:dyDescent="0.2">
      <c r="A443" t="s">
        <v>395</v>
      </c>
      <c r="B443" s="101">
        <v>15</v>
      </c>
      <c r="C443" s="101">
        <v>9</v>
      </c>
      <c r="D443" s="101">
        <v>4</v>
      </c>
      <c r="E443" s="101">
        <v>11</v>
      </c>
      <c r="F443" s="101"/>
      <c r="G443" s="101"/>
      <c r="H443" s="101"/>
      <c r="I443" s="102">
        <v>0.61</v>
      </c>
      <c r="J443" s="102">
        <v>1.55</v>
      </c>
      <c r="K443" s="101"/>
      <c r="L443" s="101"/>
      <c r="M443" s="101" t="s">
        <v>1002</v>
      </c>
      <c r="N443" s="101">
        <v>2010</v>
      </c>
      <c r="O443" s="101" t="s">
        <v>633</v>
      </c>
      <c r="P443" s="101">
        <v>550970</v>
      </c>
      <c r="Q443" t="s">
        <v>362</v>
      </c>
      <c r="R443" t="s">
        <v>626</v>
      </c>
      <c r="S443"/>
      <c r="T443"/>
      <c r="U443"/>
      <c r="V443" s="220"/>
    </row>
    <row r="444" spans="1:22" x14ac:dyDescent="0.2">
      <c r="A444" t="s">
        <v>164</v>
      </c>
      <c r="B444" s="101">
        <v>20</v>
      </c>
      <c r="C444" s="101">
        <v>8</v>
      </c>
      <c r="D444" s="101">
        <v>8</v>
      </c>
      <c r="E444" s="101">
        <v>17</v>
      </c>
      <c r="F444" s="101">
        <v>16</v>
      </c>
      <c r="G444" s="101">
        <v>-32</v>
      </c>
      <c r="H444" s="101">
        <v>-7.5</v>
      </c>
      <c r="I444" s="102">
        <v>0.61</v>
      </c>
      <c r="J444" s="102">
        <v>1.4699</v>
      </c>
      <c r="K444" s="101">
        <v>11.700000000000001</v>
      </c>
      <c r="L444" s="101">
        <v>0.4</v>
      </c>
      <c r="M444" s="101" t="s">
        <v>1002</v>
      </c>
      <c r="N444" s="101">
        <v>2008</v>
      </c>
      <c r="O444" s="101" t="s">
        <v>633</v>
      </c>
      <c r="P444" s="101">
        <v>188482</v>
      </c>
      <c r="Q444" t="s">
        <v>767</v>
      </c>
      <c r="R444" t="s">
        <v>44</v>
      </c>
      <c r="S444"/>
      <c r="T444"/>
      <c r="U444"/>
      <c r="V444" s="220"/>
    </row>
    <row r="445" spans="1:22" x14ac:dyDescent="0.2">
      <c r="A445" t="s">
        <v>357</v>
      </c>
      <c r="B445" s="101">
        <v>33</v>
      </c>
      <c r="C445" s="101">
        <v>8</v>
      </c>
      <c r="D445" s="101">
        <v>12</v>
      </c>
      <c r="E445" s="101">
        <v>29</v>
      </c>
      <c r="F445" s="101">
        <v>28</v>
      </c>
      <c r="G445" s="101">
        <v>-19</v>
      </c>
      <c r="H445" s="101">
        <v>-4.0999999999999996</v>
      </c>
      <c r="I445" s="102">
        <v>0.61</v>
      </c>
      <c r="J445" s="102">
        <v>2.5078130000000001</v>
      </c>
      <c r="K445" s="101">
        <v>13.200000000000001</v>
      </c>
      <c r="L445" s="101">
        <v>0.5</v>
      </c>
      <c r="M445" s="101" t="s">
        <v>1005</v>
      </c>
      <c r="N445" s="101">
        <v>2007</v>
      </c>
      <c r="O445" s="101" t="s">
        <v>633</v>
      </c>
      <c r="P445" s="101">
        <v>836494</v>
      </c>
      <c r="Q445" t="s">
        <v>361</v>
      </c>
      <c r="R445" t="s">
        <v>279</v>
      </c>
      <c r="S445"/>
      <c r="T445"/>
      <c r="U445"/>
      <c r="V445" s="220"/>
    </row>
    <row r="446" spans="1:22" x14ac:dyDescent="0.2">
      <c r="A446" t="s">
        <v>393</v>
      </c>
      <c r="B446" s="101">
        <v>6</v>
      </c>
      <c r="C446" s="101">
        <v>3</v>
      </c>
      <c r="D446" s="101">
        <v>-2</v>
      </c>
      <c r="E446" s="101">
        <v>5</v>
      </c>
      <c r="F446" s="101"/>
      <c r="G446" s="101"/>
      <c r="H446" s="101"/>
      <c r="I446" s="102">
        <v>0.61</v>
      </c>
      <c r="J446" s="102">
        <v>1.5</v>
      </c>
      <c r="K446" s="101"/>
      <c r="L446" s="101"/>
      <c r="M446" s="101" t="s">
        <v>1002</v>
      </c>
      <c r="N446" s="101">
        <v>2011</v>
      </c>
      <c r="O446" s="101" t="s">
        <v>633</v>
      </c>
      <c r="P446" s="101">
        <v>289835</v>
      </c>
      <c r="Q446" t="s">
        <v>303</v>
      </c>
      <c r="R446" t="s">
        <v>279</v>
      </c>
      <c r="S446" t="s">
        <v>1024</v>
      </c>
      <c r="T446"/>
      <c r="U446"/>
      <c r="V446" s="220"/>
    </row>
    <row r="447" spans="1:22" x14ac:dyDescent="0.2">
      <c r="A447" t="s">
        <v>314</v>
      </c>
      <c r="B447" s="101">
        <v>2</v>
      </c>
      <c r="C447" s="101">
        <v>7</v>
      </c>
      <c r="D447" s="101">
        <v>-8</v>
      </c>
      <c r="E447" s="101">
        <v>-5</v>
      </c>
      <c r="F447" s="101">
        <v>-16</v>
      </c>
      <c r="G447" s="101">
        <v>-35</v>
      </c>
      <c r="H447" s="101">
        <v>-8.3000000000000007</v>
      </c>
      <c r="I447" s="102">
        <v>0.61</v>
      </c>
      <c r="J447" s="102">
        <v>1.5</v>
      </c>
      <c r="K447" s="101">
        <v>20.6</v>
      </c>
      <c r="L447" s="101">
        <v>-0.2</v>
      </c>
      <c r="M447" s="101" t="s">
        <v>1002</v>
      </c>
      <c r="N447" s="101">
        <v>2010</v>
      </c>
      <c r="O447" s="101" t="s">
        <v>633</v>
      </c>
      <c r="P447" s="101">
        <v>167171</v>
      </c>
      <c r="Q447" t="s">
        <v>303</v>
      </c>
      <c r="R447" t="s">
        <v>239</v>
      </c>
      <c r="S447"/>
      <c r="T447"/>
      <c r="U447"/>
      <c r="V447" s="220"/>
    </row>
    <row r="448" spans="1:22" x14ac:dyDescent="0.2">
      <c r="A448" t="s">
        <v>621</v>
      </c>
      <c r="B448" s="101">
        <v>1</v>
      </c>
      <c r="C448" s="101">
        <v>3</v>
      </c>
      <c r="D448" s="101">
        <v>-4</v>
      </c>
      <c r="E448" s="101">
        <v>2</v>
      </c>
      <c r="F448" s="101">
        <v>-3</v>
      </c>
      <c r="G448" s="101">
        <v>-24</v>
      </c>
      <c r="H448" s="101">
        <v>-5.4</v>
      </c>
      <c r="I448" s="102">
        <v>0.61</v>
      </c>
      <c r="J448" s="102">
        <v>1.74</v>
      </c>
      <c r="K448" s="101">
        <v>15.3</v>
      </c>
      <c r="L448" s="101">
        <v>-0.1</v>
      </c>
      <c r="M448" s="101" t="s">
        <v>1004</v>
      </c>
      <c r="N448" s="101">
        <v>2006</v>
      </c>
      <c r="O448" s="101" t="s">
        <v>633</v>
      </c>
      <c r="P448" s="101">
        <v>235291</v>
      </c>
      <c r="Q448" t="s">
        <v>354</v>
      </c>
      <c r="R448" t="s">
        <v>369</v>
      </c>
      <c r="S448"/>
      <c r="T448"/>
      <c r="U448"/>
      <c r="V448" s="220"/>
    </row>
    <row r="449" spans="1:22" x14ac:dyDescent="0.2">
      <c r="A449" t="s">
        <v>146</v>
      </c>
      <c r="B449" s="101">
        <v>8</v>
      </c>
      <c r="C449" s="101">
        <v>1</v>
      </c>
      <c r="D449" s="101">
        <v>-1</v>
      </c>
      <c r="E449" s="101">
        <v>10</v>
      </c>
      <c r="F449" s="101">
        <v>15</v>
      </c>
      <c r="G449" s="101">
        <v>-22</v>
      </c>
      <c r="H449" s="101">
        <v>-4.9000000000000004</v>
      </c>
      <c r="I449" s="102">
        <v>0.62</v>
      </c>
      <c r="J449" s="102">
        <v>1.48</v>
      </c>
      <c r="K449" s="101">
        <v>10.4</v>
      </c>
      <c r="L449" s="101">
        <v>0.4</v>
      </c>
      <c r="M449" s="101" t="s">
        <v>1004</v>
      </c>
      <c r="N449" s="101">
        <v>2000</v>
      </c>
      <c r="O449" s="101" t="s">
        <v>633</v>
      </c>
      <c r="P449" s="101">
        <v>294322</v>
      </c>
      <c r="Q449" t="s">
        <v>758</v>
      </c>
      <c r="R449" t="s">
        <v>145</v>
      </c>
      <c r="S449"/>
      <c r="T449"/>
      <c r="U449"/>
      <c r="V449" s="220"/>
    </row>
    <row r="450" spans="1:22" x14ac:dyDescent="0.2">
      <c r="A450" t="s">
        <v>1072</v>
      </c>
      <c r="B450" s="101"/>
      <c r="C450" s="101"/>
      <c r="D450" s="101"/>
      <c r="E450" s="101"/>
      <c r="F450" s="101"/>
      <c r="G450" s="101"/>
      <c r="H450" s="101"/>
      <c r="I450" s="102">
        <v>0.62</v>
      </c>
      <c r="J450" s="102">
        <v>1.5</v>
      </c>
      <c r="K450" s="101"/>
      <c r="L450" s="101"/>
      <c r="M450" s="101" t="s">
        <v>1001</v>
      </c>
      <c r="N450" s="101">
        <v>2012</v>
      </c>
      <c r="O450" s="101" t="s">
        <v>753</v>
      </c>
      <c r="P450" s="101">
        <v>190199</v>
      </c>
      <c r="Q450" t="s">
        <v>13</v>
      </c>
      <c r="R450" t="s">
        <v>239</v>
      </c>
      <c r="S450"/>
      <c r="T450"/>
      <c r="U450"/>
      <c r="V450" s="220"/>
    </row>
    <row r="451" spans="1:22" x14ac:dyDescent="0.2">
      <c r="A451" t="s">
        <v>62</v>
      </c>
      <c r="B451" s="101">
        <v>8</v>
      </c>
      <c r="C451" s="101">
        <v>6</v>
      </c>
      <c r="D451" s="101">
        <v>3</v>
      </c>
      <c r="E451" s="101">
        <v>6</v>
      </c>
      <c r="F451" s="101">
        <v>-1</v>
      </c>
      <c r="G451" s="101">
        <v>-41</v>
      </c>
      <c r="H451" s="101">
        <v>-10</v>
      </c>
      <c r="I451" s="102">
        <v>0.62</v>
      </c>
      <c r="J451" s="102">
        <v>1.48</v>
      </c>
      <c r="K451" s="101">
        <v>13.1</v>
      </c>
      <c r="L451" s="101">
        <v>-0.1</v>
      </c>
      <c r="M451" s="101" t="s">
        <v>1002</v>
      </c>
      <c r="N451" s="101">
        <v>2000</v>
      </c>
      <c r="O451" s="101" t="s">
        <v>633</v>
      </c>
      <c r="P451" s="101">
        <v>473470</v>
      </c>
      <c r="Q451" t="s">
        <v>758</v>
      </c>
      <c r="R451" t="s">
        <v>44</v>
      </c>
      <c r="S451"/>
      <c r="T451"/>
      <c r="U451"/>
      <c r="V451" s="220"/>
    </row>
    <row r="452" spans="1:22" x14ac:dyDescent="0.2">
      <c r="A452" t="s">
        <v>759</v>
      </c>
      <c r="B452" s="101">
        <v>3</v>
      </c>
      <c r="C452" s="101">
        <v>0</v>
      </c>
      <c r="D452" s="101">
        <v>2</v>
      </c>
      <c r="E452" s="101">
        <v>9</v>
      </c>
      <c r="F452" s="101">
        <v>6</v>
      </c>
      <c r="G452" s="101">
        <v>3</v>
      </c>
      <c r="H452" s="101">
        <v>0.5</v>
      </c>
      <c r="I452" s="102">
        <v>0.62</v>
      </c>
      <c r="J452" s="102">
        <v>1.54</v>
      </c>
      <c r="K452" s="101">
        <v>8.1</v>
      </c>
      <c r="L452" s="101">
        <v>0.1</v>
      </c>
      <c r="M452" s="101" t="s">
        <v>1002</v>
      </c>
      <c r="N452" s="101">
        <v>2006</v>
      </c>
      <c r="O452" s="101" t="s">
        <v>633</v>
      </c>
      <c r="P452" s="101">
        <v>985895</v>
      </c>
      <c r="Q452" t="s">
        <v>58</v>
      </c>
      <c r="R452" t="s">
        <v>145</v>
      </c>
      <c r="S452" t="s">
        <v>1024</v>
      </c>
      <c r="T452"/>
      <c r="U452"/>
      <c r="V452" s="220"/>
    </row>
    <row r="453" spans="1:22" x14ac:dyDescent="0.2">
      <c r="A453" t="s">
        <v>57</v>
      </c>
      <c r="B453" s="101">
        <v>14</v>
      </c>
      <c r="C453" s="101">
        <v>10</v>
      </c>
      <c r="D453" s="101">
        <v>1</v>
      </c>
      <c r="E453" s="101">
        <v>15</v>
      </c>
      <c r="F453" s="101">
        <v>-1</v>
      </c>
      <c r="G453" s="101">
        <v>-31</v>
      </c>
      <c r="H453" s="101">
        <v>-7.1000000000000005</v>
      </c>
      <c r="I453" s="102">
        <v>0.62</v>
      </c>
      <c r="J453" s="102">
        <v>1.8</v>
      </c>
      <c r="K453" s="101">
        <v>15.9</v>
      </c>
      <c r="L453" s="101">
        <v>0</v>
      </c>
      <c r="M453" s="101" t="s">
        <v>1004</v>
      </c>
      <c r="N453" s="101">
        <v>2000</v>
      </c>
      <c r="O453" s="101" t="s">
        <v>633</v>
      </c>
      <c r="P453" s="101">
        <v>155259</v>
      </c>
      <c r="Q453" t="s">
        <v>354</v>
      </c>
      <c r="R453" t="s">
        <v>44</v>
      </c>
      <c r="S453"/>
      <c r="T453"/>
      <c r="U453"/>
      <c r="V453" s="220"/>
    </row>
    <row r="454" spans="1:22" x14ac:dyDescent="0.2">
      <c r="A454" t="s">
        <v>525</v>
      </c>
      <c r="B454" s="101">
        <v>4</v>
      </c>
      <c r="C454" s="101">
        <v>1</v>
      </c>
      <c r="D454" s="101">
        <v>-8</v>
      </c>
      <c r="E454" s="101">
        <v>4</v>
      </c>
      <c r="F454" s="101">
        <v>-6</v>
      </c>
      <c r="G454" s="101">
        <v>-26</v>
      </c>
      <c r="H454" s="101">
        <v>-5.8</v>
      </c>
      <c r="I454" s="102">
        <v>0.62</v>
      </c>
      <c r="J454" s="102">
        <v>1.502901</v>
      </c>
      <c r="K454" s="101">
        <v>16.3</v>
      </c>
      <c r="L454" s="101">
        <v>-0.1</v>
      </c>
      <c r="M454" s="101" t="s">
        <v>1003</v>
      </c>
      <c r="N454" s="101">
        <v>2007</v>
      </c>
      <c r="O454" s="101" t="s">
        <v>633</v>
      </c>
      <c r="P454" s="101">
        <v>354290</v>
      </c>
      <c r="Q454" t="s">
        <v>522</v>
      </c>
      <c r="R454" t="s">
        <v>748</v>
      </c>
      <c r="S454"/>
      <c r="T454"/>
      <c r="U454"/>
      <c r="V454" s="220"/>
    </row>
    <row r="455" spans="1:22" x14ac:dyDescent="0.2">
      <c r="A455" t="s">
        <v>524</v>
      </c>
      <c r="B455" s="101">
        <v>6</v>
      </c>
      <c r="C455" s="101">
        <v>1</v>
      </c>
      <c r="D455" s="101">
        <v>-9</v>
      </c>
      <c r="E455" s="101">
        <v>2</v>
      </c>
      <c r="F455" s="101">
        <v>-15</v>
      </c>
      <c r="G455" s="101">
        <v>-28</v>
      </c>
      <c r="H455" s="101">
        <v>-6.4</v>
      </c>
      <c r="I455" s="102">
        <v>0.62</v>
      </c>
      <c r="J455" s="102">
        <v>1.5031319999999999</v>
      </c>
      <c r="K455" s="101">
        <v>20.8</v>
      </c>
      <c r="L455" s="101">
        <v>-0.2</v>
      </c>
      <c r="M455" s="101" t="s">
        <v>1003</v>
      </c>
      <c r="N455" s="101">
        <v>2007</v>
      </c>
      <c r="O455" s="101" t="s">
        <v>633</v>
      </c>
      <c r="P455" s="101">
        <v>318469</v>
      </c>
      <c r="Q455" t="s">
        <v>522</v>
      </c>
      <c r="R455" t="s">
        <v>239</v>
      </c>
      <c r="S455"/>
      <c r="T455"/>
      <c r="U455"/>
      <c r="V455" s="220"/>
    </row>
    <row r="456" spans="1:22" x14ac:dyDescent="0.2">
      <c r="A456" t="s">
        <v>1070</v>
      </c>
      <c r="B456" s="101"/>
      <c r="C456" s="101">
        <v>2</v>
      </c>
      <c r="D456" s="101"/>
      <c r="E456" s="101"/>
      <c r="F456" s="101"/>
      <c r="G456" s="101"/>
      <c r="H456" s="101"/>
      <c r="I456" s="102">
        <v>0.62</v>
      </c>
      <c r="J456" s="102">
        <v>1.5</v>
      </c>
      <c r="K456" s="101"/>
      <c r="L456" s="101"/>
      <c r="M456" s="101" t="s">
        <v>1002</v>
      </c>
      <c r="N456" s="101">
        <v>2012</v>
      </c>
      <c r="O456" s="101" t="s">
        <v>633</v>
      </c>
      <c r="P456" s="101">
        <v>795054</v>
      </c>
      <c r="Q456" t="s">
        <v>1067</v>
      </c>
      <c r="R456" t="s">
        <v>131</v>
      </c>
      <c r="S456"/>
      <c r="T456"/>
      <c r="U456"/>
      <c r="V456" s="220"/>
    </row>
    <row r="457" spans="1:22" x14ac:dyDescent="0.2">
      <c r="A457" t="s">
        <v>1071</v>
      </c>
      <c r="B457" s="101"/>
      <c r="C457" s="101">
        <v>5</v>
      </c>
      <c r="D457" s="101"/>
      <c r="E457" s="101"/>
      <c r="F457" s="101"/>
      <c r="G457" s="101"/>
      <c r="H457" s="101"/>
      <c r="I457" s="102">
        <v>0.62</v>
      </c>
      <c r="J457" s="102">
        <v>1.5</v>
      </c>
      <c r="K457" s="101"/>
      <c r="L457" s="101"/>
      <c r="M457" s="101" t="s">
        <v>1002</v>
      </c>
      <c r="N457" s="101">
        <v>2012</v>
      </c>
      <c r="O457" s="101" t="s">
        <v>633</v>
      </c>
      <c r="P457" s="101">
        <v>759225</v>
      </c>
      <c r="Q457" t="s">
        <v>1067</v>
      </c>
      <c r="R457" t="s">
        <v>367</v>
      </c>
      <c r="S457"/>
      <c r="T457"/>
      <c r="U457"/>
      <c r="V457" s="220"/>
    </row>
    <row r="458" spans="1:22" x14ac:dyDescent="0.2">
      <c r="A458" t="s">
        <v>1069</v>
      </c>
      <c r="B458" s="101">
        <v>21</v>
      </c>
      <c r="C458" s="101">
        <v>8</v>
      </c>
      <c r="D458" s="101">
        <v>6</v>
      </c>
      <c r="E458" s="101">
        <v>20</v>
      </c>
      <c r="F458" s="101">
        <v>23</v>
      </c>
      <c r="G458" s="101">
        <v>-26</v>
      </c>
      <c r="H458" s="101">
        <v>-5.7</v>
      </c>
      <c r="I458" s="102">
        <v>0.62</v>
      </c>
      <c r="J458" s="102">
        <v>1.6</v>
      </c>
      <c r="K458" s="101">
        <v>13</v>
      </c>
      <c r="L458" s="101">
        <v>0.5</v>
      </c>
      <c r="M458" s="101" t="s">
        <v>1002</v>
      </c>
      <c r="N458" s="101">
        <v>2001</v>
      </c>
      <c r="O458" s="101" t="s">
        <v>633</v>
      </c>
      <c r="P458" s="101">
        <v>764951</v>
      </c>
      <c r="Q458" t="s">
        <v>766</v>
      </c>
      <c r="R458" t="s">
        <v>44</v>
      </c>
      <c r="S458"/>
      <c r="T458"/>
      <c r="U458"/>
      <c r="V458" s="220"/>
    </row>
    <row r="459" spans="1:22" x14ac:dyDescent="0.2">
      <c r="A459" t="s">
        <v>1127</v>
      </c>
      <c r="B459" s="101">
        <v>7</v>
      </c>
      <c r="C459" s="101">
        <v>4</v>
      </c>
      <c r="D459" s="101">
        <v>-3</v>
      </c>
      <c r="E459" s="101">
        <v>6</v>
      </c>
      <c r="F459" s="101">
        <v>10</v>
      </c>
      <c r="G459" s="101">
        <v>-27</v>
      </c>
      <c r="H459" s="101">
        <v>-6.2</v>
      </c>
      <c r="I459" s="102">
        <v>0.62</v>
      </c>
      <c r="J459" s="102">
        <v>1.6</v>
      </c>
      <c r="K459" s="101">
        <v>14.8</v>
      </c>
      <c r="L459" s="101">
        <v>0.2</v>
      </c>
      <c r="M459" s="101" t="s">
        <v>1002</v>
      </c>
      <c r="N459" s="101">
        <v>2007</v>
      </c>
      <c r="O459" s="101" t="s">
        <v>633</v>
      </c>
      <c r="P459" s="101">
        <v>668269</v>
      </c>
      <c r="Q459" t="s">
        <v>766</v>
      </c>
      <c r="R459" t="s">
        <v>748</v>
      </c>
      <c r="S459"/>
      <c r="T459"/>
      <c r="U459"/>
      <c r="V459" s="220"/>
    </row>
    <row r="460" spans="1:22" x14ac:dyDescent="0.2">
      <c r="A460" t="s">
        <v>768</v>
      </c>
      <c r="B460" s="101">
        <v>12</v>
      </c>
      <c r="C460" s="101">
        <v>1</v>
      </c>
      <c r="D460" s="101">
        <v>7</v>
      </c>
      <c r="E460" s="101">
        <v>22</v>
      </c>
      <c r="F460" s="101">
        <v>33</v>
      </c>
      <c r="G460" s="101">
        <v>65</v>
      </c>
      <c r="H460" s="101">
        <v>10.5</v>
      </c>
      <c r="I460" s="102">
        <v>0.62</v>
      </c>
      <c r="J460" s="102">
        <v>1.5330000000000001</v>
      </c>
      <c r="K460" s="101">
        <v>10.3</v>
      </c>
      <c r="L460" s="101">
        <v>0.8</v>
      </c>
      <c r="M460" s="101" t="s">
        <v>1004</v>
      </c>
      <c r="N460" s="101">
        <v>2008</v>
      </c>
      <c r="O460" s="101" t="s">
        <v>633</v>
      </c>
      <c r="P460" s="101">
        <v>909333</v>
      </c>
      <c r="Q460" t="s">
        <v>767</v>
      </c>
      <c r="R460" t="s">
        <v>626</v>
      </c>
      <c r="S460"/>
      <c r="T460"/>
      <c r="U460"/>
      <c r="V460" s="220"/>
    </row>
    <row r="461" spans="1:22" x14ac:dyDescent="0.2">
      <c r="A461" t="s">
        <v>813</v>
      </c>
      <c r="B461" s="101">
        <v>5</v>
      </c>
      <c r="C461" s="101">
        <v>1</v>
      </c>
      <c r="D461" s="101">
        <v>0</v>
      </c>
      <c r="E461" s="101">
        <v>8</v>
      </c>
      <c r="F461" s="101">
        <v>10</v>
      </c>
      <c r="G461" s="101">
        <v>-14</v>
      </c>
      <c r="H461" s="101">
        <v>-2.9</v>
      </c>
      <c r="I461" s="102">
        <v>0.62</v>
      </c>
      <c r="J461" s="102">
        <v>1.501406</v>
      </c>
      <c r="K461" s="101">
        <v>16.600000000000001</v>
      </c>
      <c r="L461" s="101">
        <v>0.2</v>
      </c>
      <c r="M461" s="101" t="s">
        <v>1001</v>
      </c>
      <c r="N461" s="101">
        <v>2003</v>
      </c>
      <c r="O461" s="101" t="s">
        <v>753</v>
      </c>
      <c r="P461" s="101">
        <v>569988</v>
      </c>
      <c r="Q461" t="s">
        <v>1128</v>
      </c>
      <c r="R461" t="s">
        <v>671</v>
      </c>
      <c r="S461"/>
      <c r="T461"/>
      <c r="U461"/>
      <c r="V461" s="220"/>
    </row>
    <row r="462" spans="1:22" x14ac:dyDescent="0.2">
      <c r="A462" t="s">
        <v>635</v>
      </c>
      <c r="B462" s="101">
        <v>18</v>
      </c>
      <c r="C462" s="101">
        <v>11</v>
      </c>
      <c r="D462" s="101">
        <v>5</v>
      </c>
      <c r="E462" s="101">
        <v>11</v>
      </c>
      <c r="F462" s="101">
        <v>13</v>
      </c>
      <c r="G462" s="101">
        <v>38</v>
      </c>
      <c r="H462" s="101">
        <v>6.7</v>
      </c>
      <c r="I462" s="102">
        <v>0.62</v>
      </c>
      <c r="J462" s="102">
        <v>1.59</v>
      </c>
      <c r="K462" s="101">
        <v>11.8</v>
      </c>
      <c r="L462" s="101">
        <v>0.3</v>
      </c>
      <c r="M462" s="101" t="s">
        <v>1002</v>
      </c>
      <c r="N462" s="101">
        <v>2006</v>
      </c>
      <c r="O462" s="101" t="s">
        <v>633</v>
      </c>
      <c r="P462" s="101">
        <v>917898</v>
      </c>
      <c r="Q462" t="s">
        <v>362</v>
      </c>
      <c r="R462" t="s">
        <v>615</v>
      </c>
      <c r="S462"/>
      <c r="T462"/>
      <c r="U462"/>
      <c r="V462" s="220"/>
    </row>
    <row r="463" spans="1:22" x14ac:dyDescent="0.2">
      <c r="A463" t="s">
        <v>1020</v>
      </c>
      <c r="B463" s="101"/>
      <c r="C463" s="101">
        <v>0</v>
      </c>
      <c r="D463" s="101">
        <v>0</v>
      </c>
      <c r="E463" s="101"/>
      <c r="F463" s="101"/>
      <c r="G463" s="101"/>
      <c r="H463" s="101"/>
      <c r="I463" s="102">
        <v>0.62</v>
      </c>
      <c r="J463" s="102">
        <v>1.5</v>
      </c>
      <c r="K463" s="101"/>
      <c r="L463" s="101"/>
      <c r="M463" s="101" t="s">
        <v>1001</v>
      </c>
      <c r="N463" s="101">
        <v>2012</v>
      </c>
      <c r="O463" s="101" t="s">
        <v>753</v>
      </c>
      <c r="P463" s="101">
        <v>447086</v>
      </c>
      <c r="Q463" t="s">
        <v>969</v>
      </c>
      <c r="R463" t="s">
        <v>301</v>
      </c>
      <c r="S463"/>
      <c r="T463"/>
      <c r="U463"/>
      <c r="V463" s="220"/>
    </row>
    <row r="464" spans="1:22" x14ac:dyDescent="0.2">
      <c r="A464" t="s">
        <v>138</v>
      </c>
      <c r="B464" s="101">
        <v>16</v>
      </c>
      <c r="C464" s="101">
        <v>3</v>
      </c>
      <c r="D464" s="101">
        <v>5</v>
      </c>
      <c r="E464" s="101">
        <v>13</v>
      </c>
      <c r="F464" s="101">
        <v>23</v>
      </c>
      <c r="G464" s="101">
        <v>4</v>
      </c>
      <c r="H464" s="101">
        <v>0.8</v>
      </c>
      <c r="I464" s="102">
        <v>0.62</v>
      </c>
      <c r="J464" s="102">
        <v>1.48</v>
      </c>
      <c r="K464" s="101">
        <v>13.9</v>
      </c>
      <c r="L464" s="101">
        <v>0.5</v>
      </c>
      <c r="M464" s="101" t="s">
        <v>1004</v>
      </c>
      <c r="N464" s="101">
        <v>2000</v>
      </c>
      <c r="O464" s="101" t="s">
        <v>633</v>
      </c>
      <c r="P464" s="101">
        <v>401810</v>
      </c>
      <c r="Q464" t="s">
        <v>758</v>
      </c>
      <c r="R464" t="s">
        <v>131</v>
      </c>
      <c r="S464"/>
      <c r="T464"/>
      <c r="U464"/>
      <c r="V464" s="220"/>
    </row>
    <row r="465" spans="1:22" x14ac:dyDescent="0.2">
      <c r="A465" t="s">
        <v>1129</v>
      </c>
      <c r="B465" s="101">
        <v>7</v>
      </c>
      <c r="C465" s="101">
        <v>2</v>
      </c>
      <c r="D465" s="101">
        <v>-3</v>
      </c>
      <c r="E465" s="101">
        <v>5</v>
      </c>
      <c r="F465" s="101">
        <v>-5</v>
      </c>
      <c r="G465" s="101">
        <v>-20</v>
      </c>
      <c r="H465" s="101">
        <v>-4.5</v>
      </c>
      <c r="I465" s="102">
        <v>0.63</v>
      </c>
      <c r="J465" s="102">
        <v>1.51</v>
      </c>
      <c r="K465" s="101">
        <v>11</v>
      </c>
      <c r="L465" s="101">
        <v>-0.2</v>
      </c>
      <c r="M465" s="101" t="s">
        <v>1001</v>
      </c>
      <c r="N465" s="101">
        <v>2012</v>
      </c>
      <c r="O465" s="101" t="s">
        <v>753</v>
      </c>
      <c r="P465" s="101">
        <v>367516</v>
      </c>
      <c r="Q465" t="s">
        <v>674</v>
      </c>
      <c r="R465" t="s">
        <v>161</v>
      </c>
      <c r="S465"/>
      <c r="T465"/>
      <c r="U465"/>
      <c r="V465" s="220"/>
    </row>
    <row r="466" spans="1:22" x14ac:dyDescent="0.2">
      <c r="A466" t="s">
        <v>63</v>
      </c>
      <c r="B466" s="101">
        <v>9</v>
      </c>
      <c r="C466" s="101">
        <v>7</v>
      </c>
      <c r="D466" s="101">
        <v>4</v>
      </c>
      <c r="E466" s="101">
        <v>3</v>
      </c>
      <c r="F466" s="101">
        <v>-6</v>
      </c>
      <c r="G466" s="101">
        <v>-40</v>
      </c>
      <c r="H466" s="101">
        <v>-9.7000000000000011</v>
      </c>
      <c r="I466" s="102">
        <v>0.63</v>
      </c>
      <c r="J466" s="102">
        <v>1.53</v>
      </c>
      <c r="K466" s="101">
        <v>14.4</v>
      </c>
      <c r="L466" s="101">
        <v>-0.2</v>
      </c>
      <c r="M466" s="101" t="s">
        <v>1002</v>
      </c>
      <c r="N466" s="101">
        <v>2000</v>
      </c>
      <c r="O466" s="101" t="s">
        <v>633</v>
      </c>
      <c r="P466" s="101">
        <v>222661</v>
      </c>
      <c r="Q466" t="s">
        <v>758</v>
      </c>
      <c r="R466" t="s">
        <v>44</v>
      </c>
      <c r="S466"/>
      <c r="T466"/>
      <c r="U466"/>
      <c r="V466" s="220"/>
    </row>
    <row r="467" spans="1:22" x14ac:dyDescent="0.2">
      <c r="A467" t="s">
        <v>316</v>
      </c>
      <c r="B467" s="101">
        <v>9</v>
      </c>
      <c r="C467" s="101">
        <v>5</v>
      </c>
      <c r="D467" s="101">
        <v>0</v>
      </c>
      <c r="E467" s="101">
        <v>6</v>
      </c>
      <c r="F467" s="101">
        <v>0</v>
      </c>
      <c r="G467" s="101">
        <v>-26</v>
      </c>
      <c r="H467" s="101">
        <v>-5.8</v>
      </c>
      <c r="I467" s="102">
        <v>0.63</v>
      </c>
      <c r="J467" s="102">
        <v>1.58</v>
      </c>
      <c r="K467" s="101">
        <v>15.200000000000001</v>
      </c>
      <c r="L467" s="101">
        <v>0</v>
      </c>
      <c r="M467" s="101" t="s">
        <v>1002</v>
      </c>
      <c r="N467" s="101">
        <v>2010</v>
      </c>
      <c r="O467" s="101" t="s">
        <v>633</v>
      </c>
      <c r="P467" s="101">
        <v>238832</v>
      </c>
      <c r="Q467" t="s">
        <v>303</v>
      </c>
      <c r="R467" t="s">
        <v>44</v>
      </c>
      <c r="S467"/>
      <c r="T467"/>
      <c r="U467"/>
      <c r="V467" s="220"/>
    </row>
    <row r="468" spans="1:22" x14ac:dyDescent="0.2">
      <c r="A468" t="s">
        <v>268</v>
      </c>
      <c r="B468" s="101">
        <v>4</v>
      </c>
      <c r="C468" s="101">
        <v>0</v>
      </c>
      <c r="D468" s="101">
        <v>-5</v>
      </c>
      <c r="E468" s="101">
        <v>8</v>
      </c>
      <c r="F468" s="101">
        <v>12</v>
      </c>
      <c r="G468" s="101">
        <v>-14</v>
      </c>
      <c r="H468" s="101">
        <v>-3</v>
      </c>
      <c r="I468" s="102">
        <v>0.63</v>
      </c>
      <c r="J468" s="102">
        <v>1.8375000000000001</v>
      </c>
      <c r="K468" s="101">
        <v>12.6</v>
      </c>
      <c r="L468" s="101">
        <v>0.2</v>
      </c>
      <c r="M468" s="101" t="s">
        <v>1001</v>
      </c>
      <c r="N468" s="101">
        <v>2000</v>
      </c>
      <c r="O468" s="101" t="s">
        <v>753</v>
      </c>
      <c r="P468" s="101">
        <v>785618</v>
      </c>
      <c r="Q468" t="s">
        <v>684</v>
      </c>
      <c r="R468" t="s">
        <v>261</v>
      </c>
      <c r="S468"/>
      <c r="T468"/>
      <c r="U468"/>
      <c r="V468" s="220"/>
    </row>
    <row r="469" spans="1:22" x14ac:dyDescent="0.2">
      <c r="A469" t="s">
        <v>148</v>
      </c>
      <c r="B469" s="101">
        <v>7</v>
      </c>
      <c r="C469" s="101">
        <v>0</v>
      </c>
      <c r="D469" s="101">
        <v>-3</v>
      </c>
      <c r="E469" s="101">
        <v>12</v>
      </c>
      <c r="F469" s="101">
        <v>23</v>
      </c>
      <c r="G469" s="101">
        <v>-6</v>
      </c>
      <c r="H469" s="101">
        <v>-1.2</v>
      </c>
      <c r="I469" s="102">
        <v>0.63</v>
      </c>
      <c r="J469" s="102">
        <v>1.8350000000000002</v>
      </c>
      <c r="K469" s="101">
        <v>10.3</v>
      </c>
      <c r="L469" s="101">
        <v>0.5</v>
      </c>
      <c r="M469" s="101" t="s">
        <v>1001</v>
      </c>
      <c r="N469" s="101">
        <v>2000</v>
      </c>
      <c r="O469" s="101" t="s">
        <v>753</v>
      </c>
      <c r="P469" s="101">
        <v>964767</v>
      </c>
      <c r="Q469" t="s">
        <v>684</v>
      </c>
      <c r="R469" t="s">
        <v>145</v>
      </c>
      <c r="S469"/>
      <c r="T469"/>
      <c r="U469"/>
      <c r="V469" s="220"/>
    </row>
    <row r="470" spans="1:22" x14ac:dyDescent="0.2">
      <c r="A470" t="s">
        <v>832</v>
      </c>
      <c r="B470" s="101">
        <v>13</v>
      </c>
      <c r="C470" s="101">
        <v>8</v>
      </c>
      <c r="D470" s="101">
        <v>5</v>
      </c>
      <c r="E470" s="101">
        <v>11</v>
      </c>
      <c r="F470" s="101"/>
      <c r="G470" s="101"/>
      <c r="H470" s="101"/>
      <c r="I470" s="102">
        <v>0.63</v>
      </c>
      <c r="J470" s="102">
        <v>1.6</v>
      </c>
      <c r="K470" s="101"/>
      <c r="L470" s="101"/>
      <c r="M470" s="101" t="s">
        <v>1002</v>
      </c>
      <c r="N470" s="101">
        <v>2011</v>
      </c>
      <c r="O470" s="101" t="s">
        <v>633</v>
      </c>
      <c r="P470" s="101">
        <v>323832</v>
      </c>
      <c r="Q470" t="s">
        <v>126</v>
      </c>
      <c r="R470" t="s">
        <v>626</v>
      </c>
      <c r="S470"/>
      <c r="T470"/>
      <c r="U470"/>
      <c r="V470" s="220"/>
    </row>
    <row r="471" spans="1:22" x14ac:dyDescent="0.2">
      <c r="A471" t="s">
        <v>176</v>
      </c>
      <c r="B471" s="101">
        <v>7</v>
      </c>
      <c r="C471" s="101">
        <v>4</v>
      </c>
      <c r="D471" s="101">
        <v>-2</v>
      </c>
      <c r="E471" s="101">
        <v>6</v>
      </c>
      <c r="F471" s="101">
        <v>16</v>
      </c>
      <c r="G471" s="101">
        <v>8</v>
      </c>
      <c r="H471" s="101">
        <v>1.6</v>
      </c>
      <c r="I471" s="102">
        <v>0.63</v>
      </c>
      <c r="J471" s="102">
        <v>2</v>
      </c>
      <c r="K471" s="101">
        <v>14.9</v>
      </c>
      <c r="L471" s="101">
        <v>0.3</v>
      </c>
      <c r="M471" s="101" t="s">
        <v>1003</v>
      </c>
      <c r="N471" s="101">
        <v>2002</v>
      </c>
      <c r="O471" s="101" t="s">
        <v>633</v>
      </c>
      <c r="P471" s="101">
        <v>501981</v>
      </c>
      <c r="Q471" t="s">
        <v>795</v>
      </c>
      <c r="R471" t="s">
        <v>161</v>
      </c>
      <c r="S471"/>
      <c r="T471"/>
      <c r="U471"/>
      <c r="V471" s="220"/>
    </row>
    <row r="472" spans="1:22" x14ac:dyDescent="0.2">
      <c r="A472" t="s">
        <v>447</v>
      </c>
      <c r="B472" s="101">
        <v>18</v>
      </c>
      <c r="C472" s="101">
        <v>11</v>
      </c>
      <c r="D472" s="101">
        <v>5</v>
      </c>
      <c r="E472" s="101">
        <v>11</v>
      </c>
      <c r="F472" s="101"/>
      <c r="G472" s="101"/>
      <c r="H472" s="101"/>
      <c r="I472" s="102">
        <v>0.63</v>
      </c>
      <c r="J472" s="102">
        <v>1.6</v>
      </c>
      <c r="K472" s="101"/>
      <c r="L472" s="101"/>
      <c r="M472" s="101" t="s">
        <v>1002</v>
      </c>
      <c r="N472" s="101">
        <v>2010</v>
      </c>
      <c r="O472" s="101" t="s">
        <v>633</v>
      </c>
      <c r="P472" s="101">
        <v>515148</v>
      </c>
      <c r="Q472" t="s">
        <v>362</v>
      </c>
      <c r="R472" t="s">
        <v>626</v>
      </c>
      <c r="S472" t="s">
        <v>1024</v>
      </c>
      <c r="T472"/>
      <c r="U472"/>
      <c r="V472" s="220"/>
    </row>
    <row r="473" spans="1:22" x14ac:dyDescent="0.2">
      <c r="A473" t="s">
        <v>373</v>
      </c>
      <c r="B473" s="101">
        <v>5</v>
      </c>
      <c r="C473" s="101">
        <v>0</v>
      </c>
      <c r="D473" s="101">
        <v>-3</v>
      </c>
      <c r="E473" s="101">
        <v>9</v>
      </c>
      <c r="F473" s="101">
        <v>23</v>
      </c>
      <c r="G473" s="101">
        <v>17</v>
      </c>
      <c r="H473" s="101">
        <v>3.1</v>
      </c>
      <c r="I473" s="102">
        <v>0.63</v>
      </c>
      <c r="J473" s="102">
        <v>1.5330000000000001</v>
      </c>
      <c r="K473" s="101">
        <v>12.4</v>
      </c>
      <c r="L473" s="101">
        <v>0.5</v>
      </c>
      <c r="M473" s="101" t="s">
        <v>1001</v>
      </c>
      <c r="N473" s="101">
        <v>2004</v>
      </c>
      <c r="O473" s="101" t="s">
        <v>753</v>
      </c>
      <c r="P473" s="101">
        <v>339184</v>
      </c>
      <c r="Q473" t="s">
        <v>619</v>
      </c>
      <c r="R473" t="s">
        <v>671</v>
      </c>
      <c r="S473"/>
      <c r="T473"/>
      <c r="U473"/>
      <c r="V473" s="220"/>
    </row>
    <row r="474" spans="1:22" x14ac:dyDescent="0.2">
      <c r="A474" t="s">
        <v>620</v>
      </c>
      <c r="B474" s="101">
        <v>10</v>
      </c>
      <c r="C474" s="101">
        <v>0</v>
      </c>
      <c r="D474" s="101">
        <v>-4</v>
      </c>
      <c r="E474" s="101">
        <v>15</v>
      </c>
      <c r="F474" s="101">
        <v>34</v>
      </c>
      <c r="G474" s="101">
        <v>-10</v>
      </c>
      <c r="H474" s="101">
        <v>-2</v>
      </c>
      <c r="I474" s="102">
        <v>0.63</v>
      </c>
      <c r="J474" s="102">
        <v>1.5336000000000001</v>
      </c>
      <c r="K474" s="101">
        <v>18.8</v>
      </c>
      <c r="L474" s="101">
        <v>0.5</v>
      </c>
      <c r="M474" s="101" t="s">
        <v>1001</v>
      </c>
      <c r="N474" s="101">
        <v>2003</v>
      </c>
      <c r="O474" s="101" t="s">
        <v>753</v>
      </c>
      <c r="P474" s="101">
        <v>152181</v>
      </c>
      <c r="Q474" t="s">
        <v>619</v>
      </c>
      <c r="R474" t="s">
        <v>671</v>
      </c>
      <c r="S474"/>
      <c r="T474"/>
      <c r="U474"/>
      <c r="V474" s="220"/>
    </row>
    <row r="475" spans="1:22" x14ac:dyDescent="0.2">
      <c r="A475" t="s">
        <v>814</v>
      </c>
      <c r="B475" s="101">
        <v>-19</v>
      </c>
      <c r="C475" s="101">
        <v>4</v>
      </c>
      <c r="D475" s="101">
        <v>-13</v>
      </c>
      <c r="E475" s="101">
        <v>-21</v>
      </c>
      <c r="F475" s="101">
        <v>-53</v>
      </c>
      <c r="G475" s="101"/>
      <c r="H475" s="101"/>
      <c r="I475" s="102">
        <v>0.63</v>
      </c>
      <c r="J475" s="102">
        <v>1.513584</v>
      </c>
      <c r="K475" s="101">
        <v>17</v>
      </c>
      <c r="L475" s="101">
        <v>-1.5</v>
      </c>
      <c r="M475" s="101" t="s">
        <v>1001</v>
      </c>
      <c r="N475" s="101">
        <v>2009</v>
      </c>
      <c r="O475" s="101" t="s">
        <v>753</v>
      </c>
      <c r="P475" s="101">
        <v>711945</v>
      </c>
      <c r="Q475" t="s">
        <v>1128</v>
      </c>
      <c r="R475" t="s">
        <v>279</v>
      </c>
      <c r="S475"/>
      <c r="T475"/>
      <c r="U475"/>
      <c r="V475" s="220"/>
    </row>
    <row r="476" spans="1:22" x14ac:dyDescent="0.2">
      <c r="A476" t="s">
        <v>560</v>
      </c>
      <c r="B476" s="101">
        <v>2</v>
      </c>
      <c r="C476" s="101">
        <v>-1</v>
      </c>
      <c r="D476" s="101">
        <v>-1</v>
      </c>
      <c r="E476" s="101">
        <v>6</v>
      </c>
      <c r="F476" s="101">
        <v>9</v>
      </c>
      <c r="G476" s="101">
        <v>8</v>
      </c>
      <c r="H476" s="101">
        <v>1.6</v>
      </c>
      <c r="I476" s="102">
        <v>0.64</v>
      </c>
      <c r="J476" s="102">
        <v>1.77</v>
      </c>
      <c r="K476" s="101">
        <v>7.2</v>
      </c>
      <c r="L476" s="101">
        <v>0.2</v>
      </c>
      <c r="M476" s="101" t="s">
        <v>1004</v>
      </c>
      <c r="N476" s="101">
        <v>2004</v>
      </c>
      <c r="O476" s="101" t="s">
        <v>633</v>
      </c>
      <c r="P476" s="101">
        <v>302760</v>
      </c>
      <c r="Q476" t="s">
        <v>760</v>
      </c>
      <c r="R476" t="s">
        <v>301</v>
      </c>
      <c r="S476"/>
      <c r="T476"/>
      <c r="U476"/>
      <c r="V476" s="220"/>
    </row>
    <row r="477" spans="1:22" x14ac:dyDescent="0.2">
      <c r="A477" t="s">
        <v>612</v>
      </c>
      <c r="B477" s="101">
        <v>14</v>
      </c>
      <c r="C477" s="101">
        <v>0</v>
      </c>
      <c r="D477" s="101">
        <v>-4</v>
      </c>
      <c r="E477" s="101">
        <v>16</v>
      </c>
      <c r="F477" s="101">
        <v>24</v>
      </c>
      <c r="G477" s="101"/>
      <c r="H477" s="101"/>
      <c r="I477" s="102">
        <v>0.64</v>
      </c>
      <c r="J477" s="102">
        <v>1.5391000000000001</v>
      </c>
      <c r="K477" s="101">
        <v>17.5</v>
      </c>
      <c r="L477" s="101">
        <v>0.4</v>
      </c>
      <c r="M477" s="101" t="s">
        <v>1001</v>
      </c>
      <c r="N477" s="101">
        <v>2008</v>
      </c>
      <c r="O477" s="101" t="s">
        <v>753</v>
      </c>
      <c r="P477" s="101">
        <v>272898</v>
      </c>
      <c r="Q477" t="s">
        <v>619</v>
      </c>
      <c r="R477" t="s">
        <v>671</v>
      </c>
      <c r="S477"/>
      <c r="T477"/>
      <c r="U477"/>
      <c r="V477" s="220"/>
    </row>
    <row r="478" spans="1:22" x14ac:dyDescent="0.2">
      <c r="A478" t="s">
        <v>1049</v>
      </c>
      <c r="B478" s="101">
        <v>-1</v>
      </c>
      <c r="C478" s="101">
        <v>0</v>
      </c>
      <c r="D478" s="101">
        <v>-3</v>
      </c>
      <c r="E478" s="101">
        <v>-1</v>
      </c>
      <c r="F478" s="101">
        <v>-10</v>
      </c>
      <c r="G478" s="101">
        <v>-7</v>
      </c>
      <c r="H478" s="101">
        <v>-1.4000000000000001</v>
      </c>
      <c r="I478" s="102">
        <v>0.64</v>
      </c>
      <c r="J478" s="102">
        <v>2.5</v>
      </c>
      <c r="K478" s="101">
        <v>5.9</v>
      </c>
      <c r="L478" s="101">
        <v>-0.8</v>
      </c>
      <c r="M478" s="101" t="s">
        <v>1001</v>
      </c>
      <c r="N478" s="101">
        <v>2006</v>
      </c>
      <c r="O478" s="101" t="s">
        <v>633</v>
      </c>
      <c r="P478" s="101">
        <v>934893</v>
      </c>
      <c r="Q478" t="s">
        <v>764</v>
      </c>
      <c r="R478" t="s">
        <v>301</v>
      </c>
      <c r="S478"/>
      <c r="T478"/>
      <c r="U478"/>
      <c r="V478" s="220"/>
    </row>
    <row r="479" spans="1:22" x14ac:dyDescent="0.2">
      <c r="A479" t="s">
        <v>735</v>
      </c>
      <c r="B479" s="101">
        <v>8</v>
      </c>
      <c r="C479" s="101">
        <v>4</v>
      </c>
      <c r="D479" s="101">
        <v>-2</v>
      </c>
      <c r="E479" s="101">
        <v>7</v>
      </c>
      <c r="F479" s="101">
        <v>12</v>
      </c>
      <c r="G479" s="101">
        <v>-14</v>
      </c>
      <c r="H479" s="101">
        <v>-2.9</v>
      </c>
      <c r="I479" s="102">
        <v>0.64</v>
      </c>
      <c r="J479" s="102">
        <v>1.74</v>
      </c>
      <c r="K479" s="101">
        <v>10.3</v>
      </c>
      <c r="L479" s="101">
        <v>0.3</v>
      </c>
      <c r="M479" s="101" t="s">
        <v>1001</v>
      </c>
      <c r="N479" s="101">
        <v>2005</v>
      </c>
      <c r="O479" s="101" t="s">
        <v>633</v>
      </c>
      <c r="P479" s="101">
        <v>432096</v>
      </c>
      <c r="Q479" t="s">
        <v>690</v>
      </c>
      <c r="R479" t="s">
        <v>145</v>
      </c>
      <c r="S479"/>
      <c r="T479"/>
      <c r="U479"/>
      <c r="V479" s="220"/>
    </row>
    <row r="480" spans="1:22" x14ac:dyDescent="0.2">
      <c r="A480" t="s">
        <v>935</v>
      </c>
      <c r="B480" s="101">
        <v>9</v>
      </c>
      <c r="C480" s="101">
        <v>7</v>
      </c>
      <c r="D480" s="101">
        <v>1</v>
      </c>
      <c r="E480" s="101">
        <v>-5</v>
      </c>
      <c r="F480" s="101">
        <v>-21</v>
      </c>
      <c r="G480" s="101">
        <v>-53</v>
      </c>
      <c r="H480" s="101">
        <v>-14.1</v>
      </c>
      <c r="I480" s="102">
        <v>0.64</v>
      </c>
      <c r="J480" s="102">
        <v>1.8220000000000001</v>
      </c>
      <c r="K480" s="101">
        <v>18</v>
      </c>
      <c r="L480" s="101">
        <v>-0.4</v>
      </c>
      <c r="M480" s="101" t="s">
        <v>1001</v>
      </c>
      <c r="N480" s="101">
        <v>2001</v>
      </c>
      <c r="O480" s="101" t="s">
        <v>633</v>
      </c>
      <c r="P480" s="101">
        <v>362327</v>
      </c>
      <c r="Q480" t="s">
        <v>920</v>
      </c>
      <c r="R480" t="s">
        <v>131</v>
      </c>
      <c r="S480"/>
      <c r="T480"/>
      <c r="U480"/>
      <c r="V480" s="220"/>
    </row>
    <row r="481" spans="1:22" x14ac:dyDescent="0.2">
      <c r="A481" t="s">
        <v>324</v>
      </c>
      <c r="B481" s="101">
        <v>10</v>
      </c>
      <c r="C481" s="101">
        <v>9</v>
      </c>
      <c r="D481" s="101">
        <v>6</v>
      </c>
      <c r="E481" s="101">
        <v>3</v>
      </c>
      <c r="F481" s="101">
        <v>-14</v>
      </c>
      <c r="G481" s="101"/>
      <c r="H481" s="101"/>
      <c r="I481" s="102">
        <v>0.64</v>
      </c>
      <c r="J481" s="102">
        <v>0</v>
      </c>
      <c r="K481" s="101">
        <v>16.399999999999999</v>
      </c>
      <c r="L481" s="101">
        <v>-0.3</v>
      </c>
      <c r="M481" s="101" t="s">
        <v>1002</v>
      </c>
      <c r="N481" s="101">
        <v>2011</v>
      </c>
      <c r="O481" s="101" t="s">
        <v>633</v>
      </c>
      <c r="P481" s="101">
        <v>125856</v>
      </c>
      <c r="Q481" t="s">
        <v>812</v>
      </c>
      <c r="R481" t="s">
        <v>86</v>
      </c>
      <c r="S481"/>
      <c r="T481"/>
      <c r="U481"/>
      <c r="V481" s="220"/>
    </row>
    <row r="482" spans="1:22" x14ac:dyDescent="0.2">
      <c r="A482" t="s">
        <v>333</v>
      </c>
      <c r="B482" s="101">
        <v>10</v>
      </c>
      <c r="C482" s="101">
        <v>7</v>
      </c>
      <c r="D482" s="101">
        <v>3</v>
      </c>
      <c r="E482" s="101">
        <v>5</v>
      </c>
      <c r="F482" s="101">
        <v>-4</v>
      </c>
      <c r="G482" s="101"/>
      <c r="H482" s="101"/>
      <c r="I482" s="102">
        <v>0.64</v>
      </c>
      <c r="J482" s="102">
        <v>1.7</v>
      </c>
      <c r="K482" s="101">
        <v>13.5</v>
      </c>
      <c r="L482" s="101">
        <v>-0.2</v>
      </c>
      <c r="M482" s="101" t="s">
        <v>1002</v>
      </c>
      <c r="N482" s="101">
        <v>2011</v>
      </c>
      <c r="O482" s="101" t="s">
        <v>633</v>
      </c>
      <c r="P482" s="101">
        <v>707638</v>
      </c>
      <c r="Q482" t="s">
        <v>812</v>
      </c>
      <c r="R482" t="s">
        <v>44</v>
      </c>
      <c r="S482"/>
      <c r="T482"/>
      <c r="U482"/>
      <c r="V482" s="220"/>
    </row>
    <row r="483" spans="1:22" x14ac:dyDescent="0.2">
      <c r="A483" t="s">
        <v>871</v>
      </c>
      <c r="B483" s="101">
        <v>0</v>
      </c>
      <c r="C483" s="101">
        <v>0</v>
      </c>
      <c r="D483" s="101">
        <v>-11</v>
      </c>
      <c r="E483" s="101">
        <v>-9</v>
      </c>
      <c r="F483" s="101">
        <v>-4</v>
      </c>
      <c r="G483" s="101"/>
      <c r="H483" s="101"/>
      <c r="I483" s="102">
        <v>0.64</v>
      </c>
      <c r="J483" s="102">
        <v>2.46</v>
      </c>
      <c r="K483" s="101">
        <v>24.3</v>
      </c>
      <c r="L483" s="101">
        <v>0</v>
      </c>
      <c r="M483" s="101" t="s">
        <v>1001</v>
      </c>
      <c r="N483" s="101">
        <v>2009</v>
      </c>
      <c r="O483" s="101" t="s">
        <v>633</v>
      </c>
      <c r="P483" s="101">
        <v>390062</v>
      </c>
      <c r="Q483" t="s">
        <v>677</v>
      </c>
      <c r="R483" t="s">
        <v>368</v>
      </c>
      <c r="S483"/>
      <c r="T483"/>
      <c r="U483"/>
      <c r="V483" s="220"/>
    </row>
    <row r="484" spans="1:22" x14ac:dyDescent="0.2">
      <c r="A484" t="s">
        <v>1073</v>
      </c>
      <c r="B484" s="101">
        <v>13</v>
      </c>
      <c r="C484" s="101">
        <v>9</v>
      </c>
      <c r="D484" s="101">
        <v>4</v>
      </c>
      <c r="E484" s="101">
        <v>9</v>
      </c>
      <c r="F484" s="101">
        <v>7</v>
      </c>
      <c r="G484" s="101">
        <v>31</v>
      </c>
      <c r="H484" s="101">
        <v>5.6000000000000005</v>
      </c>
      <c r="I484" s="102">
        <v>0.64</v>
      </c>
      <c r="J484" s="102">
        <v>1.6500000000000001</v>
      </c>
      <c r="K484" s="101">
        <v>9.4</v>
      </c>
      <c r="L484" s="101">
        <v>0.1</v>
      </c>
      <c r="M484" s="101" t="s">
        <v>1002</v>
      </c>
      <c r="N484" s="101">
        <v>2012</v>
      </c>
      <c r="O484" s="101" t="s">
        <v>633</v>
      </c>
      <c r="P484" s="101">
        <v>830885</v>
      </c>
      <c r="Q484" t="s">
        <v>1067</v>
      </c>
      <c r="R484" t="s">
        <v>615</v>
      </c>
      <c r="S484"/>
      <c r="T484"/>
      <c r="U484"/>
      <c r="V484" s="220"/>
    </row>
    <row r="485" spans="1:22" x14ac:dyDescent="0.2">
      <c r="A485" t="s">
        <v>247</v>
      </c>
      <c r="B485" s="101">
        <v>2</v>
      </c>
      <c r="C485" s="101">
        <v>0</v>
      </c>
      <c r="D485" s="101">
        <v>-2</v>
      </c>
      <c r="E485" s="101">
        <v>6</v>
      </c>
      <c r="F485" s="101">
        <v>4</v>
      </c>
      <c r="G485" s="101">
        <v>-20</v>
      </c>
      <c r="H485" s="101">
        <v>-4.3</v>
      </c>
      <c r="I485" s="102">
        <v>0.64</v>
      </c>
      <c r="J485" s="102">
        <v>1.6564299999999998</v>
      </c>
      <c r="K485" s="101">
        <v>9.2000000000000011</v>
      </c>
      <c r="L485" s="101">
        <v>0</v>
      </c>
      <c r="M485" s="101" t="s">
        <v>1003</v>
      </c>
      <c r="N485" s="101">
        <v>2001</v>
      </c>
      <c r="O485" s="101" t="s">
        <v>633</v>
      </c>
      <c r="P485" s="101">
        <v>290668</v>
      </c>
      <c r="Q485" t="s">
        <v>754</v>
      </c>
      <c r="R485" t="s">
        <v>145</v>
      </c>
      <c r="S485"/>
      <c r="T485"/>
      <c r="U485"/>
      <c r="V485" s="220"/>
    </row>
    <row r="486" spans="1:22" x14ac:dyDescent="0.2">
      <c r="A486" t="s">
        <v>323</v>
      </c>
      <c r="B486" s="101">
        <v>5</v>
      </c>
      <c r="C486" s="101">
        <v>4</v>
      </c>
      <c r="D486" s="101">
        <v>0</v>
      </c>
      <c r="E486" s="101">
        <v>3</v>
      </c>
      <c r="F486" s="101">
        <v>-4</v>
      </c>
      <c r="G486" s="101">
        <v>-6</v>
      </c>
      <c r="H486" s="101">
        <v>-1.2</v>
      </c>
      <c r="I486" s="102">
        <v>0.64</v>
      </c>
      <c r="J486" s="102">
        <v>1.6600000000000001</v>
      </c>
      <c r="K486" s="101">
        <v>6.2</v>
      </c>
      <c r="L486" s="101">
        <v>-0.4</v>
      </c>
      <c r="M486" s="101" t="s">
        <v>1002</v>
      </c>
      <c r="N486" s="101">
        <v>2000</v>
      </c>
      <c r="O486" s="101" t="s">
        <v>633</v>
      </c>
      <c r="P486" s="101">
        <v>722454</v>
      </c>
      <c r="Q486" t="s">
        <v>88</v>
      </c>
      <c r="R486" t="s">
        <v>301</v>
      </c>
      <c r="S486"/>
      <c r="T486"/>
      <c r="U486"/>
      <c r="V486" s="220"/>
    </row>
    <row r="487" spans="1:22" x14ac:dyDescent="0.2">
      <c r="A487" t="s">
        <v>83</v>
      </c>
      <c r="B487" s="101">
        <v>-18</v>
      </c>
      <c r="C487" s="101">
        <v>-1</v>
      </c>
      <c r="D487" s="101">
        <v>-12</v>
      </c>
      <c r="E487" s="101">
        <v>-17</v>
      </c>
      <c r="F487" s="101">
        <v>-27</v>
      </c>
      <c r="G487" s="101">
        <v>-28</v>
      </c>
      <c r="H487" s="101">
        <v>-6.4</v>
      </c>
      <c r="I487" s="102">
        <v>0.64</v>
      </c>
      <c r="J487" s="102">
        <v>1.6</v>
      </c>
      <c r="K487" s="101">
        <v>7.9</v>
      </c>
      <c r="L487" s="101">
        <v>-1.5</v>
      </c>
      <c r="M487" s="101" t="s">
        <v>1002</v>
      </c>
      <c r="N487" s="101">
        <v>2009</v>
      </c>
      <c r="O487" s="101" t="s">
        <v>633</v>
      </c>
      <c r="P487" s="101">
        <v>857094</v>
      </c>
      <c r="Q487" t="s">
        <v>84</v>
      </c>
      <c r="R487" t="s">
        <v>145</v>
      </c>
      <c r="S487"/>
      <c r="T487"/>
      <c r="U487"/>
      <c r="V487" s="220"/>
    </row>
    <row r="488" spans="1:22" x14ac:dyDescent="0.2">
      <c r="A488" t="s">
        <v>18</v>
      </c>
      <c r="B488" s="101">
        <v>7</v>
      </c>
      <c r="C488" s="101">
        <v>0</v>
      </c>
      <c r="D488" s="101">
        <v>-3</v>
      </c>
      <c r="E488" s="101">
        <v>4</v>
      </c>
      <c r="F488" s="101"/>
      <c r="G488" s="101"/>
      <c r="H488" s="101"/>
      <c r="I488" s="102">
        <v>0.64</v>
      </c>
      <c r="J488" s="102">
        <v>1.9423029999999999</v>
      </c>
      <c r="K488" s="101"/>
      <c r="L488" s="101"/>
      <c r="M488" s="101" t="s">
        <v>1001</v>
      </c>
      <c r="N488" s="101">
        <v>2010</v>
      </c>
      <c r="O488" s="101" t="s">
        <v>633</v>
      </c>
      <c r="P488" s="101">
        <v>276493</v>
      </c>
      <c r="Q488" t="s">
        <v>17</v>
      </c>
      <c r="R488" t="s">
        <v>301</v>
      </c>
      <c r="S488"/>
      <c r="T488"/>
      <c r="U488"/>
      <c r="V488" s="220"/>
    </row>
    <row r="489" spans="1:22" x14ac:dyDescent="0.2">
      <c r="A489" t="s">
        <v>833</v>
      </c>
      <c r="B489" s="101">
        <v>23</v>
      </c>
      <c r="C489" s="101">
        <v>8</v>
      </c>
      <c r="D489" s="101">
        <v>9</v>
      </c>
      <c r="E489" s="101">
        <v>17</v>
      </c>
      <c r="F489" s="101"/>
      <c r="G489" s="101"/>
      <c r="H489" s="101"/>
      <c r="I489" s="102">
        <v>0.64</v>
      </c>
      <c r="J489" s="102">
        <v>1.6400000000000001</v>
      </c>
      <c r="K489" s="101"/>
      <c r="L489" s="101"/>
      <c r="M489" s="101" t="s">
        <v>1001</v>
      </c>
      <c r="N489" s="101">
        <v>2011</v>
      </c>
      <c r="O489" s="101" t="s">
        <v>633</v>
      </c>
      <c r="P489" s="101">
        <v>690636</v>
      </c>
      <c r="Q489" t="s">
        <v>362</v>
      </c>
      <c r="R489" t="s">
        <v>626</v>
      </c>
      <c r="S489"/>
      <c r="T489"/>
      <c r="U489"/>
      <c r="V489" s="220"/>
    </row>
    <row r="490" spans="1:22" x14ac:dyDescent="0.2">
      <c r="A490" t="s">
        <v>396</v>
      </c>
      <c r="B490" s="101">
        <v>12</v>
      </c>
      <c r="C490" s="101">
        <v>2</v>
      </c>
      <c r="D490" s="101">
        <v>-1</v>
      </c>
      <c r="E490" s="101">
        <v>17</v>
      </c>
      <c r="F490" s="101">
        <v>14</v>
      </c>
      <c r="G490" s="101">
        <v>-19</v>
      </c>
      <c r="H490" s="101">
        <v>-4.0999999999999996</v>
      </c>
      <c r="I490" s="102">
        <v>0.64</v>
      </c>
      <c r="J490" s="102">
        <v>2.5100000000000002</v>
      </c>
      <c r="K490" s="101">
        <v>15.700000000000001</v>
      </c>
      <c r="L490" s="101">
        <v>0.2</v>
      </c>
      <c r="M490" s="101" t="s">
        <v>1001</v>
      </c>
      <c r="N490" s="101">
        <v>2006</v>
      </c>
      <c r="O490" s="101" t="s">
        <v>753</v>
      </c>
      <c r="P490" s="101">
        <v>184291</v>
      </c>
      <c r="Q490" t="s">
        <v>859</v>
      </c>
      <c r="R490" t="s">
        <v>161</v>
      </c>
      <c r="S490"/>
      <c r="T490"/>
      <c r="U490"/>
      <c r="V490" s="220"/>
    </row>
    <row r="491" spans="1:22" x14ac:dyDescent="0.2">
      <c r="A491" t="s">
        <v>574</v>
      </c>
      <c r="B491" s="101">
        <v>6</v>
      </c>
      <c r="C491" s="101">
        <v>1</v>
      </c>
      <c r="D491" s="101">
        <v>-1</v>
      </c>
      <c r="E491" s="101">
        <v>12</v>
      </c>
      <c r="F491" s="101">
        <v>20</v>
      </c>
      <c r="G491" s="101">
        <v>-10</v>
      </c>
      <c r="H491" s="101">
        <v>-2.2000000000000002</v>
      </c>
      <c r="I491" s="102">
        <v>0.65</v>
      </c>
      <c r="J491" s="102">
        <v>1.8</v>
      </c>
      <c r="K491" s="101">
        <v>11.700000000000001</v>
      </c>
      <c r="L491" s="101">
        <v>0.4</v>
      </c>
      <c r="M491" s="101" t="s">
        <v>1004</v>
      </c>
      <c r="N491" s="101">
        <v>2004</v>
      </c>
      <c r="O491" s="101" t="s">
        <v>633</v>
      </c>
      <c r="P491" s="101">
        <v>804385</v>
      </c>
      <c r="Q491" t="s">
        <v>760</v>
      </c>
      <c r="R491" t="s">
        <v>102</v>
      </c>
      <c r="S491"/>
      <c r="T491"/>
      <c r="U491"/>
      <c r="V491" s="220"/>
    </row>
    <row r="492" spans="1:22" x14ac:dyDescent="0.2">
      <c r="A492" t="s">
        <v>956</v>
      </c>
      <c r="B492" s="101">
        <v>18</v>
      </c>
      <c r="C492" s="101">
        <v>9</v>
      </c>
      <c r="D492" s="101">
        <v>4</v>
      </c>
      <c r="E492" s="101">
        <v>13</v>
      </c>
      <c r="F492" s="101">
        <v>25</v>
      </c>
      <c r="G492" s="101">
        <v>24</v>
      </c>
      <c r="H492" s="101">
        <v>4.5</v>
      </c>
      <c r="I492" s="102">
        <v>0.65</v>
      </c>
      <c r="J492" s="102">
        <v>1.6600000000000001</v>
      </c>
      <c r="K492" s="101">
        <v>11.200000000000001</v>
      </c>
      <c r="L492" s="101">
        <v>0.6</v>
      </c>
      <c r="M492" s="101" t="s">
        <v>1005</v>
      </c>
      <c r="N492" s="101">
        <v>2006</v>
      </c>
      <c r="O492" s="101" t="s">
        <v>633</v>
      </c>
      <c r="P492" s="101">
        <v>793406</v>
      </c>
      <c r="Q492" t="s">
        <v>752</v>
      </c>
      <c r="R492" t="s">
        <v>626</v>
      </c>
      <c r="S492"/>
      <c r="T492"/>
      <c r="U492"/>
      <c r="V492" s="220"/>
    </row>
    <row r="493" spans="1:22" x14ac:dyDescent="0.2">
      <c r="A493" t="s">
        <v>129</v>
      </c>
      <c r="B493" s="101">
        <v>6</v>
      </c>
      <c r="C493" s="101">
        <v>-1</v>
      </c>
      <c r="D493" s="101">
        <v>-2</v>
      </c>
      <c r="E493" s="101">
        <v>12</v>
      </c>
      <c r="F493" s="101">
        <v>18</v>
      </c>
      <c r="G493" s="101">
        <v>0</v>
      </c>
      <c r="H493" s="101">
        <v>0</v>
      </c>
      <c r="I493" s="102">
        <v>0.65</v>
      </c>
      <c r="J493" s="102">
        <v>1.82</v>
      </c>
      <c r="K493" s="101">
        <v>10.8</v>
      </c>
      <c r="L493" s="101">
        <v>0.4</v>
      </c>
      <c r="M493" s="101" t="s">
        <v>1004</v>
      </c>
      <c r="N493" s="101">
        <v>2005</v>
      </c>
      <c r="O493" s="101" t="s">
        <v>633</v>
      </c>
      <c r="P493" s="101">
        <v>563254</v>
      </c>
      <c r="Q493" t="s">
        <v>777</v>
      </c>
      <c r="R493" t="s">
        <v>102</v>
      </c>
      <c r="S493"/>
      <c r="T493"/>
      <c r="U493"/>
      <c r="V493" s="220"/>
    </row>
    <row r="494" spans="1:22" x14ac:dyDescent="0.2">
      <c r="A494" t="s">
        <v>778</v>
      </c>
      <c r="B494" s="101">
        <v>16</v>
      </c>
      <c r="C494" s="101">
        <v>6</v>
      </c>
      <c r="D494" s="101">
        <v>4</v>
      </c>
      <c r="E494" s="101">
        <v>14</v>
      </c>
      <c r="F494" s="101">
        <v>19</v>
      </c>
      <c r="G494" s="101">
        <v>10</v>
      </c>
      <c r="H494" s="101">
        <v>1.9000000000000001</v>
      </c>
      <c r="I494" s="102">
        <v>0.65</v>
      </c>
      <c r="J494" s="102">
        <v>1.82</v>
      </c>
      <c r="K494" s="101">
        <v>9.9</v>
      </c>
      <c r="L494" s="101">
        <v>0.5</v>
      </c>
      <c r="M494" s="101" t="s">
        <v>1002</v>
      </c>
      <c r="N494" s="101">
        <v>2005</v>
      </c>
      <c r="O494" s="101" t="s">
        <v>633</v>
      </c>
      <c r="P494" s="101">
        <v>666495</v>
      </c>
      <c r="Q494" t="s">
        <v>777</v>
      </c>
      <c r="R494" t="s">
        <v>44</v>
      </c>
      <c r="S494"/>
      <c r="T494"/>
      <c r="U494"/>
      <c r="V494" s="220"/>
    </row>
    <row r="495" spans="1:22" x14ac:dyDescent="0.2">
      <c r="A495" t="s">
        <v>372</v>
      </c>
      <c r="B495" s="101">
        <v>2</v>
      </c>
      <c r="C495" s="101">
        <v>-2</v>
      </c>
      <c r="D495" s="101">
        <v>-9</v>
      </c>
      <c r="E495" s="101">
        <v>4</v>
      </c>
      <c r="F495" s="101">
        <v>29</v>
      </c>
      <c r="G495" s="101">
        <v>0</v>
      </c>
      <c r="H495" s="101">
        <v>0</v>
      </c>
      <c r="I495" s="102">
        <v>0.65</v>
      </c>
      <c r="J495" s="102">
        <v>1.81</v>
      </c>
      <c r="K495" s="101">
        <v>14</v>
      </c>
      <c r="L495" s="101">
        <v>0.6</v>
      </c>
      <c r="M495" s="101" t="s">
        <v>1004</v>
      </c>
      <c r="N495" s="101">
        <v>2005</v>
      </c>
      <c r="O495" s="101" t="s">
        <v>633</v>
      </c>
      <c r="P495" s="101">
        <v>384107</v>
      </c>
      <c r="Q495" t="s">
        <v>777</v>
      </c>
      <c r="R495" t="s">
        <v>102</v>
      </c>
      <c r="S495"/>
      <c r="T495"/>
      <c r="U495"/>
      <c r="V495" s="220"/>
    </row>
    <row r="496" spans="1:22" x14ac:dyDescent="0.2">
      <c r="A496" t="s">
        <v>1074</v>
      </c>
      <c r="B496" s="101">
        <v>5</v>
      </c>
      <c r="C496" s="101">
        <v>-1</v>
      </c>
      <c r="D496" s="101">
        <v>-6</v>
      </c>
      <c r="E496" s="101">
        <v>11</v>
      </c>
      <c r="F496" s="101">
        <v>33</v>
      </c>
      <c r="G496" s="101"/>
      <c r="H496" s="101"/>
      <c r="I496" s="102">
        <v>0.65</v>
      </c>
      <c r="J496" s="102">
        <v>1.5316000000000001</v>
      </c>
      <c r="K496" s="101">
        <v>17.8</v>
      </c>
      <c r="L496" s="101">
        <v>0.5</v>
      </c>
      <c r="M496" s="101" t="s">
        <v>1001</v>
      </c>
      <c r="N496" s="101">
        <v>2008</v>
      </c>
      <c r="O496" s="101" t="s">
        <v>633</v>
      </c>
      <c r="P496" s="101">
        <v>420463</v>
      </c>
      <c r="Q496" t="s">
        <v>766</v>
      </c>
      <c r="R496" t="s">
        <v>724</v>
      </c>
      <c r="S496"/>
      <c r="T496"/>
      <c r="U496"/>
      <c r="V496" s="220"/>
    </row>
    <row r="497" spans="1:22" x14ac:dyDescent="0.2">
      <c r="A497" t="s">
        <v>571</v>
      </c>
      <c r="B497" s="101">
        <v>13</v>
      </c>
      <c r="C497" s="101">
        <v>9</v>
      </c>
      <c r="D497" s="101">
        <v>2</v>
      </c>
      <c r="E497" s="101">
        <v>12</v>
      </c>
      <c r="F497" s="101">
        <v>4</v>
      </c>
      <c r="G497" s="101">
        <v>-12</v>
      </c>
      <c r="H497" s="101">
        <v>-2.5</v>
      </c>
      <c r="I497" s="102">
        <v>0.66</v>
      </c>
      <c r="J497" s="102">
        <v>1.81</v>
      </c>
      <c r="K497" s="101">
        <v>13.200000000000001</v>
      </c>
      <c r="L497" s="101">
        <v>0.1</v>
      </c>
      <c r="M497" s="101" t="s">
        <v>1002</v>
      </c>
      <c r="N497" s="101">
        <v>2004</v>
      </c>
      <c r="O497" s="101" t="s">
        <v>633</v>
      </c>
      <c r="P497" s="101">
        <v>732727</v>
      </c>
      <c r="Q497" t="s">
        <v>760</v>
      </c>
      <c r="R497" t="s">
        <v>44</v>
      </c>
      <c r="S497"/>
      <c r="T497"/>
      <c r="U497"/>
      <c r="V497" s="220"/>
    </row>
    <row r="498" spans="1:22" x14ac:dyDescent="0.2">
      <c r="A498" t="s">
        <v>1076</v>
      </c>
      <c r="B498" s="101"/>
      <c r="C498" s="101"/>
      <c r="D498" s="101"/>
      <c r="E498" s="101"/>
      <c r="F498" s="101"/>
      <c r="G498" s="101"/>
      <c r="H498" s="101"/>
      <c r="I498" s="102">
        <v>0.66</v>
      </c>
      <c r="J498" s="102">
        <v>1.6</v>
      </c>
      <c r="K498" s="101"/>
      <c r="L498" s="101"/>
      <c r="M498" s="101" t="s">
        <v>1001</v>
      </c>
      <c r="N498" s="101">
        <v>2012</v>
      </c>
      <c r="O498" s="101" t="s">
        <v>753</v>
      </c>
      <c r="P498" s="101">
        <v>261859</v>
      </c>
      <c r="Q498" t="s">
        <v>13</v>
      </c>
      <c r="R498" t="s">
        <v>239</v>
      </c>
      <c r="S498"/>
      <c r="T498"/>
      <c r="U498"/>
      <c r="V498" s="220"/>
    </row>
    <row r="499" spans="1:22" x14ac:dyDescent="0.2">
      <c r="A499" t="s">
        <v>570</v>
      </c>
      <c r="B499" s="101">
        <v>13</v>
      </c>
      <c r="C499" s="101">
        <v>11</v>
      </c>
      <c r="D499" s="101">
        <v>7</v>
      </c>
      <c r="E499" s="101">
        <v>14</v>
      </c>
      <c r="F499" s="101">
        <v>1</v>
      </c>
      <c r="G499" s="101">
        <v>-22</v>
      </c>
      <c r="H499" s="101">
        <v>-4.8</v>
      </c>
      <c r="I499" s="102">
        <v>0.66</v>
      </c>
      <c r="J499" s="102">
        <v>1.82</v>
      </c>
      <c r="K499" s="101">
        <v>14.9</v>
      </c>
      <c r="L499" s="101">
        <v>0</v>
      </c>
      <c r="M499" s="101" t="s">
        <v>1002</v>
      </c>
      <c r="N499" s="101">
        <v>2004</v>
      </c>
      <c r="O499" s="101" t="s">
        <v>633</v>
      </c>
      <c r="P499" s="101">
        <v>696898</v>
      </c>
      <c r="Q499" t="s">
        <v>760</v>
      </c>
      <c r="R499" t="s">
        <v>44</v>
      </c>
      <c r="S499"/>
      <c r="T499"/>
      <c r="U499"/>
      <c r="V499" s="220"/>
    </row>
    <row r="500" spans="1:22" x14ac:dyDescent="0.2">
      <c r="A500" t="s">
        <v>566</v>
      </c>
      <c r="B500" s="101">
        <v>4</v>
      </c>
      <c r="C500" s="101">
        <v>-1</v>
      </c>
      <c r="D500" s="101">
        <v>-7</v>
      </c>
      <c r="E500" s="101">
        <v>2</v>
      </c>
      <c r="F500" s="101">
        <v>2</v>
      </c>
      <c r="G500" s="101">
        <v>-20</v>
      </c>
      <c r="H500" s="101">
        <v>-4.5</v>
      </c>
      <c r="I500" s="102">
        <v>0.66</v>
      </c>
      <c r="J500" s="102">
        <v>1.82</v>
      </c>
      <c r="K500" s="101">
        <v>12.4</v>
      </c>
      <c r="L500" s="101">
        <v>0</v>
      </c>
      <c r="M500" s="101" t="s">
        <v>1004</v>
      </c>
      <c r="N500" s="101">
        <v>2006</v>
      </c>
      <c r="O500" s="101" t="s">
        <v>633</v>
      </c>
      <c r="P500" s="101">
        <v>549261</v>
      </c>
      <c r="Q500" t="s">
        <v>760</v>
      </c>
      <c r="R500" t="s">
        <v>145</v>
      </c>
      <c r="S500"/>
      <c r="T500"/>
      <c r="U500"/>
      <c r="V500" s="220"/>
    </row>
    <row r="501" spans="1:22" x14ac:dyDescent="0.2">
      <c r="A501" t="s">
        <v>865</v>
      </c>
      <c r="B501" s="101">
        <v>-2</v>
      </c>
      <c r="C501" s="101">
        <v>-2</v>
      </c>
      <c r="D501" s="101">
        <v>-9</v>
      </c>
      <c r="E501" s="101">
        <v>-1</v>
      </c>
      <c r="F501" s="101">
        <v>1</v>
      </c>
      <c r="G501" s="101">
        <v>-20</v>
      </c>
      <c r="H501" s="101">
        <v>-4.4000000000000004</v>
      </c>
      <c r="I501" s="102">
        <v>0.66</v>
      </c>
      <c r="J501" s="102">
        <v>1.83</v>
      </c>
      <c r="K501" s="101">
        <v>14.5</v>
      </c>
      <c r="L501" s="101">
        <v>0</v>
      </c>
      <c r="M501" s="101" t="s">
        <v>1004</v>
      </c>
      <c r="N501" s="101">
        <v>2004</v>
      </c>
      <c r="O501" s="101" t="s">
        <v>633</v>
      </c>
      <c r="P501" s="101">
        <v>159442</v>
      </c>
      <c r="Q501" t="s">
        <v>760</v>
      </c>
      <c r="R501" t="s">
        <v>226</v>
      </c>
      <c r="S501"/>
      <c r="T501"/>
      <c r="U501"/>
      <c r="V501" s="220"/>
    </row>
    <row r="502" spans="1:22" x14ac:dyDescent="0.2">
      <c r="A502" t="s">
        <v>455</v>
      </c>
      <c r="B502" s="101">
        <v>1</v>
      </c>
      <c r="C502" s="101">
        <v>-1</v>
      </c>
      <c r="D502" s="101">
        <v>-6</v>
      </c>
      <c r="E502" s="101">
        <v>4</v>
      </c>
      <c r="F502" s="101">
        <v>19</v>
      </c>
      <c r="G502" s="101">
        <v>2</v>
      </c>
      <c r="H502" s="101">
        <v>0.5</v>
      </c>
      <c r="I502" s="102">
        <v>0.66</v>
      </c>
      <c r="J502" s="102">
        <v>1.81</v>
      </c>
      <c r="K502" s="101">
        <v>13.200000000000001</v>
      </c>
      <c r="L502" s="101">
        <v>0.4</v>
      </c>
      <c r="M502" s="101" t="s">
        <v>1004</v>
      </c>
      <c r="N502" s="101">
        <v>2004</v>
      </c>
      <c r="O502" s="101" t="s">
        <v>633</v>
      </c>
      <c r="P502" s="101">
        <v>625236</v>
      </c>
      <c r="Q502" t="s">
        <v>760</v>
      </c>
      <c r="R502" t="s">
        <v>370</v>
      </c>
      <c r="S502"/>
      <c r="T502"/>
      <c r="U502"/>
      <c r="V502" s="220"/>
    </row>
    <row r="503" spans="1:22" x14ac:dyDescent="0.2">
      <c r="A503" t="s">
        <v>557</v>
      </c>
      <c r="B503" s="101">
        <v>6</v>
      </c>
      <c r="C503" s="101">
        <v>2</v>
      </c>
      <c r="D503" s="101">
        <v>-3</v>
      </c>
      <c r="E503" s="101">
        <v>7</v>
      </c>
      <c r="F503" s="101">
        <v>17</v>
      </c>
      <c r="G503" s="101">
        <v>-7</v>
      </c>
      <c r="H503" s="101">
        <v>-1.4000000000000001</v>
      </c>
      <c r="I503" s="102">
        <v>0.66</v>
      </c>
      <c r="J503" s="102">
        <v>1.82</v>
      </c>
      <c r="K503" s="101">
        <v>11.9</v>
      </c>
      <c r="L503" s="101">
        <v>0.4</v>
      </c>
      <c r="M503" s="101" t="s">
        <v>1004</v>
      </c>
      <c r="N503" s="101">
        <v>2004</v>
      </c>
      <c r="O503" s="101" t="s">
        <v>633</v>
      </c>
      <c r="P503" s="101">
        <v>195271</v>
      </c>
      <c r="Q503" t="s">
        <v>760</v>
      </c>
      <c r="R503" t="s">
        <v>145</v>
      </c>
      <c r="S503"/>
      <c r="T503"/>
      <c r="U503"/>
      <c r="V503" s="220"/>
    </row>
    <row r="504" spans="1:22" x14ac:dyDescent="0.2">
      <c r="A504" t="s">
        <v>555</v>
      </c>
      <c r="B504" s="101">
        <v>-4</v>
      </c>
      <c r="C504" s="101">
        <v>-4</v>
      </c>
      <c r="D504" s="101">
        <v>-8</v>
      </c>
      <c r="E504" s="101">
        <v>-5</v>
      </c>
      <c r="F504" s="101">
        <v>-12</v>
      </c>
      <c r="G504" s="101">
        <v>-43</v>
      </c>
      <c r="H504" s="101">
        <v>-10.5</v>
      </c>
      <c r="I504" s="102">
        <v>0.66</v>
      </c>
      <c r="J504" s="102">
        <v>1.83</v>
      </c>
      <c r="K504" s="101">
        <v>14.1</v>
      </c>
      <c r="L504" s="101">
        <v>-0.3</v>
      </c>
      <c r="M504" s="101" t="s">
        <v>1004</v>
      </c>
      <c r="N504" s="101">
        <v>2004</v>
      </c>
      <c r="O504" s="101" t="s">
        <v>633</v>
      </c>
      <c r="P504" s="101">
        <v>123612</v>
      </c>
      <c r="Q504" t="s">
        <v>760</v>
      </c>
      <c r="R504" t="s">
        <v>226</v>
      </c>
      <c r="S504"/>
      <c r="T504"/>
      <c r="U504"/>
      <c r="V504" s="220"/>
    </row>
    <row r="505" spans="1:22" x14ac:dyDescent="0.2">
      <c r="A505" t="s">
        <v>559</v>
      </c>
      <c r="B505" s="101">
        <v>-1</v>
      </c>
      <c r="C505" s="101">
        <v>-4</v>
      </c>
      <c r="D505" s="101">
        <v>-6</v>
      </c>
      <c r="E505" s="101">
        <v>1</v>
      </c>
      <c r="F505" s="101">
        <v>-9</v>
      </c>
      <c r="G505" s="101">
        <v>-35</v>
      </c>
      <c r="H505" s="101">
        <v>-8.3000000000000007</v>
      </c>
      <c r="I505" s="102">
        <v>0.66</v>
      </c>
      <c r="J505" s="102">
        <v>1.82</v>
      </c>
      <c r="K505" s="101">
        <v>15.5</v>
      </c>
      <c r="L505" s="101">
        <v>-0.2</v>
      </c>
      <c r="M505" s="101" t="s">
        <v>1004</v>
      </c>
      <c r="N505" s="101">
        <v>2005</v>
      </c>
      <c r="O505" s="101" t="s">
        <v>633</v>
      </c>
      <c r="P505" s="101">
        <v>299693</v>
      </c>
      <c r="Q505" t="s">
        <v>760</v>
      </c>
      <c r="R505" t="s">
        <v>226</v>
      </c>
      <c r="S505"/>
      <c r="T505"/>
      <c r="U505"/>
      <c r="V505" s="220"/>
    </row>
    <row r="506" spans="1:22" x14ac:dyDescent="0.2">
      <c r="A506" t="s">
        <v>573</v>
      </c>
      <c r="B506" s="101">
        <v>6</v>
      </c>
      <c r="C506" s="101">
        <v>2</v>
      </c>
      <c r="D506" s="101">
        <v>-1</v>
      </c>
      <c r="E506" s="101">
        <v>13</v>
      </c>
      <c r="F506" s="101">
        <v>18</v>
      </c>
      <c r="G506" s="101">
        <v>-6</v>
      </c>
      <c r="H506" s="101">
        <v>-1.3</v>
      </c>
      <c r="I506" s="102">
        <v>0.66</v>
      </c>
      <c r="J506" s="102">
        <v>1.81</v>
      </c>
      <c r="K506" s="101">
        <v>10.5</v>
      </c>
      <c r="L506" s="101">
        <v>0.4</v>
      </c>
      <c r="M506" s="101" t="s">
        <v>1004</v>
      </c>
      <c r="N506" s="101">
        <v>2004</v>
      </c>
      <c r="O506" s="101" t="s">
        <v>633</v>
      </c>
      <c r="P506" s="101">
        <v>768556</v>
      </c>
      <c r="Q506" t="s">
        <v>760</v>
      </c>
      <c r="R506" t="s">
        <v>102</v>
      </c>
      <c r="S506"/>
      <c r="T506"/>
      <c r="U506"/>
      <c r="V506" s="220"/>
    </row>
    <row r="507" spans="1:22" x14ac:dyDescent="0.2">
      <c r="A507" t="s">
        <v>563</v>
      </c>
      <c r="B507" s="101">
        <v>21</v>
      </c>
      <c r="C507" s="101">
        <v>9</v>
      </c>
      <c r="D507" s="101">
        <v>7</v>
      </c>
      <c r="E507" s="101">
        <v>19</v>
      </c>
      <c r="F507" s="101">
        <v>-3</v>
      </c>
      <c r="G507" s="101">
        <v>-42</v>
      </c>
      <c r="H507" s="101">
        <v>-10.3</v>
      </c>
      <c r="I507" s="102">
        <v>0.66</v>
      </c>
      <c r="J507" s="102">
        <v>1.82</v>
      </c>
      <c r="K507" s="101">
        <v>13.5</v>
      </c>
      <c r="L507" s="101">
        <v>-0.1</v>
      </c>
      <c r="M507" s="101" t="s">
        <v>1004</v>
      </c>
      <c r="N507" s="101">
        <v>2004</v>
      </c>
      <c r="O507" s="101" t="s">
        <v>633</v>
      </c>
      <c r="P507" s="101">
        <v>410258</v>
      </c>
      <c r="Q507" t="s">
        <v>760</v>
      </c>
      <c r="R507" t="s">
        <v>279</v>
      </c>
      <c r="S507"/>
      <c r="T507"/>
      <c r="U507"/>
      <c r="V507" s="220"/>
    </row>
    <row r="508" spans="1:22" x14ac:dyDescent="0.2">
      <c r="A508" t="s">
        <v>562</v>
      </c>
      <c r="B508" s="101">
        <v>10</v>
      </c>
      <c r="C508" s="101">
        <v>1</v>
      </c>
      <c r="D508" s="101">
        <v>3</v>
      </c>
      <c r="E508" s="101">
        <v>18</v>
      </c>
      <c r="F508" s="101">
        <v>28</v>
      </c>
      <c r="G508" s="101">
        <v>18</v>
      </c>
      <c r="H508" s="101">
        <v>3.4</v>
      </c>
      <c r="I508" s="102">
        <v>0.66</v>
      </c>
      <c r="J508" s="102">
        <v>1.81</v>
      </c>
      <c r="K508" s="101">
        <v>9.6</v>
      </c>
      <c r="L508" s="101">
        <v>0.8</v>
      </c>
      <c r="M508" s="101" t="s">
        <v>1004</v>
      </c>
      <c r="N508" s="101">
        <v>2004</v>
      </c>
      <c r="O508" s="101" t="s">
        <v>633</v>
      </c>
      <c r="P508" s="101">
        <v>374421</v>
      </c>
      <c r="Q508" t="s">
        <v>760</v>
      </c>
      <c r="R508" t="s">
        <v>270</v>
      </c>
      <c r="S508"/>
      <c r="T508"/>
      <c r="U508"/>
      <c r="V508" s="220"/>
    </row>
    <row r="509" spans="1:22" x14ac:dyDescent="0.2">
      <c r="A509" t="s">
        <v>762</v>
      </c>
      <c r="B509" s="101">
        <v>1</v>
      </c>
      <c r="C509" s="101">
        <v>-5</v>
      </c>
      <c r="D509" s="101">
        <v>-13</v>
      </c>
      <c r="E509" s="101">
        <v>1</v>
      </c>
      <c r="F509" s="101">
        <v>12</v>
      </c>
      <c r="G509" s="101">
        <v>-13</v>
      </c>
      <c r="H509" s="101">
        <v>-2.8000000000000003</v>
      </c>
      <c r="I509" s="102">
        <v>0.66</v>
      </c>
      <c r="J509" s="102">
        <v>1.82</v>
      </c>
      <c r="K509" s="101">
        <v>14</v>
      </c>
      <c r="L509" s="101">
        <v>0.2</v>
      </c>
      <c r="M509" s="101" t="s">
        <v>1004</v>
      </c>
      <c r="N509" s="101">
        <v>2004</v>
      </c>
      <c r="O509" s="101" t="s">
        <v>633</v>
      </c>
      <c r="P509" s="101">
        <v>446088</v>
      </c>
      <c r="Q509" t="s">
        <v>760</v>
      </c>
      <c r="R509" t="s">
        <v>261</v>
      </c>
      <c r="S509"/>
      <c r="T509"/>
      <c r="U509"/>
      <c r="V509" s="220"/>
    </row>
    <row r="510" spans="1:22" x14ac:dyDescent="0.2">
      <c r="A510" t="s">
        <v>398</v>
      </c>
      <c r="B510" s="101">
        <v>4</v>
      </c>
      <c r="C510" s="101">
        <v>2</v>
      </c>
      <c r="D510" s="101">
        <v>-8</v>
      </c>
      <c r="E510" s="101">
        <v>4</v>
      </c>
      <c r="F510" s="101">
        <v>1</v>
      </c>
      <c r="G510" s="101">
        <v>-25</v>
      </c>
      <c r="H510" s="101">
        <v>-5.6000000000000005</v>
      </c>
      <c r="I510" s="102">
        <v>0.66</v>
      </c>
      <c r="J510" s="102">
        <v>2.61</v>
      </c>
      <c r="K510" s="101">
        <v>21.5</v>
      </c>
      <c r="L510" s="101">
        <v>0</v>
      </c>
      <c r="M510" s="101" t="s">
        <v>1001</v>
      </c>
      <c r="N510" s="101">
        <v>2000</v>
      </c>
      <c r="O510" s="101" t="s">
        <v>753</v>
      </c>
      <c r="P510" s="101">
        <v>249995</v>
      </c>
      <c r="Q510" t="s">
        <v>859</v>
      </c>
      <c r="R510" t="s">
        <v>368</v>
      </c>
      <c r="S510"/>
      <c r="T510"/>
      <c r="U510"/>
      <c r="V510" s="220"/>
    </row>
    <row r="511" spans="1:22" x14ac:dyDescent="0.2">
      <c r="A511" t="s">
        <v>761</v>
      </c>
      <c r="B511" s="101">
        <v>20</v>
      </c>
      <c r="C511" s="101">
        <v>13</v>
      </c>
      <c r="D511" s="101">
        <v>7</v>
      </c>
      <c r="E511" s="101">
        <v>15</v>
      </c>
      <c r="F511" s="101">
        <v>-1</v>
      </c>
      <c r="G511" s="101">
        <v>-19</v>
      </c>
      <c r="H511" s="101">
        <v>-4.2</v>
      </c>
      <c r="I511" s="102">
        <v>0.66</v>
      </c>
      <c r="J511" s="102">
        <v>1.83</v>
      </c>
      <c r="K511" s="101">
        <v>17.400000000000002</v>
      </c>
      <c r="L511" s="101">
        <v>0</v>
      </c>
      <c r="M511" s="101" t="s">
        <v>1002</v>
      </c>
      <c r="N511" s="101">
        <v>2004</v>
      </c>
      <c r="O511" s="101" t="s">
        <v>633</v>
      </c>
      <c r="P511" s="101">
        <v>916122</v>
      </c>
      <c r="Q511" t="s">
        <v>760</v>
      </c>
      <c r="R511" t="s">
        <v>86</v>
      </c>
      <c r="S511"/>
      <c r="T511"/>
      <c r="U511"/>
      <c r="V511" s="220"/>
    </row>
    <row r="512" spans="1:22" x14ac:dyDescent="0.2">
      <c r="A512" t="s">
        <v>242</v>
      </c>
      <c r="B512" s="101">
        <v>7</v>
      </c>
      <c r="C512" s="101">
        <v>8</v>
      </c>
      <c r="D512" s="101">
        <v>-9</v>
      </c>
      <c r="E512" s="101">
        <v>0</v>
      </c>
      <c r="F512" s="101">
        <v>-14</v>
      </c>
      <c r="G512" s="101">
        <v>-41</v>
      </c>
      <c r="H512" s="101">
        <v>-9.9</v>
      </c>
      <c r="I512" s="102">
        <v>0.66</v>
      </c>
      <c r="J512" s="102">
        <v>1.603704</v>
      </c>
      <c r="K512" s="101">
        <v>21.2</v>
      </c>
      <c r="L512" s="101">
        <v>-0.2</v>
      </c>
      <c r="M512" s="101" t="s">
        <v>1002</v>
      </c>
      <c r="N512" s="101">
        <v>2002</v>
      </c>
      <c r="O512" s="101" t="s">
        <v>633</v>
      </c>
      <c r="P512" s="101">
        <v>324665</v>
      </c>
      <c r="Q512" t="s">
        <v>449</v>
      </c>
      <c r="R512" t="s">
        <v>239</v>
      </c>
      <c r="S512"/>
      <c r="T512"/>
      <c r="U512"/>
      <c r="V512" s="220"/>
    </row>
    <row r="513" spans="1:22" x14ac:dyDescent="0.2">
      <c r="A513" t="s">
        <v>864</v>
      </c>
      <c r="B513" s="101">
        <v>23</v>
      </c>
      <c r="C513" s="101">
        <v>10</v>
      </c>
      <c r="D513" s="101">
        <v>5</v>
      </c>
      <c r="E513" s="101">
        <v>19</v>
      </c>
      <c r="F513" s="101">
        <v>23</v>
      </c>
      <c r="G513" s="101">
        <v>-13</v>
      </c>
      <c r="H513" s="101">
        <v>-2.8000000000000003</v>
      </c>
      <c r="I513" s="102">
        <v>0.66</v>
      </c>
      <c r="J513" s="102">
        <v>1.729179</v>
      </c>
      <c r="K513" s="101">
        <v>21</v>
      </c>
      <c r="L513" s="101">
        <v>0.4</v>
      </c>
      <c r="M513" s="101" t="s">
        <v>1003</v>
      </c>
      <c r="N513" s="101">
        <v>2005</v>
      </c>
      <c r="O513" s="101" t="s">
        <v>633</v>
      </c>
      <c r="P513" s="101">
        <v>373183</v>
      </c>
      <c r="Q513" t="s">
        <v>754</v>
      </c>
      <c r="R513" t="s">
        <v>239</v>
      </c>
      <c r="S513" t="s">
        <v>1024</v>
      </c>
      <c r="T513"/>
      <c r="U513"/>
      <c r="V513" s="220"/>
    </row>
    <row r="514" spans="1:22" x14ac:dyDescent="0.2">
      <c r="A514" t="s">
        <v>157</v>
      </c>
      <c r="B514" s="101">
        <v>8</v>
      </c>
      <c r="C514" s="101">
        <v>3</v>
      </c>
      <c r="D514" s="101">
        <v>1</v>
      </c>
      <c r="E514" s="101">
        <v>10</v>
      </c>
      <c r="F514" s="101">
        <v>10</v>
      </c>
      <c r="G514" s="101">
        <v>3</v>
      </c>
      <c r="H514" s="101">
        <v>0.70000000000000007</v>
      </c>
      <c r="I514" s="102">
        <v>0.66</v>
      </c>
      <c r="J514" s="102">
        <v>1.83</v>
      </c>
      <c r="K514" s="101">
        <v>9.4</v>
      </c>
      <c r="L514" s="101">
        <v>0.2</v>
      </c>
      <c r="M514" s="101" t="s">
        <v>1004</v>
      </c>
      <c r="N514" s="101">
        <v>2006</v>
      </c>
      <c r="O514" s="101" t="s">
        <v>633</v>
      </c>
      <c r="P514" s="101">
        <v>717496</v>
      </c>
      <c r="Q514" t="s">
        <v>777</v>
      </c>
      <c r="R514" t="s">
        <v>145</v>
      </c>
      <c r="S514"/>
      <c r="T514"/>
      <c r="U514"/>
      <c r="V514" s="220"/>
    </row>
    <row r="515" spans="1:22" x14ac:dyDescent="0.2">
      <c r="A515" t="s">
        <v>603</v>
      </c>
      <c r="B515" s="101">
        <v>-1</v>
      </c>
      <c r="C515" s="101">
        <v>-1</v>
      </c>
      <c r="D515" s="101">
        <v>-7</v>
      </c>
      <c r="E515" s="101">
        <v>2</v>
      </c>
      <c r="F515" s="101">
        <v>16</v>
      </c>
      <c r="G515" s="101"/>
      <c r="H515" s="101"/>
      <c r="I515" s="102">
        <v>0.66</v>
      </c>
      <c r="J515" s="102">
        <v>1.60066</v>
      </c>
      <c r="K515" s="101">
        <v>17.400000000000002</v>
      </c>
      <c r="L515" s="101">
        <v>0.3</v>
      </c>
      <c r="M515" s="101" t="s">
        <v>1001</v>
      </c>
      <c r="N515" s="101">
        <v>2011</v>
      </c>
      <c r="O515" s="101" t="s">
        <v>753</v>
      </c>
      <c r="P515" s="101">
        <v>524231</v>
      </c>
      <c r="Q515" t="s">
        <v>1128</v>
      </c>
      <c r="R515" t="s">
        <v>724</v>
      </c>
      <c r="S515"/>
      <c r="T515"/>
      <c r="U515"/>
      <c r="V515" s="220"/>
    </row>
    <row r="516" spans="1:22" x14ac:dyDescent="0.2">
      <c r="A516" t="s">
        <v>16</v>
      </c>
      <c r="B516" s="101">
        <v>7</v>
      </c>
      <c r="C516" s="101">
        <v>1</v>
      </c>
      <c r="D516" s="101">
        <v>-2</v>
      </c>
      <c r="E516" s="101">
        <v>7</v>
      </c>
      <c r="F516" s="101"/>
      <c r="G516" s="101"/>
      <c r="H516" s="101"/>
      <c r="I516" s="102">
        <v>0.66</v>
      </c>
      <c r="J516" s="102">
        <v>2.0376599999999998</v>
      </c>
      <c r="K516" s="101"/>
      <c r="L516" s="101"/>
      <c r="M516" s="101" t="s">
        <v>1001</v>
      </c>
      <c r="N516" s="101">
        <v>2010</v>
      </c>
      <c r="O516" s="101" t="s">
        <v>633</v>
      </c>
      <c r="P516" s="101">
        <v>240663</v>
      </c>
      <c r="Q516" t="s">
        <v>17</v>
      </c>
      <c r="R516" t="s">
        <v>301</v>
      </c>
      <c r="S516"/>
      <c r="T516"/>
      <c r="U516"/>
      <c r="V516" s="220"/>
    </row>
    <row r="517" spans="1:22" x14ac:dyDescent="0.2">
      <c r="A517" t="s">
        <v>87</v>
      </c>
      <c r="B517" s="101">
        <v>11</v>
      </c>
      <c r="C517" s="101">
        <v>2</v>
      </c>
      <c r="D517" s="101">
        <v>-2</v>
      </c>
      <c r="E517" s="101">
        <v>15</v>
      </c>
      <c r="F517" s="101">
        <v>13</v>
      </c>
      <c r="G517" s="101">
        <v>4</v>
      </c>
      <c r="H517" s="101">
        <v>0.70000000000000007</v>
      </c>
      <c r="I517" s="102">
        <v>0.66</v>
      </c>
      <c r="J517" s="102">
        <v>1.6165</v>
      </c>
      <c r="K517" s="101">
        <v>17.8</v>
      </c>
      <c r="L517" s="101">
        <v>0.2</v>
      </c>
      <c r="M517" s="101" t="s">
        <v>1001</v>
      </c>
      <c r="N517" s="101">
        <v>2007</v>
      </c>
      <c r="O517" s="101" t="s">
        <v>753</v>
      </c>
      <c r="P517" s="101">
        <v>119891</v>
      </c>
      <c r="Q517" t="s">
        <v>619</v>
      </c>
      <c r="R517" t="s">
        <v>671</v>
      </c>
      <c r="S517"/>
      <c r="T517"/>
      <c r="U517"/>
      <c r="V517" s="220"/>
    </row>
    <row r="518" spans="1:22" x14ac:dyDescent="0.2">
      <c r="A518" t="s">
        <v>1075</v>
      </c>
      <c r="B518" s="101"/>
      <c r="C518" s="101"/>
      <c r="D518" s="101"/>
      <c r="E518" s="101"/>
      <c r="F518" s="101"/>
      <c r="G518" s="101"/>
      <c r="H518" s="101"/>
      <c r="I518" s="102">
        <v>0.66</v>
      </c>
      <c r="J518" s="102">
        <v>1.6</v>
      </c>
      <c r="K518" s="101"/>
      <c r="L518" s="101"/>
      <c r="M518" s="101" t="s">
        <v>1001</v>
      </c>
      <c r="N518" s="101">
        <v>2012</v>
      </c>
      <c r="O518" s="101" t="s">
        <v>753</v>
      </c>
      <c r="P518" s="101">
        <v>154369</v>
      </c>
      <c r="Q518" t="s">
        <v>13</v>
      </c>
      <c r="R518" t="s">
        <v>239</v>
      </c>
      <c r="S518"/>
      <c r="T518"/>
      <c r="U518"/>
      <c r="V518" s="220"/>
    </row>
    <row r="519" spans="1:22" x14ac:dyDescent="0.2">
      <c r="A519" t="s">
        <v>190</v>
      </c>
      <c r="B519" s="101">
        <v>13</v>
      </c>
      <c r="C519" s="101">
        <v>6</v>
      </c>
      <c r="D519" s="101">
        <v>0</v>
      </c>
      <c r="E519" s="101">
        <v>10</v>
      </c>
      <c r="F519" s="101">
        <v>7</v>
      </c>
      <c r="G519" s="101">
        <v>-18</v>
      </c>
      <c r="H519" s="101">
        <v>-3.9</v>
      </c>
      <c r="I519" s="102">
        <v>0.66</v>
      </c>
      <c r="J519" s="102">
        <v>1.82</v>
      </c>
      <c r="K519" s="101">
        <v>12.8</v>
      </c>
      <c r="L519" s="101">
        <v>0.1</v>
      </c>
      <c r="M519" s="101" t="s">
        <v>1002</v>
      </c>
      <c r="N519" s="101">
        <v>2004</v>
      </c>
      <c r="O519" s="101" t="s">
        <v>633</v>
      </c>
      <c r="P519" s="101">
        <v>951954</v>
      </c>
      <c r="Q519" t="s">
        <v>760</v>
      </c>
      <c r="R519" t="s">
        <v>92</v>
      </c>
      <c r="S519"/>
      <c r="T519"/>
      <c r="U519"/>
      <c r="V519" s="220"/>
    </row>
    <row r="520" spans="1:22" x14ac:dyDescent="0.2">
      <c r="A520" t="s">
        <v>866</v>
      </c>
      <c r="B520" s="101">
        <v>8</v>
      </c>
      <c r="C520" s="101">
        <v>6</v>
      </c>
      <c r="D520" s="101">
        <v>-3</v>
      </c>
      <c r="E520" s="101">
        <v>8</v>
      </c>
      <c r="F520" s="101">
        <v>-5</v>
      </c>
      <c r="G520" s="101"/>
      <c r="H520" s="101"/>
      <c r="I520" s="102">
        <v>0.67</v>
      </c>
      <c r="J520" s="102">
        <v>1.85</v>
      </c>
      <c r="K520" s="101">
        <v>16.8</v>
      </c>
      <c r="L520" s="101">
        <v>-0.1</v>
      </c>
      <c r="M520" s="101" t="s">
        <v>1004</v>
      </c>
      <c r="N520" s="101">
        <v>2009</v>
      </c>
      <c r="O520" s="101" t="s">
        <v>633</v>
      </c>
      <c r="P520" s="101">
        <v>391896</v>
      </c>
      <c r="Q520" t="s">
        <v>760</v>
      </c>
      <c r="R520" t="s">
        <v>367</v>
      </c>
      <c r="S520"/>
      <c r="T520"/>
      <c r="U520"/>
      <c r="V520" s="220"/>
    </row>
    <row r="521" spans="1:22" x14ac:dyDescent="0.2">
      <c r="A521" t="s">
        <v>937</v>
      </c>
      <c r="B521" s="101">
        <v>4</v>
      </c>
      <c r="C521" s="101">
        <v>0</v>
      </c>
      <c r="D521" s="101">
        <v>-4</v>
      </c>
      <c r="E521" s="101">
        <v>0</v>
      </c>
      <c r="F521" s="101">
        <v>-3</v>
      </c>
      <c r="G521" s="101">
        <v>-27</v>
      </c>
      <c r="H521" s="101">
        <v>-6.2</v>
      </c>
      <c r="I521" s="102">
        <v>0.67</v>
      </c>
      <c r="J521" s="102">
        <v>1.901</v>
      </c>
      <c r="K521" s="101">
        <v>14.8</v>
      </c>
      <c r="L521" s="101">
        <v>-0.1</v>
      </c>
      <c r="M521" s="101" t="s">
        <v>1001</v>
      </c>
      <c r="N521" s="101">
        <v>2000</v>
      </c>
      <c r="O521" s="101" t="s">
        <v>633</v>
      </c>
      <c r="P521" s="101">
        <v>819029</v>
      </c>
      <c r="Q521" t="s">
        <v>920</v>
      </c>
      <c r="R521" t="s">
        <v>161</v>
      </c>
      <c r="S521"/>
      <c r="T521"/>
      <c r="U521"/>
      <c r="V521" s="220"/>
    </row>
    <row r="522" spans="1:22" x14ac:dyDescent="0.2">
      <c r="A522" t="s">
        <v>330</v>
      </c>
      <c r="B522" s="101">
        <v>0</v>
      </c>
      <c r="C522" s="101">
        <v>-1</v>
      </c>
      <c r="D522" s="101">
        <v>-8</v>
      </c>
      <c r="E522" s="101">
        <v>1</v>
      </c>
      <c r="F522" s="101">
        <v>-5</v>
      </c>
      <c r="G522" s="101">
        <v>-31</v>
      </c>
      <c r="H522" s="101">
        <v>-7.2</v>
      </c>
      <c r="I522" s="102">
        <v>0.67</v>
      </c>
      <c r="J522" s="102">
        <v>0</v>
      </c>
      <c r="K522" s="101">
        <v>12.5</v>
      </c>
      <c r="L522" s="101">
        <v>-0.2</v>
      </c>
      <c r="M522" s="101" t="s">
        <v>1004</v>
      </c>
      <c r="N522" s="101">
        <v>2011</v>
      </c>
      <c r="O522" s="101" t="s">
        <v>633</v>
      </c>
      <c r="P522" s="101">
        <v>340836</v>
      </c>
      <c r="Q522" t="s">
        <v>812</v>
      </c>
      <c r="R522" t="s">
        <v>145</v>
      </c>
      <c r="S522"/>
      <c r="T522"/>
      <c r="U522"/>
      <c r="V522" s="220"/>
    </row>
    <row r="523" spans="1:22" x14ac:dyDescent="0.2">
      <c r="A523" t="s">
        <v>598</v>
      </c>
      <c r="B523" s="101">
        <v>4</v>
      </c>
      <c r="C523" s="101">
        <v>0</v>
      </c>
      <c r="D523" s="101">
        <v>-4</v>
      </c>
      <c r="E523" s="101">
        <v>2</v>
      </c>
      <c r="F523" s="101">
        <v>10</v>
      </c>
      <c r="G523" s="101">
        <v>-23</v>
      </c>
      <c r="H523" s="101">
        <v>-5.2</v>
      </c>
      <c r="I523" s="102">
        <v>0.67</v>
      </c>
      <c r="J523" s="102">
        <v>1.8</v>
      </c>
      <c r="K523" s="101">
        <v>10.1</v>
      </c>
      <c r="L523" s="101">
        <v>0.2</v>
      </c>
      <c r="M523" s="101" t="s">
        <v>1004</v>
      </c>
      <c r="N523" s="101">
        <v>2002</v>
      </c>
      <c r="O523" s="101" t="s">
        <v>633</v>
      </c>
      <c r="P523" s="101">
        <v>303412</v>
      </c>
      <c r="Q523" t="s">
        <v>812</v>
      </c>
      <c r="R523" t="s">
        <v>145</v>
      </c>
      <c r="S523"/>
      <c r="T523"/>
      <c r="U523"/>
      <c r="V523" s="220"/>
    </row>
    <row r="524" spans="1:22" x14ac:dyDescent="0.2">
      <c r="A524" t="s">
        <v>209</v>
      </c>
      <c r="B524" s="101">
        <v>11</v>
      </c>
      <c r="C524" s="101">
        <v>4</v>
      </c>
      <c r="D524" s="101">
        <v>-2</v>
      </c>
      <c r="E524" s="101">
        <v>6</v>
      </c>
      <c r="F524" s="101">
        <v>-10</v>
      </c>
      <c r="G524" s="101">
        <v>-40</v>
      </c>
      <c r="H524" s="101">
        <v>-9.6</v>
      </c>
      <c r="I524" s="102">
        <v>0.67</v>
      </c>
      <c r="J524" s="102">
        <v>1.97</v>
      </c>
      <c r="K524" s="101">
        <v>21.1</v>
      </c>
      <c r="L524" s="101">
        <v>-0.1</v>
      </c>
      <c r="M524" s="101" t="s">
        <v>1004</v>
      </c>
      <c r="N524" s="101">
        <v>2000</v>
      </c>
      <c r="O524" s="101" t="s">
        <v>633</v>
      </c>
      <c r="P524" s="101">
        <v>983593</v>
      </c>
      <c r="Q524" t="s">
        <v>354</v>
      </c>
      <c r="R524" t="s">
        <v>208</v>
      </c>
      <c r="S524"/>
      <c r="T524"/>
      <c r="U524"/>
      <c r="V524" s="220"/>
    </row>
    <row r="525" spans="1:22" x14ac:dyDescent="0.2">
      <c r="A525" t="s">
        <v>558</v>
      </c>
      <c r="B525" s="101">
        <v>6</v>
      </c>
      <c r="C525" s="101">
        <v>1</v>
      </c>
      <c r="D525" s="101">
        <v>-4</v>
      </c>
      <c r="E525" s="101">
        <v>3</v>
      </c>
      <c r="F525" s="101">
        <v>3</v>
      </c>
      <c r="G525" s="101">
        <v>-17</v>
      </c>
      <c r="H525" s="101">
        <v>-3.7</v>
      </c>
      <c r="I525" s="102">
        <v>0.67</v>
      </c>
      <c r="J525" s="102">
        <v>1.85</v>
      </c>
      <c r="K525" s="101">
        <v>13.1</v>
      </c>
      <c r="L525" s="101">
        <v>0</v>
      </c>
      <c r="M525" s="101" t="s">
        <v>1004</v>
      </c>
      <c r="N525" s="101">
        <v>2004</v>
      </c>
      <c r="O525" s="101" t="s">
        <v>633</v>
      </c>
      <c r="P525" s="101">
        <v>231100</v>
      </c>
      <c r="Q525" t="s">
        <v>760</v>
      </c>
      <c r="R525" t="s">
        <v>161</v>
      </c>
      <c r="S525"/>
      <c r="T525"/>
      <c r="U525"/>
      <c r="V525" s="220"/>
    </row>
    <row r="526" spans="1:22" x14ac:dyDescent="0.2">
      <c r="A526" t="s">
        <v>783</v>
      </c>
      <c r="B526" s="101">
        <v>3</v>
      </c>
      <c r="C526" s="101">
        <v>2</v>
      </c>
      <c r="D526" s="101">
        <v>-2</v>
      </c>
      <c r="E526" s="101">
        <v>4</v>
      </c>
      <c r="F526" s="101">
        <v>1</v>
      </c>
      <c r="G526" s="101">
        <v>0</v>
      </c>
      <c r="H526" s="101">
        <v>0.1</v>
      </c>
      <c r="I526" s="102">
        <v>0.67</v>
      </c>
      <c r="J526" s="102">
        <v>1.6500000000000001</v>
      </c>
      <c r="K526" s="101">
        <v>5.7</v>
      </c>
      <c r="L526" s="101">
        <v>-0.2</v>
      </c>
      <c r="M526" s="101" t="s">
        <v>1002</v>
      </c>
      <c r="N526" s="101">
        <v>2000</v>
      </c>
      <c r="O526" s="101" t="s">
        <v>633</v>
      </c>
      <c r="P526" s="101">
        <v>996348</v>
      </c>
      <c r="Q526" t="s">
        <v>782</v>
      </c>
      <c r="R526" t="s">
        <v>301</v>
      </c>
      <c r="S526"/>
      <c r="T526"/>
      <c r="U526"/>
      <c r="V526" s="220"/>
    </row>
    <row r="527" spans="1:22" x14ac:dyDescent="0.2">
      <c r="A527" t="s">
        <v>867</v>
      </c>
      <c r="B527" s="101">
        <v>6</v>
      </c>
      <c r="C527" s="101">
        <v>-1</v>
      </c>
      <c r="D527" s="101">
        <v>-7</v>
      </c>
      <c r="E527" s="101">
        <v>8</v>
      </c>
      <c r="F527" s="101">
        <v>19</v>
      </c>
      <c r="G527" s="101"/>
      <c r="H527" s="101"/>
      <c r="I527" s="102">
        <v>0.67</v>
      </c>
      <c r="J527" s="102">
        <v>1.7513489999999998</v>
      </c>
      <c r="K527" s="101">
        <v>19.900000000000002</v>
      </c>
      <c r="L527" s="101">
        <v>0.3</v>
      </c>
      <c r="M527" s="101" t="s">
        <v>1001</v>
      </c>
      <c r="N527" s="101">
        <v>2009</v>
      </c>
      <c r="O527" s="101" t="s">
        <v>753</v>
      </c>
      <c r="P527" s="101">
        <v>741694</v>
      </c>
      <c r="Q527" t="s">
        <v>838</v>
      </c>
      <c r="R527" t="s">
        <v>724</v>
      </c>
      <c r="S527"/>
      <c r="T527"/>
      <c r="U527"/>
      <c r="V527" s="220"/>
    </row>
    <row r="528" spans="1:22" x14ac:dyDescent="0.2">
      <c r="A528" t="s">
        <v>1050</v>
      </c>
      <c r="B528" s="101">
        <v>13</v>
      </c>
      <c r="C528" s="101">
        <v>-1</v>
      </c>
      <c r="D528" s="101">
        <v>-3</v>
      </c>
      <c r="E528" s="101">
        <v>17</v>
      </c>
      <c r="F528" s="101">
        <v>20</v>
      </c>
      <c r="G528" s="101">
        <v>-8</v>
      </c>
      <c r="H528" s="101">
        <v>-1.7</v>
      </c>
      <c r="I528" s="102">
        <v>0.67</v>
      </c>
      <c r="J528" s="102">
        <v>1.76</v>
      </c>
      <c r="K528" s="101">
        <v>17</v>
      </c>
      <c r="L528" s="101">
        <v>0.3</v>
      </c>
      <c r="M528" s="101" t="s">
        <v>1001</v>
      </c>
      <c r="N528" s="101">
        <v>2012</v>
      </c>
      <c r="O528" s="101" t="s">
        <v>753</v>
      </c>
      <c r="P528" s="101">
        <v>647487</v>
      </c>
      <c r="Q528" t="s">
        <v>838</v>
      </c>
      <c r="R528" t="s">
        <v>671</v>
      </c>
      <c r="S528"/>
      <c r="T528"/>
      <c r="U528"/>
      <c r="V528" s="220"/>
    </row>
    <row r="529" spans="1:22" x14ac:dyDescent="0.2">
      <c r="A529" t="s">
        <v>140</v>
      </c>
      <c r="B529" s="101">
        <v>8</v>
      </c>
      <c r="C529" s="101">
        <v>1</v>
      </c>
      <c r="D529" s="101">
        <v>-4</v>
      </c>
      <c r="E529" s="101">
        <v>14</v>
      </c>
      <c r="F529" s="101">
        <v>25</v>
      </c>
      <c r="G529" s="101">
        <v>-7</v>
      </c>
      <c r="H529" s="101">
        <v>-1.4000000000000001</v>
      </c>
      <c r="I529" s="102">
        <v>0.67</v>
      </c>
      <c r="J529" s="102">
        <v>1.74</v>
      </c>
      <c r="K529" s="101">
        <v>11.3</v>
      </c>
      <c r="L529" s="101">
        <v>0.6</v>
      </c>
      <c r="M529" s="101" t="s">
        <v>1004</v>
      </c>
      <c r="N529" s="101">
        <v>2000</v>
      </c>
      <c r="O529" s="101" t="s">
        <v>633</v>
      </c>
      <c r="P529" s="101">
        <v>686626</v>
      </c>
      <c r="Q529" t="s">
        <v>88</v>
      </c>
      <c r="R529" t="s">
        <v>102</v>
      </c>
      <c r="S529"/>
      <c r="T529"/>
      <c r="U529"/>
      <c r="V529" s="220"/>
    </row>
    <row r="530" spans="1:22" x14ac:dyDescent="0.2">
      <c r="A530" t="s">
        <v>33</v>
      </c>
      <c r="B530" s="101">
        <v>7</v>
      </c>
      <c r="C530" s="101">
        <v>7</v>
      </c>
      <c r="D530" s="101">
        <v>-1</v>
      </c>
      <c r="E530" s="101">
        <v>7</v>
      </c>
      <c r="F530" s="101">
        <v>1</v>
      </c>
      <c r="G530" s="101">
        <v>-47</v>
      </c>
      <c r="H530" s="101">
        <v>-11.9</v>
      </c>
      <c r="I530" s="102">
        <v>0.67</v>
      </c>
      <c r="J530" s="102">
        <v>1.6300000000000001</v>
      </c>
      <c r="K530" s="101">
        <v>17.400000000000002</v>
      </c>
      <c r="L530" s="101">
        <v>0</v>
      </c>
      <c r="M530" s="101" t="s">
        <v>1001</v>
      </c>
      <c r="N530" s="101">
        <v>2002</v>
      </c>
      <c r="O530" s="101" t="s">
        <v>753</v>
      </c>
      <c r="P530" s="101">
        <v>484980</v>
      </c>
      <c r="Q530" t="s">
        <v>32</v>
      </c>
      <c r="R530" t="s">
        <v>748</v>
      </c>
      <c r="S530"/>
      <c r="T530"/>
      <c r="U530"/>
      <c r="V530" s="220"/>
    </row>
    <row r="531" spans="1:22" x14ac:dyDescent="0.2">
      <c r="A531" t="s">
        <v>235</v>
      </c>
      <c r="B531" s="101">
        <v>-1</v>
      </c>
      <c r="C531" s="101">
        <v>-2</v>
      </c>
      <c r="D531" s="101">
        <v>-6</v>
      </c>
      <c r="E531" s="101">
        <v>4</v>
      </c>
      <c r="F531" s="101">
        <v>-2</v>
      </c>
      <c r="G531" s="101">
        <v>-36</v>
      </c>
      <c r="H531" s="101">
        <v>-8.4</v>
      </c>
      <c r="I531" s="102">
        <v>0.67</v>
      </c>
      <c r="J531" s="102">
        <v>1.6400000000000001</v>
      </c>
      <c r="K531" s="101">
        <v>14.9</v>
      </c>
      <c r="L531" s="101">
        <v>-0.1</v>
      </c>
      <c r="M531" s="101" t="s">
        <v>1006</v>
      </c>
      <c r="N531" s="101">
        <v>2000</v>
      </c>
      <c r="O531" s="101" t="s">
        <v>633</v>
      </c>
      <c r="P531" s="101">
        <v>920439</v>
      </c>
      <c r="Q531" t="s">
        <v>126</v>
      </c>
      <c r="R531" t="s">
        <v>226</v>
      </c>
      <c r="S531"/>
      <c r="T531"/>
      <c r="U531"/>
      <c r="V531" s="220"/>
    </row>
    <row r="532" spans="1:22" x14ac:dyDescent="0.2">
      <c r="A532" t="s">
        <v>147</v>
      </c>
      <c r="B532" s="101">
        <v>11</v>
      </c>
      <c r="C532" s="101">
        <v>6</v>
      </c>
      <c r="D532" s="101">
        <v>0</v>
      </c>
      <c r="E532" s="101">
        <v>13</v>
      </c>
      <c r="F532" s="101">
        <v>12</v>
      </c>
      <c r="G532" s="101">
        <v>-10</v>
      </c>
      <c r="H532" s="101">
        <v>-2.1</v>
      </c>
      <c r="I532" s="102">
        <v>0.67</v>
      </c>
      <c r="J532" s="102">
        <v>1.6400000000000001</v>
      </c>
      <c r="K532" s="101">
        <v>10.9</v>
      </c>
      <c r="L532" s="101">
        <v>0.2</v>
      </c>
      <c r="M532" s="101" t="s">
        <v>1002</v>
      </c>
      <c r="N532" s="101">
        <v>2002</v>
      </c>
      <c r="O532" s="101" t="s">
        <v>633</v>
      </c>
      <c r="P532" s="101">
        <v>526897</v>
      </c>
      <c r="Q532" t="s">
        <v>126</v>
      </c>
      <c r="R532" t="s">
        <v>145</v>
      </c>
      <c r="S532"/>
      <c r="T532"/>
      <c r="U532"/>
      <c r="V532" s="220"/>
    </row>
    <row r="533" spans="1:22" x14ac:dyDescent="0.2">
      <c r="A533" t="s">
        <v>955</v>
      </c>
      <c r="B533" s="101">
        <v>12</v>
      </c>
      <c r="C533" s="101">
        <v>1</v>
      </c>
      <c r="D533" s="101">
        <v>6</v>
      </c>
      <c r="E533" s="101">
        <v>17</v>
      </c>
      <c r="F533" s="101">
        <v>35</v>
      </c>
      <c r="G533" s="101">
        <v>57</v>
      </c>
      <c r="H533" s="101">
        <v>9.5</v>
      </c>
      <c r="I533" s="102">
        <v>0.67</v>
      </c>
      <c r="J533" s="102">
        <v>1.72</v>
      </c>
      <c r="K533" s="101">
        <v>9.5</v>
      </c>
      <c r="L533" s="101">
        <v>0.9</v>
      </c>
      <c r="M533" s="101" t="s">
        <v>1004</v>
      </c>
      <c r="N533" s="101">
        <v>2006</v>
      </c>
      <c r="O533" s="101" t="s">
        <v>633</v>
      </c>
      <c r="P533" s="101">
        <v>721746</v>
      </c>
      <c r="Q533" t="s">
        <v>752</v>
      </c>
      <c r="R533" t="s">
        <v>626</v>
      </c>
      <c r="S533"/>
      <c r="T533"/>
      <c r="U533"/>
      <c r="V533" s="220"/>
    </row>
    <row r="534" spans="1:22" x14ac:dyDescent="0.2">
      <c r="A534" t="s">
        <v>227</v>
      </c>
      <c r="B534" s="101">
        <v>-4</v>
      </c>
      <c r="C534" s="101">
        <v>-2</v>
      </c>
      <c r="D534" s="101">
        <v>-8</v>
      </c>
      <c r="E534" s="101">
        <v>0</v>
      </c>
      <c r="F534" s="101">
        <v>-2</v>
      </c>
      <c r="G534" s="101">
        <v>-16</v>
      </c>
      <c r="H534" s="101">
        <v>-3.3000000000000003</v>
      </c>
      <c r="I534" s="102">
        <v>0.68</v>
      </c>
      <c r="J534" s="102">
        <v>1.6600000000000001</v>
      </c>
      <c r="K534" s="101">
        <v>14.9</v>
      </c>
      <c r="L534" s="101">
        <v>-0.1</v>
      </c>
      <c r="M534" s="101" t="s">
        <v>1006</v>
      </c>
      <c r="N534" s="101">
        <v>2000</v>
      </c>
      <c r="O534" s="101" t="s">
        <v>633</v>
      </c>
      <c r="P534" s="101">
        <v>652628</v>
      </c>
      <c r="Q534" t="s">
        <v>758</v>
      </c>
      <c r="R534" t="s">
        <v>226</v>
      </c>
      <c r="S534"/>
      <c r="T534"/>
      <c r="U534"/>
      <c r="V534" s="220"/>
    </row>
    <row r="535" spans="1:22" x14ac:dyDescent="0.2">
      <c r="A535" t="s">
        <v>392</v>
      </c>
      <c r="B535" s="101">
        <v>14</v>
      </c>
      <c r="C535" s="101">
        <v>4</v>
      </c>
      <c r="D535" s="101">
        <v>4</v>
      </c>
      <c r="E535" s="101">
        <v>17</v>
      </c>
      <c r="F535" s="101">
        <v>25</v>
      </c>
      <c r="G535" s="101"/>
      <c r="H535" s="101"/>
      <c r="I535" s="102">
        <v>0.68</v>
      </c>
      <c r="J535" s="102">
        <v>1.72</v>
      </c>
      <c r="K535" s="101">
        <v>8.1999999999999993</v>
      </c>
      <c r="L535" s="101">
        <v>0.70000000000000007</v>
      </c>
      <c r="M535" s="101" t="s">
        <v>1002</v>
      </c>
      <c r="N535" s="101">
        <v>2009</v>
      </c>
      <c r="O535" s="101" t="s">
        <v>633</v>
      </c>
      <c r="P535" s="101">
        <v>153833</v>
      </c>
      <c r="Q535" t="s">
        <v>58</v>
      </c>
      <c r="R535" t="s">
        <v>161</v>
      </c>
      <c r="S535"/>
      <c r="T535"/>
      <c r="U535"/>
      <c r="V535" s="220"/>
    </row>
    <row r="536" spans="1:22" x14ac:dyDescent="0.2">
      <c r="A536" t="s">
        <v>162</v>
      </c>
      <c r="B536" s="101">
        <v>4</v>
      </c>
      <c r="C536" s="101">
        <v>4</v>
      </c>
      <c r="D536" s="101">
        <v>-4</v>
      </c>
      <c r="E536" s="101">
        <v>1</v>
      </c>
      <c r="F536" s="101">
        <v>-3</v>
      </c>
      <c r="G536" s="101">
        <v>-17</v>
      </c>
      <c r="H536" s="101">
        <v>-3.6</v>
      </c>
      <c r="I536" s="102">
        <v>0.68</v>
      </c>
      <c r="J536" s="102">
        <v>1.99</v>
      </c>
      <c r="K536" s="101">
        <v>15</v>
      </c>
      <c r="L536" s="101">
        <v>-0.1</v>
      </c>
      <c r="M536" s="101" t="s">
        <v>1004</v>
      </c>
      <c r="N536" s="101">
        <v>2000</v>
      </c>
      <c r="O536" s="101" t="s">
        <v>633</v>
      </c>
      <c r="P536" s="101">
        <v>191080</v>
      </c>
      <c r="Q536" t="s">
        <v>354</v>
      </c>
      <c r="R536" t="s">
        <v>161</v>
      </c>
      <c r="S536"/>
      <c r="T536"/>
      <c r="U536"/>
      <c r="V536" s="220"/>
    </row>
    <row r="537" spans="1:22" x14ac:dyDescent="0.2">
      <c r="A537" t="s">
        <v>284</v>
      </c>
      <c r="B537" s="101">
        <v>-5</v>
      </c>
      <c r="C537" s="101">
        <v>7</v>
      </c>
      <c r="D537" s="101">
        <v>-8</v>
      </c>
      <c r="E537" s="101">
        <v>-8</v>
      </c>
      <c r="F537" s="101">
        <v>-10</v>
      </c>
      <c r="G537" s="101">
        <v>-46</v>
      </c>
      <c r="H537" s="101">
        <v>-11.6</v>
      </c>
      <c r="I537" s="102">
        <v>0.68</v>
      </c>
      <c r="J537" s="102">
        <v>2</v>
      </c>
      <c r="K537" s="101">
        <v>19.8</v>
      </c>
      <c r="L537" s="101">
        <v>-0.2</v>
      </c>
      <c r="M537" s="101" t="s">
        <v>1004</v>
      </c>
      <c r="N537" s="101">
        <v>2000</v>
      </c>
      <c r="O537" s="101" t="s">
        <v>633</v>
      </c>
      <c r="P537" s="101">
        <v>262741</v>
      </c>
      <c r="Q537" t="s">
        <v>354</v>
      </c>
      <c r="R537" t="s">
        <v>279</v>
      </c>
      <c r="S537"/>
      <c r="T537"/>
      <c r="U537"/>
      <c r="V537" s="220"/>
    </row>
    <row r="538" spans="1:22" x14ac:dyDescent="0.2">
      <c r="A538" t="s">
        <v>54</v>
      </c>
      <c r="B538" s="101">
        <v>8</v>
      </c>
      <c r="C538" s="101">
        <v>9</v>
      </c>
      <c r="D538" s="101">
        <v>3</v>
      </c>
      <c r="E538" s="101">
        <v>7</v>
      </c>
      <c r="F538" s="101">
        <v>-4</v>
      </c>
      <c r="G538" s="101">
        <v>-23</v>
      </c>
      <c r="H538" s="101">
        <v>-5.1000000000000005</v>
      </c>
      <c r="I538" s="102">
        <v>0.68</v>
      </c>
      <c r="J538" s="102">
        <v>1.6600000000000001</v>
      </c>
      <c r="K538" s="101">
        <v>13.700000000000001</v>
      </c>
      <c r="L538" s="101">
        <v>-0.2</v>
      </c>
      <c r="M538" s="101" t="s">
        <v>1002</v>
      </c>
      <c r="N538" s="101">
        <v>2001</v>
      </c>
      <c r="O538" s="101" t="s">
        <v>633</v>
      </c>
      <c r="P538" s="101">
        <v>899773</v>
      </c>
      <c r="Q538" t="s">
        <v>126</v>
      </c>
      <c r="R538" t="s">
        <v>44</v>
      </c>
      <c r="S538"/>
      <c r="T538"/>
      <c r="U538"/>
      <c r="V538" s="220"/>
    </row>
    <row r="539" spans="1:22" x14ac:dyDescent="0.2">
      <c r="A539" t="s">
        <v>250</v>
      </c>
      <c r="B539" s="101">
        <v>19</v>
      </c>
      <c r="C539" s="101">
        <v>9</v>
      </c>
      <c r="D539" s="101">
        <v>2</v>
      </c>
      <c r="E539" s="101">
        <v>15</v>
      </c>
      <c r="F539" s="101">
        <v>21</v>
      </c>
      <c r="G539" s="101">
        <v>-20</v>
      </c>
      <c r="H539" s="101">
        <v>-4.3</v>
      </c>
      <c r="I539" s="102">
        <v>0.68</v>
      </c>
      <c r="J539" s="102">
        <v>1.8088529999999998</v>
      </c>
      <c r="K539" s="101">
        <v>20.2</v>
      </c>
      <c r="L539" s="101">
        <v>0.3</v>
      </c>
      <c r="M539" s="101" t="s">
        <v>1003</v>
      </c>
      <c r="N539" s="101">
        <v>2004</v>
      </c>
      <c r="O539" s="101" t="s">
        <v>633</v>
      </c>
      <c r="P539" s="101">
        <v>821389</v>
      </c>
      <c r="Q539" t="s">
        <v>754</v>
      </c>
      <c r="R539" t="s">
        <v>239</v>
      </c>
      <c r="S539"/>
      <c r="T539"/>
      <c r="U539"/>
      <c r="V539" s="220"/>
    </row>
    <row r="540" spans="1:22" x14ac:dyDescent="0.2">
      <c r="A540" t="s">
        <v>175</v>
      </c>
      <c r="B540" s="101">
        <v>12</v>
      </c>
      <c r="C540" s="101">
        <v>6</v>
      </c>
      <c r="D540" s="101">
        <v>2</v>
      </c>
      <c r="E540" s="101">
        <v>-2</v>
      </c>
      <c r="F540" s="101">
        <v>7</v>
      </c>
      <c r="G540" s="101">
        <v>-12</v>
      </c>
      <c r="H540" s="101">
        <v>-2.5</v>
      </c>
      <c r="I540" s="102">
        <v>0.68</v>
      </c>
      <c r="J540" s="102">
        <v>1.9000000000000001</v>
      </c>
      <c r="K540" s="101">
        <v>19.5</v>
      </c>
      <c r="L540" s="101">
        <v>0.1</v>
      </c>
      <c r="M540" s="101" t="s">
        <v>1004</v>
      </c>
      <c r="N540" s="101">
        <v>2007</v>
      </c>
      <c r="O540" s="101" t="s">
        <v>633</v>
      </c>
      <c r="P540" s="101">
        <v>170894</v>
      </c>
      <c r="Q540" t="s">
        <v>777</v>
      </c>
      <c r="R540" t="s">
        <v>131</v>
      </c>
      <c r="S540"/>
      <c r="T540"/>
      <c r="U540"/>
      <c r="V540" s="220"/>
    </row>
    <row r="541" spans="1:22" x14ac:dyDescent="0.2">
      <c r="A541" t="s">
        <v>908</v>
      </c>
      <c r="B541" s="101">
        <v>-2</v>
      </c>
      <c r="C541" s="101">
        <v>1</v>
      </c>
      <c r="D541" s="101">
        <v>-5</v>
      </c>
      <c r="E541" s="101">
        <v>-3</v>
      </c>
      <c r="F541" s="101"/>
      <c r="G541" s="101"/>
      <c r="H541" s="101"/>
      <c r="I541" s="102">
        <v>0.68</v>
      </c>
      <c r="J541" s="102">
        <v>2.9267719999999997</v>
      </c>
      <c r="K541" s="101"/>
      <c r="L541" s="101"/>
      <c r="M541" s="101" t="s">
        <v>1001</v>
      </c>
      <c r="N541" s="101">
        <v>2011</v>
      </c>
      <c r="O541" s="101" t="s">
        <v>633</v>
      </c>
      <c r="P541" s="101">
        <v>948117</v>
      </c>
      <c r="Q541" t="s">
        <v>397</v>
      </c>
      <c r="R541" t="s">
        <v>301</v>
      </c>
      <c r="S541"/>
      <c r="T541"/>
      <c r="U541"/>
      <c r="V541" s="220"/>
    </row>
    <row r="542" spans="1:22" x14ac:dyDescent="0.2">
      <c r="A542" t="s">
        <v>1000</v>
      </c>
      <c r="B542" s="101">
        <v>8</v>
      </c>
      <c r="C542" s="101">
        <v>11</v>
      </c>
      <c r="D542" s="101">
        <v>6</v>
      </c>
      <c r="E542" s="101">
        <v>3</v>
      </c>
      <c r="F542" s="101">
        <v>-15</v>
      </c>
      <c r="G542" s="101">
        <v>-37</v>
      </c>
      <c r="H542" s="101">
        <v>-8.7000000000000011</v>
      </c>
      <c r="I542" s="102">
        <v>0.68</v>
      </c>
      <c r="J542" s="102">
        <v>1.6500000000000001</v>
      </c>
      <c r="K542" s="101">
        <v>17.900000000000002</v>
      </c>
      <c r="L542" s="101">
        <v>-0.3</v>
      </c>
      <c r="M542" s="101" t="s">
        <v>1002</v>
      </c>
      <c r="N542" s="101">
        <v>2000</v>
      </c>
      <c r="O542" s="101" t="s">
        <v>633</v>
      </c>
      <c r="P542" s="101">
        <v>848770</v>
      </c>
      <c r="Q542" t="s">
        <v>126</v>
      </c>
      <c r="R542" t="s">
        <v>86</v>
      </c>
      <c r="S542"/>
      <c r="T542"/>
      <c r="U542"/>
      <c r="V542" s="220"/>
    </row>
    <row r="543" spans="1:22" x14ac:dyDescent="0.2">
      <c r="A543" t="s">
        <v>740</v>
      </c>
      <c r="B543" s="101">
        <v>0</v>
      </c>
      <c r="C543" s="101">
        <v>1</v>
      </c>
      <c r="D543" s="101">
        <v>-3</v>
      </c>
      <c r="E543" s="101">
        <v>-4</v>
      </c>
      <c r="F543" s="101"/>
      <c r="G543" s="101"/>
      <c r="H543" s="101"/>
      <c r="I543" s="102">
        <v>0.69000000000000006</v>
      </c>
      <c r="J543" s="102">
        <v>1.76</v>
      </c>
      <c r="K543" s="101"/>
      <c r="L543" s="101"/>
      <c r="M543" s="101" t="s">
        <v>1001</v>
      </c>
      <c r="N543" s="101">
        <v>2010</v>
      </c>
      <c r="O543" s="101" t="s">
        <v>753</v>
      </c>
      <c r="P543" s="101">
        <v>554634</v>
      </c>
      <c r="Q543" t="s">
        <v>734</v>
      </c>
      <c r="R543" t="s">
        <v>301</v>
      </c>
      <c r="S543"/>
      <c r="T543"/>
      <c r="U543"/>
      <c r="V543" s="220"/>
    </row>
    <row r="544" spans="1:22" x14ac:dyDescent="0.2">
      <c r="A544" t="s">
        <v>712</v>
      </c>
      <c r="B544" s="101">
        <v>18</v>
      </c>
      <c r="C544" s="101">
        <v>0</v>
      </c>
      <c r="D544" s="101">
        <v>9</v>
      </c>
      <c r="E544" s="101">
        <v>21</v>
      </c>
      <c r="F544" s="101">
        <v>29</v>
      </c>
      <c r="G544" s="101">
        <v>10</v>
      </c>
      <c r="H544" s="101">
        <v>2</v>
      </c>
      <c r="I544" s="102">
        <v>0.69000000000000006</v>
      </c>
      <c r="J544" s="102">
        <v>1.7</v>
      </c>
      <c r="K544" s="101">
        <v>12.9</v>
      </c>
      <c r="L544" s="101">
        <v>0.6</v>
      </c>
      <c r="M544" s="101" t="s">
        <v>1004</v>
      </c>
      <c r="N544" s="101">
        <v>2006</v>
      </c>
      <c r="O544" s="101" t="s">
        <v>633</v>
      </c>
      <c r="P544" s="101">
        <v>407775</v>
      </c>
      <c r="Q544" t="s">
        <v>752</v>
      </c>
      <c r="R544" t="s">
        <v>102</v>
      </c>
      <c r="S544"/>
      <c r="T544"/>
      <c r="U544"/>
      <c r="V544" s="220"/>
    </row>
    <row r="545" spans="1:22" x14ac:dyDescent="0.2">
      <c r="A545" t="s">
        <v>66</v>
      </c>
      <c r="B545" s="101">
        <v>8</v>
      </c>
      <c r="C545" s="101">
        <v>5</v>
      </c>
      <c r="D545" s="101">
        <v>2</v>
      </c>
      <c r="E545" s="101">
        <v>6</v>
      </c>
      <c r="F545" s="101">
        <v>6</v>
      </c>
      <c r="G545" s="101">
        <v>-7</v>
      </c>
      <c r="H545" s="101">
        <v>-1.4000000000000001</v>
      </c>
      <c r="I545" s="102">
        <v>0.69000000000000006</v>
      </c>
      <c r="J545" s="102">
        <v>1.7</v>
      </c>
      <c r="K545" s="101">
        <v>7.6000000000000005</v>
      </c>
      <c r="L545" s="101">
        <v>0.1</v>
      </c>
      <c r="M545" s="101" t="s">
        <v>1002</v>
      </c>
      <c r="N545" s="101">
        <v>2008</v>
      </c>
      <c r="O545" s="101" t="s">
        <v>633</v>
      </c>
      <c r="P545" s="101">
        <v>235234</v>
      </c>
      <c r="Q545" t="s">
        <v>362</v>
      </c>
      <c r="R545" t="s">
        <v>301</v>
      </c>
      <c r="S545"/>
      <c r="T545"/>
      <c r="U545"/>
      <c r="V545" s="220"/>
    </row>
    <row r="546" spans="1:22" x14ac:dyDescent="0.2">
      <c r="A546" t="s">
        <v>406</v>
      </c>
      <c r="B546" s="101">
        <v>11</v>
      </c>
      <c r="C546" s="101">
        <v>5</v>
      </c>
      <c r="D546" s="101">
        <v>-6</v>
      </c>
      <c r="E546" s="101">
        <v>16</v>
      </c>
      <c r="F546" s="101"/>
      <c r="G546" s="101"/>
      <c r="H546" s="101"/>
      <c r="I546" s="102">
        <v>0.69000000000000006</v>
      </c>
      <c r="J546" s="102">
        <v>1.7</v>
      </c>
      <c r="K546" s="101"/>
      <c r="L546" s="101"/>
      <c r="M546" s="101" t="s">
        <v>1001</v>
      </c>
      <c r="N546" s="101">
        <v>2011</v>
      </c>
      <c r="O546" s="101" t="s">
        <v>753</v>
      </c>
      <c r="P546" s="101">
        <v>656637</v>
      </c>
      <c r="Q546" t="s">
        <v>404</v>
      </c>
      <c r="R546" t="s">
        <v>724</v>
      </c>
      <c r="S546"/>
      <c r="T546"/>
      <c r="U546"/>
      <c r="V546" s="220"/>
    </row>
    <row r="547" spans="1:22" x14ac:dyDescent="0.2">
      <c r="A547" t="s">
        <v>320</v>
      </c>
      <c r="B547" s="101">
        <v>4</v>
      </c>
      <c r="C547" s="101">
        <v>4</v>
      </c>
      <c r="D547" s="101">
        <v>-2</v>
      </c>
      <c r="E547" s="101">
        <v>1</v>
      </c>
      <c r="F547" s="101">
        <v>-6</v>
      </c>
      <c r="G547" s="101">
        <v>-5</v>
      </c>
      <c r="H547" s="101">
        <v>-1</v>
      </c>
      <c r="I547" s="102">
        <v>0.69000000000000006</v>
      </c>
      <c r="J547" s="102">
        <v>1.83</v>
      </c>
      <c r="K547" s="101">
        <v>7.4</v>
      </c>
      <c r="L547" s="101">
        <v>-0.4</v>
      </c>
      <c r="M547" s="101" t="s">
        <v>1002</v>
      </c>
      <c r="N547" s="101">
        <v>2001</v>
      </c>
      <c r="O547" s="101" t="s">
        <v>633</v>
      </c>
      <c r="P547" s="101">
        <v>657460</v>
      </c>
      <c r="Q547" t="s">
        <v>766</v>
      </c>
      <c r="R547" t="s">
        <v>301</v>
      </c>
      <c r="S547"/>
      <c r="T547"/>
      <c r="U547"/>
      <c r="V547" s="220"/>
    </row>
    <row r="548" spans="1:22" x14ac:dyDescent="0.2">
      <c r="A548" t="s">
        <v>165</v>
      </c>
      <c r="B548" s="101">
        <v>23</v>
      </c>
      <c r="C548" s="101">
        <v>11</v>
      </c>
      <c r="D548" s="101">
        <v>5</v>
      </c>
      <c r="E548" s="101">
        <v>20</v>
      </c>
      <c r="F548" s="101">
        <v>37</v>
      </c>
      <c r="G548" s="101">
        <v>-18</v>
      </c>
      <c r="H548" s="101">
        <v>-3.8000000000000003</v>
      </c>
      <c r="I548" s="102">
        <v>0.70000000000000007</v>
      </c>
      <c r="J548" s="102">
        <v>1.7267000000000001</v>
      </c>
      <c r="K548" s="101">
        <v>12.9</v>
      </c>
      <c r="L548" s="101">
        <v>0.8</v>
      </c>
      <c r="M548" s="101" t="s">
        <v>1002</v>
      </c>
      <c r="N548" s="101">
        <v>2008</v>
      </c>
      <c r="O548" s="101" t="s">
        <v>633</v>
      </c>
      <c r="P548" s="101">
        <v>152652</v>
      </c>
      <c r="Q548" t="s">
        <v>767</v>
      </c>
      <c r="R548" t="s">
        <v>92</v>
      </c>
      <c r="S548"/>
      <c r="T548"/>
      <c r="U548"/>
      <c r="V548" s="220"/>
    </row>
    <row r="549" spans="1:22" x14ac:dyDescent="0.2">
      <c r="A549" t="s">
        <v>774</v>
      </c>
      <c r="B549" s="101">
        <v>7</v>
      </c>
      <c r="C549" s="101">
        <v>3</v>
      </c>
      <c r="D549" s="101">
        <v>3</v>
      </c>
      <c r="E549" s="101">
        <v>16</v>
      </c>
      <c r="F549" s="101">
        <v>34</v>
      </c>
      <c r="G549" s="101">
        <v>23</v>
      </c>
      <c r="H549" s="101">
        <v>4.2</v>
      </c>
      <c r="I549" s="102">
        <v>0.70000000000000007</v>
      </c>
      <c r="J549" s="102">
        <v>1.7355</v>
      </c>
      <c r="K549" s="101">
        <v>15.8</v>
      </c>
      <c r="L549" s="101">
        <v>0.6</v>
      </c>
      <c r="M549" s="101" t="s">
        <v>1004</v>
      </c>
      <c r="N549" s="101">
        <v>2008</v>
      </c>
      <c r="O549" s="101" t="s">
        <v>633</v>
      </c>
      <c r="P549" s="101">
        <v>116822</v>
      </c>
      <c r="Q549" t="s">
        <v>767</v>
      </c>
      <c r="R549" t="s">
        <v>370</v>
      </c>
      <c r="S549"/>
      <c r="T549"/>
      <c r="U549"/>
      <c r="V549" s="220"/>
    </row>
    <row r="550" spans="1:22" x14ac:dyDescent="0.2">
      <c r="A550" t="s">
        <v>364</v>
      </c>
      <c r="B550" s="101">
        <v>-1</v>
      </c>
      <c r="C550" s="101">
        <v>-5</v>
      </c>
      <c r="D550" s="101">
        <v>-10</v>
      </c>
      <c r="E550" s="101">
        <v>2</v>
      </c>
      <c r="F550" s="101">
        <v>7</v>
      </c>
      <c r="G550" s="101">
        <v>-11</v>
      </c>
      <c r="H550" s="101">
        <v>-2.2000000000000002</v>
      </c>
      <c r="I550" s="102">
        <v>0.70000000000000007</v>
      </c>
      <c r="J550" s="102">
        <v>1.84</v>
      </c>
      <c r="K550" s="101">
        <v>16.7</v>
      </c>
      <c r="L550" s="101">
        <v>0.1</v>
      </c>
      <c r="M550" s="101" t="s">
        <v>1006</v>
      </c>
      <c r="N550" s="101">
        <v>2005</v>
      </c>
      <c r="O550" s="101" t="s">
        <v>633</v>
      </c>
      <c r="P550" s="101">
        <v>944637</v>
      </c>
      <c r="Q550" t="s">
        <v>88</v>
      </c>
      <c r="R550" t="s">
        <v>226</v>
      </c>
      <c r="S550"/>
      <c r="T550"/>
      <c r="U550"/>
      <c r="V550" s="220"/>
    </row>
    <row r="551" spans="1:22" x14ac:dyDescent="0.2">
      <c r="A551" t="s">
        <v>319</v>
      </c>
      <c r="B551" s="101">
        <v>5</v>
      </c>
      <c r="C551" s="101">
        <v>1</v>
      </c>
      <c r="D551" s="101">
        <v>0</v>
      </c>
      <c r="E551" s="101">
        <v>7</v>
      </c>
      <c r="F551" s="101">
        <v>8</v>
      </c>
      <c r="G551" s="101"/>
      <c r="H551" s="101"/>
      <c r="I551" s="102">
        <v>0.70000000000000007</v>
      </c>
      <c r="J551" s="102">
        <v>2.0177559999999999</v>
      </c>
      <c r="K551" s="101">
        <v>11.4</v>
      </c>
      <c r="L551" s="101">
        <v>0.2</v>
      </c>
      <c r="M551" s="101" t="s">
        <v>1001</v>
      </c>
      <c r="N551" s="101">
        <v>2010</v>
      </c>
      <c r="O551" s="101" t="s">
        <v>753</v>
      </c>
      <c r="P551" s="101">
        <v>422238</v>
      </c>
      <c r="Q551" t="s">
        <v>905</v>
      </c>
      <c r="R551" t="s">
        <v>292</v>
      </c>
      <c r="S551"/>
      <c r="T551"/>
      <c r="U551"/>
      <c r="V551" s="220"/>
    </row>
    <row r="552" spans="1:22" x14ac:dyDescent="0.2">
      <c r="A552" t="s">
        <v>280</v>
      </c>
      <c r="B552" s="101">
        <v>16</v>
      </c>
      <c r="C552" s="101">
        <v>5</v>
      </c>
      <c r="D552" s="101">
        <v>1</v>
      </c>
      <c r="E552" s="101">
        <v>14</v>
      </c>
      <c r="F552" s="101">
        <v>-6</v>
      </c>
      <c r="G552" s="101">
        <v>-42</v>
      </c>
      <c r="H552" s="101">
        <v>-10.3</v>
      </c>
      <c r="I552" s="102">
        <v>0.70000000000000007</v>
      </c>
      <c r="J552" s="102">
        <v>1.85</v>
      </c>
      <c r="K552" s="101">
        <v>14.5</v>
      </c>
      <c r="L552" s="101">
        <v>-0.2</v>
      </c>
      <c r="M552" s="101" t="s">
        <v>1002</v>
      </c>
      <c r="N552" s="101">
        <v>2000</v>
      </c>
      <c r="O552" s="101" t="s">
        <v>633</v>
      </c>
      <c r="P552" s="101">
        <v>543306</v>
      </c>
      <c r="Q552" t="s">
        <v>88</v>
      </c>
      <c r="R552" t="s">
        <v>279</v>
      </c>
      <c r="S552"/>
      <c r="T552"/>
      <c r="U552"/>
      <c r="V552" s="220"/>
    </row>
    <row r="553" spans="1:22" x14ac:dyDescent="0.2">
      <c r="A553" t="s">
        <v>322</v>
      </c>
      <c r="B553" s="101">
        <v>6</v>
      </c>
      <c r="C553" s="101">
        <v>4</v>
      </c>
      <c r="D553" s="101">
        <v>0</v>
      </c>
      <c r="E553" s="101">
        <v>4</v>
      </c>
      <c r="F553" s="101">
        <v>-3</v>
      </c>
      <c r="G553" s="101">
        <v>-17</v>
      </c>
      <c r="H553" s="101">
        <v>-3.7</v>
      </c>
      <c r="I553" s="102">
        <v>0.70000000000000007</v>
      </c>
      <c r="J553" s="102">
        <v>1.83</v>
      </c>
      <c r="K553" s="101">
        <v>8.3000000000000007</v>
      </c>
      <c r="L553" s="101">
        <v>-0.3</v>
      </c>
      <c r="M553" s="101" t="s">
        <v>1002</v>
      </c>
      <c r="N553" s="101">
        <v>2000</v>
      </c>
      <c r="O553" s="101" t="s">
        <v>633</v>
      </c>
      <c r="P553" s="101">
        <v>794115</v>
      </c>
      <c r="Q553" t="s">
        <v>88</v>
      </c>
      <c r="R553" t="s">
        <v>301</v>
      </c>
      <c r="S553"/>
      <c r="T553"/>
      <c r="U553"/>
      <c r="V553" s="220"/>
    </row>
    <row r="554" spans="1:22" x14ac:dyDescent="0.2">
      <c r="A554" t="s">
        <v>340</v>
      </c>
      <c r="B554" s="101">
        <v>5</v>
      </c>
      <c r="C554" s="101">
        <v>1</v>
      </c>
      <c r="D554" s="101">
        <v>0</v>
      </c>
      <c r="E554" s="101">
        <v>4</v>
      </c>
      <c r="F554" s="101">
        <v>0</v>
      </c>
      <c r="G554" s="101">
        <v>5</v>
      </c>
      <c r="H554" s="101">
        <v>1</v>
      </c>
      <c r="I554" s="102">
        <v>0.71</v>
      </c>
      <c r="J554" s="102">
        <v>1.7430000000000001</v>
      </c>
      <c r="K554" s="101">
        <v>7.2</v>
      </c>
      <c r="L554" s="101">
        <v>-0.2</v>
      </c>
      <c r="M554" s="101" t="s">
        <v>1001</v>
      </c>
      <c r="N554" s="101">
        <v>2005</v>
      </c>
      <c r="O554" s="101" t="s">
        <v>753</v>
      </c>
      <c r="P554" s="101">
        <v>855973</v>
      </c>
      <c r="Q554" t="s">
        <v>674</v>
      </c>
      <c r="R554" t="s">
        <v>301</v>
      </c>
      <c r="S554"/>
      <c r="T554"/>
      <c r="U554"/>
      <c r="V554" s="220"/>
    </row>
    <row r="555" spans="1:22" x14ac:dyDescent="0.2">
      <c r="A555" t="s">
        <v>258</v>
      </c>
      <c r="B555" s="101">
        <v>5</v>
      </c>
      <c r="C555" s="101">
        <v>0</v>
      </c>
      <c r="D555" s="101">
        <v>1</v>
      </c>
      <c r="E555" s="101">
        <v>8</v>
      </c>
      <c r="F555" s="101">
        <v>10</v>
      </c>
      <c r="G555" s="101">
        <v>6</v>
      </c>
      <c r="H555" s="101">
        <v>1.1000000000000001</v>
      </c>
      <c r="I555" s="102">
        <v>0.71</v>
      </c>
      <c r="J555" s="102">
        <v>1.72</v>
      </c>
      <c r="K555" s="101">
        <v>7.1000000000000005</v>
      </c>
      <c r="L555" s="101">
        <v>0.3</v>
      </c>
      <c r="M555" s="101" t="s">
        <v>1004</v>
      </c>
      <c r="N555" s="101">
        <v>2002</v>
      </c>
      <c r="O555" s="101" t="s">
        <v>633</v>
      </c>
      <c r="P555" s="101">
        <v>999359</v>
      </c>
      <c r="Q555" t="s">
        <v>756</v>
      </c>
      <c r="R555" t="s">
        <v>301</v>
      </c>
      <c r="S555"/>
      <c r="T555"/>
      <c r="U555"/>
      <c r="V555" s="220"/>
    </row>
    <row r="556" spans="1:22" x14ac:dyDescent="0.2">
      <c r="A556" t="s">
        <v>1077</v>
      </c>
      <c r="B556" s="101">
        <v>7</v>
      </c>
      <c r="C556" s="101">
        <v>2</v>
      </c>
      <c r="D556" s="101">
        <v>-3</v>
      </c>
      <c r="E556" s="101">
        <v>9</v>
      </c>
      <c r="F556" s="101">
        <v>11</v>
      </c>
      <c r="G556" s="101">
        <v>-24</v>
      </c>
      <c r="H556" s="101">
        <v>-5.4</v>
      </c>
      <c r="I556" s="102">
        <v>0.71</v>
      </c>
      <c r="J556" s="102">
        <v>2.11</v>
      </c>
      <c r="K556" s="101">
        <v>10.200000000000001</v>
      </c>
      <c r="L556" s="101">
        <v>0.2</v>
      </c>
      <c r="M556" s="101" t="s">
        <v>1004</v>
      </c>
      <c r="N556" s="101">
        <v>2002</v>
      </c>
      <c r="O556" s="101" t="s">
        <v>633</v>
      </c>
      <c r="P556" s="101">
        <v>872440</v>
      </c>
      <c r="Q556" t="s">
        <v>354</v>
      </c>
      <c r="R556" t="s">
        <v>145</v>
      </c>
      <c r="S556"/>
      <c r="T556"/>
      <c r="U556"/>
      <c r="V556" s="220"/>
    </row>
    <row r="557" spans="1:22" x14ac:dyDescent="0.2">
      <c r="A557" t="s">
        <v>163</v>
      </c>
      <c r="B557" s="101">
        <v>-2</v>
      </c>
      <c r="C557" s="101">
        <v>-3</v>
      </c>
      <c r="D557" s="101">
        <v>-8</v>
      </c>
      <c r="E557" s="101">
        <v>-1</v>
      </c>
      <c r="F557" s="101">
        <v>-14</v>
      </c>
      <c r="G557" s="101">
        <v>-35</v>
      </c>
      <c r="H557" s="101">
        <v>-8.3000000000000007</v>
      </c>
      <c r="I557" s="102">
        <v>0.71</v>
      </c>
      <c r="J557" s="102">
        <v>1.7504000000000002</v>
      </c>
      <c r="K557" s="101">
        <v>13.6</v>
      </c>
      <c r="L557" s="101">
        <v>-0.4</v>
      </c>
      <c r="M557" s="101" t="s">
        <v>1002</v>
      </c>
      <c r="N557" s="101">
        <v>2008</v>
      </c>
      <c r="O557" s="101" t="s">
        <v>633</v>
      </c>
      <c r="P557" s="101">
        <v>367631</v>
      </c>
      <c r="Q557" t="s">
        <v>767</v>
      </c>
      <c r="R557" t="s">
        <v>226</v>
      </c>
      <c r="S557"/>
      <c r="T557"/>
      <c r="U557"/>
      <c r="V557" s="220"/>
    </row>
    <row r="558" spans="1:22" x14ac:dyDescent="0.2">
      <c r="A558" t="s">
        <v>456</v>
      </c>
      <c r="B558" s="101">
        <v>13</v>
      </c>
      <c r="C558" s="101">
        <v>3</v>
      </c>
      <c r="D558" s="101">
        <v>-4</v>
      </c>
      <c r="E558" s="101">
        <v>7</v>
      </c>
      <c r="F558" s="101">
        <v>8</v>
      </c>
      <c r="G558" s="101"/>
      <c r="H558" s="101"/>
      <c r="I558" s="102">
        <v>0.71</v>
      </c>
      <c r="J558" s="102">
        <v>6.59</v>
      </c>
      <c r="K558" s="101">
        <v>13.200000000000001</v>
      </c>
      <c r="L558" s="101">
        <v>0.1</v>
      </c>
      <c r="M558" s="101" t="s">
        <v>1002</v>
      </c>
      <c r="N558" s="101">
        <v>2009</v>
      </c>
      <c r="O558" s="101" t="s">
        <v>633</v>
      </c>
      <c r="P558" s="101">
        <v>942094</v>
      </c>
      <c r="Q558" t="s">
        <v>263</v>
      </c>
      <c r="R558" t="s">
        <v>279</v>
      </c>
      <c r="S558"/>
      <c r="T558"/>
      <c r="U558"/>
      <c r="V558" s="220"/>
    </row>
    <row r="559" spans="1:22" x14ac:dyDescent="0.2">
      <c r="A559" t="s">
        <v>713</v>
      </c>
      <c r="B559" s="101">
        <v>12</v>
      </c>
      <c r="C559" s="101">
        <v>3</v>
      </c>
      <c r="D559" s="101">
        <v>1</v>
      </c>
      <c r="E559" s="101">
        <v>13</v>
      </c>
      <c r="F559" s="101">
        <v>26</v>
      </c>
      <c r="G559" s="101">
        <v>-16</v>
      </c>
      <c r="H559" s="101">
        <v>-3.3000000000000003</v>
      </c>
      <c r="I559" s="102">
        <v>0.71</v>
      </c>
      <c r="J559" s="102">
        <v>1.75</v>
      </c>
      <c r="K559" s="101">
        <v>10.1</v>
      </c>
      <c r="L559" s="101">
        <v>0.70000000000000007</v>
      </c>
      <c r="M559" s="101" t="s">
        <v>1005</v>
      </c>
      <c r="N559" s="101">
        <v>2006</v>
      </c>
      <c r="O559" s="101" t="s">
        <v>633</v>
      </c>
      <c r="P559" s="101">
        <v>515262</v>
      </c>
      <c r="Q559" t="s">
        <v>752</v>
      </c>
      <c r="R559" t="s">
        <v>239</v>
      </c>
      <c r="S559"/>
      <c r="T559"/>
      <c r="U559"/>
      <c r="V559" s="220"/>
    </row>
    <row r="560" spans="1:22" x14ac:dyDescent="0.2">
      <c r="A560" t="s">
        <v>1051</v>
      </c>
      <c r="B560" s="101">
        <v>10</v>
      </c>
      <c r="C560" s="101">
        <v>1</v>
      </c>
      <c r="D560" s="101">
        <v>-4</v>
      </c>
      <c r="E560" s="101">
        <v>4</v>
      </c>
      <c r="F560" s="101">
        <v>13</v>
      </c>
      <c r="G560" s="101">
        <v>-9</v>
      </c>
      <c r="H560" s="101">
        <v>-1.8</v>
      </c>
      <c r="I560" s="102">
        <v>0.71</v>
      </c>
      <c r="J560" s="102">
        <v>1.810003</v>
      </c>
      <c r="K560" s="101">
        <v>19.7</v>
      </c>
      <c r="L560" s="101">
        <v>0.2</v>
      </c>
      <c r="M560" s="101" t="s">
        <v>1001</v>
      </c>
      <c r="N560" s="101">
        <v>2001</v>
      </c>
      <c r="O560" s="101" t="s">
        <v>633</v>
      </c>
      <c r="P560" s="101">
        <v>524470</v>
      </c>
      <c r="Q560" t="s">
        <v>1025</v>
      </c>
      <c r="R560" t="s">
        <v>671</v>
      </c>
      <c r="S560"/>
      <c r="T560"/>
      <c r="U560"/>
      <c r="V560" s="220"/>
    </row>
    <row r="561" spans="1:22" x14ac:dyDescent="0.2">
      <c r="A561" t="s">
        <v>399</v>
      </c>
      <c r="B561" s="101">
        <v>3</v>
      </c>
      <c r="C561" s="101">
        <v>0</v>
      </c>
      <c r="D561" s="101">
        <v>-13</v>
      </c>
      <c r="E561" s="101">
        <v>-5</v>
      </c>
      <c r="F561" s="101">
        <v>-5</v>
      </c>
      <c r="G561" s="101">
        <v>-26</v>
      </c>
      <c r="H561" s="101">
        <v>-5.9</v>
      </c>
      <c r="I561" s="102">
        <v>0.71</v>
      </c>
      <c r="J561" s="102">
        <v>2.64</v>
      </c>
      <c r="K561" s="101">
        <v>24.7</v>
      </c>
      <c r="L561" s="101">
        <v>0</v>
      </c>
      <c r="M561" s="101" t="s">
        <v>1001</v>
      </c>
      <c r="N561" s="101">
        <v>2011</v>
      </c>
      <c r="O561" s="101" t="s">
        <v>633</v>
      </c>
      <c r="P561" s="101">
        <v>473231</v>
      </c>
      <c r="Q561" t="s">
        <v>792</v>
      </c>
      <c r="R561" t="s">
        <v>368</v>
      </c>
      <c r="S561"/>
      <c r="T561"/>
      <c r="U561"/>
      <c r="V561" s="220"/>
    </row>
    <row r="562" spans="1:22" x14ac:dyDescent="0.2">
      <c r="A562" t="s">
        <v>870</v>
      </c>
      <c r="B562" s="101">
        <v>0</v>
      </c>
      <c r="C562" s="101">
        <v>0</v>
      </c>
      <c r="D562" s="101">
        <v>-6</v>
      </c>
      <c r="E562" s="101">
        <v>7</v>
      </c>
      <c r="F562" s="101">
        <v>21</v>
      </c>
      <c r="G562" s="101">
        <v>7</v>
      </c>
      <c r="H562" s="101">
        <v>1.3</v>
      </c>
      <c r="I562" s="102">
        <v>0.71</v>
      </c>
      <c r="J562" s="102">
        <v>1.87</v>
      </c>
      <c r="K562" s="101">
        <v>14.8</v>
      </c>
      <c r="L562" s="101">
        <v>0.4</v>
      </c>
      <c r="M562" s="101" t="s">
        <v>1004</v>
      </c>
      <c r="N562" s="101">
        <v>2009</v>
      </c>
      <c r="O562" s="101" t="s">
        <v>633</v>
      </c>
      <c r="P562" s="101">
        <v>889261</v>
      </c>
      <c r="Q562" t="s">
        <v>88</v>
      </c>
      <c r="R562" t="s">
        <v>102</v>
      </c>
      <c r="S562"/>
      <c r="T562"/>
      <c r="U562"/>
      <c r="V562" s="220"/>
    </row>
    <row r="563" spans="1:22" x14ac:dyDescent="0.2">
      <c r="A563" t="s">
        <v>236</v>
      </c>
      <c r="B563" s="101">
        <v>5</v>
      </c>
      <c r="C563" s="101">
        <v>-1</v>
      </c>
      <c r="D563" s="101">
        <v>-2</v>
      </c>
      <c r="E563" s="101">
        <v>7</v>
      </c>
      <c r="F563" s="101">
        <v>18</v>
      </c>
      <c r="G563" s="101">
        <v>-7</v>
      </c>
      <c r="H563" s="101">
        <v>-1.4000000000000001</v>
      </c>
      <c r="I563" s="102">
        <v>0.71</v>
      </c>
      <c r="J563" s="102">
        <v>1.76</v>
      </c>
      <c r="K563" s="101">
        <v>12.1</v>
      </c>
      <c r="L563" s="101">
        <v>0.4</v>
      </c>
      <c r="M563" s="101" t="s">
        <v>1006</v>
      </c>
      <c r="N563" s="101">
        <v>2006</v>
      </c>
      <c r="O563" s="101" t="s">
        <v>633</v>
      </c>
      <c r="P563" s="101">
        <v>757575</v>
      </c>
      <c r="Q563" t="s">
        <v>752</v>
      </c>
      <c r="R563" t="s">
        <v>226</v>
      </c>
      <c r="S563"/>
      <c r="T563"/>
      <c r="U563"/>
      <c r="V563" s="220"/>
    </row>
    <row r="564" spans="1:22" x14ac:dyDescent="0.2">
      <c r="A564" t="s">
        <v>597</v>
      </c>
      <c r="B564" s="101">
        <v>0</v>
      </c>
      <c r="C564" s="101">
        <v>-2</v>
      </c>
      <c r="D564" s="101">
        <v>-6</v>
      </c>
      <c r="E564" s="101">
        <v>0</v>
      </c>
      <c r="F564" s="101">
        <v>-3</v>
      </c>
      <c r="G564" s="101">
        <v>-17</v>
      </c>
      <c r="H564" s="101">
        <v>-3.7</v>
      </c>
      <c r="I564" s="102">
        <v>0.72</v>
      </c>
      <c r="J564" s="102">
        <v>1.95</v>
      </c>
      <c r="K564" s="101">
        <v>14.200000000000001</v>
      </c>
      <c r="L564" s="101">
        <v>-0.1</v>
      </c>
      <c r="M564" s="101" t="s">
        <v>1006</v>
      </c>
      <c r="N564" s="101">
        <v>2009</v>
      </c>
      <c r="O564" s="101" t="s">
        <v>633</v>
      </c>
      <c r="P564" s="101">
        <v>174490</v>
      </c>
      <c r="Q564" t="s">
        <v>812</v>
      </c>
      <c r="R564" t="s">
        <v>226</v>
      </c>
      <c r="S564"/>
      <c r="T564"/>
      <c r="U564"/>
      <c r="V564" s="220"/>
    </row>
    <row r="565" spans="1:22" x14ac:dyDescent="0.2">
      <c r="A565" t="s">
        <v>64</v>
      </c>
      <c r="B565" s="101">
        <v>10</v>
      </c>
      <c r="C565" s="101">
        <v>3</v>
      </c>
      <c r="D565" s="101">
        <v>1</v>
      </c>
      <c r="E565" s="101">
        <v>9</v>
      </c>
      <c r="F565" s="101">
        <v>9</v>
      </c>
      <c r="G565" s="101">
        <v>-25</v>
      </c>
      <c r="H565" s="101">
        <v>-5.5</v>
      </c>
      <c r="I565" s="102">
        <v>0.72</v>
      </c>
      <c r="J565" s="102">
        <v>1.77</v>
      </c>
      <c r="K565" s="101">
        <v>11.4</v>
      </c>
      <c r="L565" s="101">
        <v>0.2</v>
      </c>
      <c r="M565" s="101" t="s">
        <v>1002</v>
      </c>
      <c r="N565" s="101">
        <v>2006</v>
      </c>
      <c r="O565" s="101" t="s">
        <v>633</v>
      </c>
      <c r="P565" s="101">
        <v>367698</v>
      </c>
      <c r="Q565" t="s">
        <v>752</v>
      </c>
      <c r="R565" t="s">
        <v>44</v>
      </c>
      <c r="S565"/>
      <c r="T565"/>
      <c r="U565"/>
      <c r="V565" s="220"/>
    </row>
    <row r="566" spans="1:22" x14ac:dyDescent="0.2">
      <c r="A566" t="s">
        <v>403</v>
      </c>
      <c r="B566" s="101">
        <v>15</v>
      </c>
      <c r="C566" s="101">
        <v>4</v>
      </c>
      <c r="D566" s="101">
        <v>-2</v>
      </c>
      <c r="E566" s="101">
        <v>19</v>
      </c>
      <c r="F566" s="101"/>
      <c r="G566" s="101"/>
      <c r="H566" s="101"/>
      <c r="I566" s="102">
        <v>0.72</v>
      </c>
      <c r="J566" s="102">
        <v>1.3</v>
      </c>
      <c r="K566" s="101"/>
      <c r="L566" s="101"/>
      <c r="M566" s="101" t="s">
        <v>1001</v>
      </c>
      <c r="N566" s="101">
        <v>2011</v>
      </c>
      <c r="O566" s="101" t="s">
        <v>753</v>
      </c>
      <c r="P566" s="101">
        <v>584979</v>
      </c>
      <c r="Q566" t="s">
        <v>404</v>
      </c>
      <c r="R566" t="s">
        <v>671</v>
      </c>
      <c r="S566"/>
      <c r="T566"/>
      <c r="U566"/>
      <c r="V566" s="220"/>
    </row>
    <row r="567" spans="1:22" x14ac:dyDescent="0.2">
      <c r="A567" t="s">
        <v>244</v>
      </c>
      <c r="B567" s="101">
        <v>10</v>
      </c>
      <c r="C567" s="101">
        <v>1</v>
      </c>
      <c r="D567" s="101">
        <v>-3</v>
      </c>
      <c r="E567" s="101">
        <v>5</v>
      </c>
      <c r="F567" s="101">
        <v>-5</v>
      </c>
      <c r="G567" s="101">
        <v>-40</v>
      </c>
      <c r="H567" s="101">
        <v>-9.7000000000000011</v>
      </c>
      <c r="I567" s="102">
        <v>0.72</v>
      </c>
      <c r="J567" s="102">
        <v>1.786</v>
      </c>
      <c r="K567" s="101">
        <v>15.4</v>
      </c>
      <c r="L567" s="101">
        <v>-0.1</v>
      </c>
      <c r="M567" s="101" t="s">
        <v>1002</v>
      </c>
      <c r="N567" s="101">
        <v>2008</v>
      </c>
      <c r="O567" s="101" t="s">
        <v>633</v>
      </c>
      <c r="P567" s="101">
        <v>255893</v>
      </c>
      <c r="Q567" t="s">
        <v>767</v>
      </c>
      <c r="R567" t="s">
        <v>131</v>
      </c>
      <c r="S567"/>
      <c r="T567"/>
      <c r="U567"/>
      <c r="V567" s="220"/>
    </row>
    <row r="568" spans="1:22" x14ac:dyDescent="0.2">
      <c r="A568" t="s">
        <v>1052</v>
      </c>
      <c r="B568" s="101">
        <v>10</v>
      </c>
      <c r="C568" s="101">
        <v>3</v>
      </c>
      <c r="D568" s="101">
        <v>-6</v>
      </c>
      <c r="E568" s="101">
        <v>2</v>
      </c>
      <c r="F568" s="101">
        <v>1</v>
      </c>
      <c r="G568" s="101">
        <v>-36</v>
      </c>
      <c r="H568" s="101">
        <v>-8.6</v>
      </c>
      <c r="I568" s="102">
        <v>0.72</v>
      </c>
      <c r="J568" s="102">
        <v>1.8472309999999998</v>
      </c>
      <c r="K568" s="101">
        <v>20.8</v>
      </c>
      <c r="L568" s="101">
        <v>0.1</v>
      </c>
      <c r="M568" s="101" t="s">
        <v>1002</v>
      </c>
      <c r="N568" s="101">
        <v>2005</v>
      </c>
      <c r="O568" s="101" t="s">
        <v>633</v>
      </c>
      <c r="P568" s="101">
        <v>170951</v>
      </c>
      <c r="Q568" t="s">
        <v>1025</v>
      </c>
      <c r="R568" t="s">
        <v>748</v>
      </c>
      <c r="S568"/>
      <c r="T568"/>
      <c r="U568"/>
      <c r="V568" s="220"/>
    </row>
    <row r="569" spans="1:22" x14ac:dyDescent="0.2">
      <c r="A569" t="s">
        <v>572</v>
      </c>
      <c r="B569" s="101">
        <v>11</v>
      </c>
      <c r="C569" s="101">
        <v>8</v>
      </c>
      <c r="D569" s="101">
        <v>4</v>
      </c>
      <c r="E569" s="101">
        <v>-5</v>
      </c>
      <c r="F569" s="101">
        <v>-6</v>
      </c>
      <c r="G569" s="101">
        <v>-32</v>
      </c>
      <c r="H569" s="101">
        <v>-7.5</v>
      </c>
      <c r="I569" s="102">
        <v>0.73</v>
      </c>
      <c r="J569" s="102">
        <v>2.0499999999999998</v>
      </c>
      <c r="K569" s="101">
        <v>21</v>
      </c>
      <c r="L569" s="101">
        <v>-0.1</v>
      </c>
      <c r="M569" s="101" t="s">
        <v>1004</v>
      </c>
      <c r="N569" s="101">
        <v>2006</v>
      </c>
      <c r="O569" s="101" t="s">
        <v>633</v>
      </c>
      <c r="P569" s="101">
        <v>768499</v>
      </c>
      <c r="Q569" t="s">
        <v>760</v>
      </c>
      <c r="R569" t="s">
        <v>131</v>
      </c>
      <c r="S569"/>
      <c r="T569"/>
      <c r="U569"/>
      <c r="V569" s="220"/>
    </row>
    <row r="570" spans="1:22" x14ac:dyDescent="0.2">
      <c r="A570" t="s">
        <v>691</v>
      </c>
      <c r="B570" s="101">
        <v>16</v>
      </c>
      <c r="C570" s="101">
        <v>10</v>
      </c>
      <c r="D570" s="101">
        <v>6</v>
      </c>
      <c r="E570" s="101">
        <v>5</v>
      </c>
      <c r="F570" s="101">
        <v>-10</v>
      </c>
      <c r="G570" s="101">
        <v>-47</v>
      </c>
      <c r="H570" s="101">
        <v>-12.1</v>
      </c>
      <c r="I570" s="102">
        <v>0.73</v>
      </c>
      <c r="J570" s="102">
        <v>2.0300000000000002</v>
      </c>
      <c r="K570" s="101">
        <v>21.7</v>
      </c>
      <c r="L570" s="101">
        <v>-0.1</v>
      </c>
      <c r="M570" s="101" t="s">
        <v>1001</v>
      </c>
      <c r="N570" s="101">
        <v>2005</v>
      </c>
      <c r="O570" s="101" t="s">
        <v>633</v>
      </c>
      <c r="P570" s="101">
        <v>539585</v>
      </c>
      <c r="Q570" t="s">
        <v>690</v>
      </c>
      <c r="R570" t="s">
        <v>208</v>
      </c>
      <c r="S570"/>
      <c r="T570"/>
      <c r="U570"/>
      <c r="V570" s="220"/>
    </row>
    <row r="571" spans="1:22" x14ac:dyDescent="0.2">
      <c r="A571" t="s">
        <v>445</v>
      </c>
      <c r="B571" s="101">
        <v>11</v>
      </c>
      <c r="C571" s="101">
        <v>4</v>
      </c>
      <c r="D571" s="101">
        <v>-4</v>
      </c>
      <c r="E571" s="101">
        <v>18</v>
      </c>
      <c r="F571" s="101"/>
      <c r="G571" s="101"/>
      <c r="H571" s="101"/>
      <c r="I571" s="102">
        <v>0.73</v>
      </c>
      <c r="J571" s="102">
        <v>1.4240000000000002</v>
      </c>
      <c r="K571" s="101"/>
      <c r="L571" s="101"/>
      <c r="M571" s="101" t="s">
        <v>1001</v>
      </c>
      <c r="N571" s="101">
        <v>2011</v>
      </c>
      <c r="O571" s="101" t="s">
        <v>753</v>
      </c>
      <c r="P571" s="101">
        <v>255836</v>
      </c>
      <c r="Q571" t="s">
        <v>446</v>
      </c>
      <c r="R571" t="s">
        <v>270</v>
      </c>
      <c r="S571" t="s">
        <v>1024</v>
      </c>
      <c r="T571"/>
      <c r="U571"/>
      <c r="V571" s="220"/>
    </row>
    <row r="572" spans="1:22" x14ac:dyDescent="0.2">
      <c r="A572" t="s">
        <v>374</v>
      </c>
      <c r="B572" s="101">
        <v>17</v>
      </c>
      <c r="C572" s="101">
        <v>11</v>
      </c>
      <c r="D572" s="101">
        <v>4</v>
      </c>
      <c r="E572" s="101">
        <v>10</v>
      </c>
      <c r="F572" s="101">
        <v>-9</v>
      </c>
      <c r="G572" s="101">
        <v>-37</v>
      </c>
      <c r="H572" s="101">
        <v>-8.9</v>
      </c>
      <c r="I572" s="102">
        <v>0.73</v>
      </c>
      <c r="J572" s="102">
        <v>1.8100379999999998</v>
      </c>
      <c r="K572" s="101">
        <v>19.5</v>
      </c>
      <c r="L572" s="101">
        <v>-0.1</v>
      </c>
      <c r="M572" s="101" t="s">
        <v>1002</v>
      </c>
      <c r="N572" s="101">
        <v>2008</v>
      </c>
      <c r="O572" s="101" t="s">
        <v>633</v>
      </c>
      <c r="P572" s="101">
        <v>755090</v>
      </c>
      <c r="Q572" t="s">
        <v>449</v>
      </c>
      <c r="R572" t="s">
        <v>86</v>
      </c>
      <c r="S572"/>
      <c r="T572"/>
      <c r="U572"/>
      <c r="V572" s="220"/>
    </row>
    <row r="573" spans="1:22" x14ac:dyDescent="0.2">
      <c r="A573" t="s">
        <v>188</v>
      </c>
      <c r="B573" s="101">
        <v>17</v>
      </c>
      <c r="C573" s="101">
        <v>5</v>
      </c>
      <c r="D573" s="101">
        <v>-2</v>
      </c>
      <c r="E573" s="101">
        <v>15</v>
      </c>
      <c r="F573" s="101">
        <v>26</v>
      </c>
      <c r="G573" s="101">
        <v>-7</v>
      </c>
      <c r="H573" s="101">
        <v>-1.4000000000000001</v>
      </c>
      <c r="I573" s="102">
        <v>0.73</v>
      </c>
      <c r="J573" s="102">
        <v>1.816573</v>
      </c>
      <c r="K573" s="101">
        <v>11.9</v>
      </c>
      <c r="L573" s="101">
        <v>0.6</v>
      </c>
      <c r="M573" s="101" t="s">
        <v>1002</v>
      </c>
      <c r="N573" s="101">
        <v>2002</v>
      </c>
      <c r="O573" s="101" t="s">
        <v>633</v>
      </c>
      <c r="P573" s="101">
        <v>432153</v>
      </c>
      <c r="Q573" t="s">
        <v>449</v>
      </c>
      <c r="R573" t="s">
        <v>279</v>
      </c>
      <c r="S573"/>
      <c r="T573"/>
      <c r="U573"/>
      <c r="V573" s="220"/>
    </row>
    <row r="574" spans="1:22" x14ac:dyDescent="0.2">
      <c r="A574" t="s">
        <v>39</v>
      </c>
      <c r="B574" s="101">
        <v>16</v>
      </c>
      <c r="C574" s="101">
        <v>4</v>
      </c>
      <c r="D574" s="101">
        <v>-5</v>
      </c>
      <c r="E574" s="101">
        <v>9</v>
      </c>
      <c r="F574" s="101">
        <v>-10</v>
      </c>
      <c r="G574" s="101">
        <v>-31</v>
      </c>
      <c r="H574" s="101">
        <v>-7</v>
      </c>
      <c r="I574" s="102">
        <v>0.73</v>
      </c>
      <c r="J574" s="102">
        <v>1.813515</v>
      </c>
      <c r="K574" s="101">
        <v>21.2</v>
      </c>
      <c r="L574" s="101">
        <v>-0.1</v>
      </c>
      <c r="M574" s="101" t="s">
        <v>1002</v>
      </c>
      <c r="N574" s="101">
        <v>2005</v>
      </c>
      <c r="O574" s="101" t="s">
        <v>633</v>
      </c>
      <c r="P574" s="101">
        <v>390187</v>
      </c>
      <c r="Q574" t="s">
        <v>449</v>
      </c>
      <c r="R574" t="s">
        <v>748</v>
      </c>
      <c r="S574"/>
      <c r="T574"/>
      <c r="U574"/>
      <c r="V574" s="220"/>
    </row>
    <row r="575" spans="1:22" x14ac:dyDescent="0.2">
      <c r="A575" t="s">
        <v>770</v>
      </c>
      <c r="B575" s="101">
        <v>5</v>
      </c>
      <c r="C575" s="101">
        <v>-1</v>
      </c>
      <c r="D575" s="101">
        <v>-4</v>
      </c>
      <c r="E575" s="101">
        <v>5</v>
      </c>
      <c r="F575" s="101">
        <v>2</v>
      </c>
      <c r="G575" s="101"/>
      <c r="H575" s="101"/>
      <c r="I575" s="102">
        <v>0.73</v>
      </c>
      <c r="J575" s="102">
        <v>1.8207</v>
      </c>
      <c r="K575" s="101">
        <v>10.8</v>
      </c>
      <c r="L575" s="101">
        <v>0</v>
      </c>
      <c r="M575" s="101" t="s">
        <v>1002</v>
      </c>
      <c r="N575" s="101">
        <v>2008</v>
      </c>
      <c r="O575" s="101" t="s">
        <v>633</v>
      </c>
      <c r="P575" s="101">
        <v>439299</v>
      </c>
      <c r="Q575" t="s">
        <v>767</v>
      </c>
      <c r="R575" t="s">
        <v>279</v>
      </c>
      <c r="S575" t="s">
        <v>1024</v>
      </c>
      <c r="T575"/>
      <c r="U575"/>
      <c r="V575" s="220"/>
    </row>
    <row r="576" spans="1:22" x14ac:dyDescent="0.2">
      <c r="A576" t="s">
        <v>569</v>
      </c>
      <c r="B576" s="101">
        <v>-4</v>
      </c>
      <c r="C576" s="101">
        <v>-2</v>
      </c>
      <c r="D576" s="101">
        <v>-8</v>
      </c>
      <c r="E576" s="101">
        <v>-6</v>
      </c>
      <c r="F576" s="101">
        <v>-6</v>
      </c>
      <c r="G576" s="101">
        <v>-14</v>
      </c>
      <c r="H576" s="101">
        <v>-3.1</v>
      </c>
      <c r="I576" s="102">
        <v>0.74</v>
      </c>
      <c r="J576" s="102">
        <v>2.08</v>
      </c>
      <c r="K576" s="101">
        <v>16.8</v>
      </c>
      <c r="L576" s="101">
        <v>-0.1</v>
      </c>
      <c r="M576" s="101" t="s">
        <v>1004</v>
      </c>
      <c r="N576" s="101">
        <v>2004</v>
      </c>
      <c r="O576" s="101" t="s">
        <v>633</v>
      </c>
      <c r="P576" s="101">
        <v>661066</v>
      </c>
      <c r="Q576" t="s">
        <v>760</v>
      </c>
      <c r="R576" t="s">
        <v>369</v>
      </c>
      <c r="S576"/>
      <c r="T576"/>
      <c r="U576"/>
      <c r="V576" s="220"/>
    </row>
    <row r="577" spans="1:22" x14ac:dyDescent="0.2">
      <c r="A577" t="s">
        <v>567</v>
      </c>
      <c r="B577" s="101">
        <v>-4</v>
      </c>
      <c r="C577" s="101">
        <v>2</v>
      </c>
      <c r="D577" s="101">
        <v>-5</v>
      </c>
      <c r="E577" s="101">
        <v>-3</v>
      </c>
      <c r="F577" s="101">
        <v>-32</v>
      </c>
      <c r="G577" s="101">
        <v>-59</v>
      </c>
      <c r="H577" s="101">
        <v>-16.3</v>
      </c>
      <c r="I577" s="102">
        <v>0.74</v>
      </c>
      <c r="J577" s="102">
        <v>2.0699999999999998</v>
      </c>
      <c r="K577" s="101">
        <v>12.5</v>
      </c>
      <c r="L577" s="101">
        <v>-1.1000000000000001</v>
      </c>
      <c r="M577" s="101" t="s">
        <v>1004</v>
      </c>
      <c r="N577" s="101">
        <v>2004</v>
      </c>
      <c r="O577" s="101" t="s">
        <v>633</v>
      </c>
      <c r="P577" s="101">
        <v>553578</v>
      </c>
      <c r="Q577" t="s">
        <v>760</v>
      </c>
      <c r="R577" t="s">
        <v>279</v>
      </c>
      <c r="S577"/>
      <c r="T577"/>
      <c r="U577"/>
      <c r="V577" s="220"/>
    </row>
    <row r="578" spans="1:22" x14ac:dyDescent="0.2">
      <c r="A578" t="s">
        <v>565</v>
      </c>
      <c r="B578" s="101">
        <v>-9</v>
      </c>
      <c r="C578" s="101">
        <v>-4</v>
      </c>
      <c r="D578" s="101">
        <v>-8</v>
      </c>
      <c r="E578" s="101">
        <v>-8</v>
      </c>
      <c r="F578" s="101">
        <v>-5</v>
      </c>
      <c r="G578" s="101">
        <v>-26</v>
      </c>
      <c r="H578" s="101">
        <v>-5.9</v>
      </c>
      <c r="I578" s="102">
        <v>0.74</v>
      </c>
      <c r="J578" s="102">
        <v>2.0699999999999998</v>
      </c>
      <c r="K578" s="101">
        <v>16.8</v>
      </c>
      <c r="L578" s="101">
        <v>-0.1</v>
      </c>
      <c r="M578" s="101" t="s">
        <v>1004</v>
      </c>
      <c r="N578" s="101">
        <v>2004</v>
      </c>
      <c r="O578" s="101" t="s">
        <v>633</v>
      </c>
      <c r="P578" s="101">
        <v>517748</v>
      </c>
      <c r="Q578" t="s">
        <v>760</v>
      </c>
      <c r="R578" t="s">
        <v>279</v>
      </c>
      <c r="S578"/>
      <c r="T578"/>
      <c r="U578"/>
      <c r="V578" s="220"/>
    </row>
    <row r="579" spans="1:22" x14ac:dyDescent="0.2">
      <c r="A579" t="s">
        <v>561</v>
      </c>
      <c r="B579" s="101">
        <v>-4</v>
      </c>
      <c r="C579" s="101">
        <v>12</v>
      </c>
      <c r="D579" s="101">
        <v>6</v>
      </c>
      <c r="E579" s="101">
        <v>-9</v>
      </c>
      <c r="F579" s="101">
        <v>15</v>
      </c>
      <c r="G579" s="101">
        <v>6</v>
      </c>
      <c r="H579" s="101">
        <v>1.2</v>
      </c>
      <c r="I579" s="102">
        <v>0.74</v>
      </c>
      <c r="J579" s="102">
        <v>2.0699999999999998</v>
      </c>
      <c r="K579" s="101">
        <v>24</v>
      </c>
      <c r="L579" s="101">
        <v>0.2</v>
      </c>
      <c r="M579" s="101" t="s">
        <v>1004</v>
      </c>
      <c r="N579" s="101">
        <v>2004</v>
      </c>
      <c r="O579" s="101" t="s">
        <v>633</v>
      </c>
      <c r="P579" s="101">
        <v>338590</v>
      </c>
      <c r="Q579" t="s">
        <v>760</v>
      </c>
      <c r="R579" t="s">
        <v>279</v>
      </c>
      <c r="S579"/>
      <c r="T579"/>
      <c r="U579"/>
      <c r="V579" s="220"/>
    </row>
    <row r="580" spans="1:22" x14ac:dyDescent="0.2">
      <c r="A580" t="s">
        <v>564</v>
      </c>
      <c r="B580" s="101">
        <v>-8</v>
      </c>
      <c r="C580" s="101">
        <v>7</v>
      </c>
      <c r="D580" s="101">
        <v>-10</v>
      </c>
      <c r="E580" s="101">
        <v>-13</v>
      </c>
      <c r="F580" s="101">
        <v>-7</v>
      </c>
      <c r="G580" s="101">
        <v>-38</v>
      </c>
      <c r="H580" s="101">
        <v>-9.2000000000000011</v>
      </c>
      <c r="I580" s="102">
        <v>0.74</v>
      </c>
      <c r="J580" s="102">
        <v>2.0699999999999998</v>
      </c>
      <c r="K580" s="101">
        <v>23.8</v>
      </c>
      <c r="L580" s="101">
        <v>0</v>
      </c>
      <c r="M580" s="101" t="s">
        <v>1004</v>
      </c>
      <c r="N580" s="101">
        <v>2004</v>
      </c>
      <c r="O580" s="101" t="s">
        <v>633</v>
      </c>
      <c r="P580" s="101">
        <v>481911</v>
      </c>
      <c r="Q580" t="s">
        <v>760</v>
      </c>
      <c r="R580" t="s">
        <v>279</v>
      </c>
      <c r="S580"/>
      <c r="T580"/>
      <c r="U580"/>
      <c r="V580" s="220"/>
    </row>
    <row r="581" spans="1:22" x14ac:dyDescent="0.2">
      <c r="A581" t="s">
        <v>387</v>
      </c>
      <c r="B581" s="101">
        <v>6</v>
      </c>
      <c r="C581" s="101">
        <v>1</v>
      </c>
      <c r="D581" s="101">
        <v>0</v>
      </c>
      <c r="E581" s="101">
        <v>9</v>
      </c>
      <c r="F581" s="101">
        <v>14</v>
      </c>
      <c r="G581" s="101"/>
      <c r="H581" s="101"/>
      <c r="I581" s="102">
        <v>0.74</v>
      </c>
      <c r="J581" s="102">
        <v>1.67</v>
      </c>
      <c r="K581" s="101">
        <v>6.8</v>
      </c>
      <c r="L581" s="101">
        <v>0.4</v>
      </c>
      <c r="M581" s="101" t="s">
        <v>1002</v>
      </c>
      <c r="N581" s="101">
        <v>2009</v>
      </c>
      <c r="O581" s="101" t="s">
        <v>633</v>
      </c>
      <c r="P581" s="101">
        <v>118000</v>
      </c>
      <c r="Q581" t="s">
        <v>58</v>
      </c>
      <c r="R581" t="s">
        <v>145</v>
      </c>
      <c r="S581"/>
      <c r="T581"/>
      <c r="U581"/>
      <c r="V581" s="220"/>
    </row>
    <row r="582" spans="1:22" x14ac:dyDescent="0.2">
      <c r="A582" t="s">
        <v>997</v>
      </c>
      <c r="B582" s="101">
        <v>4</v>
      </c>
      <c r="C582" s="101">
        <v>0</v>
      </c>
      <c r="D582" s="101">
        <v>-8</v>
      </c>
      <c r="E582" s="101">
        <v>7</v>
      </c>
      <c r="F582" s="101">
        <v>19</v>
      </c>
      <c r="G582" s="101">
        <v>-1</v>
      </c>
      <c r="H582" s="101">
        <v>-0.1</v>
      </c>
      <c r="I582" s="102">
        <v>0.74</v>
      </c>
      <c r="J582" s="102">
        <v>1.83</v>
      </c>
      <c r="K582" s="101">
        <v>14.200000000000001</v>
      </c>
      <c r="L582" s="101">
        <v>0.3</v>
      </c>
      <c r="M582" s="101" t="s">
        <v>1004</v>
      </c>
      <c r="N582" s="101">
        <v>2006</v>
      </c>
      <c r="O582" s="101" t="s">
        <v>633</v>
      </c>
      <c r="P582" s="101">
        <v>401695</v>
      </c>
      <c r="Q582" t="s">
        <v>126</v>
      </c>
      <c r="R582" t="s">
        <v>261</v>
      </c>
      <c r="S582"/>
      <c r="T582"/>
      <c r="U582"/>
      <c r="V582" s="220"/>
    </row>
    <row r="583" spans="1:22" x14ac:dyDescent="0.2">
      <c r="A583" t="s">
        <v>262</v>
      </c>
      <c r="B583" s="101">
        <v>6</v>
      </c>
      <c r="C583" s="101">
        <v>-1</v>
      </c>
      <c r="D583" s="101">
        <v>-8</v>
      </c>
      <c r="E583" s="101">
        <v>3</v>
      </c>
      <c r="F583" s="101">
        <v>7</v>
      </c>
      <c r="G583" s="101">
        <v>-15</v>
      </c>
      <c r="H583" s="101">
        <v>-3.1</v>
      </c>
      <c r="I583" s="102">
        <v>0.74</v>
      </c>
      <c r="J583" s="102">
        <v>1.8227309999999999</v>
      </c>
      <c r="K583" s="101">
        <v>14.5</v>
      </c>
      <c r="L583" s="101">
        <v>0.1</v>
      </c>
      <c r="M583" s="101" t="s">
        <v>1002</v>
      </c>
      <c r="N583" s="101">
        <v>2002</v>
      </c>
      <c r="O583" s="101" t="s">
        <v>633</v>
      </c>
      <c r="P583" s="101">
        <v>360495</v>
      </c>
      <c r="Q583" t="s">
        <v>449</v>
      </c>
      <c r="R583" t="s">
        <v>261</v>
      </c>
      <c r="S583"/>
      <c r="T583"/>
      <c r="U583"/>
      <c r="V583" s="220"/>
    </row>
    <row r="584" spans="1:22" x14ac:dyDescent="0.2">
      <c r="A584" t="s">
        <v>711</v>
      </c>
      <c r="B584" s="101">
        <v>7</v>
      </c>
      <c r="C584" s="101">
        <v>0</v>
      </c>
      <c r="D584" s="101">
        <v>-1</v>
      </c>
      <c r="E584" s="101">
        <v>10</v>
      </c>
      <c r="F584" s="101">
        <v>22</v>
      </c>
      <c r="G584" s="101">
        <v>7</v>
      </c>
      <c r="H584" s="101">
        <v>1.3</v>
      </c>
      <c r="I584" s="102">
        <v>0.74</v>
      </c>
      <c r="J584" s="102">
        <v>1.83</v>
      </c>
      <c r="K584" s="101">
        <v>13</v>
      </c>
      <c r="L584" s="101">
        <v>0.5</v>
      </c>
      <c r="M584" s="101" t="s">
        <v>1006</v>
      </c>
      <c r="N584" s="101">
        <v>2008</v>
      </c>
      <c r="O584" s="101" t="s">
        <v>633</v>
      </c>
      <c r="P584" s="101">
        <v>192146</v>
      </c>
      <c r="Q584" t="s">
        <v>752</v>
      </c>
      <c r="R584" t="s">
        <v>226</v>
      </c>
      <c r="S584"/>
      <c r="T584"/>
      <c r="U584"/>
      <c r="V584" s="220"/>
    </row>
    <row r="585" spans="1:22" x14ac:dyDescent="0.2">
      <c r="A585" t="s">
        <v>260</v>
      </c>
      <c r="B585" s="101">
        <v>10</v>
      </c>
      <c r="C585" s="101">
        <v>10</v>
      </c>
      <c r="D585" s="101">
        <v>-7</v>
      </c>
      <c r="E585" s="101">
        <v>6</v>
      </c>
      <c r="F585" s="101">
        <v>-3</v>
      </c>
      <c r="G585" s="101">
        <v>-25</v>
      </c>
      <c r="H585" s="101">
        <v>-5.6000000000000005</v>
      </c>
      <c r="I585" s="102">
        <v>0.74</v>
      </c>
      <c r="J585" s="102">
        <v>1.83</v>
      </c>
      <c r="K585" s="101">
        <v>19</v>
      </c>
      <c r="L585" s="101">
        <v>-0.1</v>
      </c>
      <c r="M585" s="101" t="s">
        <v>1002</v>
      </c>
      <c r="N585" s="101">
        <v>2000</v>
      </c>
      <c r="O585" s="101" t="s">
        <v>633</v>
      </c>
      <c r="P585" s="101">
        <v>182584</v>
      </c>
      <c r="Q585" t="s">
        <v>259</v>
      </c>
      <c r="R585" t="s">
        <v>239</v>
      </c>
      <c r="S585"/>
      <c r="T585"/>
      <c r="U585"/>
      <c r="V585" s="220"/>
    </row>
    <row r="586" spans="1:22" x14ac:dyDescent="0.2">
      <c r="A586" t="s">
        <v>737</v>
      </c>
      <c r="B586" s="101">
        <v>16</v>
      </c>
      <c r="C586" s="101">
        <v>2</v>
      </c>
      <c r="D586" s="101">
        <v>3</v>
      </c>
      <c r="E586" s="101">
        <v>16</v>
      </c>
      <c r="F586" s="101">
        <v>30</v>
      </c>
      <c r="G586" s="101">
        <v>-11</v>
      </c>
      <c r="H586" s="101">
        <v>-2.3000000000000003</v>
      </c>
      <c r="I586" s="102">
        <v>0.74</v>
      </c>
      <c r="J586" s="102">
        <v>1.84</v>
      </c>
      <c r="K586" s="101">
        <v>10.9</v>
      </c>
      <c r="L586" s="101">
        <v>0.70000000000000007</v>
      </c>
      <c r="M586" s="101" t="s">
        <v>1002</v>
      </c>
      <c r="N586" s="101">
        <v>2010</v>
      </c>
      <c r="O586" s="101" t="s">
        <v>633</v>
      </c>
      <c r="P586" s="101">
        <v>558882</v>
      </c>
      <c r="Q586" t="s">
        <v>126</v>
      </c>
      <c r="R586" t="s">
        <v>279</v>
      </c>
      <c r="S586"/>
      <c r="T586"/>
      <c r="U586"/>
      <c r="V586" s="220"/>
    </row>
    <row r="587" spans="1:22" x14ac:dyDescent="0.2">
      <c r="A587" t="s">
        <v>191</v>
      </c>
      <c r="B587" s="101">
        <v>10</v>
      </c>
      <c r="C587" s="101">
        <v>1</v>
      </c>
      <c r="D587" s="101">
        <v>7</v>
      </c>
      <c r="E587" s="101">
        <v>20</v>
      </c>
      <c r="F587" s="101">
        <v>26</v>
      </c>
      <c r="G587" s="101">
        <v>64</v>
      </c>
      <c r="H587" s="101">
        <v>10.4</v>
      </c>
      <c r="I587" s="102">
        <v>0.74</v>
      </c>
      <c r="J587" s="102">
        <v>1.931</v>
      </c>
      <c r="K587" s="101">
        <v>11.6</v>
      </c>
      <c r="L587" s="101">
        <v>0.6</v>
      </c>
      <c r="M587" s="101" t="s">
        <v>1004</v>
      </c>
      <c r="N587" s="101">
        <v>2003</v>
      </c>
      <c r="O587" s="101" t="s">
        <v>633</v>
      </c>
      <c r="P587" s="101">
        <v>173435</v>
      </c>
      <c r="Q587" t="s">
        <v>423</v>
      </c>
      <c r="R587" t="s">
        <v>626</v>
      </c>
      <c r="S587"/>
      <c r="T587"/>
      <c r="U587"/>
      <c r="V587" s="220"/>
    </row>
    <row r="588" spans="1:22" x14ac:dyDescent="0.2">
      <c r="A588" t="s">
        <v>93</v>
      </c>
      <c r="B588" s="101">
        <v>19</v>
      </c>
      <c r="C588" s="101">
        <v>8</v>
      </c>
      <c r="D588" s="101">
        <v>-1</v>
      </c>
      <c r="E588" s="101">
        <v>16</v>
      </c>
      <c r="F588" s="101">
        <v>16</v>
      </c>
      <c r="G588" s="101">
        <v>-19</v>
      </c>
      <c r="H588" s="101">
        <v>-4.2</v>
      </c>
      <c r="I588" s="102">
        <v>0.75</v>
      </c>
      <c r="J588" s="102">
        <v>1.857348</v>
      </c>
      <c r="K588" s="101">
        <v>16.5</v>
      </c>
      <c r="L588" s="101">
        <v>0.3</v>
      </c>
      <c r="M588" s="101" t="s">
        <v>1002</v>
      </c>
      <c r="N588" s="101">
        <v>2004</v>
      </c>
      <c r="O588" s="101" t="s">
        <v>633</v>
      </c>
      <c r="P588" s="101">
        <v>452755</v>
      </c>
      <c r="Q588" t="s">
        <v>449</v>
      </c>
      <c r="R588" t="s">
        <v>92</v>
      </c>
      <c r="S588"/>
      <c r="T588"/>
      <c r="U588"/>
      <c r="V588" s="220"/>
    </row>
    <row r="589" spans="1:22" x14ac:dyDescent="0.2">
      <c r="A589" t="s">
        <v>273</v>
      </c>
      <c r="B589" s="101">
        <v>11</v>
      </c>
      <c r="C589" s="101">
        <v>3</v>
      </c>
      <c r="D589" s="101">
        <v>6</v>
      </c>
      <c r="E589" s="101">
        <v>21</v>
      </c>
      <c r="F589" s="101">
        <v>20</v>
      </c>
      <c r="G589" s="101">
        <v>14</v>
      </c>
      <c r="H589" s="101">
        <v>2.7</v>
      </c>
      <c r="I589" s="102">
        <v>0.75</v>
      </c>
      <c r="J589" s="102">
        <v>1.87</v>
      </c>
      <c r="K589" s="101">
        <v>9.8000000000000007</v>
      </c>
      <c r="L589" s="101">
        <v>0.5</v>
      </c>
      <c r="M589" s="101" t="s">
        <v>1002</v>
      </c>
      <c r="N589" s="101">
        <v>2002</v>
      </c>
      <c r="O589" s="101" t="s">
        <v>633</v>
      </c>
      <c r="P589" s="101">
        <v>231753</v>
      </c>
      <c r="Q589" t="s">
        <v>259</v>
      </c>
      <c r="R589" t="s">
        <v>270</v>
      </c>
      <c r="S589"/>
      <c r="T589"/>
      <c r="U589"/>
      <c r="V589" s="220"/>
    </row>
    <row r="590" spans="1:22" x14ac:dyDescent="0.2">
      <c r="A590" t="s">
        <v>936</v>
      </c>
      <c r="B590" s="101">
        <v>16</v>
      </c>
      <c r="C590" s="101">
        <v>3</v>
      </c>
      <c r="D590" s="101">
        <v>4</v>
      </c>
      <c r="E590" s="101"/>
      <c r="F590" s="101"/>
      <c r="G590" s="101"/>
      <c r="H590" s="101"/>
      <c r="I590" s="102">
        <v>0.75</v>
      </c>
      <c r="J590" s="102">
        <v>2.0238100000000001</v>
      </c>
      <c r="K590" s="101"/>
      <c r="L590" s="101"/>
      <c r="M590" s="101" t="s">
        <v>1001</v>
      </c>
      <c r="N590" s="101">
        <v>2011</v>
      </c>
      <c r="O590" s="101" t="s">
        <v>753</v>
      </c>
      <c r="P590" s="101">
        <v>320176</v>
      </c>
      <c r="Q590" t="s">
        <v>838</v>
      </c>
      <c r="R590" t="s">
        <v>279</v>
      </c>
      <c r="S590"/>
      <c r="T590"/>
      <c r="U590"/>
      <c r="V590" s="220"/>
    </row>
    <row r="591" spans="1:22" x14ac:dyDescent="0.2">
      <c r="A591" t="s">
        <v>738</v>
      </c>
      <c r="B591" s="101">
        <v>5</v>
      </c>
      <c r="C591" s="101">
        <v>2</v>
      </c>
      <c r="D591" s="101">
        <v>-4</v>
      </c>
      <c r="E591" s="101">
        <v>11</v>
      </c>
      <c r="F591" s="101">
        <v>-28</v>
      </c>
      <c r="G591" s="101"/>
      <c r="H591" s="101"/>
      <c r="I591" s="102">
        <v>0.75</v>
      </c>
      <c r="J591" s="102">
        <v>1.85</v>
      </c>
      <c r="K591" s="101">
        <v>20.2</v>
      </c>
      <c r="L591" s="101">
        <v>-0.5</v>
      </c>
      <c r="M591" s="101" t="s">
        <v>1002</v>
      </c>
      <c r="N591" s="101">
        <v>2010</v>
      </c>
      <c r="O591" s="101" t="s">
        <v>633</v>
      </c>
      <c r="P591" s="101">
        <v>630541</v>
      </c>
      <c r="Q591" t="s">
        <v>126</v>
      </c>
      <c r="R591" t="s">
        <v>161</v>
      </c>
      <c r="S591"/>
      <c r="T591"/>
      <c r="U591"/>
      <c r="V591" s="220"/>
    </row>
    <row r="592" spans="1:22" x14ac:dyDescent="0.2">
      <c r="A592" t="s">
        <v>799</v>
      </c>
      <c r="B592" s="101">
        <v>16</v>
      </c>
      <c r="C592" s="101">
        <v>6</v>
      </c>
      <c r="D592" s="101">
        <v>-2</v>
      </c>
      <c r="E592" s="101">
        <v>9</v>
      </c>
      <c r="F592" s="101">
        <v>19</v>
      </c>
      <c r="G592" s="101">
        <v>-18</v>
      </c>
      <c r="H592" s="101">
        <v>-4</v>
      </c>
      <c r="I592" s="102">
        <v>0.75</v>
      </c>
      <c r="J592" s="102">
        <v>1.98</v>
      </c>
      <c r="K592" s="101">
        <v>16.100000000000001</v>
      </c>
      <c r="L592" s="101">
        <v>0.4</v>
      </c>
      <c r="M592" s="101" t="s">
        <v>1002</v>
      </c>
      <c r="N592" s="101">
        <v>2005</v>
      </c>
      <c r="O592" s="101" t="s">
        <v>633</v>
      </c>
      <c r="P592" s="101">
        <v>116293</v>
      </c>
      <c r="Q592" t="s">
        <v>88</v>
      </c>
      <c r="R592" t="s">
        <v>92</v>
      </c>
      <c r="S592"/>
      <c r="T592"/>
      <c r="U592"/>
      <c r="V592" s="220"/>
    </row>
    <row r="593" spans="1:22" x14ac:dyDescent="0.2">
      <c r="A593" t="s">
        <v>741</v>
      </c>
      <c r="B593" s="101">
        <v>10</v>
      </c>
      <c r="C593" s="101">
        <v>8</v>
      </c>
      <c r="D593" s="101">
        <v>7</v>
      </c>
      <c r="E593" s="101">
        <v>8</v>
      </c>
      <c r="F593" s="101">
        <v>4</v>
      </c>
      <c r="G593" s="101">
        <v>-7</v>
      </c>
      <c r="H593" s="101">
        <v>-1.4000000000000001</v>
      </c>
      <c r="I593" s="102">
        <v>0.75</v>
      </c>
      <c r="J593" s="102">
        <v>1.87</v>
      </c>
      <c r="K593" s="101">
        <v>13.200000000000001</v>
      </c>
      <c r="L593" s="101">
        <v>0</v>
      </c>
      <c r="M593" s="101" t="s">
        <v>1002</v>
      </c>
      <c r="N593" s="101">
        <v>2010</v>
      </c>
      <c r="O593" s="101" t="s">
        <v>633</v>
      </c>
      <c r="P593" s="101">
        <v>773861</v>
      </c>
      <c r="Q593" t="s">
        <v>126</v>
      </c>
      <c r="R593" t="s">
        <v>44</v>
      </c>
      <c r="S593"/>
      <c r="T593"/>
      <c r="U593"/>
      <c r="V593" s="220"/>
    </row>
    <row r="594" spans="1:22" x14ac:dyDescent="0.2">
      <c r="A594" t="s">
        <v>736</v>
      </c>
      <c r="B594" s="101">
        <v>10</v>
      </c>
      <c r="C594" s="101">
        <v>5</v>
      </c>
      <c r="D594" s="101">
        <v>-1</v>
      </c>
      <c r="E594" s="101">
        <v>9</v>
      </c>
      <c r="F594" s="101">
        <v>10</v>
      </c>
      <c r="G594" s="101">
        <v>-9</v>
      </c>
      <c r="H594" s="101">
        <v>-2</v>
      </c>
      <c r="I594" s="102">
        <v>0.75</v>
      </c>
      <c r="J594" s="102">
        <v>1.85</v>
      </c>
      <c r="K594" s="101">
        <v>11</v>
      </c>
      <c r="L594" s="101">
        <v>0.1</v>
      </c>
      <c r="M594" s="101" t="s">
        <v>1002</v>
      </c>
      <c r="N594" s="101">
        <v>2010</v>
      </c>
      <c r="O594" s="101" t="s">
        <v>633</v>
      </c>
      <c r="P594" s="101">
        <v>523050</v>
      </c>
      <c r="Q594" t="s">
        <v>126</v>
      </c>
      <c r="R594" t="s">
        <v>145</v>
      </c>
      <c r="S594"/>
      <c r="T594"/>
      <c r="U594"/>
      <c r="V594" s="220"/>
    </row>
    <row r="595" spans="1:22" x14ac:dyDescent="0.2">
      <c r="A595" t="s">
        <v>317</v>
      </c>
      <c r="B595" s="101">
        <v>5</v>
      </c>
      <c r="C595" s="101">
        <v>5</v>
      </c>
      <c r="D595" s="101">
        <v>0</v>
      </c>
      <c r="E595" s="101">
        <v>3</v>
      </c>
      <c r="F595" s="101">
        <v>-7</v>
      </c>
      <c r="G595" s="101">
        <v>-15</v>
      </c>
      <c r="H595" s="101">
        <v>-3.2</v>
      </c>
      <c r="I595" s="102">
        <v>0.75</v>
      </c>
      <c r="J595" s="102">
        <v>1.92</v>
      </c>
      <c r="K595" s="101">
        <v>13.4</v>
      </c>
      <c r="L595" s="101">
        <v>-0.2</v>
      </c>
      <c r="M595" s="101" t="s">
        <v>1002</v>
      </c>
      <c r="N595" s="101">
        <v>2010</v>
      </c>
      <c r="O595" s="101" t="s">
        <v>633</v>
      </c>
      <c r="P595" s="101">
        <v>131342</v>
      </c>
      <c r="Q595" t="s">
        <v>303</v>
      </c>
      <c r="R595" t="s">
        <v>301</v>
      </c>
      <c r="S595"/>
      <c r="T595"/>
      <c r="U595"/>
      <c r="V595" s="220"/>
    </row>
    <row r="596" spans="1:22" x14ac:dyDescent="0.2">
      <c r="A596" t="s">
        <v>1021</v>
      </c>
      <c r="B596" s="101">
        <v>2</v>
      </c>
      <c r="C596" s="101">
        <v>0</v>
      </c>
      <c r="D596" s="101">
        <v>0</v>
      </c>
      <c r="E596" s="101"/>
      <c r="F596" s="101"/>
      <c r="G596" s="101"/>
      <c r="H596" s="101"/>
      <c r="I596" s="102">
        <v>0.76</v>
      </c>
      <c r="J596" s="102">
        <v>1.9000000000000001</v>
      </c>
      <c r="K596" s="101"/>
      <c r="L596" s="101"/>
      <c r="M596" s="101" t="s">
        <v>1001</v>
      </c>
      <c r="N596" s="101">
        <v>2012</v>
      </c>
      <c r="O596" s="101" t="s">
        <v>753</v>
      </c>
      <c r="P596" s="101">
        <v>187898</v>
      </c>
      <c r="Q596" t="s">
        <v>674</v>
      </c>
      <c r="R596" t="s">
        <v>301</v>
      </c>
      <c r="S596"/>
      <c r="T596"/>
      <c r="U596"/>
      <c r="V596" s="220"/>
    </row>
    <row r="597" spans="1:22" x14ac:dyDescent="0.2">
      <c r="A597" t="s">
        <v>1012</v>
      </c>
      <c r="B597" s="101">
        <v>6</v>
      </c>
      <c r="C597" s="101">
        <v>4</v>
      </c>
      <c r="D597" s="101">
        <v>-2</v>
      </c>
      <c r="E597" s="101">
        <v>6</v>
      </c>
      <c r="F597" s="101">
        <v>7</v>
      </c>
      <c r="G597" s="101">
        <v>-25</v>
      </c>
      <c r="H597" s="101">
        <v>-5.6000000000000005</v>
      </c>
      <c r="I597" s="102">
        <v>0.76</v>
      </c>
      <c r="J597" s="102">
        <v>1.9000000000000001</v>
      </c>
      <c r="K597" s="101">
        <v>14</v>
      </c>
      <c r="L597" s="101">
        <v>0.1</v>
      </c>
      <c r="M597" s="101" t="s">
        <v>1004</v>
      </c>
      <c r="N597" s="101">
        <v>2000</v>
      </c>
      <c r="O597" s="101" t="s">
        <v>633</v>
      </c>
      <c r="P597" s="101">
        <v>992099</v>
      </c>
      <c r="Q597" t="s">
        <v>126</v>
      </c>
      <c r="R597" t="s">
        <v>131</v>
      </c>
      <c r="S597"/>
      <c r="T597"/>
      <c r="U597"/>
      <c r="V597" s="220"/>
    </row>
    <row r="598" spans="1:22" x14ac:dyDescent="0.2">
      <c r="A598" t="s">
        <v>168</v>
      </c>
      <c r="B598" s="101">
        <v>4</v>
      </c>
      <c r="C598" s="101">
        <v>3</v>
      </c>
      <c r="D598" s="101">
        <v>-5</v>
      </c>
      <c r="E598" s="101">
        <v>1</v>
      </c>
      <c r="F598" s="101">
        <v>-4</v>
      </c>
      <c r="G598" s="101">
        <v>-31</v>
      </c>
      <c r="H598" s="101">
        <v>-7.2</v>
      </c>
      <c r="I598" s="102">
        <v>0.76</v>
      </c>
      <c r="J598" s="102">
        <v>1.9000000000000001</v>
      </c>
      <c r="K598" s="101">
        <v>15.700000000000001</v>
      </c>
      <c r="L598" s="101">
        <v>-0.1</v>
      </c>
      <c r="M598" s="101" t="s">
        <v>1004</v>
      </c>
      <c r="N598" s="101">
        <v>2001</v>
      </c>
      <c r="O598" s="101" t="s">
        <v>633</v>
      </c>
      <c r="P598" s="101">
        <v>828111</v>
      </c>
      <c r="Q598" t="s">
        <v>126</v>
      </c>
      <c r="R598" t="s">
        <v>161</v>
      </c>
      <c r="S598"/>
      <c r="T598"/>
      <c r="U598"/>
      <c r="V598" s="220"/>
    </row>
    <row r="599" spans="1:22" x14ac:dyDescent="0.2">
      <c r="A599" t="s">
        <v>772</v>
      </c>
      <c r="B599" s="101">
        <v>7</v>
      </c>
      <c r="C599" s="101">
        <v>2</v>
      </c>
      <c r="D599" s="101">
        <v>-3</v>
      </c>
      <c r="E599" s="101">
        <v>5</v>
      </c>
      <c r="F599" s="101">
        <v>0</v>
      </c>
      <c r="G599" s="101">
        <v>-26</v>
      </c>
      <c r="H599" s="101">
        <v>-5.7</v>
      </c>
      <c r="I599" s="102">
        <v>0.76</v>
      </c>
      <c r="J599" s="102">
        <v>1.8853000000000002</v>
      </c>
      <c r="K599" s="101">
        <v>14.1</v>
      </c>
      <c r="L599" s="101">
        <v>0</v>
      </c>
      <c r="M599" s="101" t="s">
        <v>1004</v>
      </c>
      <c r="N599" s="101">
        <v>2008</v>
      </c>
      <c r="O599" s="101" t="s">
        <v>633</v>
      </c>
      <c r="P599" s="101">
        <v>295972</v>
      </c>
      <c r="Q599" t="s">
        <v>767</v>
      </c>
      <c r="R599" t="s">
        <v>161</v>
      </c>
      <c r="S599"/>
      <c r="T599"/>
      <c r="U599"/>
      <c r="V599" s="220"/>
    </row>
    <row r="600" spans="1:22" x14ac:dyDescent="0.2">
      <c r="A600" t="s">
        <v>739</v>
      </c>
      <c r="B600" s="101">
        <v>12</v>
      </c>
      <c r="C600" s="101">
        <v>8</v>
      </c>
      <c r="D600" s="101">
        <v>3</v>
      </c>
      <c r="E600" s="101">
        <v>12</v>
      </c>
      <c r="F600" s="101">
        <v>5</v>
      </c>
      <c r="G600" s="101">
        <v>-14</v>
      </c>
      <c r="H600" s="101">
        <v>-2.9</v>
      </c>
      <c r="I600" s="102">
        <v>0.76</v>
      </c>
      <c r="J600" s="102">
        <v>1.8900000000000001</v>
      </c>
      <c r="K600" s="101">
        <v>14.9</v>
      </c>
      <c r="L600" s="101">
        <v>0</v>
      </c>
      <c r="M600" s="101" t="s">
        <v>1004</v>
      </c>
      <c r="N600" s="101">
        <v>2010</v>
      </c>
      <c r="O600" s="101" t="s">
        <v>633</v>
      </c>
      <c r="P600" s="101">
        <v>666370</v>
      </c>
      <c r="Q600" t="s">
        <v>126</v>
      </c>
      <c r="R600" t="s">
        <v>367</v>
      </c>
      <c r="S600"/>
      <c r="T600"/>
      <c r="U600"/>
      <c r="V600" s="220"/>
    </row>
    <row r="601" spans="1:22" x14ac:dyDescent="0.2">
      <c r="A601" t="s">
        <v>192</v>
      </c>
      <c r="B601" s="101">
        <v>14</v>
      </c>
      <c r="C601" s="101">
        <v>6</v>
      </c>
      <c r="D601" s="101">
        <v>4</v>
      </c>
      <c r="E601" s="101">
        <v>10</v>
      </c>
      <c r="F601" s="101">
        <v>2</v>
      </c>
      <c r="G601" s="101">
        <v>-33</v>
      </c>
      <c r="H601" s="101">
        <v>-7.7</v>
      </c>
      <c r="I601" s="102">
        <v>0.76</v>
      </c>
      <c r="J601" s="102">
        <v>1.901</v>
      </c>
      <c r="K601" s="101">
        <v>13.8</v>
      </c>
      <c r="L601" s="101">
        <v>0</v>
      </c>
      <c r="M601" s="101" t="s">
        <v>1002</v>
      </c>
      <c r="N601" s="101">
        <v>2000</v>
      </c>
      <c r="O601" s="101" t="s">
        <v>633</v>
      </c>
      <c r="P601" s="101">
        <v>475897</v>
      </c>
      <c r="Q601" t="s">
        <v>423</v>
      </c>
      <c r="R601" t="s">
        <v>44</v>
      </c>
      <c r="S601"/>
      <c r="T601"/>
      <c r="U601"/>
      <c r="V601" s="220"/>
    </row>
    <row r="602" spans="1:22" x14ac:dyDescent="0.2">
      <c r="A602" t="s">
        <v>144</v>
      </c>
      <c r="B602" s="101">
        <v>5</v>
      </c>
      <c r="C602" s="101">
        <v>5</v>
      </c>
      <c r="D602" s="101">
        <v>-6</v>
      </c>
      <c r="E602" s="101">
        <v>3</v>
      </c>
      <c r="F602" s="101">
        <v>-15</v>
      </c>
      <c r="G602" s="101">
        <v>-42</v>
      </c>
      <c r="H602" s="101">
        <v>-10.3</v>
      </c>
      <c r="I602" s="102">
        <v>0.76</v>
      </c>
      <c r="J602" s="102">
        <v>1.9000000000000001</v>
      </c>
      <c r="K602" s="101">
        <v>19</v>
      </c>
      <c r="L602" s="101">
        <v>-0.3</v>
      </c>
      <c r="M602" s="101" t="s">
        <v>1004</v>
      </c>
      <c r="N602" s="101">
        <v>2000</v>
      </c>
      <c r="O602" s="101" t="s">
        <v>633</v>
      </c>
      <c r="P602" s="101">
        <v>233585</v>
      </c>
      <c r="Q602" t="s">
        <v>782</v>
      </c>
      <c r="R602" t="s">
        <v>367</v>
      </c>
      <c r="S602"/>
      <c r="T602"/>
      <c r="U602"/>
      <c r="V602" s="220"/>
    </row>
    <row r="603" spans="1:22" x14ac:dyDescent="0.2">
      <c r="A603" t="s">
        <v>169</v>
      </c>
      <c r="B603" s="101">
        <v>6</v>
      </c>
      <c r="C603" s="101">
        <v>0</v>
      </c>
      <c r="D603" s="101">
        <v>-4</v>
      </c>
      <c r="E603" s="101">
        <v>5</v>
      </c>
      <c r="F603" s="101">
        <v>7</v>
      </c>
      <c r="G603" s="101">
        <v>-14</v>
      </c>
      <c r="H603" s="101">
        <v>-3.1</v>
      </c>
      <c r="I603" s="102">
        <v>0.76</v>
      </c>
      <c r="J603" s="102">
        <v>1.9000000000000001</v>
      </c>
      <c r="K603" s="101">
        <v>14.700000000000001</v>
      </c>
      <c r="L603" s="101">
        <v>0.1</v>
      </c>
      <c r="M603" s="101" t="s">
        <v>1004</v>
      </c>
      <c r="N603" s="101">
        <v>2000</v>
      </c>
      <c r="O603" s="101" t="s">
        <v>633</v>
      </c>
      <c r="P603" s="101">
        <v>305243</v>
      </c>
      <c r="Q603" t="s">
        <v>782</v>
      </c>
      <c r="R603" t="s">
        <v>161</v>
      </c>
      <c r="S603"/>
      <c r="T603"/>
      <c r="U603"/>
      <c r="V603" s="220"/>
    </row>
    <row r="604" spans="1:22" x14ac:dyDescent="0.2">
      <c r="A604" t="s">
        <v>232</v>
      </c>
      <c r="B604" s="101">
        <v>-5</v>
      </c>
      <c r="C604" s="101">
        <v>-3</v>
      </c>
      <c r="D604" s="101">
        <v>-9</v>
      </c>
      <c r="E604" s="101">
        <v>-2</v>
      </c>
      <c r="F604" s="101">
        <v>-10</v>
      </c>
      <c r="G604" s="101">
        <v>-32</v>
      </c>
      <c r="H604" s="101">
        <v>-7.5</v>
      </c>
      <c r="I604" s="102">
        <v>0.76</v>
      </c>
      <c r="J604" s="102">
        <v>1.9000000000000001</v>
      </c>
      <c r="K604" s="101">
        <v>15.1</v>
      </c>
      <c r="L604" s="101">
        <v>-0.3</v>
      </c>
      <c r="M604" s="101" t="s">
        <v>1006</v>
      </c>
      <c r="N604" s="101">
        <v>2000</v>
      </c>
      <c r="O604" s="101" t="s">
        <v>633</v>
      </c>
      <c r="P604" s="101">
        <v>275495</v>
      </c>
      <c r="Q604" t="s">
        <v>782</v>
      </c>
      <c r="R604" t="s">
        <v>226</v>
      </c>
      <c r="S604"/>
      <c r="T604"/>
      <c r="U604"/>
      <c r="V604" s="220"/>
    </row>
    <row r="605" spans="1:22" x14ac:dyDescent="0.2">
      <c r="A605" t="s">
        <v>860</v>
      </c>
      <c r="B605" s="101">
        <v>-8</v>
      </c>
      <c r="C605" s="101">
        <v>1</v>
      </c>
      <c r="D605" s="101">
        <v>-9</v>
      </c>
      <c r="E605" s="101">
        <v>-12</v>
      </c>
      <c r="F605" s="101">
        <v>-13</v>
      </c>
      <c r="G605" s="101"/>
      <c r="H605" s="101"/>
      <c r="I605" s="102">
        <v>0.76</v>
      </c>
      <c r="J605" s="102">
        <v>1.95</v>
      </c>
      <c r="K605" s="101">
        <v>13.4</v>
      </c>
      <c r="L605" s="101">
        <v>-0.4</v>
      </c>
      <c r="M605" s="101" t="s">
        <v>1002</v>
      </c>
      <c r="N605" s="101">
        <v>2008</v>
      </c>
      <c r="O605" s="101" t="s">
        <v>633</v>
      </c>
      <c r="P605" s="101">
        <v>698605</v>
      </c>
      <c r="Q605" t="s">
        <v>718</v>
      </c>
      <c r="R605" t="s">
        <v>279</v>
      </c>
      <c r="S605"/>
      <c r="T605"/>
      <c r="U605"/>
      <c r="V605" s="220"/>
    </row>
    <row r="606" spans="1:22" x14ac:dyDescent="0.2">
      <c r="A606" t="s">
        <v>167</v>
      </c>
      <c r="B606" s="101">
        <v>1</v>
      </c>
      <c r="C606" s="101">
        <v>4</v>
      </c>
      <c r="D606" s="101">
        <v>-5</v>
      </c>
      <c r="E606" s="101">
        <v>-4</v>
      </c>
      <c r="F606" s="101">
        <v>-8</v>
      </c>
      <c r="G606" s="101">
        <v>-17</v>
      </c>
      <c r="H606" s="101">
        <v>-3.7</v>
      </c>
      <c r="I606" s="102">
        <v>0.76</v>
      </c>
      <c r="J606" s="102">
        <v>1.9000000000000001</v>
      </c>
      <c r="K606" s="101">
        <v>17.100000000000001</v>
      </c>
      <c r="L606" s="101">
        <v>-0.2</v>
      </c>
      <c r="M606" s="101" t="s">
        <v>1004</v>
      </c>
      <c r="N606" s="101">
        <v>2000</v>
      </c>
      <c r="O606" s="101" t="s">
        <v>633</v>
      </c>
      <c r="P606" s="101">
        <v>956268</v>
      </c>
      <c r="Q606" t="s">
        <v>126</v>
      </c>
      <c r="R606" t="s">
        <v>369</v>
      </c>
      <c r="S606"/>
      <c r="T606"/>
      <c r="U606"/>
      <c r="V606" s="220"/>
    </row>
    <row r="607" spans="1:22" x14ac:dyDescent="0.2">
      <c r="A607" t="s">
        <v>995</v>
      </c>
      <c r="B607" s="101">
        <v>7</v>
      </c>
      <c r="C607" s="101">
        <v>5</v>
      </c>
      <c r="D607" s="101">
        <v>-3</v>
      </c>
      <c r="E607" s="101">
        <v>8</v>
      </c>
      <c r="F607" s="101">
        <v>-1</v>
      </c>
      <c r="G607" s="101">
        <v>-21</v>
      </c>
      <c r="H607" s="101">
        <v>-4.5</v>
      </c>
      <c r="I607" s="102">
        <v>0.77</v>
      </c>
      <c r="J607" s="102">
        <v>2.39</v>
      </c>
      <c r="K607" s="101">
        <v>13.9</v>
      </c>
      <c r="L607" s="101">
        <v>-0.1</v>
      </c>
      <c r="M607" s="101" t="s">
        <v>1002</v>
      </c>
      <c r="N607" s="101">
        <v>2006</v>
      </c>
      <c r="O607" s="101" t="s">
        <v>633</v>
      </c>
      <c r="P607" s="101">
        <v>218297</v>
      </c>
      <c r="Q607" t="s">
        <v>880</v>
      </c>
      <c r="R607" t="s">
        <v>131</v>
      </c>
      <c r="S607"/>
      <c r="T607"/>
      <c r="U607"/>
      <c r="V607" s="220"/>
    </row>
    <row r="608" spans="1:22" x14ac:dyDescent="0.2">
      <c r="A608" t="s">
        <v>688</v>
      </c>
      <c r="B608" s="101">
        <v>10</v>
      </c>
      <c r="C608" s="101">
        <v>7</v>
      </c>
      <c r="D608" s="101">
        <v>-2</v>
      </c>
      <c r="E608" s="101">
        <v>12</v>
      </c>
      <c r="F608" s="101">
        <v>-1</v>
      </c>
      <c r="G608" s="101">
        <v>-28</v>
      </c>
      <c r="H608" s="101">
        <v>-6.4</v>
      </c>
      <c r="I608" s="102">
        <v>0.77</v>
      </c>
      <c r="J608" s="102">
        <v>2.573</v>
      </c>
      <c r="K608" s="101">
        <v>13</v>
      </c>
      <c r="L608" s="101">
        <v>-0.1</v>
      </c>
      <c r="M608" s="101" t="s">
        <v>1001</v>
      </c>
      <c r="N608" s="101">
        <v>2007</v>
      </c>
      <c r="O608" s="101" t="s">
        <v>753</v>
      </c>
      <c r="P608" s="101">
        <v>102897</v>
      </c>
      <c r="Q608" t="s">
        <v>501</v>
      </c>
      <c r="R608" t="s">
        <v>44</v>
      </c>
      <c r="S608"/>
      <c r="T608"/>
      <c r="U608"/>
      <c r="V608" s="220"/>
    </row>
    <row r="609" spans="1:22" x14ac:dyDescent="0.2">
      <c r="A609" t="s">
        <v>228</v>
      </c>
      <c r="B609" s="101">
        <v>8</v>
      </c>
      <c r="C609" s="101">
        <v>2</v>
      </c>
      <c r="D609" s="101">
        <v>-2</v>
      </c>
      <c r="E609" s="101">
        <v>6</v>
      </c>
      <c r="F609" s="101">
        <v>-24</v>
      </c>
      <c r="G609" s="101">
        <v>-53</v>
      </c>
      <c r="H609" s="101">
        <v>-14</v>
      </c>
      <c r="I609" s="102">
        <v>0.77</v>
      </c>
      <c r="J609" s="102">
        <v>2.0699999999999998</v>
      </c>
      <c r="K609" s="101">
        <v>13</v>
      </c>
      <c r="L609" s="101">
        <v>-0.70000000000000007</v>
      </c>
      <c r="M609" s="101" t="s">
        <v>1002</v>
      </c>
      <c r="N609" s="101">
        <v>2007</v>
      </c>
      <c r="O609" s="101" t="s">
        <v>633</v>
      </c>
      <c r="P609" s="101">
        <v>118067</v>
      </c>
      <c r="Q609" t="s">
        <v>88</v>
      </c>
      <c r="R609" t="s">
        <v>145</v>
      </c>
      <c r="S609" t="s">
        <v>1024</v>
      </c>
      <c r="T609"/>
      <c r="U609"/>
      <c r="V609" s="220"/>
    </row>
    <row r="610" spans="1:22" x14ac:dyDescent="0.2">
      <c r="A610" t="s">
        <v>1078</v>
      </c>
      <c r="B610" s="101">
        <v>3</v>
      </c>
      <c r="C610" s="101">
        <v>8</v>
      </c>
      <c r="D610" s="101">
        <v>-9</v>
      </c>
      <c r="E610" s="101">
        <v>-5</v>
      </c>
      <c r="F610" s="101">
        <v>-14</v>
      </c>
      <c r="G610" s="101">
        <v>-35</v>
      </c>
      <c r="H610" s="101">
        <v>-8.4</v>
      </c>
      <c r="I610" s="102">
        <v>0.77</v>
      </c>
      <c r="J610" s="102">
        <v>2.08</v>
      </c>
      <c r="K610" s="101">
        <v>19.8</v>
      </c>
      <c r="L610" s="101">
        <v>-0.2</v>
      </c>
      <c r="M610" s="101" t="s">
        <v>1002</v>
      </c>
      <c r="N610" s="101">
        <v>2000</v>
      </c>
      <c r="O610" s="101" t="s">
        <v>633</v>
      </c>
      <c r="P610" s="101">
        <v>570044</v>
      </c>
      <c r="Q610" t="s">
        <v>766</v>
      </c>
      <c r="R610" t="s">
        <v>239</v>
      </c>
      <c r="S610"/>
      <c r="T610"/>
      <c r="U610"/>
      <c r="V610" s="220"/>
    </row>
    <row r="611" spans="1:22" x14ac:dyDescent="0.2">
      <c r="A611" t="s">
        <v>339</v>
      </c>
      <c r="B611" s="101">
        <v>9</v>
      </c>
      <c r="C611" s="101">
        <v>6</v>
      </c>
      <c r="D611" s="101">
        <v>1</v>
      </c>
      <c r="E611" s="101">
        <v>4</v>
      </c>
      <c r="F611" s="101">
        <v>-8</v>
      </c>
      <c r="G611" s="101">
        <v>-38</v>
      </c>
      <c r="H611" s="101">
        <v>-9.2000000000000011</v>
      </c>
      <c r="I611" s="102">
        <v>0.78</v>
      </c>
      <c r="J611" s="102">
        <v>2.15</v>
      </c>
      <c r="K611" s="101">
        <v>14.4</v>
      </c>
      <c r="L611" s="101">
        <v>-0.2</v>
      </c>
      <c r="M611" s="101" t="s">
        <v>1002</v>
      </c>
      <c r="N611" s="101">
        <v>2011</v>
      </c>
      <c r="O611" s="101" t="s">
        <v>633</v>
      </c>
      <c r="P611" s="101">
        <v>954198</v>
      </c>
      <c r="Q611" t="s">
        <v>812</v>
      </c>
      <c r="R611" t="s">
        <v>44</v>
      </c>
      <c r="S611"/>
      <c r="T611"/>
      <c r="U611"/>
      <c r="V611" s="220"/>
    </row>
    <row r="612" spans="1:22" x14ac:dyDescent="0.2">
      <c r="A612" t="s">
        <v>708</v>
      </c>
      <c r="B612" s="101">
        <v>14</v>
      </c>
      <c r="C612" s="101">
        <v>4</v>
      </c>
      <c r="D612" s="101">
        <v>0</v>
      </c>
      <c r="E612" s="101">
        <v>19</v>
      </c>
      <c r="F612" s="101">
        <v>25</v>
      </c>
      <c r="G612" s="101">
        <v>5</v>
      </c>
      <c r="H612" s="101">
        <v>1</v>
      </c>
      <c r="I612" s="102">
        <v>0.78</v>
      </c>
      <c r="J612" s="102">
        <v>2</v>
      </c>
      <c r="K612" s="101">
        <v>17.3</v>
      </c>
      <c r="L612" s="101">
        <v>0.4</v>
      </c>
      <c r="M612" s="101" t="s">
        <v>1003</v>
      </c>
      <c r="N612" s="101">
        <v>2002</v>
      </c>
      <c r="O612" s="101" t="s">
        <v>633</v>
      </c>
      <c r="P612" s="101">
        <v>450981</v>
      </c>
      <c r="Q612" t="s">
        <v>707</v>
      </c>
      <c r="R612" t="s">
        <v>671</v>
      </c>
      <c r="S612"/>
      <c r="T612"/>
      <c r="U612"/>
      <c r="V612" s="220"/>
    </row>
    <row r="613" spans="1:22" x14ac:dyDescent="0.2">
      <c r="A613" t="s">
        <v>328</v>
      </c>
      <c r="B613" s="101">
        <v>10</v>
      </c>
      <c r="C613" s="101">
        <v>-2</v>
      </c>
      <c r="D613" s="101">
        <v>-6</v>
      </c>
      <c r="E613" s="101">
        <v>5</v>
      </c>
      <c r="F613" s="101">
        <v>48</v>
      </c>
      <c r="G613" s="101">
        <v>20</v>
      </c>
      <c r="H613" s="101">
        <v>3.7</v>
      </c>
      <c r="I613" s="102">
        <v>0.78</v>
      </c>
      <c r="J613" s="102">
        <v>2.15</v>
      </c>
      <c r="K613" s="101">
        <v>16.2</v>
      </c>
      <c r="L613" s="101">
        <v>0.8</v>
      </c>
      <c r="M613" s="101" t="s">
        <v>1004</v>
      </c>
      <c r="N613" s="101">
        <v>2011</v>
      </c>
      <c r="O613" s="101" t="s">
        <v>633</v>
      </c>
      <c r="P613" s="101">
        <v>233346</v>
      </c>
      <c r="Q613" t="s">
        <v>812</v>
      </c>
      <c r="R613" t="s">
        <v>279</v>
      </c>
      <c r="S613"/>
      <c r="T613"/>
      <c r="U613"/>
      <c r="V613" s="220"/>
    </row>
    <row r="614" spans="1:22" x14ac:dyDescent="0.2">
      <c r="A614" t="s">
        <v>338</v>
      </c>
      <c r="B614" s="101">
        <v>-6</v>
      </c>
      <c r="C614" s="101">
        <v>7</v>
      </c>
      <c r="D614" s="101">
        <v>0</v>
      </c>
      <c r="E614" s="101">
        <v>-9</v>
      </c>
      <c r="F614" s="101">
        <v>1</v>
      </c>
      <c r="G614" s="101"/>
      <c r="H614" s="101"/>
      <c r="I614" s="102">
        <v>0.78</v>
      </c>
      <c r="J614" s="102">
        <v>2.15</v>
      </c>
      <c r="K614" s="101">
        <v>15.8</v>
      </c>
      <c r="L614" s="101">
        <v>0</v>
      </c>
      <c r="M614" s="101" t="s">
        <v>1004</v>
      </c>
      <c r="N614" s="101">
        <v>2011</v>
      </c>
      <c r="O614" s="101" t="s">
        <v>633</v>
      </c>
      <c r="P614" s="101">
        <v>918367</v>
      </c>
      <c r="Q614" t="s">
        <v>812</v>
      </c>
      <c r="R614" t="s">
        <v>279</v>
      </c>
      <c r="S614"/>
      <c r="T614"/>
      <c r="U614"/>
      <c r="V614" s="220"/>
    </row>
    <row r="615" spans="1:22" x14ac:dyDescent="0.2">
      <c r="A615" t="s">
        <v>335</v>
      </c>
      <c r="B615" s="101">
        <v>6</v>
      </c>
      <c r="C615" s="101">
        <v>0</v>
      </c>
      <c r="D615" s="101">
        <v>-5</v>
      </c>
      <c r="E615" s="101">
        <v>11</v>
      </c>
      <c r="F615" s="101">
        <v>31</v>
      </c>
      <c r="G615" s="101">
        <v>10</v>
      </c>
      <c r="H615" s="101">
        <v>1.8</v>
      </c>
      <c r="I615" s="102">
        <v>0.78</v>
      </c>
      <c r="J615" s="102">
        <v>0</v>
      </c>
      <c r="K615" s="101">
        <v>10.8</v>
      </c>
      <c r="L615" s="101">
        <v>0.70000000000000007</v>
      </c>
      <c r="M615" s="101" t="s">
        <v>1004</v>
      </c>
      <c r="N615" s="101">
        <v>2011</v>
      </c>
      <c r="O615" s="101" t="s">
        <v>633</v>
      </c>
      <c r="P615" s="101">
        <v>882530</v>
      </c>
      <c r="Q615" t="s">
        <v>812</v>
      </c>
      <c r="R615" t="s">
        <v>370</v>
      </c>
      <c r="S615"/>
      <c r="T615"/>
      <c r="U615"/>
      <c r="V615" s="220"/>
    </row>
    <row r="616" spans="1:22" x14ac:dyDescent="0.2">
      <c r="A616" t="s">
        <v>334</v>
      </c>
      <c r="B616" s="101">
        <v>0</v>
      </c>
      <c r="C616" s="101">
        <v>1</v>
      </c>
      <c r="D616" s="101">
        <v>-12</v>
      </c>
      <c r="E616" s="101">
        <v>-2</v>
      </c>
      <c r="F616" s="101">
        <v>20</v>
      </c>
      <c r="G616" s="101">
        <v>-17</v>
      </c>
      <c r="H616" s="101">
        <v>-3.6</v>
      </c>
      <c r="I616" s="102">
        <v>0.78</v>
      </c>
      <c r="J616" s="102">
        <v>0</v>
      </c>
      <c r="K616" s="101">
        <v>14.5</v>
      </c>
      <c r="L616" s="101">
        <v>0.4</v>
      </c>
      <c r="M616" s="101" t="s">
        <v>1004</v>
      </c>
      <c r="N616" s="101">
        <v>2011</v>
      </c>
      <c r="O616" s="101" t="s">
        <v>633</v>
      </c>
      <c r="P616" s="101">
        <v>846709</v>
      </c>
      <c r="Q616" t="s">
        <v>812</v>
      </c>
      <c r="R616" t="s">
        <v>102</v>
      </c>
      <c r="S616"/>
      <c r="T616"/>
      <c r="U616"/>
      <c r="V616" s="220"/>
    </row>
    <row r="617" spans="1:22" x14ac:dyDescent="0.2">
      <c r="A617" t="s">
        <v>327</v>
      </c>
      <c r="B617" s="101">
        <v>10</v>
      </c>
      <c r="C617" s="101">
        <v>2</v>
      </c>
      <c r="D617" s="101">
        <v>1</v>
      </c>
      <c r="E617" s="101">
        <v>15</v>
      </c>
      <c r="F617" s="101">
        <v>24</v>
      </c>
      <c r="G617" s="101">
        <v>-13</v>
      </c>
      <c r="H617" s="101">
        <v>-2.8000000000000003</v>
      </c>
      <c r="I617" s="102">
        <v>0.78</v>
      </c>
      <c r="J617" s="102">
        <v>2.15</v>
      </c>
      <c r="K617" s="101">
        <v>12.8</v>
      </c>
      <c r="L617" s="101">
        <v>0.5</v>
      </c>
      <c r="M617" s="101" t="s">
        <v>1004</v>
      </c>
      <c r="N617" s="101">
        <v>2011</v>
      </c>
      <c r="O617" s="101" t="s">
        <v>633</v>
      </c>
      <c r="P617" s="101">
        <v>197517</v>
      </c>
      <c r="Q617" t="s">
        <v>812</v>
      </c>
      <c r="R617" t="s">
        <v>102</v>
      </c>
      <c r="S617"/>
      <c r="T617"/>
      <c r="U617"/>
      <c r="V617" s="220"/>
    </row>
    <row r="618" spans="1:22" x14ac:dyDescent="0.2">
      <c r="A618" t="s">
        <v>591</v>
      </c>
      <c r="B618" s="101">
        <v>12</v>
      </c>
      <c r="C618" s="101">
        <v>4</v>
      </c>
      <c r="D618" s="101">
        <v>-2</v>
      </c>
      <c r="E618" s="101">
        <v>6</v>
      </c>
      <c r="F618" s="101">
        <v>2</v>
      </c>
      <c r="G618" s="101">
        <v>-37</v>
      </c>
      <c r="H618" s="101">
        <v>-8.8000000000000007</v>
      </c>
      <c r="I618" s="102">
        <v>0.78</v>
      </c>
      <c r="J618" s="102">
        <v>2.2000000000000002</v>
      </c>
      <c r="K618" s="101">
        <v>21</v>
      </c>
      <c r="L618" s="101">
        <v>0.1</v>
      </c>
      <c r="M618" s="101" t="s">
        <v>1002</v>
      </c>
      <c r="N618" s="101">
        <v>2004</v>
      </c>
      <c r="O618" s="101" t="s">
        <v>633</v>
      </c>
      <c r="P618" s="101">
        <v>987784</v>
      </c>
      <c r="Q618" t="s">
        <v>760</v>
      </c>
      <c r="R618" t="s">
        <v>208</v>
      </c>
      <c r="S618"/>
      <c r="T618"/>
      <c r="U618"/>
      <c r="V618" s="220"/>
    </row>
    <row r="619" spans="1:22" x14ac:dyDescent="0.2">
      <c r="A619" t="s">
        <v>1053</v>
      </c>
      <c r="B619" s="101"/>
      <c r="C619" s="101">
        <v>2</v>
      </c>
      <c r="D619" s="101">
        <v>3</v>
      </c>
      <c r="E619" s="101"/>
      <c r="F619" s="101"/>
      <c r="G619" s="101"/>
      <c r="H619" s="101"/>
      <c r="I619" s="102">
        <v>0.78</v>
      </c>
      <c r="J619" s="102">
        <v>2</v>
      </c>
      <c r="K619" s="101"/>
      <c r="L619" s="101"/>
      <c r="M619" s="101" t="s">
        <v>1001</v>
      </c>
      <c r="N619" s="101">
        <v>2012</v>
      </c>
      <c r="O619" s="101" t="s">
        <v>633</v>
      </c>
      <c r="P619" s="101">
        <v>883710</v>
      </c>
      <c r="Q619" t="s">
        <v>1025</v>
      </c>
      <c r="R619" t="s">
        <v>301</v>
      </c>
      <c r="S619"/>
      <c r="T619"/>
      <c r="U619"/>
      <c r="V619" s="220"/>
    </row>
    <row r="620" spans="1:22" x14ac:dyDescent="0.2">
      <c r="A620" t="s">
        <v>883</v>
      </c>
      <c r="B620" s="101">
        <v>11</v>
      </c>
      <c r="C620" s="101">
        <v>2</v>
      </c>
      <c r="D620" s="101">
        <v>0</v>
      </c>
      <c r="E620" s="101">
        <v>10</v>
      </c>
      <c r="F620" s="101">
        <v>11</v>
      </c>
      <c r="G620" s="101"/>
      <c r="H620" s="101"/>
      <c r="I620" s="102">
        <v>0.78</v>
      </c>
      <c r="J620" s="102">
        <v>2.09</v>
      </c>
      <c r="K620" s="101">
        <v>13.9</v>
      </c>
      <c r="L620" s="101">
        <v>0.2</v>
      </c>
      <c r="M620" s="101" t="s">
        <v>1004</v>
      </c>
      <c r="N620" s="101">
        <v>2009</v>
      </c>
      <c r="O620" s="101" t="s">
        <v>633</v>
      </c>
      <c r="P620" s="101">
        <v>817601</v>
      </c>
      <c r="Q620" t="s">
        <v>88</v>
      </c>
      <c r="R620" t="s">
        <v>131</v>
      </c>
      <c r="S620"/>
      <c r="T620"/>
      <c r="U620"/>
      <c r="V620" s="220"/>
    </row>
    <row r="621" spans="1:22" x14ac:dyDescent="0.2">
      <c r="A621" t="s">
        <v>716</v>
      </c>
      <c r="B621" s="101">
        <v>4</v>
      </c>
      <c r="C621" s="101">
        <v>1</v>
      </c>
      <c r="D621" s="101">
        <v>1</v>
      </c>
      <c r="E621" s="101">
        <v>6</v>
      </c>
      <c r="F621" s="101">
        <v>1</v>
      </c>
      <c r="G621" s="101">
        <v>2</v>
      </c>
      <c r="H621" s="101">
        <v>0.4</v>
      </c>
      <c r="I621" s="102">
        <v>0.78</v>
      </c>
      <c r="J621" s="102">
        <v>1.955376</v>
      </c>
      <c r="K621" s="101">
        <v>8.6</v>
      </c>
      <c r="L621" s="101">
        <v>-0.1</v>
      </c>
      <c r="M621" s="101" t="s">
        <v>1002</v>
      </c>
      <c r="N621" s="101">
        <v>2003</v>
      </c>
      <c r="O621" s="101" t="s">
        <v>633</v>
      </c>
      <c r="P621" s="101">
        <v>532325</v>
      </c>
      <c r="Q621" t="s">
        <v>800</v>
      </c>
      <c r="R621" t="s">
        <v>145</v>
      </c>
      <c r="S621"/>
      <c r="T621"/>
      <c r="U621"/>
      <c r="V621" s="220"/>
    </row>
    <row r="622" spans="1:22" x14ac:dyDescent="0.2">
      <c r="A622" t="s">
        <v>873</v>
      </c>
      <c r="B622" s="101">
        <v>6</v>
      </c>
      <c r="C622" s="101">
        <v>7</v>
      </c>
      <c r="D622" s="101">
        <v>-1</v>
      </c>
      <c r="E622" s="101">
        <v>5</v>
      </c>
      <c r="F622" s="101">
        <v>-17</v>
      </c>
      <c r="G622" s="101">
        <v>-41</v>
      </c>
      <c r="H622" s="101">
        <v>-10</v>
      </c>
      <c r="I622" s="102">
        <v>0.78</v>
      </c>
      <c r="J622" s="102">
        <v>2</v>
      </c>
      <c r="K622" s="101">
        <v>15.200000000000001</v>
      </c>
      <c r="L622" s="101">
        <v>-0.5</v>
      </c>
      <c r="M622" s="101" t="s">
        <v>1001</v>
      </c>
      <c r="N622" s="101">
        <v>2000</v>
      </c>
      <c r="O622" s="101" t="s">
        <v>753</v>
      </c>
      <c r="P622" s="101">
        <v>688457</v>
      </c>
      <c r="Q622" t="s">
        <v>836</v>
      </c>
      <c r="R622" t="s">
        <v>367</v>
      </c>
      <c r="S622"/>
      <c r="T622"/>
      <c r="U622"/>
      <c r="V622" s="220"/>
    </row>
    <row r="623" spans="1:22" x14ac:dyDescent="0.2">
      <c r="A623" t="s">
        <v>224</v>
      </c>
      <c r="B623" s="101">
        <v>15</v>
      </c>
      <c r="C623" s="101">
        <v>14</v>
      </c>
      <c r="D623" s="101">
        <v>3</v>
      </c>
      <c r="E623" s="101">
        <v>2</v>
      </c>
      <c r="F623" s="101">
        <v>-31</v>
      </c>
      <c r="G623" s="101">
        <v>-69</v>
      </c>
      <c r="H623" s="101">
        <v>-21</v>
      </c>
      <c r="I623" s="102">
        <v>0.78</v>
      </c>
      <c r="J623" s="102">
        <v>2.4300000000000002</v>
      </c>
      <c r="K623" s="101">
        <v>19.5</v>
      </c>
      <c r="L623" s="101">
        <v>-0.6</v>
      </c>
      <c r="M623" s="101" t="s">
        <v>1001</v>
      </c>
      <c r="N623" s="101">
        <v>2004</v>
      </c>
      <c r="O623" s="101" t="s">
        <v>753</v>
      </c>
      <c r="P623" s="101">
        <v>872382</v>
      </c>
      <c r="Q623" t="s">
        <v>212</v>
      </c>
      <c r="R623" t="s">
        <v>208</v>
      </c>
      <c r="S623"/>
      <c r="T623"/>
      <c r="U623"/>
      <c r="V623" s="220"/>
    </row>
    <row r="624" spans="1:22" x14ac:dyDescent="0.2">
      <c r="A624" t="s">
        <v>705</v>
      </c>
      <c r="B624" s="101">
        <v>10</v>
      </c>
      <c r="C624" s="101">
        <v>2</v>
      </c>
      <c r="D624" s="101">
        <v>-3</v>
      </c>
      <c r="E624" s="101">
        <v>13</v>
      </c>
      <c r="F624" s="101">
        <v>16</v>
      </c>
      <c r="G624" s="101">
        <v>-1</v>
      </c>
      <c r="H624" s="101">
        <v>-0.3</v>
      </c>
      <c r="I624" s="102">
        <v>0.78</v>
      </c>
      <c r="J624" s="102">
        <v>1.74</v>
      </c>
      <c r="K624" s="101">
        <v>17.5</v>
      </c>
      <c r="L624" s="101">
        <v>0.3</v>
      </c>
      <c r="M624" s="101" t="s">
        <v>1001</v>
      </c>
      <c r="N624" s="101">
        <v>2001</v>
      </c>
      <c r="O624" s="101" t="s">
        <v>753</v>
      </c>
      <c r="P624" s="101">
        <v>170423</v>
      </c>
      <c r="Q624" t="s">
        <v>704</v>
      </c>
      <c r="R624" t="s">
        <v>671</v>
      </c>
      <c r="S624"/>
      <c r="T624"/>
      <c r="U624"/>
      <c r="V624" s="220"/>
    </row>
    <row r="625" spans="1:22" x14ac:dyDescent="0.2">
      <c r="A625" t="s">
        <v>400</v>
      </c>
      <c r="B625" s="101">
        <v>8</v>
      </c>
      <c r="C625" s="101">
        <v>4</v>
      </c>
      <c r="D625" s="101">
        <v>1</v>
      </c>
      <c r="E625" s="101">
        <v>6</v>
      </c>
      <c r="F625" s="101">
        <v>6</v>
      </c>
      <c r="G625" s="101"/>
      <c r="H625" s="101"/>
      <c r="I625" s="102">
        <v>0.78</v>
      </c>
      <c r="J625" s="102">
        <v>2.1</v>
      </c>
      <c r="K625" s="101">
        <v>10.5</v>
      </c>
      <c r="L625" s="101">
        <v>0.1</v>
      </c>
      <c r="M625" s="101" t="s">
        <v>1002</v>
      </c>
      <c r="N625" s="101">
        <v>2008</v>
      </c>
      <c r="O625" s="101" t="s">
        <v>633</v>
      </c>
      <c r="P625" s="101">
        <v>306894</v>
      </c>
      <c r="Q625" t="s">
        <v>362</v>
      </c>
      <c r="R625" t="s">
        <v>145</v>
      </c>
      <c r="S625"/>
      <c r="T625"/>
      <c r="U625"/>
      <c r="V625" s="220"/>
    </row>
    <row r="626" spans="1:22" x14ac:dyDescent="0.2">
      <c r="A626" t="s">
        <v>271</v>
      </c>
      <c r="B626" s="101">
        <v>30</v>
      </c>
      <c r="C626" s="101">
        <v>-1</v>
      </c>
      <c r="D626" s="101">
        <v>11</v>
      </c>
      <c r="E626" s="101">
        <v>40</v>
      </c>
      <c r="F626" s="101">
        <v>67</v>
      </c>
      <c r="G626" s="101">
        <v>61</v>
      </c>
      <c r="H626" s="101">
        <v>10</v>
      </c>
      <c r="I626" s="102">
        <v>0.78</v>
      </c>
      <c r="J626" s="102">
        <v>2.1</v>
      </c>
      <c r="K626" s="101">
        <v>15</v>
      </c>
      <c r="L626" s="101">
        <v>1.1000000000000001</v>
      </c>
      <c r="M626" s="101" t="s">
        <v>1004</v>
      </c>
      <c r="N626" s="101">
        <v>2000</v>
      </c>
      <c r="O626" s="101" t="s">
        <v>633</v>
      </c>
      <c r="P626" s="101">
        <v>364158</v>
      </c>
      <c r="Q626" t="s">
        <v>88</v>
      </c>
      <c r="R626" t="s">
        <v>371</v>
      </c>
      <c r="S626"/>
      <c r="T626"/>
      <c r="U626"/>
      <c r="V626" s="220"/>
    </row>
    <row r="627" spans="1:22" x14ac:dyDescent="0.2">
      <c r="A627" t="s">
        <v>281</v>
      </c>
      <c r="B627" s="101">
        <v>8</v>
      </c>
      <c r="C627" s="101">
        <v>4</v>
      </c>
      <c r="D627" s="101">
        <v>-1</v>
      </c>
      <c r="E627" s="101">
        <v>11</v>
      </c>
      <c r="F627" s="101">
        <v>14</v>
      </c>
      <c r="G627" s="101">
        <v>-10</v>
      </c>
      <c r="H627" s="101">
        <v>-2.2000000000000002</v>
      </c>
      <c r="I627" s="102">
        <v>0.78</v>
      </c>
      <c r="J627" s="102">
        <v>2.08</v>
      </c>
      <c r="K627" s="101">
        <v>11.8</v>
      </c>
      <c r="L627" s="101">
        <v>0.3</v>
      </c>
      <c r="M627" s="101" t="s">
        <v>1007</v>
      </c>
      <c r="N627" s="101">
        <v>2000</v>
      </c>
      <c r="O627" s="101" t="s">
        <v>633</v>
      </c>
      <c r="P627" s="101">
        <v>435818</v>
      </c>
      <c r="Q627" t="s">
        <v>88</v>
      </c>
      <c r="R627" t="s">
        <v>145</v>
      </c>
      <c r="S627" t="s">
        <v>1024</v>
      </c>
      <c r="T627"/>
      <c r="U627"/>
      <c r="V627" s="220"/>
    </row>
    <row r="628" spans="1:22" x14ac:dyDescent="0.2">
      <c r="A628" t="s">
        <v>879</v>
      </c>
      <c r="B628" s="101">
        <v>7</v>
      </c>
      <c r="C628" s="101">
        <v>-1</v>
      </c>
      <c r="D628" s="101">
        <v>-7</v>
      </c>
      <c r="E628" s="101">
        <v>7</v>
      </c>
      <c r="F628" s="101">
        <v>14</v>
      </c>
      <c r="G628" s="101">
        <v>-1</v>
      </c>
      <c r="H628" s="101">
        <v>-0.1</v>
      </c>
      <c r="I628" s="102">
        <v>0.78</v>
      </c>
      <c r="J628" s="102">
        <v>2.09</v>
      </c>
      <c r="K628" s="101">
        <v>14.1</v>
      </c>
      <c r="L628" s="101">
        <v>0.3</v>
      </c>
      <c r="M628" s="101" t="s">
        <v>1004</v>
      </c>
      <c r="N628" s="101">
        <v>2000</v>
      </c>
      <c r="O628" s="101" t="s">
        <v>633</v>
      </c>
      <c r="P628" s="101">
        <v>614966</v>
      </c>
      <c r="Q628" t="s">
        <v>88</v>
      </c>
      <c r="R628" t="s">
        <v>261</v>
      </c>
      <c r="S628"/>
      <c r="T628"/>
      <c r="U628"/>
      <c r="V628" s="220"/>
    </row>
    <row r="629" spans="1:22" x14ac:dyDescent="0.2">
      <c r="A629" t="s">
        <v>272</v>
      </c>
      <c r="B629" s="101">
        <v>11</v>
      </c>
      <c r="C629" s="101">
        <v>3</v>
      </c>
      <c r="D629" s="101">
        <v>5</v>
      </c>
      <c r="E629" s="101">
        <v>20</v>
      </c>
      <c r="F629" s="101">
        <v>21</v>
      </c>
      <c r="G629" s="101">
        <v>7</v>
      </c>
      <c r="H629" s="101">
        <v>1.4000000000000001</v>
      </c>
      <c r="I629" s="102">
        <v>0.78</v>
      </c>
      <c r="J629" s="102">
        <v>2.1</v>
      </c>
      <c r="K629" s="101">
        <v>10.8</v>
      </c>
      <c r="L629" s="101">
        <v>0.5</v>
      </c>
      <c r="M629" s="101" t="s">
        <v>1004</v>
      </c>
      <c r="N629" s="101">
        <v>2000</v>
      </c>
      <c r="O629" s="101" t="s">
        <v>633</v>
      </c>
      <c r="P629" s="101">
        <v>579136</v>
      </c>
      <c r="Q629" t="s">
        <v>88</v>
      </c>
      <c r="R629" t="s">
        <v>270</v>
      </c>
      <c r="S629"/>
      <c r="T629"/>
      <c r="U629"/>
      <c r="V629" s="220"/>
    </row>
    <row r="630" spans="1:22" x14ac:dyDescent="0.2">
      <c r="A630" t="s">
        <v>243</v>
      </c>
      <c r="B630" s="101">
        <v>10</v>
      </c>
      <c r="C630" s="101">
        <v>0</v>
      </c>
      <c r="D630" s="101">
        <v>-4</v>
      </c>
      <c r="E630" s="101">
        <v>14</v>
      </c>
      <c r="F630" s="101">
        <v>36</v>
      </c>
      <c r="G630" s="101">
        <v>15</v>
      </c>
      <c r="H630" s="101">
        <v>2.9</v>
      </c>
      <c r="I630" s="102">
        <v>0.78</v>
      </c>
      <c r="J630" s="102">
        <v>2.08</v>
      </c>
      <c r="K630" s="101">
        <v>12.9</v>
      </c>
      <c r="L630" s="101">
        <v>0.70000000000000007</v>
      </c>
      <c r="M630" s="101" t="s">
        <v>1004</v>
      </c>
      <c r="N630" s="101">
        <v>2008</v>
      </c>
      <c r="O630" s="101" t="s">
        <v>633</v>
      </c>
      <c r="P630" s="101">
        <v>626945</v>
      </c>
      <c r="Q630" t="s">
        <v>88</v>
      </c>
      <c r="R630" t="s">
        <v>102</v>
      </c>
      <c r="S630"/>
      <c r="T630"/>
      <c r="U630"/>
      <c r="V630" s="220"/>
    </row>
    <row r="631" spans="1:22" x14ac:dyDescent="0.2">
      <c r="A631" t="s">
        <v>881</v>
      </c>
      <c r="B631" s="101">
        <v>12</v>
      </c>
      <c r="C631" s="101">
        <v>8</v>
      </c>
      <c r="D631" s="101">
        <v>4</v>
      </c>
      <c r="E631" s="101">
        <v>8</v>
      </c>
      <c r="F631" s="101">
        <v>-4</v>
      </c>
      <c r="G631" s="101">
        <v>16</v>
      </c>
      <c r="H631" s="101">
        <v>3.1</v>
      </c>
      <c r="I631" s="102">
        <v>0.78</v>
      </c>
      <c r="J631" s="102">
        <v>2.0499999999999998</v>
      </c>
      <c r="K631" s="101">
        <v>7.3</v>
      </c>
      <c r="L631" s="101">
        <v>-0.4</v>
      </c>
      <c r="M631" s="101" t="s">
        <v>1002</v>
      </c>
      <c r="N631" s="101">
        <v>2009</v>
      </c>
      <c r="O631" s="101" t="s">
        <v>633</v>
      </c>
      <c r="P631" s="101">
        <v>838268</v>
      </c>
      <c r="Q631" t="s">
        <v>358</v>
      </c>
      <c r="R631" t="s">
        <v>615</v>
      </c>
      <c r="S631"/>
      <c r="T631"/>
      <c r="U631"/>
      <c r="V631" s="220"/>
    </row>
    <row r="632" spans="1:22" x14ac:dyDescent="0.2">
      <c r="A632" t="s">
        <v>45</v>
      </c>
      <c r="B632" s="101">
        <v>22</v>
      </c>
      <c r="C632" s="101">
        <v>8</v>
      </c>
      <c r="D632" s="101">
        <v>3</v>
      </c>
      <c r="E632" s="101">
        <v>22</v>
      </c>
      <c r="F632" s="101">
        <v>16</v>
      </c>
      <c r="G632" s="101">
        <v>-27</v>
      </c>
      <c r="H632" s="101">
        <v>-6</v>
      </c>
      <c r="I632" s="102">
        <v>0.78</v>
      </c>
      <c r="J632" s="102">
        <v>2</v>
      </c>
      <c r="K632" s="101">
        <v>17.900000000000002</v>
      </c>
      <c r="L632" s="101">
        <v>0.3</v>
      </c>
      <c r="M632" s="101" t="s">
        <v>1003</v>
      </c>
      <c r="N632" s="101">
        <v>2006</v>
      </c>
      <c r="O632" s="101" t="s">
        <v>633</v>
      </c>
      <c r="P632" s="101">
        <v>280867</v>
      </c>
      <c r="Q632" t="s">
        <v>707</v>
      </c>
      <c r="R632" t="s">
        <v>44</v>
      </c>
      <c r="S632"/>
      <c r="T632"/>
      <c r="U632"/>
      <c r="V632" s="220"/>
    </row>
    <row r="633" spans="1:22" x14ac:dyDescent="0.2">
      <c r="A633" t="s">
        <v>94</v>
      </c>
      <c r="B633" s="101">
        <v>28</v>
      </c>
      <c r="C633" s="101">
        <v>13</v>
      </c>
      <c r="D633" s="101">
        <v>2</v>
      </c>
      <c r="E633" s="101">
        <v>25</v>
      </c>
      <c r="F633" s="101">
        <v>12</v>
      </c>
      <c r="G633" s="101">
        <v>-29</v>
      </c>
      <c r="H633" s="101">
        <v>-6.6000000000000005</v>
      </c>
      <c r="I633" s="102">
        <v>0.78</v>
      </c>
      <c r="J633" s="102">
        <v>2</v>
      </c>
      <c r="K633" s="101">
        <v>19.600000000000001</v>
      </c>
      <c r="L633" s="101">
        <v>0.2</v>
      </c>
      <c r="M633" s="101" t="s">
        <v>1003</v>
      </c>
      <c r="N633" s="101">
        <v>2006</v>
      </c>
      <c r="O633" s="101" t="s">
        <v>633</v>
      </c>
      <c r="P633" s="101">
        <v>316695</v>
      </c>
      <c r="Q633" t="s">
        <v>707</v>
      </c>
      <c r="R633" t="s">
        <v>92</v>
      </c>
      <c r="S633"/>
      <c r="T633"/>
      <c r="U633"/>
      <c r="V633" s="220"/>
    </row>
    <row r="634" spans="1:22" x14ac:dyDescent="0.2">
      <c r="A634" t="s">
        <v>254</v>
      </c>
      <c r="B634" s="101">
        <v>13</v>
      </c>
      <c r="C634" s="101">
        <v>8</v>
      </c>
      <c r="D634" s="101">
        <v>-8</v>
      </c>
      <c r="E634" s="101">
        <v>10</v>
      </c>
      <c r="F634" s="101">
        <v>-1</v>
      </c>
      <c r="G634" s="101">
        <v>-29</v>
      </c>
      <c r="H634" s="101">
        <v>-6.6000000000000005</v>
      </c>
      <c r="I634" s="102">
        <v>0.78</v>
      </c>
      <c r="J634" s="102">
        <v>2</v>
      </c>
      <c r="K634" s="101">
        <v>20.2</v>
      </c>
      <c r="L634" s="101">
        <v>0</v>
      </c>
      <c r="M634" s="101" t="s">
        <v>1003</v>
      </c>
      <c r="N634" s="101">
        <v>2002</v>
      </c>
      <c r="O634" s="101" t="s">
        <v>633</v>
      </c>
      <c r="P634" s="101">
        <v>634386</v>
      </c>
      <c r="Q634" t="s">
        <v>707</v>
      </c>
      <c r="R634" t="s">
        <v>239</v>
      </c>
      <c r="S634"/>
      <c r="T634"/>
      <c r="U634"/>
      <c r="V634" s="220"/>
    </row>
    <row r="635" spans="1:22" x14ac:dyDescent="0.2">
      <c r="A635" t="s">
        <v>43</v>
      </c>
      <c r="B635" s="101">
        <v>8</v>
      </c>
      <c r="C635" s="101">
        <v>4</v>
      </c>
      <c r="D635" s="101">
        <v>-5</v>
      </c>
      <c r="E635" s="101">
        <v>7</v>
      </c>
      <c r="F635" s="101">
        <v>-3</v>
      </c>
      <c r="G635" s="101">
        <v>-32</v>
      </c>
      <c r="H635" s="101">
        <v>-7.3</v>
      </c>
      <c r="I635" s="102">
        <v>0.78</v>
      </c>
      <c r="J635" s="102">
        <v>2</v>
      </c>
      <c r="K635" s="101">
        <v>17.600000000000001</v>
      </c>
      <c r="L635" s="101">
        <v>-0.1</v>
      </c>
      <c r="M635" s="101" t="s">
        <v>1003</v>
      </c>
      <c r="N635" s="101">
        <v>2002</v>
      </c>
      <c r="O635" s="101" t="s">
        <v>633</v>
      </c>
      <c r="P635" s="101">
        <v>598557</v>
      </c>
      <c r="Q635" t="s">
        <v>707</v>
      </c>
      <c r="R635" t="s">
        <v>748</v>
      </c>
      <c r="S635"/>
      <c r="T635"/>
      <c r="U635"/>
      <c r="V635" s="220"/>
    </row>
    <row r="636" spans="1:22" x14ac:dyDescent="0.2">
      <c r="A636" t="s">
        <v>253</v>
      </c>
      <c r="B636" s="101">
        <v>9</v>
      </c>
      <c r="C636" s="101">
        <v>5</v>
      </c>
      <c r="D636" s="101">
        <v>-5</v>
      </c>
      <c r="E636" s="101">
        <v>6</v>
      </c>
      <c r="F636" s="101">
        <v>-5</v>
      </c>
      <c r="G636" s="101">
        <v>-33</v>
      </c>
      <c r="H636" s="101">
        <v>-7.7</v>
      </c>
      <c r="I636" s="102">
        <v>0.78</v>
      </c>
      <c r="J636" s="102">
        <v>2</v>
      </c>
      <c r="K636" s="101">
        <v>20.8</v>
      </c>
      <c r="L636" s="101">
        <v>-0.1</v>
      </c>
      <c r="M636" s="101" t="s">
        <v>1003</v>
      </c>
      <c r="N636" s="101">
        <v>2002</v>
      </c>
      <c r="O636" s="101" t="s">
        <v>633</v>
      </c>
      <c r="P636" s="101">
        <v>562728</v>
      </c>
      <c r="Q636" t="s">
        <v>707</v>
      </c>
      <c r="R636" t="s">
        <v>239</v>
      </c>
      <c r="S636"/>
      <c r="T636"/>
      <c r="U636"/>
      <c r="V636" s="220"/>
    </row>
    <row r="637" spans="1:22" x14ac:dyDescent="0.2">
      <c r="A637" t="s">
        <v>329</v>
      </c>
      <c r="B637" s="101">
        <v>-6</v>
      </c>
      <c r="C637" s="101">
        <v>13</v>
      </c>
      <c r="D637" s="101">
        <v>7</v>
      </c>
      <c r="E637" s="101">
        <v>-16</v>
      </c>
      <c r="F637" s="101">
        <v>2</v>
      </c>
      <c r="G637" s="101">
        <v>-3</v>
      </c>
      <c r="H637" s="101">
        <v>-0.6</v>
      </c>
      <c r="I637" s="102">
        <v>0.78</v>
      </c>
      <c r="J637" s="102">
        <v>2.15</v>
      </c>
      <c r="K637" s="101">
        <v>26.7</v>
      </c>
      <c r="L637" s="101">
        <v>0.1</v>
      </c>
      <c r="M637" s="101" t="s">
        <v>1004</v>
      </c>
      <c r="N637" s="101">
        <v>2011</v>
      </c>
      <c r="O637" s="101" t="s">
        <v>633</v>
      </c>
      <c r="P637" s="101">
        <v>305003</v>
      </c>
      <c r="Q637" t="s">
        <v>812</v>
      </c>
      <c r="R637" t="s">
        <v>279</v>
      </c>
      <c r="S637"/>
      <c r="T637"/>
      <c r="U637"/>
      <c r="V637" s="220"/>
    </row>
    <row r="638" spans="1:22" x14ac:dyDescent="0.2">
      <c r="A638" t="s">
        <v>213</v>
      </c>
      <c r="B638" s="101">
        <v>5</v>
      </c>
      <c r="C638" s="101">
        <v>2</v>
      </c>
      <c r="D638" s="101">
        <v>-10</v>
      </c>
      <c r="E638" s="101">
        <v>2</v>
      </c>
      <c r="F638" s="101">
        <v>7</v>
      </c>
      <c r="G638" s="101">
        <v>-32</v>
      </c>
      <c r="H638" s="101">
        <v>-7.5</v>
      </c>
      <c r="I638" s="102">
        <v>0.79</v>
      </c>
      <c r="J638" s="102">
        <v>2.46</v>
      </c>
      <c r="K638" s="101">
        <v>24.8</v>
      </c>
      <c r="L638" s="101">
        <v>0.2</v>
      </c>
      <c r="M638" s="101" t="s">
        <v>1001</v>
      </c>
      <c r="N638" s="101">
        <v>2002</v>
      </c>
      <c r="O638" s="101" t="s">
        <v>753</v>
      </c>
      <c r="P638" s="101">
        <v>834788</v>
      </c>
      <c r="Q638" t="s">
        <v>212</v>
      </c>
      <c r="R638" t="s">
        <v>368</v>
      </c>
      <c r="S638"/>
      <c r="T638"/>
      <c r="U638"/>
      <c r="V638" s="220"/>
    </row>
    <row r="639" spans="1:22" x14ac:dyDescent="0.2">
      <c r="A639" t="s">
        <v>215</v>
      </c>
      <c r="B639" s="101">
        <v>10</v>
      </c>
      <c r="C639" s="101">
        <v>6</v>
      </c>
      <c r="D639" s="101">
        <v>-5</v>
      </c>
      <c r="E639" s="101">
        <v>4</v>
      </c>
      <c r="F639" s="101">
        <v>-1</v>
      </c>
      <c r="G639" s="101">
        <v>-39</v>
      </c>
      <c r="H639" s="101">
        <v>-9.3000000000000007</v>
      </c>
      <c r="I639" s="102">
        <v>0.79</v>
      </c>
      <c r="J639" s="102">
        <v>2.4700000000000002</v>
      </c>
      <c r="K639" s="101">
        <v>21</v>
      </c>
      <c r="L639" s="101">
        <v>0</v>
      </c>
      <c r="M639" s="101" t="s">
        <v>1001</v>
      </c>
      <c r="N639" s="101">
        <v>2002</v>
      </c>
      <c r="O639" s="101" t="s">
        <v>753</v>
      </c>
      <c r="P639" s="101">
        <v>442483</v>
      </c>
      <c r="Q639" t="s">
        <v>212</v>
      </c>
      <c r="R639" t="s">
        <v>208</v>
      </c>
      <c r="S639"/>
      <c r="T639"/>
      <c r="U639"/>
      <c r="V639" s="220"/>
    </row>
    <row r="640" spans="1:22" x14ac:dyDescent="0.2">
      <c r="A640" t="s">
        <v>945</v>
      </c>
      <c r="B640" s="101">
        <v>9</v>
      </c>
      <c r="C640" s="101">
        <v>2</v>
      </c>
      <c r="D640" s="101">
        <v>1</v>
      </c>
      <c r="E640" s="101">
        <v>6</v>
      </c>
      <c r="F640" s="101">
        <v>7</v>
      </c>
      <c r="G640" s="101"/>
      <c r="H640" s="101"/>
      <c r="I640" s="102">
        <v>0.79</v>
      </c>
      <c r="J640" s="102">
        <v>2.1</v>
      </c>
      <c r="K640" s="101">
        <v>7.9</v>
      </c>
      <c r="L640" s="101">
        <v>0.1</v>
      </c>
      <c r="M640" s="101" t="s">
        <v>1001</v>
      </c>
      <c r="N640" s="101">
        <v>2011</v>
      </c>
      <c r="O640" s="101" t="s">
        <v>753</v>
      </c>
      <c r="P640" s="101">
        <v>172601</v>
      </c>
      <c r="Q640" t="s">
        <v>790</v>
      </c>
      <c r="R640" t="s">
        <v>301</v>
      </c>
      <c r="S640"/>
      <c r="T640"/>
      <c r="U640"/>
      <c r="V640" s="220"/>
    </row>
    <row r="641" spans="1:22" x14ac:dyDescent="0.2">
      <c r="A641" t="s">
        <v>794</v>
      </c>
      <c r="B641" s="101">
        <v>7</v>
      </c>
      <c r="C641" s="101">
        <v>2</v>
      </c>
      <c r="D641" s="101">
        <v>-2</v>
      </c>
      <c r="E641" s="101">
        <v>11</v>
      </c>
      <c r="F641" s="101">
        <v>9</v>
      </c>
      <c r="G641" s="101">
        <v>-26</v>
      </c>
      <c r="H641" s="101">
        <v>-5.8</v>
      </c>
      <c r="I641" s="102">
        <v>0.79</v>
      </c>
      <c r="J641" s="102">
        <v>1.97</v>
      </c>
      <c r="K641" s="101">
        <v>16.2</v>
      </c>
      <c r="L641" s="101">
        <v>0.1</v>
      </c>
      <c r="M641" s="101" t="s">
        <v>1001</v>
      </c>
      <c r="N641" s="101">
        <v>2006</v>
      </c>
      <c r="O641" s="101" t="s">
        <v>753</v>
      </c>
      <c r="P641" s="101">
        <v>534099</v>
      </c>
      <c r="Q641" t="s">
        <v>32</v>
      </c>
      <c r="R641" t="s">
        <v>161</v>
      </c>
      <c r="S641"/>
      <c r="T641"/>
      <c r="U641"/>
      <c r="V641" s="220"/>
    </row>
    <row r="642" spans="1:22" x14ac:dyDescent="0.2">
      <c r="A642" t="s">
        <v>451</v>
      </c>
      <c r="B642" s="101">
        <v>11</v>
      </c>
      <c r="C642" s="101">
        <v>4</v>
      </c>
      <c r="D642" s="101">
        <v>-1</v>
      </c>
      <c r="E642" s="101">
        <v>11</v>
      </c>
      <c r="F642" s="101">
        <v>34</v>
      </c>
      <c r="G642" s="101">
        <v>19</v>
      </c>
      <c r="H642" s="101">
        <v>3.5</v>
      </c>
      <c r="I642" s="102">
        <v>0.79</v>
      </c>
      <c r="J642" s="102">
        <v>2.11</v>
      </c>
      <c r="K642" s="101">
        <v>13.8</v>
      </c>
      <c r="L642" s="101">
        <v>0.70000000000000007</v>
      </c>
      <c r="M642" s="101" t="s">
        <v>1004</v>
      </c>
      <c r="N642" s="101">
        <v>2010</v>
      </c>
      <c r="O642" s="101" t="s">
        <v>633</v>
      </c>
      <c r="P642" s="101">
        <v>843698</v>
      </c>
      <c r="Q642" t="s">
        <v>88</v>
      </c>
      <c r="R642" t="s">
        <v>279</v>
      </c>
      <c r="S642"/>
      <c r="T642"/>
      <c r="U642"/>
      <c r="V642" s="220"/>
    </row>
    <row r="643" spans="1:22" x14ac:dyDescent="0.2">
      <c r="A643" t="s">
        <v>141</v>
      </c>
      <c r="B643" s="101">
        <v>13</v>
      </c>
      <c r="C643" s="101">
        <v>9</v>
      </c>
      <c r="D643" s="101">
        <v>4</v>
      </c>
      <c r="E643" s="101">
        <v>-4</v>
      </c>
      <c r="F643" s="101">
        <v>-4</v>
      </c>
      <c r="G643" s="101">
        <v>-49</v>
      </c>
      <c r="H643" s="101">
        <v>-12.700000000000001</v>
      </c>
      <c r="I643" s="102">
        <v>0.79</v>
      </c>
      <c r="J643" s="102">
        <v>1.97</v>
      </c>
      <c r="K643" s="101">
        <v>21.6</v>
      </c>
      <c r="L643" s="101">
        <v>0</v>
      </c>
      <c r="M643" s="101" t="s">
        <v>1001</v>
      </c>
      <c r="N643" s="101">
        <v>2005</v>
      </c>
      <c r="O643" s="101" t="s">
        <v>753</v>
      </c>
      <c r="P643" s="101">
        <v>722983</v>
      </c>
      <c r="Q643" t="s">
        <v>32</v>
      </c>
      <c r="R643" t="s">
        <v>131</v>
      </c>
      <c r="S643"/>
      <c r="T643"/>
      <c r="U643"/>
      <c r="V643" s="220"/>
    </row>
    <row r="644" spans="1:22" x14ac:dyDescent="0.2">
      <c r="A644" t="s">
        <v>65</v>
      </c>
      <c r="B644" s="101">
        <v>1</v>
      </c>
      <c r="C644" s="101">
        <v>3</v>
      </c>
      <c r="D644" s="101">
        <v>-6</v>
      </c>
      <c r="E644" s="101">
        <v>-5</v>
      </c>
      <c r="F644" s="101">
        <v>-4</v>
      </c>
      <c r="G644" s="101"/>
      <c r="H644" s="101"/>
      <c r="I644" s="102">
        <v>0.79</v>
      </c>
      <c r="J644" s="102">
        <v>1.98</v>
      </c>
      <c r="K644" s="101">
        <v>12.4</v>
      </c>
      <c r="L644" s="101">
        <v>-0.2</v>
      </c>
      <c r="M644" s="101" t="s">
        <v>1002</v>
      </c>
      <c r="N644" s="101">
        <v>2008</v>
      </c>
      <c r="O644" s="101" t="s">
        <v>633</v>
      </c>
      <c r="P644" s="101">
        <v>199406</v>
      </c>
      <c r="Q644" t="s">
        <v>362</v>
      </c>
      <c r="R644" t="s">
        <v>145</v>
      </c>
      <c r="S644" t="s">
        <v>1024</v>
      </c>
      <c r="T644"/>
      <c r="U644"/>
      <c r="V644" s="220"/>
    </row>
    <row r="645" spans="1:22" x14ac:dyDescent="0.2">
      <c r="A645" t="s">
        <v>230</v>
      </c>
      <c r="B645" s="101">
        <v>7</v>
      </c>
      <c r="C645" s="101">
        <v>5</v>
      </c>
      <c r="D645" s="101">
        <v>-6</v>
      </c>
      <c r="E645" s="101">
        <v>-3</v>
      </c>
      <c r="F645" s="101">
        <v>-7</v>
      </c>
      <c r="G645" s="101">
        <v>-38</v>
      </c>
      <c r="H645" s="101">
        <v>-9</v>
      </c>
      <c r="I645" s="102">
        <v>0.79</v>
      </c>
      <c r="J645" s="102">
        <v>1.99</v>
      </c>
      <c r="K645" s="101">
        <v>16.3</v>
      </c>
      <c r="L645" s="101">
        <v>-0.2</v>
      </c>
      <c r="M645" s="101" t="s">
        <v>1002</v>
      </c>
      <c r="N645" s="101">
        <v>2007</v>
      </c>
      <c r="O645" s="101" t="s">
        <v>633</v>
      </c>
      <c r="P645" s="101">
        <v>371294</v>
      </c>
      <c r="Q645" t="s">
        <v>362</v>
      </c>
      <c r="R645" t="s">
        <v>44</v>
      </c>
      <c r="S645"/>
      <c r="T645"/>
      <c r="U645"/>
      <c r="V645" s="220"/>
    </row>
    <row r="646" spans="1:22" x14ac:dyDescent="0.2">
      <c r="A646" t="s">
        <v>634</v>
      </c>
      <c r="B646" s="101">
        <v>2</v>
      </c>
      <c r="C646" s="101">
        <v>3</v>
      </c>
      <c r="D646" s="101">
        <v>-6</v>
      </c>
      <c r="E646" s="101">
        <v>-3</v>
      </c>
      <c r="F646" s="101">
        <v>-3</v>
      </c>
      <c r="G646" s="101">
        <v>-33</v>
      </c>
      <c r="H646" s="101">
        <v>-7.7</v>
      </c>
      <c r="I646" s="102">
        <v>0.79</v>
      </c>
      <c r="J646" s="102">
        <v>1.98</v>
      </c>
      <c r="K646" s="101">
        <v>12.3</v>
      </c>
      <c r="L646" s="101">
        <v>-0.2</v>
      </c>
      <c r="M646" s="101" t="s">
        <v>1002</v>
      </c>
      <c r="N646" s="101">
        <v>2006</v>
      </c>
      <c r="O646" s="101" t="s">
        <v>633</v>
      </c>
      <c r="P646" s="101">
        <v>882068</v>
      </c>
      <c r="Q646" t="s">
        <v>362</v>
      </c>
      <c r="R646" t="s">
        <v>145</v>
      </c>
      <c r="S646"/>
      <c r="T646"/>
      <c r="U646"/>
      <c r="V646" s="220"/>
    </row>
    <row r="647" spans="1:22" x14ac:dyDescent="0.2">
      <c r="A647" t="s">
        <v>872</v>
      </c>
      <c r="B647" s="101">
        <v>1</v>
      </c>
      <c r="C647" s="101">
        <v>0</v>
      </c>
      <c r="D647" s="101">
        <v>-2</v>
      </c>
      <c r="E647" s="101">
        <v>-6</v>
      </c>
      <c r="F647" s="101">
        <v>-15</v>
      </c>
      <c r="G647" s="101"/>
      <c r="H647" s="101"/>
      <c r="I647" s="102">
        <v>0.79</v>
      </c>
      <c r="J647" s="102">
        <v>1.97</v>
      </c>
      <c r="K647" s="101">
        <v>11</v>
      </c>
      <c r="L647" s="101">
        <v>-0.6</v>
      </c>
      <c r="M647" s="101" t="s">
        <v>1001</v>
      </c>
      <c r="N647" s="101">
        <v>2009</v>
      </c>
      <c r="O647" s="101" t="s">
        <v>753</v>
      </c>
      <c r="P647" s="101">
        <v>191494</v>
      </c>
      <c r="Q647" t="s">
        <v>32</v>
      </c>
      <c r="R647" t="s">
        <v>145</v>
      </c>
      <c r="S647"/>
      <c r="T647"/>
      <c r="U647"/>
      <c r="V647" s="220"/>
    </row>
    <row r="648" spans="1:22" x14ac:dyDescent="0.2">
      <c r="A648" t="s">
        <v>286</v>
      </c>
      <c r="B648" s="101">
        <v>10</v>
      </c>
      <c r="C648" s="101">
        <v>7</v>
      </c>
      <c r="D648" s="101">
        <v>-1</v>
      </c>
      <c r="E648" s="101">
        <v>16</v>
      </c>
      <c r="F648" s="101">
        <v>20</v>
      </c>
      <c r="G648" s="101">
        <v>-8</v>
      </c>
      <c r="H648" s="101">
        <v>-1.6</v>
      </c>
      <c r="I648" s="102">
        <v>0.8</v>
      </c>
      <c r="J648" s="102">
        <v>2</v>
      </c>
      <c r="K648" s="101">
        <v>14.3</v>
      </c>
      <c r="L648" s="101">
        <v>0.4</v>
      </c>
      <c r="M648" s="101" t="s">
        <v>1002</v>
      </c>
      <c r="N648" s="101">
        <v>2001</v>
      </c>
      <c r="O648" s="101" t="s">
        <v>633</v>
      </c>
      <c r="P648" s="101">
        <v>202002</v>
      </c>
      <c r="Q648" t="s">
        <v>41</v>
      </c>
      <c r="R648" t="s">
        <v>279</v>
      </c>
      <c r="S648"/>
      <c r="T648"/>
      <c r="U648"/>
      <c r="V648" s="220"/>
    </row>
    <row r="649" spans="1:22" x14ac:dyDescent="0.2">
      <c r="A649" t="s">
        <v>1130</v>
      </c>
      <c r="B649" s="101">
        <v>41</v>
      </c>
      <c r="C649" s="101">
        <v>3</v>
      </c>
      <c r="D649" s="101">
        <v>8</v>
      </c>
      <c r="E649" s="101">
        <v>20</v>
      </c>
      <c r="F649" s="101">
        <v>11</v>
      </c>
      <c r="G649" s="101"/>
      <c r="H649" s="101"/>
      <c r="I649" s="102">
        <v>0.8</v>
      </c>
      <c r="J649" s="102">
        <v>2</v>
      </c>
      <c r="K649" s="101">
        <v>31.3</v>
      </c>
      <c r="L649" s="101">
        <v>0.2</v>
      </c>
      <c r="M649" s="101" t="s">
        <v>1002</v>
      </c>
      <c r="N649" s="101">
        <v>2011</v>
      </c>
      <c r="O649" s="101" t="s">
        <v>633</v>
      </c>
      <c r="P649" s="101">
        <v>121608</v>
      </c>
      <c r="Q649" t="s">
        <v>466</v>
      </c>
      <c r="R649" t="s">
        <v>239</v>
      </c>
      <c r="S649" t="s">
        <v>1024</v>
      </c>
      <c r="T649"/>
      <c r="U649"/>
      <c r="V649" s="220"/>
    </row>
    <row r="650" spans="1:22" x14ac:dyDescent="0.2">
      <c r="A650" t="s">
        <v>719</v>
      </c>
      <c r="B650" s="101">
        <v>9</v>
      </c>
      <c r="C650" s="101">
        <v>4</v>
      </c>
      <c r="D650" s="101">
        <v>1</v>
      </c>
      <c r="E650" s="101">
        <v>8</v>
      </c>
      <c r="F650" s="101">
        <v>2</v>
      </c>
      <c r="G650" s="101">
        <v>-25</v>
      </c>
      <c r="H650" s="101">
        <v>-5.6000000000000005</v>
      </c>
      <c r="I650" s="102">
        <v>0.8</v>
      </c>
      <c r="J650" s="102">
        <v>2</v>
      </c>
      <c r="K650" s="101">
        <v>12.6</v>
      </c>
      <c r="L650" s="101">
        <v>0</v>
      </c>
      <c r="M650" s="101" t="s">
        <v>1002</v>
      </c>
      <c r="N650" s="101">
        <v>2006</v>
      </c>
      <c r="O650" s="101" t="s">
        <v>633</v>
      </c>
      <c r="P650" s="101">
        <v>865063</v>
      </c>
      <c r="Q650" t="s">
        <v>752</v>
      </c>
      <c r="R650" t="s">
        <v>44</v>
      </c>
      <c r="S650"/>
      <c r="T650"/>
      <c r="U650"/>
      <c r="V650" s="220"/>
    </row>
    <row r="651" spans="1:22" x14ac:dyDescent="0.2">
      <c r="A651" t="s">
        <v>943</v>
      </c>
      <c r="B651" s="101">
        <v>3</v>
      </c>
      <c r="C651" s="101">
        <v>1</v>
      </c>
      <c r="D651" s="101">
        <v>-1</v>
      </c>
      <c r="E651" s="101">
        <v>4</v>
      </c>
      <c r="F651" s="101"/>
      <c r="G651" s="101"/>
      <c r="H651" s="101"/>
      <c r="I651" s="102">
        <v>0.8</v>
      </c>
      <c r="J651" s="102">
        <v>2.52</v>
      </c>
      <c r="K651" s="101"/>
      <c r="L651" s="101"/>
      <c r="M651" s="101" t="s">
        <v>1001</v>
      </c>
      <c r="N651" s="101">
        <v>2011</v>
      </c>
      <c r="O651" s="101" t="s">
        <v>633</v>
      </c>
      <c r="P651" s="101">
        <v>356006</v>
      </c>
      <c r="Q651" t="s">
        <v>944</v>
      </c>
      <c r="R651" t="s">
        <v>301</v>
      </c>
      <c r="S651"/>
      <c r="T651"/>
      <c r="U651"/>
      <c r="V651" s="220"/>
    </row>
    <row r="652" spans="1:22" x14ac:dyDescent="0.2">
      <c r="A652" t="s">
        <v>993</v>
      </c>
      <c r="B652" s="101">
        <v>5</v>
      </c>
      <c r="C652" s="101">
        <v>7</v>
      </c>
      <c r="D652" s="101">
        <v>-3</v>
      </c>
      <c r="E652" s="101">
        <v>7</v>
      </c>
      <c r="F652" s="101">
        <v>-6</v>
      </c>
      <c r="G652" s="101">
        <v>-33</v>
      </c>
      <c r="H652" s="101">
        <v>-7.6000000000000005</v>
      </c>
      <c r="I652" s="102">
        <v>0.8</v>
      </c>
      <c r="J652" s="102">
        <v>2.52</v>
      </c>
      <c r="K652" s="101">
        <v>15</v>
      </c>
      <c r="L652" s="101">
        <v>-0.2</v>
      </c>
      <c r="M652" s="101" t="s">
        <v>1002</v>
      </c>
      <c r="N652" s="101">
        <v>2008</v>
      </c>
      <c r="O652" s="101" t="s">
        <v>633</v>
      </c>
      <c r="P652" s="101">
        <v>123497</v>
      </c>
      <c r="Q652" t="s">
        <v>880</v>
      </c>
      <c r="R652" t="s">
        <v>367</v>
      </c>
      <c r="S652"/>
      <c r="T652"/>
      <c r="U652"/>
      <c r="V652" s="220"/>
    </row>
    <row r="653" spans="1:22" x14ac:dyDescent="0.2">
      <c r="A653" t="s">
        <v>216</v>
      </c>
      <c r="B653" s="101">
        <v>11</v>
      </c>
      <c r="C653" s="101">
        <v>4</v>
      </c>
      <c r="D653" s="101">
        <v>1</v>
      </c>
      <c r="E653" s="101">
        <v>2</v>
      </c>
      <c r="F653" s="101">
        <v>11</v>
      </c>
      <c r="G653" s="101">
        <v>-41</v>
      </c>
      <c r="H653" s="101">
        <v>-10.1</v>
      </c>
      <c r="I653" s="102">
        <v>0.8</v>
      </c>
      <c r="J653" s="102">
        <v>2.5</v>
      </c>
      <c r="K653" s="101">
        <v>18.100000000000001</v>
      </c>
      <c r="L653" s="101">
        <v>0.2</v>
      </c>
      <c r="M653" s="101" t="s">
        <v>1001</v>
      </c>
      <c r="N653" s="101">
        <v>2003</v>
      </c>
      <c r="O653" s="101" t="s">
        <v>753</v>
      </c>
      <c r="P653" s="101">
        <v>552984</v>
      </c>
      <c r="Q653" t="s">
        <v>212</v>
      </c>
      <c r="R653" t="s">
        <v>208</v>
      </c>
      <c r="S653"/>
      <c r="T653"/>
      <c r="U653"/>
      <c r="V653" s="220"/>
    </row>
    <row r="654" spans="1:22" x14ac:dyDescent="0.2">
      <c r="A654" t="s">
        <v>241</v>
      </c>
      <c r="B654" s="101">
        <v>43</v>
      </c>
      <c r="C654" s="101">
        <v>11</v>
      </c>
      <c r="D654" s="101">
        <v>20</v>
      </c>
      <c r="E654" s="101">
        <v>32</v>
      </c>
      <c r="F654" s="101">
        <v>20</v>
      </c>
      <c r="G654" s="101">
        <v>-15</v>
      </c>
      <c r="H654" s="101">
        <v>-3.2</v>
      </c>
      <c r="I654" s="102">
        <v>0.8</v>
      </c>
      <c r="J654" s="102">
        <v>2.5</v>
      </c>
      <c r="K654" s="101">
        <v>30.6</v>
      </c>
      <c r="L654" s="101">
        <v>0.3</v>
      </c>
      <c r="M654" s="101" t="s">
        <v>1001</v>
      </c>
      <c r="N654" s="101">
        <v>2006</v>
      </c>
      <c r="O654" s="101" t="s">
        <v>753</v>
      </c>
      <c r="P654" s="101">
        <v>333690</v>
      </c>
      <c r="Q654" t="s">
        <v>212</v>
      </c>
      <c r="R654" t="s">
        <v>239</v>
      </c>
      <c r="S654"/>
      <c r="T654"/>
      <c r="U654"/>
      <c r="V654" s="220"/>
    </row>
    <row r="655" spans="1:22" x14ac:dyDescent="0.2">
      <c r="A655" t="s">
        <v>876</v>
      </c>
      <c r="B655" s="101">
        <v>18</v>
      </c>
      <c r="C655" s="101">
        <v>9</v>
      </c>
      <c r="D655" s="101">
        <v>-3</v>
      </c>
      <c r="E655" s="101">
        <v>21</v>
      </c>
      <c r="F655" s="101">
        <v>25</v>
      </c>
      <c r="G655" s="101"/>
      <c r="H655" s="101"/>
      <c r="I655" s="102">
        <v>0.8</v>
      </c>
      <c r="J655" s="102">
        <v>2</v>
      </c>
      <c r="K655" s="101">
        <v>16.899999999999999</v>
      </c>
      <c r="L655" s="101">
        <v>0.4</v>
      </c>
      <c r="M655" s="101" t="s">
        <v>1002</v>
      </c>
      <c r="N655" s="101">
        <v>2009</v>
      </c>
      <c r="O655" s="101" t="s">
        <v>633</v>
      </c>
      <c r="P655" s="101">
        <v>356063</v>
      </c>
      <c r="Q655" t="s">
        <v>41</v>
      </c>
      <c r="R655" t="s">
        <v>92</v>
      </c>
      <c r="S655"/>
      <c r="T655"/>
      <c r="U655"/>
      <c r="V655" s="220"/>
    </row>
    <row r="656" spans="1:22" x14ac:dyDescent="0.2">
      <c r="A656" t="s">
        <v>417</v>
      </c>
      <c r="B656" s="101">
        <v>20</v>
      </c>
      <c r="C656" s="101">
        <v>9</v>
      </c>
      <c r="D656" s="101">
        <v>-2</v>
      </c>
      <c r="E656" s="101">
        <v>27</v>
      </c>
      <c r="F656" s="101"/>
      <c r="G656" s="101"/>
      <c r="H656" s="101"/>
      <c r="I656" s="102">
        <v>0.8</v>
      </c>
      <c r="J656" s="102">
        <v>2</v>
      </c>
      <c r="K656" s="101"/>
      <c r="L656" s="101"/>
      <c r="M656" s="101" t="s">
        <v>1002</v>
      </c>
      <c r="N656" s="101">
        <v>2011</v>
      </c>
      <c r="O656" s="101" t="s">
        <v>633</v>
      </c>
      <c r="P656" s="101">
        <v>724633</v>
      </c>
      <c r="Q656" t="s">
        <v>41</v>
      </c>
      <c r="R656" t="s">
        <v>44</v>
      </c>
      <c r="S656"/>
      <c r="T656"/>
      <c r="U656"/>
      <c r="V656" s="220"/>
    </row>
    <row r="657" spans="1:22" x14ac:dyDescent="0.2">
      <c r="A657" t="s">
        <v>624</v>
      </c>
      <c r="B657" s="101">
        <v>17</v>
      </c>
      <c r="C657" s="101">
        <v>4</v>
      </c>
      <c r="D657" s="101">
        <v>-4</v>
      </c>
      <c r="E657" s="101">
        <v>19</v>
      </c>
      <c r="F657" s="101">
        <v>36</v>
      </c>
      <c r="G657" s="101">
        <v>10</v>
      </c>
      <c r="H657" s="101">
        <v>2</v>
      </c>
      <c r="I657" s="102">
        <v>0.8</v>
      </c>
      <c r="J657" s="102">
        <v>2</v>
      </c>
      <c r="K657" s="101">
        <v>17.5</v>
      </c>
      <c r="L657" s="101">
        <v>0.6</v>
      </c>
      <c r="M657" s="101" t="s">
        <v>1002</v>
      </c>
      <c r="N657" s="101">
        <v>2006</v>
      </c>
      <c r="O657" s="101" t="s">
        <v>633</v>
      </c>
      <c r="P657" s="101">
        <v>785493</v>
      </c>
      <c r="Q657" t="s">
        <v>41</v>
      </c>
      <c r="R657" t="s">
        <v>748</v>
      </c>
      <c r="S657"/>
      <c r="T657"/>
      <c r="U657"/>
      <c r="V657" s="220"/>
    </row>
    <row r="658" spans="1:22" x14ac:dyDescent="0.2">
      <c r="A658" t="s">
        <v>42</v>
      </c>
      <c r="B658" s="101">
        <v>20</v>
      </c>
      <c r="C658" s="101">
        <v>8</v>
      </c>
      <c r="D658" s="101">
        <v>-3</v>
      </c>
      <c r="E658" s="101">
        <v>23</v>
      </c>
      <c r="F658" s="101">
        <v>27</v>
      </c>
      <c r="G658" s="101">
        <v>-5</v>
      </c>
      <c r="H658" s="101">
        <v>-0.9</v>
      </c>
      <c r="I658" s="102">
        <v>0.8</v>
      </c>
      <c r="J658" s="102">
        <v>2</v>
      </c>
      <c r="K658" s="101">
        <v>21.900000000000002</v>
      </c>
      <c r="L658" s="101">
        <v>0.4</v>
      </c>
      <c r="M658" s="101" t="s">
        <v>1002</v>
      </c>
      <c r="N658" s="101">
        <v>2001</v>
      </c>
      <c r="O658" s="101" t="s">
        <v>633</v>
      </c>
      <c r="P658" s="101">
        <v>237834</v>
      </c>
      <c r="Q658" t="s">
        <v>41</v>
      </c>
      <c r="R658" t="s">
        <v>748</v>
      </c>
      <c r="S658"/>
      <c r="T658"/>
      <c r="U658"/>
      <c r="V658" s="220"/>
    </row>
    <row r="659" spans="1:22" x14ac:dyDescent="0.2">
      <c r="A659" t="s">
        <v>1079</v>
      </c>
      <c r="B659" s="101"/>
      <c r="C659" s="101"/>
      <c r="D659" s="101"/>
      <c r="E659" s="101"/>
      <c r="F659" s="101"/>
      <c r="G659" s="101"/>
      <c r="H659" s="101"/>
      <c r="I659" s="102">
        <v>0.8</v>
      </c>
      <c r="J659" s="102">
        <v>2</v>
      </c>
      <c r="K659" s="101"/>
      <c r="L659" s="101"/>
      <c r="M659" s="101" t="s">
        <v>1001</v>
      </c>
      <c r="N659" s="101">
        <v>2012</v>
      </c>
      <c r="O659" s="101" t="s">
        <v>753</v>
      </c>
      <c r="P659" s="101">
        <v>226027</v>
      </c>
      <c r="Q659" t="s">
        <v>13</v>
      </c>
      <c r="R659" t="s">
        <v>370</v>
      </c>
      <c r="S659"/>
      <c r="T659"/>
      <c r="U659"/>
      <c r="V659" s="220"/>
    </row>
    <row r="660" spans="1:22" x14ac:dyDescent="0.2">
      <c r="A660" t="s">
        <v>421</v>
      </c>
      <c r="B660" s="101">
        <v>8</v>
      </c>
      <c r="C660" s="101">
        <v>2</v>
      </c>
      <c r="D660" s="101">
        <v>1</v>
      </c>
      <c r="E660" s="101">
        <v>9</v>
      </c>
      <c r="F660" s="101">
        <v>5</v>
      </c>
      <c r="G660" s="101">
        <v>-50</v>
      </c>
      <c r="H660" s="101">
        <v>-13.1</v>
      </c>
      <c r="I660" s="102">
        <v>0.8</v>
      </c>
      <c r="J660" s="102">
        <v>2.0100000000000002</v>
      </c>
      <c r="K660" s="101">
        <v>12.700000000000001</v>
      </c>
      <c r="L660" s="101">
        <v>0.1</v>
      </c>
      <c r="M660" s="101" t="s">
        <v>1001</v>
      </c>
      <c r="N660" s="101">
        <v>2006</v>
      </c>
      <c r="O660" s="101" t="s">
        <v>753</v>
      </c>
      <c r="P660" s="101">
        <v>602094</v>
      </c>
      <c r="Q660" t="s">
        <v>32</v>
      </c>
      <c r="R660" t="s">
        <v>131</v>
      </c>
      <c r="S660"/>
      <c r="T660"/>
      <c r="U660"/>
      <c r="V660" s="220"/>
    </row>
    <row r="661" spans="1:22" x14ac:dyDescent="0.2">
      <c r="A661" t="s">
        <v>223</v>
      </c>
      <c r="B661" s="101">
        <v>2</v>
      </c>
      <c r="C661" s="101">
        <v>4</v>
      </c>
      <c r="D661" s="101">
        <v>-5</v>
      </c>
      <c r="E661" s="101">
        <v>-3</v>
      </c>
      <c r="F661" s="101">
        <v>-18</v>
      </c>
      <c r="G661" s="101">
        <v>-61</v>
      </c>
      <c r="H661" s="101">
        <v>-17</v>
      </c>
      <c r="I661" s="102">
        <v>0.8</v>
      </c>
      <c r="J661" s="102">
        <v>2.0100000000000002</v>
      </c>
      <c r="K661" s="101">
        <v>22.2</v>
      </c>
      <c r="L661" s="101">
        <v>-0.3</v>
      </c>
      <c r="M661" s="101" t="s">
        <v>1001</v>
      </c>
      <c r="N661" s="101">
        <v>2005</v>
      </c>
      <c r="O661" s="101" t="s">
        <v>753</v>
      </c>
      <c r="P661" s="101">
        <v>286948</v>
      </c>
      <c r="Q661" t="s">
        <v>32</v>
      </c>
      <c r="R661" t="s">
        <v>208</v>
      </c>
      <c r="S661"/>
      <c r="T661"/>
      <c r="U661"/>
      <c r="V661" s="220"/>
    </row>
    <row r="662" spans="1:22" x14ac:dyDescent="0.2">
      <c r="A662" t="s">
        <v>1131</v>
      </c>
      <c r="B662" s="101">
        <v>7</v>
      </c>
      <c r="C662" s="101">
        <v>-1</v>
      </c>
      <c r="D662" s="101">
        <v>-12</v>
      </c>
      <c r="E662" s="101">
        <v>-7</v>
      </c>
      <c r="F662" s="101">
        <v>-6</v>
      </c>
      <c r="G662" s="101"/>
      <c r="H662" s="101"/>
      <c r="I662" s="102">
        <v>0.8</v>
      </c>
      <c r="J662" s="102">
        <v>2.0780000000000003</v>
      </c>
      <c r="K662" s="101">
        <v>24.5</v>
      </c>
      <c r="L662" s="101">
        <v>0</v>
      </c>
      <c r="M662" s="101" t="s">
        <v>1002</v>
      </c>
      <c r="N662" s="101">
        <v>2011</v>
      </c>
      <c r="O662" s="101" t="s">
        <v>633</v>
      </c>
      <c r="P662" s="101">
        <v>985770</v>
      </c>
      <c r="Q662" t="s">
        <v>466</v>
      </c>
      <c r="R662" t="s">
        <v>368</v>
      </c>
      <c r="S662" t="s">
        <v>1024</v>
      </c>
      <c r="T662"/>
      <c r="U662"/>
      <c r="V662" s="220"/>
    </row>
    <row r="663" spans="1:22" x14ac:dyDescent="0.2">
      <c r="A663" t="s">
        <v>255</v>
      </c>
      <c r="B663" s="101">
        <v>19</v>
      </c>
      <c r="C663" s="101">
        <v>10</v>
      </c>
      <c r="D663" s="101">
        <v>-7</v>
      </c>
      <c r="E663" s="101">
        <v>17</v>
      </c>
      <c r="F663" s="101">
        <v>7</v>
      </c>
      <c r="G663" s="101">
        <v>-20</v>
      </c>
      <c r="H663" s="101">
        <v>-4.3</v>
      </c>
      <c r="I663" s="102">
        <v>0.8</v>
      </c>
      <c r="J663" s="102">
        <v>2</v>
      </c>
      <c r="K663" s="101">
        <v>22.1</v>
      </c>
      <c r="L663" s="101">
        <v>0.1</v>
      </c>
      <c r="M663" s="101" t="s">
        <v>1002</v>
      </c>
      <c r="N663" s="101">
        <v>2001</v>
      </c>
      <c r="O663" s="101" t="s">
        <v>633</v>
      </c>
      <c r="P663" s="101">
        <v>273664</v>
      </c>
      <c r="Q663" t="s">
        <v>41</v>
      </c>
      <c r="R663" t="s">
        <v>239</v>
      </c>
      <c r="S663"/>
      <c r="T663"/>
      <c r="U663"/>
      <c r="V663" s="220"/>
    </row>
    <row r="664" spans="1:22" x14ac:dyDescent="0.2">
      <c r="A664" t="s">
        <v>599</v>
      </c>
      <c r="B664" s="101">
        <v>18</v>
      </c>
      <c r="C664" s="101">
        <v>5</v>
      </c>
      <c r="D664" s="101">
        <v>2</v>
      </c>
      <c r="E664" s="101">
        <v>22</v>
      </c>
      <c r="F664" s="101">
        <v>47</v>
      </c>
      <c r="G664" s="101">
        <v>-15</v>
      </c>
      <c r="H664" s="101">
        <v>-3.3000000000000003</v>
      </c>
      <c r="I664" s="102">
        <v>0.81</v>
      </c>
      <c r="J664" s="102">
        <v>2.25</v>
      </c>
      <c r="K664" s="101">
        <v>14.700000000000001</v>
      </c>
      <c r="L664" s="101">
        <v>0.9</v>
      </c>
      <c r="M664" s="101" t="s">
        <v>1004</v>
      </c>
      <c r="N664" s="101">
        <v>2008</v>
      </c>
      <c r="O664" s="101" t="s">
        <v>633</v>
      </c>
      <c r="P664" s="101">
        <v>169060</v>
      </c>
      <c r="Q664" t="s">
        <v>812</v>
      </c>
      <c r="R664" t="s">
        <v>131</v>
      </c>
      <c r="S664"/>
      <c r="T664"/>
      <c r="U664"/>
      <c r="V664" s="220"/>
    </row>
    <row r="665" spans="1:22" x14ac:dyDescent="0.2">
      <c r="A665" t="s">
        <v>601</v>
      </c>
      <c r="B665" s="101">
        <v>9</v>
      </c>
      <c r="C665" s="101">
        <v>5</v>
      </c>
      <c r="D665" s="101">
        <v>-1</v>
      </c>
      <c r="E665" s="101">
        <v>7</v>
      </c>
      <c r="F665" s="101">
        <v>3</v>
      </c>
      <c r="G665" s="101">
        <v>-34</v>
      </c>
      <c r="H665" s="101">
        <v>-7.9</v>
      </c>
      <c r="I665" s="102">
        <v>0.81</v>
      </c>
      <c r="J665" s="102">
        <v>2.25</v>
      </c>
      <c r="K665" s="101">
        <v>14.3</v>
      </c>
      <c r="L665" s="101">
        <v>0</v>
      </c>
      <c r="M665" s="101" t="s">
        <v>1004</v>
      </c>
      <c r="N665" s="101">
        <v>2001</v>
      </c>
      <c r="O665" s="101" t="s">
        <v>633</v>
      </c>
      <c r="P665" s="101">
        <v>166173</v>
      </c>
      <c r="Q665" t="s">
        <v>812</v>
      </c>
      <c r="R665" t="s">
        <v>131</v>
      </c>
      <c r="S665"/>
      <c r="T665"/>
      <c r="U665"/>
      <c r="V665" s="220"/>
    </row>
    <row r="666" spans="1:22" x14ac:dyDescent="0.2">
      <c r="A666" t="s">
        <v>980</v>
      </c>
      <c r="B666" s="101">
        <v>9</v>
      </c>
      <c r="C666" s="101">
        <v>3</v>
      </c>
      <c r="D666" s="101">
        <v>-4</v>
      </c>
      <c r="E666" s="101">
        <v>0</v>
      </c>
      <c r="F666" s="101">
        <v>-2</v>
      </c>
      <c r="G666" s="101">
        <v>-41</v>
      </c>
      <c r="H666" s="101">
        <v>-9.9</v>
      </c>
      <c r="I666" s="102">
        <v>0.81</v>
      </c>
      <c r="J666" s="102">
        <v>2.25</v>
      </c>
      <c r="K666" s="101">
        <v>21.6</v>
      </c>
      <c r="L666" s="101">
        <v>0</v>
      </c>
      <c r="M666" s="101" t="s">
        <v>1002</v>
      </c>
      <c r="N666" s="101">
        <v>2011</v>
      </c>
      <c r="O666" s="101" t="s">
        <v>633</v>
      </c>
      <c r="P666" s="101">
        <v>990028</v>
      </c>
      <c r="Q666" t="s">
        <v>812</v>
      </c>
      <c r="R666" t="s">
        <v>208</v>
      </c>
      <c r="S666"/>
      <c r="T666"/>
      <c r="U666"/>
      <c r="V666" s="220"/>
    </row>
    <row r="667" spans="1:22" x14ac:dyDescent="0.2">
      <c r="A667" t="s">
        <v>326</v>
      </c>
      <c r="B667" s="101">
        <v>4</v>
      </c>
      <c r="C667" s="101">
        <v>2</v>
      </c>
      <c r="D667" s="101">
        <v>-5</v>
      </c>
      <c r="E667" s="101">
        <v>1</v>
      </c>
      <c r="F667" s="101">
        <v>-1</v>
      </c>
      <c r="G667" s="101"/>
      <c r="H667" s="101"/>
      <c r="I667" s="102">
        <v>0.81</v>
      </c>
      <c r="J667" s="102">
        <v>2.25</v>
      </c>
      <c r="K667" s="101">
        <v>13.8</v>
      </c>
      <c r="L667" s="101">
        <v>-0.1</v>
      </c>
      <c r="M667" s="101" t="s">
        <v>1004</v>
      </c>
      <c r="N667" s="101">
        <v>2011</v>
      </c>
      <c r="O667" s="101" t="s">
        <v>633</v>
      </c>
      <c r="P667" s="101">
        <v>161687</v>
      </c>
      <c r="Q667" t="s">
        <v>812</v>
      </c>
      <c r="R667" t="s">
        <v>161</v>
      </c>
      <c r="S667"/>
      <c r="T667"/>
      <c r="U667"/>
      <c r="V667" s="220"/>
    </row>
    <row r="668" spans="1:22" x14ac:dyDescent="0.2">
      <c r="A668" t="s">
        <v>602</v>
      </c>
      <c r="B668" s="101">
        <v>12</v>
      </c>
      <c r="C668" s="101">
        <v>8</v>
      </c>
      <c r="D668" s="101">
        <v>3</v>
      </c>
      <c r="E668" s="101">
        <v>11</v>
      </c>
      <c r="F668" s="101">
        <v>2</v>
      </c>
      <c r="G668" s="101">
        <v>-30</v>
      </c>
      <c r="H668" s="101">
        <v>-6.9</v>
      </c>
      <c r="I668" s="102">
        <v>0.81</v>
      </c>
      <c r="J668" s="102">
        <v>2.25</v>
      </c>
      <c r="K668" s="101">
        <v>13.700000000000001</v>
      </c>
      <c r="L668" s="101">
        <v>0</v>
      </c>
      <c r="M668" s="101" t="s">
        <v>1004</v>
      </c>
      <c r="N668" s="101">
        <v>2006</v>
      </c>
      <c r="O668" s="101" t="s">
        <v>633</v>
      </c>
      <c r="P668" s="101">
        <v>197632</v>
      </c>
      <c r="Q668" t="s">
        <v>812</v>
      </c>
      <c r="R668" t="s">
        <v>367</v>
      </c>
      <c r="S668"/>
      <c r="T668"/>
      <c r="U668"/>
      <c r="V668" s="220"/>
    </row>
    <row r="669" spans="1:22" x14ac:dyDescent="0.2">
      <c r="A669" t="s">
        <v>600</v>
      </c>
      <c r="B669" s="101">
        <v>18</v>
      </c>
      <c r="C669" s="101">
        <v>10</v>
      </c>
      <c r="D669" s="101">
        <v>4</v>
      </c>
      <c r="E669" s="101">
        <v>0</v>
      </c>
      <c r="F669" s="101">
        <v>-4</v>
      </c>
      <c r="G669" s="101">
        <v>-37</v>
      </c>
      <c r="H669" s="101">
        <v>-8.9</v>
      </c>
      <c r="I669" s="102">
        <v>0.81</v>
      </c>
      <c r="J669" s="102">
        <v>2.25</v>
      </c>
      <c r="K669" s="101">
        <v>22.2</v>
      </c>
      <c r="L669" s="101">
        <v>0</v>
      </c>
      <c r="M669" s="101" t="s">
        <v>1004</v>
      </c>
      <c r="N669" s="101">
        <v>2006</v>
      </c>
      <c r="O669" s="101" t="s">
        <v>633</v>
      </c>
      <c r="P669" s="101">
        <v>233460</v>
      </c>
      <c r="Q669" t="s">
        <v>812</v>
      </c>
      <c r="R669" t="s">
        <v>131</v>
      </c>
      <c r="S669"/>
      <c r="T669"/>
      <c r="U669"/>
      <c r="V669" s="220"/>
    </row>
    <row r="670" spans="1:22" x14ac:dyDescent="0.2">
      <c r="A670" t="s">
        <v>37</v>
      </c>
      <c r="B670" s="101">
        <v>9</v>
      </c>
      <c r="C670" s="101">
        <v>4</v>
      </c>
      <c r="D670" s="101">
        <v>0</v>
      </c>
      <c r="E670" s="101">
        <v>8</v>
      </c>
      <c r="F670" s="101">
        <v>-7</v>
      </c>
      <c r="G670" s="101">
        <v>-35</v>
      </c>
      <c r="H670" s="101">
        <v>-8.3000000000000007</v>
      </c>
      <c r="I670" s="102">
        <v>0.81</v>
      </c>
      <c r="J670" s="102">
        <v>2.0266609999999998</v>
      </c>
      <c r="K670" s="101">
        <v>12.6</v>
      </c>
      <c r="L670" s="101">
        <v>-0.3</v>
      </c>
      <c r="M670" s="101" t="s">
        <v>1004</v>
      </c>
      <c r="N670" s="101">
        <v>2005</v>
      </c>
      <c r="O670" s="101" t="s">
        <v>633</v>
      </c>
      <c r="P670" s="101">
        <v>246868</v>
      </c>
      <c r="Q670" t="s">
        <v>434</v>
      </c>
      <c r="R670" t="s">
        <v>367</v>
      </c>
      <c r="S670"/>
      <c r="T670"/>
      <c r="U670"/>
      <c r="V670" s="220"/>
    </row>
    <row r="671" spans="1:22" x14ac:dyDescent="0.2">
      <c r="A671" t="s">
        <v>957</v>
      </c>
      <c r="B671" s="101">
        <v>2</v>
      </c>
      <c r="C671" s="101">
        <v>-2</v>
      </c>
      <c r="D671" s="101">
        <v>-7</v>
      </c>
      <c r="E671" s="101">
        <v>4</v>
      </c>
      <c r="F671" s="101">
        <v>27</v>
      </c>
      <c r="G671" s="101">
        <v>9</v>
      </c>
      <c r="H671" s="101">
        <v>1.8</v>
      </c>
      <c r="I671" s="102">
        <v>0.81</v>
      </c>
      <c r="J671" s="102">
        <v>2.0300000000000002</v>
      </c>
      <c r="K671" s="101">
        <v>11.3</v>
      </c>
      <c r="L671" s="101">
        <v>0.6</v>
      </c>
      <c r="M671" s="101" t="s">
        <v>1004</v>
      </c>
      <c r="N671" s="101">
        <v>2006</v>
      </c>
      <c r="O671" s="101" t="s">
        <v>633</v>
      </c>
      <c r="P671" s="101">
        <v>848069</v>
      </c>
      <c r="Q671" t="s">
        <v>752</v>
      </c>
      <c r="R671" t="s">
        <v>261</v>
      </c>
      <c r="S671"/>
      <c r="T671"/>
      <c r="U671"/>
      <c r="V671" s="220"/>
    </row>
    <row r="672" spans="1:22" x14ac:dyDescent="0.2">
      <c r="A672" t="s">
        <v>717</v>
      </c>
      <c r="B672" s="101">
        <v>3</v>
      </c>
      <c r="C672" s="101">
        <v>-1</v>
      </c>
      <c r="D672" s="101">
        <v>0</v>
      </c>
      <c r="E672" s="101">
        <v>7</v>
      </c>
      <c r="F672" s="101">
        <v>14</v>
      </c>
      <c r="G672" s="101">
        <v>21</v>
      </c>
      <c r="H672" s="101">
        <v>3.9</v>
      </c>
      <c r="I672" s="102">
        <v>0.81</v>
      </c>
      <c r="J672" s="102">
        <v>2.0227059999999999</v>
      </c>
      <c r="K672" s="101">
        <v>12.1</v>
      </c>
      <c r="L672" s="101">
        <v>0.3</v>
      </c>
      <c r="M672" s="101" t="s">
        <v>1002</v>
      </c>
      <c r="N672" s="101">
        <v>2003</v>
      </c>
      <c r="O672" s="101" t="s">
        <v>633</v>
      </c>
      <c r="P672" s="101">
        <v>603985</v>
      </c>
      <c r="Q672" t="s">
        <v>800</v>
      </c>
      <c r="R672" t="s">
        <v>226</v>
      </c>
      <c r="S672"/>
      <c r="T672"/>
      <c r="U672"/>
      <c r="V672" s="220"/>
    </row>
    <row r="673" spans="1:22" x14ac:dyDescent="0.2">
      <c r="A673" t="s">
        <v>815</v>
      </c>
      <c r="B673" s="101">
        <v>2</v>
      </c>
      <c r="C673" s="101">
        <v>3</v>
      </c>
      <c r="D673" s="101">
        <v>-10</v>
      </c>
      <c r="E673" s="101">
        <v>-1</v>
      </c>
      <c r="F673" s="101">
        <v>-4</v>
      </c>
      <c r="G673" s="101">
        <v>-56</v>
      </c>
      <c r="H673" s="101">
        <v>-15</v>
      </c>
      <c r="I673" s="102">
        <v>0.81</v>
      </c>
      <c r="J673" s="102">
        <v>2.0382729999999998</v>
      </c>
      <c r="K673" s="101">
        <v>23.900000000000002</v>
      </c>
      <c r="L673" s="101">
        <v>0</v>
      </c>
      <c r="M673" s="101" t="s">
        <v>1001</v>
      </c>
      <c r="N673" s="101">
        <v>2005</v>
      </c>
      <c r="O673" s="101" t="s">
        <v>753</v>
      </c>
      <c r="P673" s="101">
        <v>649491</v>
      </c>
      <c r="Q673" t="s">
        <v>1128</v>
      </c>
      <c r="R673" t="s">
        <v>368</v>
      </c>
      <c r="S673"/>
      <c r="T673"/>
      <c r="U673"/>
      <c r="V673" s="220"/>
    </row>
    <row r="674" spans="1:22" x14ac:dyDescent="0.2">
      <c r="A674" t="s">
        <v>318</v>
      </c>
      <c r="B674" s="101">
        <v>4</v>
      </c>
      <c r="C674" s="101">
        <v>7</v>
      </c>
      <c r="D674" s="101">
        <v>-2</v>
      </c>
      <c r="E674" s="101">
        <v>4</v>
      </c>
      <c r="F674" s="101"/>
      <c r="G674" s="101"/>
      <c r="H674" s="101"/>
      <c r="I674" s="102">
        <v>0.81</v>
      </c>
      <c r="J674" s="102">
        <v>2.0300000000000002</v>
      </c>
      <c r="K674" s="101"/>
      <c r="L674" s="101"/>
      <c r="M674" s="101" t="s">
        <v>1001</v>
      </c>
      <c r="N674" s="101">
        <v>2010</v>
      </c>
      <c r="O674" s="101" t="s">
        <v>753</v>
      </c>
      <c r="P674" s="101">
        <v>660290</v>
      </c>
      <c r="Q674" t="s">
        <v>32</v>
      </c>
      <c r="R674" t="s">
        <v>367</v>
      </c>
      <c r="S674"/>
      <c r="T674"/>
      <c r="U674"/>
      <c r="V674" s="220"/>
    </row>
    <row r="675" spans="1:22" x14ac:dyDescent="0.2">
      <c r="A675" t="s">
        <v>29</v>
      </c>
      <c r="B675" s="101">
        <v>7</v>
      </c>
      <c r="C675" s="101">
        <v>6</v>
      </c>
      <c r="D675" s="101">
        <v>2</v>
      </c>
      <c r="E675" s="101">
        <v>5</v>
      </c>
      <c r="F675" s="101">
        <v>-5</v>
      </c>
      <c r="G675" s="101">
        <v>16</v>
      </c>
      <c r="H675" s="101">
        <v>3</v>
      </c>
      <c r="I675" s="102">
        <v>0.81</v>
      </c>
      <c r="J675" s="102">
        <v>2.13</v>
      </c>
      <c r="K675" s="101">
        <v>6.3</v>
      </c>
      <c r="L675" s="101">
        <v>-0.5</v>
      </c>
      <c r="M675" s="101" t="s">
        <v>1002</v>
      </c>
      <c r="N675" s="101">
        <v>2000</v>
      </c>
      <c r="O675" s="101" t="s">
        <v>633</v>
      </c>
      <c r="P675" s="101">
        <v>966598</v>
      </c>
      <c r="Q675" t="s">
        <v>358</v>
      </c>
      <c r="R675" t="s">
        <v>615</v>
      </c>
      <c r="S675"/>
      <c r="T675"/>
      <c r="U675"/>
      <c r="V675" s="220"/>
    </row>
    <row r="676" spans="1:22" x14ac:dyDescent="0.2">
      <c r="A676" t="s">
        <v>882</v>
      </c>
      <c r="B676" s="101">
        <v>16</v>
      </c>
      <c r="C676" s="101">
        <v>9</v>
      </c>
      <c r="D676" s="101">
        <v>6</v>
      </c>
      <c r="E676" s="101">
        <v>10</v>
      </c>
      <c r="F676" s="101">
        <v>7</v>
      </c>
      <c r="G676" s="101">
        <v>29</v>
      </c>
      <c r="H676" s="101">
        <v>5.2</v>
      </c>
      <c r="I676" s="102">
        <v>0.81</v>
      </c>
      <c r="J676" s="102">
        <v>2.14</v>
      </c>
      <c r="K676" s="101">
        <v>10.4</v>
      </c>
      <c r="L676" s="101">
        <v>0.1</v>
      </c>
      <c r="M676" s="101" t="s">
        <v>1002</v>
      </c>
      <c r="N676" s="101">
        <v>2000</v>
      </c>
      <c r="O676" s="101" t="s">
        <v>633</v>
      </c>
      <c r="P676" s="101">
        <v>930768</v>
      </c>
      <c r="Q676" t="s">
        <v>358</v>
      </c>
      <c r="R676" t="s">
        <v>615</v>
      </c>
      <c r="S676"/>
      <c r="T676"/>
      <c r="U676"/>
      <c r="V676" s="220"/>
    </row>
    <row r="677" spans="1:22" x14ac:dyDescent="0.2">
      <c r="A677" t="s">
        <v>1054</v>
      </c>
      <c r="B677" s="101">
        <v>-1</v>
      </c>
      <c r="C677" s="101">
        <v>0</v>
      </c>
      <c r="D677" s="101">
        <v>-8</v>
      </c>
      <c r="E677" s="101">
        <v>-4</v>
      </c>
      <c r="F677" s="101">
        <v>-3</v>
      </c>
      <c r="G677" s="101">
        <v>-6</v>
      </c>
      <c r="H677" s="101">
        <v>-1.1000000000000001</v>
      </c>
      <c r="I677" s="102">
        <v>0.81</v>
      </c>
      <c r="J677" s="102">
        <v>2.25</v>
      </c>
      <c r="K677" s="101">
        <v>17.8</v>
      </c>
      <c r="L677" s="101">
        <v>0</v>
      </c>
      <c r="M677" s="101" t="s">
        <v>1004</v>
      </c>
      <c r="N677" s="101">
        <v>2008</v>
      </c>
      <c r="O677" s="101" t="s">
        <v>633</v>
      </c>
      <c r="P677" s="101">
        <v>204891</v>
      </c>
      <c r="Q677" t="s">
        <v>812</v>
      </c>
      <c r="R677" t="s">
        <v>369</v>
      </c>
      <c r="S677"/>
      <c r="T677"/>
      <c r="U677"/>
      <c r="V677" s="220"/>
    </row>
    <row r="678" spans="1:22" x14ac:dyDescent="0.2">
      <c r="A678" t="s">
        <v>257</v>
      </c>
      <c r="B678" s="101">
        <v>14</v>
      </c>
      <c r="C678" s="101">
        <v>10</v>
      </c>
      <c r="D678" s="101">
        <v>6</v>
      </c>
      <c r="E678" s="101">
        <v>9</v>
      </c>
      <c r="F678" s="101">
        <v>-4</v>
      </c>
      <c r="G678" s="101">
        <v>-33</v>
      </c>
      <c r="H678" s="101">
        <v>-7.7</v>
      </c>
      <c r="I678" s="102">
        <v>0.82000000000000006</v>
      </c>
      <c r="J678" s="102">
        <v>2.02</v>
      </c>
      <c r="K678" s="101">
        <v>14.200000000000001</v>
      </c>
      <c r="L678" s="101">
        <v>-0.1</v>
      </c>
      <c r="M678" s="101" t="s">
        <v>1002</v>
      </c>
      <c r="N678" s="101">
        <v>2002</v>
      </c>
      <c r="O678" s="101" t="s">
        <v>633</v>
      </c>
      <c r="P678" s="101">
        <v>579722</v>
      </c>
      <c r="Q678" t="s">
        <v>756</v>
      </c>
      <c r="R678" t="s">
        <v>86</v>
      </c>
      <c r="S678"/>
      <c r="T678"/>
      <c r="U678"/>
      <c r="V678" s="220"/>
    </row>
    <row r="679" spans="1:22" x14ac:dyDescent="0.2">
      <c r="A679" t="s">
        <v>933</v>
      </c>
      <c r="B679" s="101">
        <v>0</v>
      </c>
      <c r="C679" s="101">
        <v>-1</v>
      </c>
      <c r="D679" s="101">
        <v>-3</v>
      </c>
      <c r="E679" s="101">
        <v>2</v>
      </c>
      <c r="F679" s="101">
        <v>-2</v>
      </c>
      <c r="G679" s="101">
        <v>0</v>
      </c>
      <c r="H679" s="101">
        <v>0</v>
      </c>
      <c r="I679" s="102">
        <v>0.82000000000000006</v>
      </c>
      <c r="J679" s="102">
        <v>2.15</v>
      </c>
      <c r="K679" s="101">
        <v>7</v>
      </c>
      <c r="L679" s="101">
        <v>-0.3</v>
      </c>
      <c r="M679" s="101" t="s">
        <v>1002</v>
      </c>
      <c r="N679" s="101">
        <v>2006</v>
      </c>
      <c r="O679" s="101" t="s">
        <v>633</v>
      </c>
      <c r="P679" s="101">
        <v>647669</v>
      </c>
      <c r="Q679" t="s">
        <v>58</v>
      </c>
      <c r="R679" t="s">
        <v>301</v>
      </c>
      <c r="S679"/>
      <c r="T679"/>
      <c r="U679"/>
      <c r="V679" s="220"/>
    </row>
    <row r="680" spans="1:22" x14ac:dyDescent="0.2">
      <c r="A680" t="s">
        <v>193</v>
      </c>
      <c r="B680" s="101">
        <v>0</v>
      </c>
      <c r="C680" s="101">
        <v>-3</v>
      </c>
      <c r="D680" s="101">
        <v>-8</v>
      </c>
      <c r="E680" s="101">
        <v>-2</v>
      </c>
      <c r="F680" s="101">
        <v>-4</v>
      </c>
      <c r="G680" s="101">
        <v>-37</v>
      </c>
      <c r="H680" s="101">
        <v>-8.8000000000000007</v>
      </c>
      <c r="I680" s="102">
        <v>0.82000000000000006</v>
      </c>
      <c r="J680" s="102">
        <v>2.073</v>
      </c>
      <c r="K680" s="101">
        <v>14.1</v>
      </c>
      <c r="L680" s="101">
        <v>-0.1</v>
      </c>
      <c r="M680" s="101" t="s">
        <v>1006</v>
      </c>
      <c r="N680" s="101">
        <v>2006</v>
      </c>
      <c r="O680" s="101" t="s">
        <v>633</v>
      </c>
      <c r="P680" s="101">
        <v>866897</v>
      </c>
      <c r="Q680" t="s">
        <v>423</v>
      </c>
      <c r="R680" t="s">
        <v>226</v>
      </c>
      <c r="S680"/>
      <c r="T680"/>
      <c r="U680"/>
      <c r="V680" s="220"/>
    </row>
    <row r="681" spans="1:22" x14ac:dyDescent="0.2">
      <c r="A681" t="s">
        <v>336</v>
      </c>
      <c r="B681" s="101">
        <v>0</v>
      </c>
      <c r="C681" s="101">
        <v>-3</v>
      </c>
      <c r="D681" s="101">
        <v>-8</v>
      </c>
      <c r="E681" s="101">
        <v>0</v>
      </c>
      <c r="F681" s="101">
        <v>3</v>
      </c>
      <c r="G681" s="101">
        <v>-23</v>
      </c>
      <c r="H681" s="101">
        <v>-5</v>
      </c>
      <c r="I681" s="102">
        <v>0.82000000000000006</v>
      </c>
      <c r="J681" s="102">
        <v>2.0670000000000002</v>
      </c>
      <c r="K681" s="101">
        <v>14</v>
      </c>
      <c r="L681" s="101">
        <v>0</v>
      </c>
      <c r="M681" s="101" t="s">
        <v>1006</v>
      </c>
      <c r="N681" s="101">
        <v>2000</v>
      </c>
      <c r="O681" s="101" t="s">
        <v>633</v>
      </c>
      <c r="P681" s="101">
        <v>910109</v>
      </c>
      <c r="Q681" t="s">
        <v>423</v>
      </c>
      <c r="R681" t="s">
        <v>226</v>
      </c>
      <c r="S681"/>
      <c r="T681"/>
      <c r="U681"/>
      <c r="V681" s="220"/>
    </row>
    <row r="682" spans="1:22" x14ac:dyDescent="0.2">
      <c r="A682" t="s">
        <v>1132</v>
      </c>
      <c r="B682" s="101">
        <v>9</v>
      </c>
      <c r="C682" s="101">
        <v>5</v>
      </c>
      <c r="D682" s="101">
        <v>-7</v>
      </c>
      <c r="E682" s="101">
        <v>0</v>
      </c>
      <c r="F682" s="101">
        <v>-10</v>
      </c>
      <c r="G682" s="101"/>
      <c r="H682" s="101"/>
      <c r="I682" s="102">
        <v>0.82000000000000006</v>
      </c>
      <c r="J682" s="102">
        <v>2</v>
      </c>
      <c r="K682" s="101">
        <v>24.2</v>
      </c>
      <c r="L682" s="101">
        <v>-0.1</v>
      </c>
      <c r="M682" s="101" t="s">
        <v>1002</v>
      </c>
      <c r="N682" s="101">
        <v>2011</v>
      </c>
      <c r="O682" s="101" t="s">
        <v>633</v>
      </c>
      <c r="P682" s="101">
        <v>949941</v>
      </c>
      <c r="Q682" t="s">
        <v>466</v>
      </c>
      <c r="R682" t="s">
        <v>208</v>
      </c>
      <c r="S682" t="s">
        <v>1024</v>
      </c>
      <c r="T682"/>
      <c r="U682"/>
      <c r="V682" s="220"/>
    </row>
    <row r="683" spans="1:22" x14ac:dyDescent="0.2">
      <c r="A683" t="s">
        <v>1013</v>
      </c>
      <c r="B683" s="101">
        <v>17</v>
      </c>
      <c r="C683" s="101">
        <v>3</v>
      </c>
      <c r="D683" s="101">
        <v>7</v>
      </c>
      <c r="E683" s="101">
        <v>9</v>
      </c>
      <c r="F683" s="101">
        <v>1</v>
      </c>
      <c r="G683" s="101">
        <v>-27</v>
      </c>
      <c r="H683" s="101">
        <v>-6.1000000000000005</v>
      </c>
      <c r="I683" s="102">
        <v>0.83000000000000007</v>
      </c>
      <c r="J683" s="102">
        <v>2.04</v>
      </c>
      <c r="K683" s="101">
        <v>14.200000000000001</v>
      </c>
      <c r="L683" s="101">
        <v>0</v>
      </c>
      <c r="M683" s="101" t="s">
        <v>1002</v>
      </c>
      <c r="N683" s="101">
        <v>2004</v>
      </c>
      <c r="O683" s="101" t="s">
        <v>633</v>
      </c>
      <c r="P683" s="101">
        <v>252353</v>
      </c>
      <c r="Q683" t="s">
        <v>756</v>
      </c>
      <c r="R683" t="s">
        <v>279</v>
      </c>
      <c r="S683"/>
      <c r="T683"/>
      <c r="U683"/>
      <c r="V683" s="220"/>
    </row>
    <row r="684" spans="1:22" x14ac:dyDescent="0.2">
      <c r="A684" t="s">
        <v>948</v>
      </c>
      <c r="B684" s="101">
        <v>12</v>
      </c>
      <c r="C684" s="101">
        <v>2</v>
      </c>
      <c r="D684" s="101">
        <v>1</v>
      </c>
      <c r="E684" s="101">
        <v>18</v>
      </c>
      <c r="F684" s="101">
        <v>22</v>
      </c>
      <c r="G684" s="101"/>
      <c r="H684" s="101"/>
      <c r="I684" s="102">
        <v>0.83000000000000007</v>
      </c>
      <c r="J684" s="102">
        <v>2.2400000000000002</v>
      </c>
      <c r="K684" s="101">
        <v>12.6</v>
      </c>
      <c r="L684" s="101">
        <v>0.5</v>
      </c>
      <c r="M684" s="101" t="s">
        <v>1001</v>
      </c>
      <c r="N684" s="101">
        <v>2011</v>
      </c>
      <c r="O684" s="101" t="s">
        <v>753</v>
      </c>
      <c r="P684" s="101">
        <v>339002</v>
      </c>
      <c r="Q684" t="s">
        <v>790</v>
      </c>
      <c r="R684" t="s">
        <v>145</v>
      </c>
      <c r="S684"/>
      <c r="T684"/>
      <c r="U684"/>
      <c r="V684" s="220"/>
    </row>
    <row r="685" spans="1:22" x14ac:dyDescent="0.2">
      <c r="A685" t="s">
        <v>946</v>
      </c>
      <c r="B685" s="101">
        <v>5</v>
      </c>
      <c r="C685" s="101">
        <v>2</v>
      </c>
      <c r="D685" s="101">
        <v>-3</v>
      </c>
      <c r="E685" s="101">
        <v>3</v>
      </c>
      <c r="F685" s="101"/>
      <c r="G685" s="101"/>
      <c r="H685" s="101"/>
      <c r="I685" s="102">
        <v>0.83000000000000007</v>
      </c>
      <c r="J685" s="102">
        <v>2.64</v>
      </c>
      <c r="K685" s="101"/>
      <c r="L685" s="101"/>
      <c r="M685" s="101" t="s">
        <v>1001</v>
      </c>
      <c r="N685" s="101">
        <v>2011</v>
      </c>
      <c r="O685" s="101" t="s">
        <v>633</v>
      </c>
      <c r="P685" s="101">
        <v>391839</v>
      </c>
      <c r="Q685" t="s">
        <v>944</v>
      </c>
      <c r="R685" t="s">
        <v>161</v>
      </c>
      <c r="S685"/>
      <c r="T685"/>
      <c r="U685"/>
      <c r="V685" s="220"/>
    </row>
    <row r="686" spans="1:22" x14ac:dyDescent="0.2">
      <c r="A686" t="s">
        <v>321</v>
      </c>
      <c r="B686" s="101">
        <v>10</v>
      </c>
      <c r="C686" s="101">
        <v>5</v>
      </c>
      <c r="D686" s="101">
        <v>-8</v>
      </c>
      <c r="E686" s="101">
        <v>1</v>
      </c>
      <c r="F686" s="101">
        <v>-21</v>
      </c>
      <c r="G686" s="101">
        <v>-42</v>
      </c>
      <c r="H686" s="101">
        <v>-10.4</v>
      </c>
      <c r="I686" s="102">
        <v>0.83000000000000007</v>
      </c>
      <c r="J686" s="102">
        <v>2.1037859999999999</v>
      </c>
      <c r="K686" s="101">
        <v>19.7</v>
      </c>
      <c r="L686" s="101">
        <v>-0.4</v>
      </c>
      <c r="M686" s="101" t="s">
        <v>1002</v>
      </c>
      <c r="N686" s="101">
        <v>2002</v>
      </c>
      <c r="O686" s="101" t="s">
        <v>633</v>
      </c>
      <c r="P686" s="101">
        <v>467985</v>
      </c>
      <c r="Q686" t="s">
        <v>449</v>
      </c>
      <c r="R686" t="s">
        <v>145</v>
      </c>
      <c r="S686"/>
      <c r="T686"/>
      <c r="U686"/>
      <c r="V686" s="220"/>
    </row>
    <row r="687" spans="1:22" x14ac:dyDescent="0.2">
      <c r="A687" t="s">
        <v>938</v>
      </c>
      <c r="B687" s="101">
        <v>6</v>
      </c>
      <c r="C687" s="101">
        <v>1</v>
      </c>
      <c r="D687" s="101">
        <v>-2</v>
      </c>
      <c r="E687" s="101">
        <v>10</v>
      </c>
      <c r="F687" s="101"/>
      <c r="G687" s="101"/>
      <c r="H687" s="101"/>
      <c r="I687" s="102">
        <v>0.84</v>
      </c>
      <c r="J687" s="102">
        <v>2.2000000000000002</v>
      </c>
      <c r="K687" s="101"/>
      <c r="L687" s="101"/>
      <c r="M687" s="101" t="s">
        <v>1001</v>
      </c>
      <c r="N687" s="101">
        <v>2011</v>
      </c>
      <c r="O687" s="101" t="s">
        <v>753</v>
      </c>
      <c r="P687" s="101">
        <v>208439</v>
      </c>
      <c r="Q687" t="s">
        <v>734</v>
      </c>
      <c r="R687" t="s">
        <v>145</v>
      </c>
      <c r="S687"/>
      <c r="T687"/>
      <c r="U687"/>
      <c r="V687" s="220"/>
    </row>
    <row r="688" spans="1:22" x14ac:dyDescent="0.2">
      <c r="A688" t="s">
        <v>287</v>
      </c>
      <c r="B688" s="101">
        <v>19</v>
      </c>
      <c r="C688" s="101">
        <v>4</v>
      </c>
      <c r="D688" s="101">
        <v>9</v>
      </c>
      <c r="E688" s="101">
        <v>11</v>
      </c>
      <c r="F688" s="101">
        <v>0</v>
      </c>
      <c r="G688" s="101">
        <v>-36</v>
      </c>
      <c r="H688" s="101">
        <v>-8.4</v>
      </c>
      <c r="I688" s="102">
        <v>0.85</v>
      </c>
      <c r="J688" s="102">
        <v>2.16</v>
      </c>
      <c r="K688" s="101">
        <v>15</v>
      </c>
      <c r="L688" s="101">
        <v>0</v>
      </c>
      <c r="M688" s="101" t="s">
        <v>1002</v>
      </c>
      <c r="N688" s="101">
        <v>2004</v>
      </c>
      <c r="O688" s="101" t="s">
        <v>633</v>
      </c>
      <c r="P688" s="101">
        <v>665315</v>
      </c>
      <c r="Q688" t="s">
        <v>992</v>
      </c>
      <c r="R688" t="s">
        <v>279</v>
      </c>
      <c r="S688"/>
      <c r="T688"/>
      <c r="U688"/>
      <c r="V688" s="220"/>
    </row>
    <row r="689" spans="1:22" x14ac:dyDescent="0.2">
      <c r="A689" t="s">
        <v>947</v>
      </c>
      <c r="B689" s="101">
        <v>12</v>
      </c>
      <c r="C689" s="101">
        <v>3</v>
      </c>
      <c r="D689" s="101">
        <v>0</v>
      </c>
      <c r="E689" s="101">
        <v>9</v>
      </c>
      <c r="F689" s="101">
        <v>15</v>
      </c>
      <c r="G689" s="101"/>
      <c r="H689" s="101"/>
      <c r="I689" s="102">
        <v>0.85</v>
      </c>
      <c r="J689" s="102">
        <v>2.3000000000000003</v>
      </c>
      <c r="K689" s="101">
        <v>12.5</v>
      </c>
      <c r="L689" s="101">
        <v>0.3</v>
      </c>
      <c r="M689" s="101" t="s">
        <v>1001</v>
      </c>
      <c r="N689" s="101">
        <v>2011</v>
      </c>
      <c r="O689" s="101" t="s">
        <v>753</v>
      </c>
      <c r="P689" s="101">
        <v>374835</v>
      </c>
      <c r="Q689" t="s">
        <v>790</v>
      </c>
      <c r="R689" t="s">
        <v>145</v>
      </c>
      <c r="S689"/>
      <c r="T689"/>
      <c r="U689"/>
      <c r="V689" s="220"/>
    </row>
    <row r="690" spans="1:22" x14ac:dyDescent="0.2">
      <c r="A690" t="s">
        <v>1080</v>
      </c>
      <c r="B690" s="101">
        <v>1</v>
      </c>
      <c r="C690" s="101">
        <v>4</v>
      </c>
      <c r="D690" s="101">
        <v>-1</v>
      </c>
      <c r="E690" s="101"/>
      <c r="F690" s="101"/>
      <c r="G690" s="101"/>
      <c r="H690" s="101"/>
      <c r="I690" s="102">
        <v>0.85</v>
      </c>
      <c r="J690" s="102">
        <v>2.25</v>
      </c>
      <c r="K690" s="101"/>
      <c r="L690" s="101"/>
      <c r="M690" s="101" t="s">
        <v>1081</v>
      </c>
      <c r="N690" s="101">
        <v>2012</v>
      </c>
      <c r="O690" s="101" t="s">
        <v>633</v>
      </c>
      <c r="P690" s="101">
        <v>799304</v>
      </c>
      <c r="Q690" t="s">
        <v>1067</v>
      </c>
      <c r="R690" t="s">
        <v>626</v>
      </c>
      <c r="S690"/>
      <c r="T690"/>
      <c r="U690"/>
      <c r="V690" s="220"/>
    </row>
    <row r="691" spans="1:22" x14ac:dyDescent="0.2">
      <c r="A691" t="s">
        <v>103</v>
      </c>
      <c r="B691" s="101">
        <v>9</v>
      </c>
      <c r="C691" s="101">
        <v>2</v>
      </c>
      <c r="D691" s="101">
        <v>2</v>
      </c>
      <c r="E691" s="101">
        <v>19</v>
      </c>
      <c r="F691" s="101">
        <v>25</v>
      </c>
      <c r="G691" s="101">
        <v>8</v>
      </c>
      <c r="H691" s="101">
        <v>1.5</v>
      </c>
      <c r="I691" s="102">
        <v>0.85</v>
      </c>
      <c r="J691" s="102">
        <v>2.16</v>
      </c>
      <c r="K691" s="101">
        <v>16.3</v>
      </c>
      <c r="L691" s="101">
        <v>0.5</v>
      </c>
      <c r="M691" s="101" t="s">
        <v>1004</v>
      </c>
      <c r="N691" s="101">
        <v>2004</v>
      </c>
      <c r="O691" s="101" t="s">
        <v>633</v>
      </c>
      <c r="P691" s="101">
        <v>107201</v>
      </c>
      <c r="Q691" t="s">
        <v>992</v>
      </c>
      <c r="R691" t="s">
        <v>102</v>
      </c>
      <c r="S691"/>
      <c r="T691"/>
      <c r="U691"/>
      <c r="V691" s="220"/>
    </row>
    <row r="692" spans="1:22" x14ac:dyDescent="0.2">
      <c r="A692" t="s">
        <v>693</v>
      </c>
      <c r="B692" s="101">
        <v>10</v>
      </c>
      <c r="C692" s="101">
        <v>6</v>
      </c>
      <c r="D692" s="101">
        <v>-4</v>
      </c>
      <c r="E692" s="101">
        <v>7</v>
      </c>
      <c r="F692" s="101">
        <v>8</v>
      </c>
      <c r="G692" s="101">
        <v>-18</v>
      </c>
      <c r="H692" s="101">
        <v>-3.9</v>
      </c>
      <c r="I692" s="102">
        <v>0.86</v>
      </c>
      <c r="J692" s="102">
        <v>2.17</v>
      </c>
      <c r="K692" s="101">
        <v>15</v>
      </c>
      <c r="L692" s="101">
        <v>0.2</v>
      </c>
      <c r="M692" s="101" t="s">
        <v>1002</v>
      </c>
      <c r="N692" s="101">
        <v>2004</v>
      </c>
      <c r="O692" s="101" t="s">
        <v>633</v>
      </c>
      <c r="P692" s="101">
        <v>920371</v>
      </c>
      <c r="Q692" t="s">
        <v>992</v>
      </c>
      <c r="R692" t="s">
        <v>92</v>
      </c>
      <c r="S692"/>
      <c r="T692"/>
      <c r="U692"/>
      <c r="V692" s="220"/>
    </row>
    <row r="693" spans="1:22" x14ac:dyDescent="0.2">
      <c r="A693" t="s">
        <v>71</v>
      </c>
      <c r="B693" s="101">
        <v>14</v>
      </c>
      <c r="C693" s="101">
        <v>7</v>
      </c>
      <c r="D693" s="101">
        <v>3</v>
      </c>
      <c r="E693" s="101">
        <v>11</v>
      </c>
      <c r="F693" s="101">
        <v>8</v>
      </c>
      <c r="G693" s="101">
        <v>-19</v>
      </c>
      <c r="H693" s="101">
        <v>-4.2</v>
      </c>
      <c r="I693" s="102">
        <v>0.86</v>
      </c>
      <c r="J693" s="102">
        <v>2.15</v>
      </c>
      <c r="K693" s="101">
        <v>10.8</v>
      </c>
      <c r="L693" s="101">
        <v>0.2</v>
      </c>
      <c r="M693" s="101" t="s">
        <v>1002</v>
      </c>
      <c r="N693" s="101">
        <v>2002</v>
      </c>
      <c r="O693" s="101" t="s">
        <v>633</v>
      </c>
      <c r="P693" s="101">
        <v>651380</v>
      </c>
      <c r="Q693" t="s">
        <v>756</v>
      </c>
      <c r="R693" t="s">
        <v>44</v>
      </c>
      <c r="S693" t="s">
        <v>1024</v>
      </c>
      <c r="T693"/>
      <c r="U693"/>
      <c r="V693" s="220"/>
    </row>
    <row r="694" spans="1:22" x14ac:dyDescent="0.2">
      <c r="A694" t="s">
        <v>604</v>
      </c>
      <c r="B694" s="101">
        <v>-5</v>
      </c>
      <c r="C694" s="101">
        <v>-5</v>
      </c>
      <c r="D694" s="101">
        <v>-8</v>
      </c>
      <c r="E694" s="101">
        <v>-5</v>
      </c>
      <c r="F694" s="101">
        <v>-15</v>
      </c>
      <c r="G694" s="101">
        <v>-49</v>
      </c>
      <c r="H694" s="101">
        <v>-12.5</v>
      </c>
      <c r="I694" s="102">
        <v>0.86</v>
      </c>
      <c r="J694" s="102">
        <v>2.1843599999999999</v>
      </c>
      <c r="K694" s="101">
        <v>13.6</v>
      </c>
      <c r="L694" s="101">
        <v>-0.4</v>
      </c>
      <c r="M694" s="101" t="s">
        <v>1004</v>
      </c>
      <c r="N694" s="101">
        <v>2005</v>
      </c>
      <c r="O694" s="101" t="s">
        <v>633</v>
      </c>
      <c r="P694" s="101">
        <v>282699</v>
      </c>
      <c r="Q694" t="s">
        <v>434</v>
      </c>
      <c r="R694" t="s">
        <v>226</v>
      </c>
      <c r="S694"/>
      <c r="T694"/>
      <c r="U694"/>
      <c r="V694" s="220"/>
    </row>
    <row r="695" spans="1:22" x14ac:dyDescent="0.2">
      <c r="A695" t="s">
        <v>1101</v>
      </c>
      <c r="B695" s="101">
        <v>2</v>
      </c>
      <c r="C695" s="101">
        <v>4</v>
      </c>
      <c r="D695" s="101">
        <v>-2</v>
      </c>
      <c r="E695" s="101">
        <v>4</v>
      </c>
      <c r="F695" s="101">
        <v>12</v>
      </c>
      <c r="G695" s="101"/>
      <c r="H695" s="101"/>
      <c r="I695" s="102">
        <v>0.86</v>
      </c>
      <c r="J695" s="102">
        <v>2.19</v>
      </c>
      <c r="K695" s="101">
        <v>7.2</v>
      </c>
      <c r="L695" s="101">
        <v>0.3</v>
      </c>
      <c r="M695" s="101" t="s">
        <v>1002</v>
      </c>
      <c r="N695" s="101">
        <v>2012</v>
      </c>
      <c r="O695" s="101" t="s">
        <v>633</v>
      </c>
      <c r="P695" s="101">
        <v>717314</v>
      </c>
      <c r="Q695" t="s">
        <v>15</v>
      </c>
      <c r="R695" t="s">
        <v>301</v>
      </c>
      <c r="S695"/>
      <c r="T695"/>
      <c r="U695"/>
      <c r="V695" s="220"/>
    </row>
    <row r="696" spans="1:22" x14ac:dyDescent="0.2">
      <c r="A696" t="s">
        <v>1102</v>
      </c>
      <c r="B696" s="101">
        <v>8</v>
      </c>
      <c r="C696" s="101">
        <v>1</v>
      </c>
      <c r="D696" s="101">
        <v>-4</v>
      </c>
      <c r="E696" s="101">
        <v>6</v>
      </c>
      <c r="F696" s="101"/>
      <c r="G696" s="101"/>
      <c r="H696" s="101"/>
      <c r="I696" s="102">
        <v>0.86</v>
      </c>
      <c r="J696" s="102">
        <v>2.17</v>
      </c>
      <c r="K696" s="101"/>
      <c r="L696" s="101"/>
      <c r="M696" s="101" t="s">
        <v>1002</v>
      </c>
      <c r="N696" s="101">
        <v>2012</v>
      </c>
      <c r="O696" s="101" t="s">
        <v>633</v>
      </c>
      <c r="P696" s="101">
        <v>533919</v>
      </c>
      <c r="Q696" t="s">
        <v>15</v>
      </c>
      <c r="R696" t="s">
        <v>161</v>
      </c>
      <c r="S696"/>
      <c r="T696"/>
      <c r="U696"/>
      <c r="V696" s="220"/>
    </row>
    <row r="697" spans="1:22" x14ac:dyDescent="0.2">
      <c r="A697" t="s">
        <v>877</v>
      </c>
      <c r="B697" s="101">
        <v>-1</v>
      </c>
      <c r="C697" s="101">
        <v>-4</v>
      </c>
      <c r="D697" s="101">
        <v>-9</v>
      </c>
      <c r="E697" s="101">
        <v>-3</v>
      </c>
      <c r="F697" s="101">
        <v>-15</v>
      </c>
      <c r="G697" s="101">
        <v>8</v>
      </c>
      <c r="H697" s="101">
        <v>1.6</v>
      </c>
      <c r="I697" s="102">
        <v>0.86</v>
      </c>
      <c r="J697" s="102">
        <v>2.0300000000000002</v>
      </c>
      <c r="K697" s="101">
        <v>10.8</v>
      </c>
      <c r="L697" s="101">
        <v>-0.6</v>
      </c>
      <c r="M697" s="101" t="s">
        <v>1001</v>
      </c>
      <c r="N697" s="101">
        <v>2009</v>
      </c>
      <c r="O697" s="101" t="s">
        <v>753</v>
      </c>
      <c r="P697" s="101">
        <v>592295</v>
      </c>
      <c r="Q697" t="s">
        <v>704</v>
      </c>
      <c r="R697" t="s">
        <v>292</v>
      </c>
      <c r="S697"/>
      <c r="T697"/>
      <c r="U697"/>
      <c r="V697" s="220"/>
    </row>
    <row r="698" spans="1:22" x14ac:dyDescent="0.2">
      <c r="A698" t="s">
        <v>695</v>
      </c>
      <c r="B698" s="101">
        <v>19</v>
      </c>
      <c r="C698" s="101">
        <v>7</v>
      </c>
      <c r="D698" s="101">
        <v>1</v>
      </c>
      <c r="E698" s="101">
        <v>13</v>
      </c>
      <c r="F698" s="101">
        <v>22</v>
      </c>
      <c r="G698" s="101">
        <v>-21</v>
      </c>
      <c r="H698" s="101">
        <v>-4.6000000000000005</v>
      </c>
      <c r="I698" s="102">
        <v>0.87</v>
      </c>
      <c r="J698" s="102">
        <v>2.2000000000000002</v>
      </c>
      <c r="K698" s="101">
        <v>16.100000000000001</v>
      </c>
      <c r="L698" s="101">
        <v>0.4</v>
      </c>
      <c r="M698" s="101" t="s">
        <v>1002</v>
      </c>
      <c r="N698" s="101">
        <v>2007</v>
      </c>
      <c r="O698" s="101" t="s">
        <v>633</v>
      </c>
      <c r="P698" s="101">
        <v>904490</v>
      </c>
      <c r="Q698" t="s">
        <v>1026</v>
      </c>
      <c r="R698" t="s">
        <v>92</v>
      </c>
      <c r="S698"/>
      <c r="T698"/>
      <c r="U698"/>
      <c r="V698" s="220"/>
    </row>
    <row r="699" spans="1:22" x14ac:dyDescent="0.2">
      <c r="A699" t="s">
        <v>742</v>
      </c>
      <c r="B699" s="101">
        <v>3</v>
      </c>
      <c r="C699" s="101">
        <v>1</v>
      </c>
      <c r="D699" s="101">
        <v>0</v>
      </c>
      <c r="E699" s="101">
        <v>-2</v>
      </c>
      <c r="F699" s="101"/>
      <c r="G699" s="101"/>
      <c r="H699" s="101"/>
      <c r="I699" s="102">
        <v>0.87</v>
      </c>
      <c r="J699" s="102">
        <v>2.29</v>
      </c>
      <c r="K699" s="101"/>
      <c r="L699" s="101"/>
      <c r="M699" s="101" t="s">
        <v>1001</v>
      </c>
      <c r="N699" s="101">
        <v>2010</v>
      </c>
      <c r="O699" s="101" t="s">
        <v>753</v>
      </c>
      <c r="P699" s="101">
        <v>590463</v>
      </c>
      <c r="Q699" t="s">
        <v>734</v>
      </c>
      <c r="R699" t="s">
        <v>301</v>
      </c>
      <c r="S699"/>
      <c r="T699"/>
      <c r="U699"/>
      <c r="V699" s="220"/>
    </row>
    <row r="700" spans="1:22" x14ac:dyDescent="0.2">
      <c r="A700" t="s">
        <v>579</v>
      </c>
      <c r="B700" s="101">
        <v>16</v>
      </c>
      <c r="C700" s="101">
        <v>10</v>
      </c>
      <c r="D700" s="101">
        <v>3</v>
      </c>
      <c r="E700" s="101">
        <v>12</v>
      </c>
      <c r="F700" s="101">
        <v>13</v>
      </c>
      <c r="G700" s="101"/>
      <c r="H700" s="101"/>
      <c r="I700" s="102">
        <v>0.88</v>
      </c>
      <c r="J700" s="102">
        <v>2.2488000000000001</v>
      </c>
      <c r="K700" s="101">
        <v>13.8</v>
      </c>
      <c r="L700" s="101">
        <v>0.3</v>
      </c>
      <c r="M700" s="101" t="s">
        <v>1002</v>
      </c>
      <c r="N700" s="101">
        <v>2010</v>
      </c>
      <c r="O700" s="101" t="s">
        <v>633</v>
      </c>
      <c r="P700" s="101">
        <v>789032</v>
      </c>
      <c r="Q700" t="s">
        <v>580</v>
      </c>
      <c r="R700" t="s">
        <v>208</v>
      </c>
      <c r="S700"/>
      <c r="T700"/>
      <c r="U700"/>
      <c r="V700" s="220"/>
    </row>
    <row r="701" spans="1:22" x14ac:dyDescent="0.2">
      <c r="A701" t="s">
        <v>210</v>
      </c>
      <c r="B701" s="101">
        <v>13</v>
      </c>
      <c r="C701" s="101">
        <v>7</v>
      </c>
      <c r="D701" s="101">
        <v>2</v>
      </c>
      <c r="E701" s="101">
        <v>1</v>
      </c>
      <c r="F701" s="101">
        <v>-15</v>
      </c>
      <c r="G701" s="101">
        <v>-44</v>
      </c>
      <c r="H701" s="101">
        <v>-11</v>
      </c>
      <c r="I701" s="102">
        <v>0.88</v>
      </c>
      <c r="J701" s="102">
        <v>2.39</v>
      </c>
      <c r="K701" s="101">
        <v>20.7</v>
      </c>
      <c r="L701" s="101">
        <v>-0.2</v>
      </c>
      <c r="M701" s="101" t="s">
        <v>1002</v>
      </c>
      <c r="N701" s="101">
        <v>2001</v>
      </c>
      <c r="O701" s="101" t="s">
        <v>633</v>
      </c>
      <c r="P701" s="101">
        <v>779538</v>
      </c>
      <c r="Q701" t="s">
        <v>88</v>
      </c>
      <c r="R701" t="s">
        <v>208</v>
      </c>
      <c r="S701"/>
      <c r="T701"/>
      <c r="U701"/>
      <c r="V701" s="220"/>
    </row>
    <row r="702" spans="1:22" x14ac:dyDescent="0.2">
      <c r="A702" t="s">
        <v>797</v>
      </c>
      <c r="B702" s="101">
        <v>5</v>
      </c>
      <c r="C702" s="101">
        <v>1</v>
      </c>
      <c r="D702" s="101">
        <v>-4</v>
      </c>
      <c r="E702" s="101">
        <v>3</v>
      </c>
      <c r="F702" s="101">
        <v>5</v>
      </c>
      <c r="G702" s="101">
        <v>-21</v>
      </c>
      <c r="H702" s="101">
        <v>-4.7</v>
      </c>
      <c r="I702" s="102">
        <v>0.88</v>
      </c>
      <c r="J702" s="102">
        <v>2.4</v>
      </c>
      <c r="K702" s="101">
        <v>15.6</v>
      </c>
      <c r="L702" s="101">
        <v>0.1</v>
      </c>
      <c r="M702" s="101" t="s">
        <v>1004</v>
      </c>
      <c r="N702" s="101">
        <v>2005</v>
      </c>
      <c r="O702" s="101" t="s">
        <v>633</v>
      </c>
      <c r="P702" s="101">
        <v>980466</v>
      </c>
      <c r="Q702" t="s">
        <v>88</v>
      </c>
      <c r="R702" t="s">
        <v>161</v>
      </c>
      <c r="S702"/>
      <c r="T702"/>
      <c r="U702"/>
      <c r="V702" s="220"/>
    </row>
    <row r="703" spans="1:22" x14ac:dyDescent="0.2">
      <c r="A703" t="s">
        <v>798</v>
      </c>
      <c r="B703" s="101">
        <v>0</v>
      </c>
      <c r="C703" s="101">
        <v>-2</v>
      </c>
      <c r="D703" s="101">
        <v>-11</v>
      </c>
      <c r="E703" s="101">
        <v>-8</v>
      </c>
      <c r="F703" s="101">
        <v>-10</v>
      </c>
      <c r="G703" s="101">
        <v>-37</v>
      </c>
      <c r="H703" s="101">
        <v>-9</v>
      </c>
      <c r="I703" s="102">
        <v>0.88</v>
      </c>
      <c r="J703" s="102">
        <v>2.4</v>
      </c>
      <c r="K703" s="101">
        <v>25.1</v>
      </c>
      <c r="L703" s="101">
        <v>-0.1</v>
      </c>
      <c r="M703" s="101" t="s">
        <v>1004</v>
      </c>
      <c r="N703" s="101">
        <v>2008</v>
      </c>
      <c r="O703" s="101" t="s">
        <v>633</v>
      </c>
      <c r="P703" s="101">
        <v>770263</v>
      </c>
      <c r="Q703" t="s">
        <v>88</v>
      </c>
      <c r="R703" t="s">
        <v>368</v>
      </c>
      <c r="S703"/>
      <c r="T703"/>
      <c r="U703"/>
      <c r="V703" s="220"/>
    </row>
    <row r="704" spans="1:22" x14ac:dyDescent="0.2">
      <c r="A704" t="s">
        <v>720</v>
      </c>
      <c r="B704" s="101">
        <v>-11</v>
      </c>
      <c r="C704" s="101">
        <v>-5</v>
      </c>
      <c r="D704" s="101">
        <v>-15</v>
      </c>
      <c r="E704" s="101">
        <v>-14</v>
      </c>
      <c r="F704" s="101">
        <v>-20</v>
      </c>
      <c r="G704" s="101">
        <v>-36</v>
      </c>
      <c r="H704" s="101">
        <v>-8.4</v>
      </c>
      <c r="I704" s="102">
        <v>0.88</v>
      </c>
      <c r="J704" s="102">
        <v>2.4</v>
      </c>
      <c r="K704" s="101">
        <v>19.900000000000002</v>
      </c>
      <c r="L704" s="101">
        <v>-0.4</v>
      </c>
      <c r="M704" s="101" t="s">
        <v>1004</v>
      </c>
      <c r="N704" s="101">
        <v>2008</v>
      </c>
      <c r="O704" s="101" t="s">
        <v>633</v>
      </c>
      <c r="P704" s="101">
        <v>806091</v>
      </c>
      <c r="Q704" t="s">
        <v>88</v>
      </c>
      <c r="R704" t="s">
        <v>239</v>
      </c>
      <c r="S704"/>
      <c r="T704"/>
      <c r="U704"/>
      <c r="V704" s="220"/>
    </row>
    <row r="705" spans="1:22" x14ac:dyDescent="0.2">
      <c r="A705" t="s">
        <v>452</v>
      </c>
      <c r="B705" s="101">
        <v>5</v>
      </c>
      <c r="C705" s="101">
        <v>6</v>
      </c>
      <c r="D705" s="101">
        <v>-2</v>
      </c>
      <c r="E705" s="101">
        <v>-3</v>
      </c>
      <c r="F705" s="101">
        <v>-22</v>
      </c>
      <c r="G705" s="101"/>
      <c r="H705" s="101"/>
      <c r="I705" s="102">
        <v>0.88</v>
      </c>
      <c r="J705" s="102">
        <v>2.4</v>
      </c>
      <c r="K705" s="101">
        <v>16.600000000000001</v>
      </c>
      <c r="L705" s="101">
        <v>-0.5</v>
      </c>
      <c r="M705" s="101" t="s">
        <v>1004</v>
      </c>
      <c r="N705" s="101">
        <v>2010</v>
      </c>
      <c r="O705" s="101" t="s">
        <v>633</v>
      </c>
      <c r="P705" s="101">
        <v>807867</v>
      </c>
      <c r="Q705" t="s">
        <v>88</v>
      </c>
      <c r="R705" t="s">
        <v>161</v>
      </c>
      <c r="S705" t="s">
        <v>1024</v>
      </c>
      <c r="T705"/>
      <c r="U705"/>
      <c r="V705" s="220"/>
    </row>
    <row r="706" spans="1:22" x14ac:dyDescent="0.2">
      <c r="A706" t="s">
        <v>142</v>
      </c>
      <c r="B706" s="101">
        <v>7</v>
      </c>
      <c r="C706" s="101">
        <v>5</v>
      </c>
      <c r="D706" s="101">
        <v>-3</v>
      </c>
      <c r="E706" s="101">
        <v>4</v>
      </c>
      <c r="F706" s="101">
        <v>-9</v>
      </c>
      <c r="G706" s="101">
        <v>-32</v>
      </c>
      <c r="H706" s="101">
        <v>-7.5</v>
      </c>
      <c r="I706" s="102">
        <v>0.88</v>
      </c>
      <c r="J706" s="102">
        <v>2.4</v>
      </c>
      <c r="K706" s="101">
        <v>16.2</v>
      </c>
      <c r="L706" s="101">
        <v>-0.2</v>
      </c>
      <c r="M706" s="101" t="s">
        <v>1004</v>
      </c>
      <c r="N706" s="101">
        <v>2005</v>
      </c>
      <c r="O706" s="101" t="s">
        <v>633</v>
      </c>
      <c r="P706" s="101">
        <v>908806</v>
      </c>
      <c r="Q706" t="s">
        <v>88</v>
      </c>
      <c r="R706" t="s">
        <v>367</v>
      </c>
      <c r="S706"/>
      <c r="T706"/>
      <c r="U706"/>
      <c r="V706" s="220"/>
    </row>
    <row r="707" spans="1:22" x14ac:dyDescent="0.2">
      <c r="A707" t="s">
        <v>1037</v>
      </c>
      <c r="B707" s="101">
        <v>13</v>
      </c>
      <c r="C707" s="101">
        <v>6</v>
      </c>
      <c r="D707" s="101">
        <v>0</v>
      </c>
      <c r="E707" s="101">
        <v>7</v>
      </c>
      <c r="F707" s="101"/>
      <c r="G707" s="101"/>
      <c r="H707" s="101"/>
      <c r="I707" s="102">
        <v>0.89</v>
      </c>
      <c r="J707" s="102">
        <v>2.2713000000000001</v>
      </c>
      <c r="K707" s="101"/>
      <c r="L707" s="101"/>
      <c r="M707" s="101" t="s">
        <v>1002</v>
      </c>
      <c r="N707" s="101">
        <v>2012</v>
      </c>
      <c r="O707" s="101" t="s">
        <v>633</v>
      </c>
      <c r="P707" s="101">
        <v>666313</v>
      </c>
      <c r="Q707" t="s">
        <v>1038</v>
      </c>
      <c r="R707" t="s">
        <v>208</v>
      </c>
      <c r="S707" t="s">
        <v>1024</v>
      </c>
      <c r="T707"/>
      <c r="U707"/>
      <c r="V707" s="220"/>
    </row>
    <row r="708" spans="1:22" x14ac:dyDescent="0.2">
      <c r="A708" t="s">
        <v>1133</v>
      </c>
      <c r="B708" s="101">
        <v>8</v>
      </c>
      <c r="C708" s="101">
        <v>4</v>
      </c>
      <c r="D708" s="101">
        <v>0</v>
      </c>
      <c r="E708" s="101">
        <v>4</v>
      </c>
      <c r="F708" s="101"/>
      <c r="G708" s="101"/>
      <c r="H708" s="101"/>
      <c r="I708" s="102">
        <v>0.89</v>
      </c>
      <c r="J708" s="102">
        <v>2.5300000000000002</v>
      </c>
      <c r="K708" s="101"/>
      <c r="L708" s="101"/>
      <c r="M708" s="101" t="s">
        <v>1001</v>
      </c>
      <c r="N708" s="101">
        <v>2012</v>
      </c>
      <c r="O708" s="101" t="s">
        <v>633</v>
      </c>
      <c r="P708" s="101">
        <v>900712</v>
      </c>
      <c r="Q708" t="s">
        <v>777</v>
      </c>
      <c r="R708" t="s">
        <v>145</v>
      </c>
      <c r="S708"/>
      <c r="T708"/>
      <c r="U708"/>
      <c r="V708" s="220"/>
    </row>
    <row r="709" spans="1:22" x14ac:dyDescent="0.2">
      <c r="A709" t="s">
        <v>971</v>
      </c>
      <c r="B709" s="101">
        <v>0</v>
      </c>
      <c r="C709" s="101">
        <v>2</v>
      </c>
      <c r="D709" s="101">
        <v>0</v>
      </c>
      <c r="E709" s="101"/>
      <c r="F709" s="101"/>
      <c r="G709" s="101"/>
      <c r="H709" s="101"/>
      <c r="I709" s="102">
        <v>0.89</v>
      </c>
      <c r="J709" s="102">
        <v>2.25</v>
      </c>
      <c r="K709" s="101"/>
      <c r="L709" s="101"/>
      <c r="M709" s="101" t="s">
        <v>1001</v>
      </c>
      <c r="N709" s="101">
        <v>2011</v>
      </c>
      <c r="O709" s="101" t="s">
        <v>753</v>
      </c>
      <c r="P709" s="101">
        <v>691220</v>
      </c>
      <c r="Q709" t="s">
        <v>969</v>
      </c>
      <c r="R709" t="s">
        <v>301</v>
      </c>
      <c r="S709"/>
      <c r="T709"/>
      <c r="U709"/>
      <c r="V709" s="220"/>
    </row>
    <row r="710" spans="1:22" x14ac:dyDescent="0.2">
      <c r="A710" t="s">
        <v>970</v>
      </c>
      <c r="B710" s="101">
        <v>1</v>
      </c>
      <c r="C710" s="101">
        <v>1</v>
      </c>
      <c r="D710" s="101">
        <v>1</v>
      </c>
      <c r="E710" s="101"/>
      <c r="F710" s="101"/>
      <c r="G710" s="101"/>
      <c r="H710" s="101"/>
      <c r="I710" s="102">
        <v>0.89</v>
      </c>
      <c r="J710" s="102">
        <v>2.25</v>
      </c>
      <c r="K710" s="101"/>
      <c r="L710" s="101"/>
      <c r="M710" s="101" t="s">
        <v>1001</v>
      </c>
      <c r="N710" s="101">
        <v>2011</v>
      </c>
      <c r="O710" s="101" t="s">
        <v>753</v>
      </c>
      <c r="P710" s="101">
        <v>615310</v>
      </c>
      <c r="Q710" t="s">
        <v>969</v>
      </c>
      <c r="R710" t="s">
        <v>301</v>
      </c>
      <c r="S710"/>
      <c r="T710"/>
      <c r="U710"/>
      <c r="V710" s="220"/>
    </row>
    <row r="711" spans="1:22" x14ac:dyDescent="0.2">
      <c r="A711" t="s">
        <v>968</v>
      </c>
      <c r="B711" s="101">
        <v>1</v>
      </c>
      <c r="C711" s="101">
        <v>2</v>
      </c>
      <c r="D711" s="101">
        <v>1</v>
      </c>
      <c r="E711" s="101"/>
      <c r="F711" s="101"/>
      <c r="G711" s="101"/>
      <c r="H711" s="101"/>
      <c r="I711" s="102">
        <v>0.89</v>
      </c>
      <c r="J711" s="102">
        <v>2.25</v>
      </c>
      <c r="K711" s="101"/>
      <c r="L711" s="101"/>
      <c r="M711" s="101" t="s">
        <v>1001</v>
      </c>
      <c r="N711" s="101">
        <v>2011</v>
      </c>
      <c r="O711" s="101" t="s">
        <v>753</v>
      </c>
      <c r="P711" s="101">
        <v>727057</v>
      </c>
      <c r="Q711" t="s">
        <v>969</v>
      </c>
      <c r="R711" t="s">
        <v>301</v>
      </c>
      <c r="S711"/>
      <c r="T711"/>
      <c r="U711"/>
      <c r="V711" s="220"/>
    </row>
    <row r="712" spans="1:22" x14ac:dyDescent="0.2">
      <c r="A712" t="s">
        <v>1022</v>
      </c>
      <c r="B712" s="101"/>
      <c r="C712" s="101">
        <v>2</v>
      </c>
      <c r="D712" s="101">
        <v>2</v>
      </c>
      <c r="E712" s="101"/>
      <c r="F712" s="101"/>
      <c r="G712" s="101"/>
      <c r="H712" s="101"/>
      <c r="I712" s="102">
        <v>0.89</v>
      </c>
      <c r="J712" s="102">
        <v>2.25</v>
      </c>
      <c r="K712" s="101"/>
      <c r="L712" s="101"/>
      <c r="M712" s="101" t="s">
        <v>1001</v>
      </c>
      <c r="N712" s="101">
        <v>2012</v>
      </c>
      <c r="O712" s="101" t="s">
        <v>753</v>
      </c>
      <c r="P712" s="101">
        <v>482919</v>
      </c>
      <c r="Q712" t="s">
        <v>969</v>
      </c>
      <c r="R712" t="s">
        <v>145</v>
      </c>
      <c r="S712"/>
      <c r="T712"/>
      <c r="U712"/>
      <c r="V712" s="220"/>
    </row>
    <row r="713" spans="1:22" x14ac:dyDescent="0.2">
      <c r="A713" t="s">
        <v>868</v>
      </c>
      <c r="B713" s="101">
        <v>9</v>
      </c>
      <c r="C713" s="101">
        <v>11</v>
      </c>
      <c r="D713" s="101">
        <v>-1</v>
      </c>
      <c r="E713" s="101">
        <v>7</v>
      </c>
      <c r="F713" s="101">
        <v>3</v>
      </c>
      <c r="G713" s="101"/>
      <c r="H713" s="101"/>
      <c r="I713" s="102">
        <v>0.9</v>
      </c>
      <c r="J713" s="102">
        <v>2.2800000000000002</v>
      </c>
      <c r="K713" s="101">
        <v>14.200000000000001</v>
      </c>
      <c r="L713" s="101">
        <v>0</v>
      </c>
      <c r="M713" s="101" t="s">
        <v>1002</v>
      </c>
      <c r="N713" s="101">
        <v>2009</v>
      </c>
      <c r="O713" s="101" t="s">
        <v>633</v>
      </c>
      <c r="P713" s="101">
        <v>541292</v>
      </c>
      <c r="Q713" t="s">
        <v>869</v>
      </c>
      <c r="R713" t="s">
        <v>161</v>
      </c>
      <c r="S713"/>
      <c r="T713"/>
      <c r="U713"/>
      <c r="V713" s="220"/>
    </row>
    <row r="714" spans="1:22" x14ac:dyDescent="0.2">
      <c r="A714" t="s">
        <v>582</v>
      </c>
      <c r="B714" s="101">
        <v>-14</v>
      </c>
      <c r="C714" s="101">
        <v>-3</v>
      </c>
      <c r="D714" s="101">
        <v>-14</v>
      </c>
      <c r="E714" s="101">
        <v>-19</v>
      </c>
      <c r="F714" s="101">
        <v>-52</v>
      </c>
      <c r="G714" s="101"/>
      <c r="H714" s="101"/>
      <c r="I714" s="102">
        <v>0.9</v>
      </c>
      <c r="J714" s="102">
        <v>2.2600000000000002</v>
      </c>
      <c r="K714" s="101">
        <v>19.100000000000001</v>
      </c>
      <c r="L714" s="101">
        <v>-1.2</v>
      </c>
      <c r="M714" s="101" t="s">
        <v>1002</v>
      </c>
      <c r="N714" s="101">
        <v>2010</v>
      </c>
      <c r="O714" s="101" t="s">
        <v>633</v>
      </c>
      <c r="P714" s="101">
        <v>645713</v>
      </c>
      <c r="Q714" t="s">
        <v>580</v>
      </c>
      <c r="R714" t="s">
        <v>161</v>
      </c>
      <c r="S714"/>
      <c r="T714"/>
      <c r="U714"/>
      <c r="V714" s="220"/>
    </row>
    <row r="715" spans="1:22" x14ac:dyDescent="0.2">
      <c r="A715" t="s">
        <v>536</v>
      </c>
      <c r="B715" s="101">
        <v>4</v>
      </c>
      <c r="C715" s="101">
        <v>1</v>
      </c>
      <c r="D715" s="101">
        <v>-1</v>
      </c>
      <c r="E715" s="101">
        <v>6</v>
      </c>
      <c r="F715" s="101"/>
      <c r="G715" s="101"/>
      <c r="H715" s="101"/>
      <c r="I715" s="102">
        <v>0.9</v>
      </c>
      <c r="J715" s="102">
        <v>3.000086</v>
      </c>
      <c r="K715" s="101"/>
      <c r="L715" s="101"/>
      <c r="M715" s="101" t="s">
        <v>1001</v>
      </c>
      <c r="N715" s="101">
        <v>2011</v>
      </c>
      <c r="O715" s="101" t="s">
        <v>753</v>
      </c>
      <c r="P715" s="101">
        <v>286179</v>
      </c>
      <c r="Q715" t="s">
        <v>1128</v>
      </c>
      <c r="R715" t="s">
        <v>301</v>
      </c>
      <c r="S715"/>
      <c r="T715"/>
      <c r="U715"/>
      <c r="V715" s="220"/>
    </row>
    <row r="716" spans="1:22" x14ac:dyDescent="0.2">
      <c r="A716" t="s">
        <v>419</v>
      </c>
      <c r="B716" s="101">
        <v>6</v>
      </c>
      <c r="C716" s="101">
        <v>2</v>
      </c>
      <c r="D716" s="101">
        <v>-1</v>
      </c>
      <c r="E716" s="101">
        <v>7</v>
      </c>
      <c r="F716" s="101"/>
      <c r="G716" s="101"/>
      <c r="H716" s="101"/>
      <c r="I716" s="102">
        <v>0.9</v>
      </c>
      <c r="J716" s="102">
        <v>3.002856</v>
      </c>
      <c r="K716" s="101"/>
      <c r="L716" s="101"/>
      <c r="M716" s="101" t="s">
        <v>1001</v>
      </c>
      <c r="N716" s="101">
        <v>2011</v>
      </c>
      <c r="O716" s="101" t="s">
        <v>753</v>
      </c>
      <c r="P716" s="101">
        <v>250340</v>
      </c>
      <c r="Q716" t="s">
        <v>1128</v>
      </c>
      <c r="R716" t="s">
        <v>301</v>
      </c>
      <c r="S716"/>
      <c r="T716"/>
      <c r="U716"/>
      <c r="V716" s="220"/>
    </row>
    <row r="717" spans="1:22" x14ac:dyDescent="0.2">
      <c r="A717" t="s">
        <v>535</v>
      </c>
      <c r="B717" s="101">
        <v>3</v>
      </c>
      <c r="C717" s="101">
        <v>1</v>
      </c>
      <c r="D717" s="101">
        <v>-1</v>
      </c>
      <c r="E717" s="101">
        <v>4</v>
      </c>
      <c r="F717" s="101"/>
      <c r="G717" s="101"/>
      <c r="H717" s="101"/>
      <c r="I717" s="102">
        <v>0.9</v>
      </c>
      <c r="J717" s="102">
        <v>3.0001579999999999</v>
      </c>
      <c r="K717" s="101"/>
      <c r="L717" s="101"/>
      <c r="M717" s="101" t="s">
        <v>1001</v>
      </c>
      <c r="N717" s="101">
        <v>2011</v>
      </c>
      <c r="O717" s="101" t="s">
        <v>753</v>
      </c>
      <c r="P717" s="101">
        <v>322008</v>
      </c>
      <c r="Q717" t="s">
        <v>1128</v>
      </c>
      <c r="R717" t="s">
        <v>301</v>
      </c>
      <c r="S717"/>
      <c r="T717"/>
      <c r="U717"/>
      <c r="V717" s="220"/>
    </row>
    <row r="718" spans="1:22" x14ac:dyDescent="0.2">
      <c r="A718" t="s">
        <v>578</v>
      </c>
      <c r="B718" s="101">
        <v>6</v>
      </c>
      <c r="C718" s="101">
        <v>2</v>
      </c>
      <c r="D718" s="101">
        <v>-9</v>
      </c>
      <c r="E718" s="101">
        <v>0</v>
      </c>
      <c r="F718" s="101">
        <v>2</v>
      </c>
      <c r="G718" s="101">
        <v>-35</v>
      </c>
      <c r="H718" s="101">
        <v>-8.3000000000000007</v>
      </c>
      <c r="I718" s="102">
        <v>0.91</v>
      </c>
      <c r="J718" s="102">
        <v>2.91</v>
      </c>
      <c r="K718" s="101">
        <v>24.7</v>
      </c>
      <c r="L718" s="101">
        <v>0.1</v>
      </c>
      <c r="M718" s="101" t="s">
        <v>1002</v>
      </c>
      <c r="N718" s="101">
        <v>2010</v>
      </c>
      <c r="O718" s="101" t="s">
        <v>633</v>
      </c>
      <c r="P718" s="101">
        <v>622639</v>
      </c>
      <c r="Q718" t="s">
        <v>880</v>
      </c>
      <c r="R718" t="s">
        <v>368</v>
      </c>
      <c r="S718"/>
      <c r="T718"/>
      <c r="U718"/>
      <c r="V718" s="220"/>
    </row>
    <row r="719" spans="1:22" x14ac:dyDescent="0.2">
      <c r="A719" t="s">
        <v>584</v>
      </c>
      <c r="B719" s="101">
        <v>29</v>
      </c>
      <c r="C719" s="101">
        <v>4</v>
      </c>
      <c r="D719" s="101">
        <v>5</v>
      </c>
      <c r="E719" s="101">
        <v>14</v>
      </c>
      <c r="F719" s="101">
        <v>-15</v>
      </c>
      <c r="G719" s="101"/>
      <c r="H719" s="101"/>
      <c r="I719" s="102">
        <v>0.92</v>
      </c>
      <c r="J719" s="102">
        <v>2.3576999999999999</v>
      </c>
      <c r="K719" s="101">
        <v>23.6</v>
      </c>
      <c r="L719" s="101">
        <v>-0.2</v>
      </c>
      <c r="M719" s="101" t="s">
        <v>1002</v>
      </c>
      <c r="N719" s="101">
        <v>2010</v>
      </c>
      <c r="O719" s="101" t="s">
        <v>633</v>
      </c>
      <c r="P719" s="101">
        <v>753202</v>
      </c>
      <c r="Q719" t="s">
        <v>580</v>
      </c>
      <c r="R719" t="s">
        <v>208</v>
      </c>
      <c r="S719"/>
      <c r="T719"/>
      <c r="U719"/>
      <c r="V719" s="220"/>
    </row>
    <row r="720" spans="1:22" x14ac:dyDescent="0.2">
      <c r="A720" t="s">
        <v>909</v>
      </c>
      <c r="B720" s="101">
        <v>10</v>
      </c>
      <c r="C720" s="101">
        <v>9</v>
      </c>
      <c r="D720" s="101">
        <v>-4</v>
      </c>
      <c r="E720" s="101">
        <v>9</v>
      </c>
      <c r="F720" s="101">
        <v>-29</v>
      </c>
      <c r="G720" s="101"/>
      <c r="H720" s="101"/>
      <c r="I720" s="102">
        <v>0.92</v>
      </c>
      <c r="J720" s="102">
        <v>2.3506</v>
      </c>
      <c r="K720" s="101">
        <v>19.8</v>
      </c>
      <c r="L720" s="101">
        <v>-0.5</v>
      </c>
      <c r="M720" s="101" t="s">
        <v>1002</v>
      </c>
      <c r="N720" s="101">
        <v>2010</v>
      </c>
      <c r="O720" s="101" t="s">
        <v>633</v>
      </c>
      <c r="P720" s="101">
        <v>717371</v>
      </c>
      <c r="Q720" t="s">
        <v>580</v>
      </c>
      <c r="R720" t="s">
        <v>208</v>
      </c>
      <c r="S720"/>
      <c r="T720"/>
      <c r="U720"/>
      <c r="V720" s="220"/>
    </row>
    <row r="721" spans="1:22" x14ac:dyDescent="0.2">
      <c r="A721" t="s">
        <v>861</v>
      </c>
      <c r="B721" s="101">
        <v>-1</v>
      </c>
      <c r="C721" s="101">
        <v>-1</v>
      </c>
      <c r="D721" s="101">
        <v>-9</v>
      </c>
      <c r="E721" s="101">
        <v>-11</v>
      </c>
      <c r="F721" s="101">
        <v>-3</v>
      </c>
      <c r="G721" s="101">
        <v>-46</v>
      </c>
      <c r="H721" s="101">
        <v>-11.6</v>
      </c>
      <c r="I721" s="102">
        <v>0.92</v>
      </c>
      <c r="J721" s="102">
        <v>2.36</v>
      </c>
      <c r="K721" s="101">
        <v>16.100000000000001</v>
      </c>
      <c r="L721" s="101">
        <v>-0.1</v>
      </c>
      <c r="M721" s="101" t="s">
        <v>1002</v>
      </c>
      <c r="N721" s="101">
        <v>2010</v>
      </c>
      <c r="O721" s="101" t="s">
        <v>633</v>
      </c>
      <c r="P721" s="101">
        <v>772038</v>
      </c>
      <c r="Q721" t="s">
        <v>862</v>
      </c>
      <c r="R721" t="s">
        <v>208</v>
      </c>
      <c r="S721"/>
      <c r="T721"/>
      <c r="U721"/>
      <c r="V721" s="220"/>
    </row>
    <row r="722" spans="1:22" x14ac:dyDescent="0.2">
      <c r="A722" t="s">
        <v>453</v>
      </c>
      <c r="B722" s="101">
        <v>6</v>
      </c>
      <c r="C722" s="101">
        <v>3</v>
      </c>
      <c r="D722" s="101">
        <v>-5</v>
      </c>
      <c r="E722" s="101">
        <v>5</v>
      </c>
      <c r="F722" s="101">
        <v>10</v>
      </c>
      <c r="G722" s="101">
        <v>-12</v>
      </c>
      <c r="H722" s="101">
        <v>-2.5</v>
      </c>
      <c r="I722" s="102">
        <v>0.92</v>
      </c>
      <c r="J722" s="102">
        <v>2.35</v>
      </c>
      <c r="K722" s="101">
        <v>10.700000000000001</v>
      </c>
      <c r="L722" s="101">
        <v>0.2</v>
      </c>
      <c r="M722" s="101" t="s">
        <v>1002</v>
      </c>
      <c r="N722" s="101">
        <v>2007</v>
      </c>
      <c r="O722" s="101" t="s">
        <v>633</v>
      </c>
      <c r="P722" s="101">
        <v>299636</v>
      </c>
      <c r="Q722" t="s">
        <v>362</v>
      </c>
      <c r="R722" t="s">
        <v>145</v>
      </c>
      <c r="S722"/>
      <c r="T722"/>
      <c r="U722"/>
      <c r="V722" s="220"/>
    </row>
    <row r="723" spans="1:22" x14ac:dyDescent="0.2">
      <c r="A723" t="s">
        <v>1039</v>
      </c>
      <c r="B723" s="101"/>
      <c r="C723" s="101">
        <v>2</v>
      </c>
      <c r="D723" s="101"/>
      <c r="E723" s="101"/>
      <c r="F723" s="101"/>
      <c r="G723" s="101"/>
      <c r="H723" s="101"/>
      <c r="I723" s="102">
        <v>0.92</v>
      </c>
      <c r="J723" s="102">
        <v>2.35</v>
      </c>
      <c r="K723" s="101"/>
      <c r="L723" s="101"/>
      <c r="M723" s="101" t="s">
        <v>1001</v>
      </c>
      <c r="N723" s="101">
        <v>2012</v>
      </c>
      <c r="O723" s="101" t="s">
        <v>753</v>
      </c>
      <c r="P723" s="101">
        <v>925628</v>
      </c>
      <c r="Q723" t="s">
        <v>1040</v>
      </c>
      <c r="R723" t="s">
        <v>626</v>
      </c>
      <c r="S723"/>
      <c r="T723"/>
      <c r="U723"/>
      <c r="V723" s="220"/>
    </row>
    <row r="724" spans="1:22" x14ac:dyDescent="0.2">
      <c r="A724" t="s">
        <v>31</v>
      </c>
      <c r="B724" s="101">
        <v>5</v>
      </c>
      <c r="C724" s="101">
        <v>1</v>
      </c>
      <c r="D724" s="101">
        <v>-8</v>
      </c>
      <c r="E724" s="101">
        <v>2</v>
      </c>
      <c r="F724" s="101">
        <v>10</v>
      </c>
      <c r="G724" s="101">
        <v>-30</v>
      </c>
      <c r="H724" s="101">
        <v>-6.8</v>
      </c>
      <c r="I724" s="102">
        <v>0.92</v>
      </c>
      <c r="J724" s="102">
        <v>2.5381269999999998</v>
      </c>
      <c r="K724" s="101">
        <v>24</v>
      </c>
      <c r="L724" s="101">
        <v>0.2</v>
      </c>
      <c r="M724" s="101" t="s">
        <v>1001</v>
      </c>
      <c r="N724" s="101">
        <v>2004</v>
      </c>
      <c r="O724" s="101" t="s">
        <v>753</v>
      </c>
      <c r="P724" s="101">
        <v>671982</v>
      </c>
      <c r="Q724" t="s">
        <v>838</v>
      </c>
      <c r="R724" t="s">
        <v>368</v>
      </c>
      <c r="S724"/>
      <c r="T724"/>
      <c r="U724"/>
      <c r="V724" s="220"/>
    </row>
    <row r="725" spans="1:22" x14ac:dyDescent="0.2">
      <c r="A725" t="s">
        <v>577</v>
      </c>
      <c r="B725" s="101">
        <v>9</v>
      </c>
      <c r="C725" s="101">
        <v>5</v>
      </c>
      <c r="D725" s="101">
        <v>-5</v>
      </c>
      <c r="E725" s="101">
        <v>1</v>
      </c>
      <c r="F725" s="101">
        <v>-4</v>
      </c>
      <c r="G725" s="101"/>
      <c r="H725" s="101"/>
      <c r="I725" s="102">
        <v>0.93</v>
      </c>
      <c r="J725" s="102">
        <v>2.98</v>
      </c>
      <c r="K725" s="101">
        <v>20.6</v>
      </c>
      <c r="L725" s="101">
        <v>0</v>
      </c>
      <c r="M725" s="101" t="s">
        <v>1002</v>
      </c>
      <c r="N725" s="101">
        <v>2010</v>
      </c>
      <c r="O725" s="101" t="s">
        <v>633</v>
      </c>
      <c r="P725" s="101">
        <v>586800</v>
      </c>
      <c r="Q725" t="s">
        <v>880</v>
      </c>
      <c r="R725" t="s">
        <v>208</v>
      </c>
      <c r="S725"/>
      <c r="T725"/>
      <c r="U725"/>
      <c r="V725" s="220"/>
    </row>
    <row r="726" spans="1:22" x14ac:dyDescent="0.2">
      <c r="A726" t="s">
        <v>256</v>
      </c>
      <c r="B726" s="101">
        <v>17</v>
      </c>
      <c r="C726" s="101">
        <v>8</v>
      </c>
      <c r="D726" s="101">
        <v>3</v>
      </c>
      <c r="E726" s="101">
        <v>5</v>
      </c>
      <c r="F726" s="101">
        <v>-13</v>
      </c>
      <c r="G726" s="101">
        <v>-48</v>
      </c>
      <c r="H726" s="101">
        <v>-12.1</v>
      </c>
      <c r="I726" s="102">
        <v>0.93</v>
      </c>
      <c r="J726" s="102">
        <v>2.36</v>
      </c>
      <c r="K726" s="101">
        <v>21.2</v>
      </c>
      <c r="L726" s="101">
        <v>-0.2</v>
      </c>
      <c r="M726" s="101" t="s">
        <v>1002</v>
      </c>
      <c r="N726" s="101">
        <v>2004</v>
      </c>
      <c r="O726" s="101" t="s">
        <v>633</v>
      </c>
      <c r="P726" s="101">
        <v>288183</v>
      </c>
      <c r="Q726" t="s">
        <v>756</v>
      </c>
      <c r="R726" t="s">
        <v>208</v>
      </c>
      <c r="S726"/>
      <c r="T726"/>
      <c r="U726"/>
      <c r="V726" s="220"/>
    </row>
    <row r="727" spans="1:22" x14ac:dyDescent="0.2">
      <c r="A727" t="s">
        <v>982</v>
      </c>
      <c r="B727" s="101">
        <v>-4</v>
      </c>
      <c r="C727" s="101">
        <v>2</v>
      </c>
      <c r="D727" s="101">
        <v>-2</v>
      </c>
      <c r="E727" s="101"/>
      <c r="F727" s="101"/>
      <c r="G727" s="101"/>
      <c r="H727" s="101"/>
      <c r="I727" s="102">
        <v>0.94000000000000006</v>
      </c>
      <c r="J727" s="102">
        <v>2.774</v>
      </c>
      <c r="K727" s="101"/>
      <c r="L727" s="101"/>
      <c r="M727" s="101" t="s">
        <v>1001</v>
      </c>
      <c r="N727" s="101">
        <v>2012</v>
      </c>
      <c r="O727" s="101" t="s">
        <v>633</v>
      </c>
      <c r="P727" s="101">
        <v>910455</v>
      </c>
      <c r="Q727" t="s">
        <v>983</v>
      </c>
      <c r="R727" t="s">
        <v>301</v>
      </c>
      <c r="S727"/>
      <c r="T727"/>
      <c r="U727"/>
      <c r="V727" s="220"/>
    </row>
    <row r="728" spans="1:22" x14ac:dyDescent="0.2">
      <c r="A728" t="s">
        <v>1082</v>
      </c>
      <c r="B728" s="101">
        <v>4</v>
      </c>
      <c r="C728" s="101">
        <v>4</v>
      </c>
      <c r="D728" s="101">
        <v>-10</v>
      </c>
      <c r="E728" s="101">
        <v>-3</v>
      </c>
      <c r="F728" s="101">
        <v>18</v>
      </c>
      <c r="G728" s="101"/>
      <c r="H728" s="101"/>
      <c r="I728" s="102">
        <v>0.94000000000000006</v>
      </c>
      <c r="J728" s="102">
        <v>2.4100189999999997</v>
      </c>
      <c r="K728" s="101">
        <v>22.900000000000002</v>
      </c>
      <c r="L728" s="101">
        <v>0.3</v>
      </c>
      <c r="M728" s="101" t="s">
        <v>1002</v>
      </c>
      <c r="N728" s="101">
        <v>2012</v>
      </c>
      <c r="O728" s="101" t="s">
        <v>633</v>
      </c>
      <c r="P728" s="101">
        <v>516914</v>
      </c>
      <c r="Q728" t="s">
        <v>580</v>
      </c>
      <c r="R728" t="s">
        <v>368</v>
      </c>
      <c r="S728"/>
      <c r="T728"/>
      <c r="U728"/>
      <c r="V728" s="220"/>
    </row>
    <row r="729" spans="1:22" x14ac:dyDescent="0.2">
      <c r="A729" t="s">
        <v>401</v>
      </c>
      <c r="B729" s="101">
        <v>1</v>
      </c>
      <c r="C729" s="101">
        <v>1</v>
      </c>
      <c r="D729" s="101">
        <v>0</v>
      </c>
      <c r="E729" s="101">
        <v>3</v>
      </c>
      <c r="F729" s="101">
        <v>2</v>
      </c>
      <c r="G729" s="101"/>
      <c r="H729" s="101"/>
      <c r="I729" s="102">
        <v>0.96</v>
      </c>
      <c r="J729" s="102">
        <v>2.4684749999999998</v>
      </c>
      <c r="K729" s="101">
        <v>5.2</v>
      </c>
      <c r="L729" s="101">
        <v>-0.1</v>
      </c>
      <c r="M729" s="101" t="s">
        <v>1001</v>
      </c>
      <c r="N729" s="101">
        <v>2011</v>
      </c>
      <c r="O729" s="101" t="s">
        <v>633</v>
      </c>
      <c r="P729" s="101">
        <v>123430</v>
      </c>
      <c r="Q729" t="s">
        <v>397</v>
      </c>
      <c r="R729" t="s">
        <v>145</v>
      </c>
      <c r="S729"/>
      <c r="T729"/>
      <c r="U729"/>
      <c r="V729" s="220"/>
    </row>
    <row r="730" spans="1:22" x14ac:dyDescent="0.2">
      <c r="A730" t="s">
        <v>834</v>
      </c>
      <c r="B730" s="101">
        <v>6</v>
      </c>
      <c r="C730" s="101">
        <v>2</v>
      </c>
      <c r="D730" s="101">
        <v>-2</v>
      </c>
      <c r="E730" s="101">
        <v>9</v>
      </c>
      <c r="F730" s="101"/>
      <c r="G730" s="101"/>
      <c r="H730" s="101"/>
      <c r="I730" s="102">
        <v>0.96</v>
      </c>
      <c r="J730" s="102">
        <v>2.4693339999999999</v>
      </c>
      <c r="K730" s="101"/>
      <c r="L730" s="101"/>
      <c r="M730" s="101" t="s">
        <v>1001</v>
      </c>
      <c r="N730" s="101">
        <v>2011</v>
      </c>
      <c r="O730" s="101" t="s">
        <v>753</v>
      </c>
      <c r="P730" s="101">
        <v>874032</v>
      </c>
      <c r="Q730" t="s">
        <v>501</v>
      </c>
      <c r="R730" t="s">
        <v>301</v>
      </c>
      <c r="S730"/>
      <c r="T730"/>
      <c r="U730"/>
      <c r="V730" s="220"/>
    </row>
    <row r="731" spans="1:22" x14ac:dyDescent="0.2">
      <c r="A731" t="s">
        <v>1103</v>
      </c>
      <c r="B731" s="101">
        <v>13</v>
      </c>
      <c r="C731" s="101">
        <v>8</v>
      </c>
      <c r="D731" s="101">
        <v>5</v>
      </c>
      <c r="E731" s="101">
        <v>11</v>
      </c>
      <c r="F731" s="101"/>
      <c r="G731" s="101"/>
      <c r="H731" s="101"/>
      <c r="I731" s="102">
        <v>0.96</v>
      </c>
      <c r="J731" s="102">
        <v>2.5500000000000003</v>
      </c>
      <c r="K731" s="101"/>
      <c r="L731" s="101"/>
      <c r="M731" s="101" t="s">
        <v>1002</v>
      </c>
      <c r="N731" s="101">
        <v>2012</v>
      </c>
      <c r="O731" s="101" t="s">
        <v>633</v>
      </c>
      <c r="P731" s="101">
        <v>645655</v>
      </c>
      <c r="Q731" t="s">
        <v>15</v>
      </c>
      <c r="R731" t="s">
        <v>626</v>
      </c>
      <c r="S731"/>
      <c r="T731"/>
      <c r="U731"/>
      <c r="V731" s="220"/>
    </row>
    <row r="732" spans="1:22" x14ac:dyDescent="0.2">
      <c r="A732" t="s">
        <v>1014</v>
      </c>
      <c r="B732" s="101">
        <v>0</v>
      </c>
      <c r="C732" s="101">
        <v>-2</v>
      </c>
      <c r="D732" s="101">
        <v>1</v>
      </c>
      <c r="E732" s="101">
        <v>-4</v>
      </c>
      <c r="F732" s="101"/>
      <c r="G732" s="101"/>
      <c r="H732" s="101"/>
      <c r="I732" s="102">
        <v>0.97</v>
      </c>
      <c r="J732" s="102">
        <v>2.2800000000000002</v>
      </c>
      <c r="K732" s="101"/>
      <c r="L732" s="101"/>
      <c r="M732" s="101" t="s">
        <v>1001</v>
      </c>
      <c r="N732" s="101">
        <v>2010</v>
      </c>
      <c r="O732" s="101" t="s">
        <v>633</v>
      </c>
      <c r="P732" s="101">
        <v>237008</v>
      </c>
      <c r="Q732" t="s">
        <v>454</v>
      </c>
      <c r="R732" t="s">
        <v>145</v>
      </c>
      <c r="S732"/>
      <c r="T732"/>
      <c r="U732"/>
      <c r="V732" s="220"/>
    </row>
    <row r="733" spans="1:22" x14ac:dyDescent="0.2">
      <c r="A733" t="s">
        <v>1041</v>
      </c>
      <c r="B733" s="101"/>
      <c r="C733" s="101">
        <v>0</v>
      </c>
      <c r="D733" s="101"/>
      <c r="E733" s="101"/>
      <c r="F733" s="101"/>
      <c r="G733" s="101"/>
      <c r="H733" s="101"/>
      <c r="I733" s="102">
        <v>0.97</v>
      </c>
      <c r="J733" s="102">
        <v>2.5</v>
      </c>
      <c r="K733" s="101"/>
      <c r="L733" s="101"/>
      <c r="M733" s="101" t="s">
        <v>1001</v>
      </c>
      <c r="N733" s="101">
        <v>2012</v>
      </c>
      <c r="O733" s="101" t="s">
        <v>753</v>
      </c>
      <c r="P733" s="101">
        <v>156315</v>
      </c>
      <c r="Q733" t="s">
        <v>404</v>
      </c>
      <c r="R733" t="s">
        <v>626</v>
      </c>
      <c r="S733"/>
      <c r="T733"/>
      <c r="U733"/>
      <c r="V733" s="220"/>
    </row>
    <row r="734" spans="1:22" x14ac:dyDescent="0.2">
      <c r="A734" t="s">
        <v>743</v>
      </c>
      <c r="B734" s="101">
        <v>5</v>
      </c>
      <c r="C734" s="101">
        <v>2</v>
      </c>
      <c r="D734" s="101">
        <v>-2</v>
      </c>
      <c r="E734" s="101">
        <v>7</v>
      </c>
      <c r="F734" s="101"/>
      <c r="G734" s="101"/>
      <c r="H734" s="101"/>
      <c r="I734" s="102">
        <v>0.97</v>
      </c>
      <c r="J734" s="102">
        <v>2.500448</v>
      </c>
      <c r="K734" s="101"/>
      <c r="L734" s="101"/>
      <c r="M734" s="101" t="s">
        <v>1001</v>
      </c>
      <c r="N734" s="101">
        <v>2010</v>
      </c>
      <c r="O734" s="101" t="s">
        <v>753</v>
      </c>
      <c r="P734" s="101">
        <v>993097</v>
      </c>
      <c r="Q734" t="s">
        <v>1128</v>
      </c>
      <c r="R734" t="s">
        <v>145</v>
      </c>
      <c r="S734"/>
      <c r="T734"/>
      <c r="U734"/>
      <c r="V734" s="220"/>
    </row>
    <row r="735" spans="1:22" x14ac:dyDescent="0.2">
      <c r="A735" t="s">
        <v>418</v>
      </c>
      <c r="B735" s="101">
        <v>-9</v>
      </c>
      <c r="C735" s="101">
        <v>-4</v>
      </c>
      <c r="D735" s="101">
        <v>-10</v>
      </c>
      <c r="E735" s="101">
        <v>-7</v>
      </c>
      <c r="F735" s="101">
        <v>-19</v>
      </c>
      <c r="G735" s="101">
        <v>-37</v>
      </c>
      <c r="H735" s="101">
        <v>-8.9</v>
      </c>
      <c r="I735" s="102">
        <v>0.97</v>
      </c>
      <c r="J735" s="102">
        <v>2.5</v>
      </c>
      <c r="K735" s="101">
        <v>14.1</v>
      </c>
      <c r="L735" s="101">
        <v>-0.5</v>
      </c>
      <c r="M735" s="101" t="s">
        <v>1006</v>
      </c>
      <c r="N735" s="101">
        <v>2011</v>
      </c>
      <c r="O735" s="101" t="s">
        <v>633</v>
      </c>
      <c r="P735" s="101">
        <v>908038</v>
      </c>
      <c r="Q735" t="s">
        <v>15</v>
      </c>
      <c r="R735" t="s">
        <v>226</v>
      </c>
      <c r="S735"/>
      <c r="T735"/>
      <c r="U735"/>
      <c r="V735" s="220"/>
    </row>
    <row r="736" spans="1:22" x14ac:dyDescent="0.2">
      <c r="A736" t="s">
        <v>940</v>
      </c>
      <c r="B736" s="101">
        <v>31</v>
      </c>
      <c r="C736" s="101">
        <v>6</v>
      </c>
      <c r="D736" s="101">
        <v>4</v>
      </c>
      <c r="E736" s="101">
        <v>19</v>
      </c>
      <c r="F736" s="101"/>
      <c r="G736" s="101"/>
      <c r="H736" s="101"/>
      <c r="I736" s="102">
        <v>0.97</v>
      </c>
      <c r="J736" s="102">
        <v>2.5</v>
      </c>
      <c r="K736" s="101"/>
      <c r="L736" s="101"/>
      <c r="M736" s="101" t="s">
        <v>1001</v>
      </c>
      <c r="N736" s="101">
        <v>2011</v>
      </c>
      <c r="O736" s="101" t="s">
        <v>753</v>
      </c>
      <c r="P736" s="101">
        <v>705806</v>
      </c>
      <c r="Q736" t="s">
        <v>941</v>
      </c>
      <c r="R736" t="s">
        <v>239</v>
      </c>
      <c r="S736"/>
      <c r="T736"/>
      <c r="U736"/>
      <c r="V736" s="220"/>
    </row>
    <row r="737" spans="1:22" x14ac:dyDescent="0.2">
      <c r="A737" t="s">
        <v>942</v>
      </c>
      <c r="B737" s="101">
        <v>-1</v>
      </c>
      <c r="C737" s="101">
        <v>0</v>
      </c>
      <c r="D737" s="101">
        <v>-16</v>
      </c>
      <c r="E737" s="101">
        <v>-4</v>
      </c>
      <c r="F737" s="101"/>
      <c r="G737" s="101"/>
      <c r="H737" s="101"/>
      <c r="I737" s="102">
        <v>0.97</v>
      </c>
      <c r="J737" s="102">
        <v>2.5</v>
      </c>
      <c r="K737" s="101"/>
      <c r="L737" s="101"/>
      <c r="M737" s="101" t="s">
        <v>1001</v>
      </c>
      <c r="N737" s="101">
        <v>2011</v>
      </c>
      <c r="O737" s="101" t="s">
        <v>753</v>
      </c>
      <c r="P737" s="101">
        <v>741637</v>
      </c>
      <c r="Q737" t="s">
        <v>941</v>
      </c>
      <c r="R737" t="s">
        <v>368</v>
      </c>
      <c r="S737"/>
      <c r="T737"/>
      <c r="U737"/>
      <c r="V737" s="220"/>
    </row>
    <row r="738" spans="1:22" x14ac:dyDescent="0.2">
      <c r="A738" t="s">
        <v>981</v>
      </c>
      <c r="B738" s="101"/>
      <c r="C738" s="101">
        <v>3</v>
      </c>
      <c r="D738" s="101">
        <v>0</v>
      </c>
      <c r="E738" s="101"/>
      <c r="F738" s="101"/>
      <c r="G738" s="101"/>
      <c r="H738" s="101"/>
      <c r="I738" s="102">
        <v>0.97</v>
      </c>
      <c r="J738" s="102">
        <v>2.5</v>
      </c>
      <c r="K738" s="101"/>
      <c r="L738" s="101"/>
      <c r="M738" s="101" t="s">
        <v>1001</v>
      </c>
      <c r="N738" s="101">
        <v>2012</v>
      </c>
      <c r="O738" s="101" t="s">
        <v>753</v>
      </c>
      <c r="P738" s="101">
        <v>632315</v>
      </c>
      <c r="Q738" t="s">
        <v>941</v>
      </c>
      <c r="R738" t="s">
        <v>161</v>
      </c>
      <c r="S738"/>
      <c r="T738"/>
      <c r="U738"/>
      <c r="V738" s="220"/>
    </row>
    <row r="739" spans="1:22" x14ac:dyDescent="0.2">
      <c r="A739" t="s">
        <v>939</v>
      </c>
      <c r="B739" s="101">
        <v>3</v>
      </c>
      <c r="C739" s="101">
        <v>0</v>
      </c>
      <c r="D739" s="101">
        <v>-1</v>
      </c>
      <c r="E739" s="101">
        <v>3</v>
      </c>
      <c r="F739" s="101"/>
      <c r="G739" s="101"/>
      <c r="H739" s="101"/>
      <c r="I739" s="102">
        <v>0.98</v>
      </c>
      <c r="J739" s="102">
        <v>2.5100000000000002</v>
      </c>
      <c r="K739" s="101"/>
      <c r="L739" s="101"/>
      <c r="M739" s="101" t="s">
        <v>1001</v>
      </c>
      <c r="N739" s="101">
        <v>2011</v>
      </c>
      <c r="O739" s="101" t="s">
        <v>753</v>
      </c>
      <c r="P739" s="101">
        <v>558239</v>
      </c>
      <c r="Q739" t="s">
        <v>674</v>
      </c>
      <c r="R739" t="s">
        <v>301</v>
      </c>
      <c r="S739"/>
      <c r="T739"/>
      <c r="U739"/>
      <c r="V739" s="220"/>
    </row>
    <row r="740" spans="1:22" x14ac:dyDescent="0.2">
      <c r="A740" t="s">
        <v>885</v>
      </c>
      <c r="B740" s="101">
        <v>8</v>
      </c>
      <c r="C740" s="101">
        <v>6</v>
      </c>
      <c r="D740" s="101">
        <v>1</v>
      </c>
      <c r="E740" s="101">
        <v>7</v>
      </c>
      <c r="F740" s="101">
        <v>3</v>
      </c>
      <c r="G740" s="101">
        <v>-22</v>
      </c>
      <c r="H740" s="101">
        <v>-4.9000000000000004</v>
      </c>
      <c r="I740" s="102">
        <v>0.98</v>
      </c>
      <c r="J740" s="102">
        <v>2.5300000000000002</v>
      </c>
      <c r="K740" s="101">
        <v>12.4</v>
      </c>
      <c r="L740" s="101">
        <v>0</v>
      </c>
      <c r="M740" s="101" t="s">
        <v>1002</v>
      </c>
      <c r="N740" s="101">
        <v>2000</v>
      </c>
      <c r="O740" s="101" t="s">
        <v>633</v>
      </c>
      <c r="P740" s="101">
        <v>317404</v>
      </c>
      <c r="Q740" t="s">
        <v>358</v>
      </c>
      <c r="R740" t="s">
        <v>44</v>
      </c>
      <c r="S740"/>
      <c r="T740"/>
      <c r="U740"/>
      <c r="V740" s="220"/>
    </row>
    <row r="741" spans="1:22" x14ac:dyDescent="0.2">
      <c r="A741" t="s">
        <v>984</v>
      </c>
      <c r="B741" s="101">
        <v>4</v>
      </c>
      <c r="C741" s="101">
        <v>1</v>
      </c>
      <c r="D741" s="101">
        <v>0</v>
      </c>
      <c r="E741" s="101"/>
      <c r="F741" s="101"/>
      <c r="G741" s="101"/>
      <c r="H741" s="101"/>
      <c r="I741" s="102">
        <v>0.98</v>
      </c>
      <c r="J741" s="102">
        <v>2.9370000000000003</v>
      </c>
      <c r="K741" s="101"/>
      <c r="L741" s="101"/>
      <c r="M741" s="101" t="s">
        <v>1001</v>
      </c>
      <c r="N741" s="101">
        <v>2012</v>
      </c>
      <c r="O741" s="101" t="s">
        <v>633</v>
      </c>
      <c r="P741" s="101">
        <v>982116</v>
      </c>
      <c r="Q741" t="s">
        <v>983</v>
      </c>
      <c r="R741" t="s">
        <v>301</v>
      </c>
      <c r="S741"/>
      <c r="T741"/>
      <c r="U741"/>
      <c r="V741" s="220"/>
    </row>
    <row r="742" spans="1:22" x14ac:dyDescent="0.2">
      <c r="A742" t="s">
        <v>816</v>
      </c>
      <c r="B742" s="101">
        <v>13</v>
      </c>
      <c r="C742" s="101">
        <v>8</v>
      </c>
      <c r="D742" s="101">
        <v>0</v>
      </c>
      <c r="E742" s="101">
        <v>2</v>
      </c>
      <c r="F742" s="101">
        <v>-32</v>
      </c>
      <c r="G742" s="101">
        <v>-70</v>
      </c>
      <c r="H742" s="101">
        <v>-21.400000000000002</v>
      </c>
      <c r="I742" s="102">
        <v>0.98</v>
      </c>
      <c r="J742" s="102">
        <v>2.5085850000000001</v>
      </c>
      <c r="K742" s="101">
        <v>19.3</v>
      </c>
      <c r="L742" s="101">
        <v>-0.70000000000000007</v>
      </c>
      <c r="M742" s="101" t="s">
        <v>1001</v>
      </c>
      <c r="N742" s="101">
        <v>2003</v>
      </c>
      <c r="O742" s="101" t="s">
        <v>753</v>
      </c>
      <c r="P742" s="101">
        <v>534156</v>
      </c>
      <c r="Q742" t="s">
        <v>1128</v>
      </c>
      <c r="R742" t="s">
        <v>208</v>
      </c>
      <c r="S742"/>
      <c r="T742"/>
      <c r="U742"/>
      <c r="V742" s="220"/>
    </row>
    <row r="743" spans="1:22" x14ac:dyDescent="0.2">
      <c r="A743" t="s">
        <v>405</v>
      </c>
      <c r="B743" s="101">
        <v>2</v>
      </c>
      <c r="C743" s="101">
        <v>10</v>
      </c>
      <c r="D743" s="101">
        <v>-4</v>
      </c>
      <c r="E743" s="101">
        <v>0</v>
      </c>
      <c r="F743" s="101"/>
      <c r="G743" s="101"/>
      <c r="H743" s="101"/>
      <c r="I743" s="102">
        <v>0.99</v>
      </c>
      <c r="J743" s="102">
        <v>1.5</v>
      </c>
      <c r="K743" s="101"/>
      <c r="L743" s="101"/>
      <c r="M743" s="101" t="s">
        <v>1001</v>
      </c>
      <c r="N743" s="101">
        <v>2011</v>
      </c>
      <c r="O743" s="101" t="s">
        <v>753</v>
      </c>
      <c r="P743" s="101">
        <v>620807</v>
      </c>
      <c r="Q743" t="s">
        <v>404</v>
      </c>
      <c r="R743" t="s">
        <v>367</v>
      </c>
      <c r="S743"/>
      <c r="T743"/>
      <c r="U743"/>
      <c r="V743" s="220"/>
    </row>
    <row r="744" spans="1:22" x14ac:dyDescent="0.2">
      <c r="A744" t="s">
        <v>1104</v>
      </c>
      <c r="B744" s="101">
        <v>11</v>
      </c>
      <c r="C744" s="101">
        <v>4</v>
      </c>
      <c r="D744" s="101">
        <v>3</v>
      </c>
      <c r="E744" s="101">
        <v>13</v>
      </c>
      <c r="F744" s="101">
        <v>17</v>
      </c>
      <c r="G744" s="101">
        <v>-4</v>
      </c>
      <c r="H744" s="101">
        <v>-0.8</v>
      </c>
      <c r="I744" s="102">
        <v>0.99</v>
      </c>
      <c r="J744" s="102">
        <v>2.56</v>
      </c>
      <c r="K744" s="101">
        <v>10.700000000000001</v>
      </c>
      <c r="L744" s="101">
        <v>0.4</v>
      </c>
      <c r="M744" s="101" t="s">
        <v>1002</v>
      </c>
      <c r="N744" s="101">
        <v>2012</v>
      </c>
      <c r="O744" s="101" t="s">
        <v>633</v>
      </c>
      <c r="P744" s="101">
        <v>681486</v>
      </c>
      <c r="Q744" t="s">
        <v>15</v>
      </c>
      <c r="R744" t="s">
        <v>44</v>
      </c>
      <c r="S744"/>
      <c r="T744"/>
      <c r="U744"/>
      <c r="V744" s="220"/>
    </row>
    <row r="745" spans="1:22" x14ac:dyDescent="0.2">
      <c r="A745" t="s">
        <v>910</v>
      </c>
      <c r="B745" s="101">
        <v>7</v>
      </c>
      <c r="C745" s="101">
        <v>1</v>
      </c>
      <c r="D745" s="101">
        <v>2</v>
      </c>
      <c r="E745" s="101">
        <v>13</v>
      </c>
      <c r="F745" s="101">
        <v>22</v>
      </c>
      <c r="G745" s="101">
        <v>-16</v>
      </c>
      <c r="H745" s="101">
        <v>-3.5</v>
      </c>
      <c r="I745" s="102">
        <v>0.99</v>
      </c>
      <c r="J745" s="102">
        <v>2.56</v>
      </c>
      <c r="K745" s="101">
        <v>8.4</v>
      </c>
      <c r="L745" s="101">
        <v>0.6</v>
      </c>
      <c r="M745" s="101" t="s">
        <v>1004</v>
      </c>
      <c r="N745" s="101">
        <v>2011</v>
      </c>
      <c r="O745" s="101" t="s">
        <v>633</v>
      </c>
      <c r="P745" s="101">
        <v>872200</v>
      </c>
      <c r="Q745" t="s">
        <v>15</v>
      </c>
      <c r="R745" t="s">
        <v>145</v>
      </c>
      <c r="S745"/>
      <c r="T745"/>
      <c r="U745"/>
      <c r="V745" s="220"/>
    </row>
    <row r="746" spans="1:22" x14ac:dyDescent="0.2">
      <c r="A746" t="s">
        <v>985</v>
      </c>
      <c r="B746" s="101">
        <v>6</v>
      </c>
      <c r="C746" s="101">
        <v>1</v>
      </c>
      <c r="D746" s="101">
        <v>0</v>
      </c>
      <c r="E746" s="101"/>
      <c r="F746" s="101"/>
      <c r="G746" s="101"/>
      <c r="H746" s="101"/>
      <c r="I746" s="102">
        <v>1</v>
      </c>
      <c r="J746" s="102">
        <v>2.9780000000000002</v>
      </c>
      <c r="K746" s="101"/>
      <c r="L746" s="101"/>
      <c r="M746" s="101" t="s">
        <v>1001</v>
      </c>
      <c r="N746" s="101">
        <v>2012</v>
      </c>
      <c r="O746" s="101" t="s">
        <v>633</v>
      </c>
      <c r="P746" s="101">
        <v>946285</v>
      </c>
      <c r="Q746" t="s">
        <v>983</v>
      </c>
      <c r="R746" t="s">
        <v>301</v>
      </c>
      <c r="S746"/>
      <c r="T746"/>
      <c r="U746"/>
      <c r="V746" s="220"/>
    </row>
    <row r="747" spans="1:22" x14ac:dyDescent="0.2">
      <c r="A747" t="s">
        <v>14</v>
      </c>
      <c r="B747" s="101">
        <v>9</v>
      </c>
      <c r="C747" s="101">
        <v>2</v>
      </c>
      <c r="D747" s="101">
        <v>1</v>
      </c>
      <c r="E747" s="101">
        <v>13</v>
      </c>
      <c r="F747" s="101">
        <v>21</v>
      </c>
      <c r="G747" s="101">
        <v>-6</v>
      </c>
      <c r="H747" s="101">
        <v>-1.2</v>
      </c>
      <c r="I747" s="102">
        <v>1</v>
      </c>
      <c r="J747" s="102">
        <v>2.59</v>
      </c>
      <c r="K747" s="101">
        <v>10.1</v>
      </c>
      <c r="L747" s="101">
        <v>0.5</v>
      </c>
      <c r="M747" s="101" t="s">
        <v>1004</v>
      </c>
      <c r="N747" s="101">
        <v>2011</v>
      </c>
      <c r="O747" s="101" t="s">
        <v>633</v>
      </c>
      <c r="P747" s="101">
        <v>836379</v>
      </c>
      <c r="Q747" t="s">
        <v>15</v>
      </c>
      <c r="R747" t="s">
        <v>102</v>
      </c>
      <c r="S747"/>
      <c r="T747"/>
      <c r="U747"/>
      <c r="V747" s="220"/>
    </row>
    <row r="748" spans="1:22" x14ac:dyDescent="0.2">
      <c r="A748" t="s">
        <v>30</v>
      </c>
      <c r="B748" s="101">
        <v>9</v>
      </c>
      <c r="C748" s="101">
        <v>0</v>
      </c>
      <c r="D748" s="101">
        <v>5</v>
      </c>
      <c r="E748" s="101">
        <v>17</v>
      </c>
      <c r="F748" s="101">
        <v>25</v>
      </c>
      <c r="G748" s="101">
        <v>43</v>
      </c>
      <c r="H748" s="101">
        <v>7.5</v>
      </c>
      <c r="I748" s="102">
        <v>1</v>
      </c>
      <c r="J748" s="102">
        <v>2.68</v>
      </c>
      <c r="K748" s="101">
        <v>9.8000000000000007</v>
      </c>
      <c r="L748" s="101">
        <v>0.6</v>
      </c>
      <c r="M748" s="101" t="s">
        <v>1004</v>
      </c>
      <c r="N748" s="101">
        <v>2001</v>
      </c>
      <c r="O748" s="101" t="s">
        <v>633</v>
      </c>
      <c r="P748" s="101">
        <v>103010</v>
      </c>
      <c r="Q748" t="s">
        <v>358</v>
      </c>
      <c r="R748" t="s">
        <v>626</v>
      </c>
      <c r="S748"/>
      <c r="T748"/>
      <c r="U748"/>
      <c r="V748" s="220"/>
    </row>
    <row r="749" spans="1:22" x14ac:dyDescent="0.2">
      <c r="A749" t="s">
        <v>199</v>
      </c>
      <c r="B749" s="101">
        <v>7</v>
      </c>
      <c r="C749" s="101">
        <v>-3</v>
      </c>
      <c r="D749" s="101">
        <v>-4</v>
      </c>
      <c r="E749" s="101">
        <v>10</v>
      </c>
      <c r="F749" s="101">
        <v>17</v>
      </c>
      <c r="G749" s="101">
        <v>-8</v>
      </c>
      <c r="H749" s="101">
        <v>-1.7</v>
      </c>
      <c r="I749" s="102">
        <v>1.01</v>
      </c>
      <c r="J749" s="102">
        <v>2.6</v>
      </c>
      <c r="K749" s="101">
        <v>9.7000000000000011</v>
      </c>
      <c r="L749" s="101">
        <v>0.4</v>
      </c>
      <c r="M749" s="101" t="s">
        <v>1002</v>
      </c>
      <c r="N749" s="101">
        <v>2000</v>
      </c>
      <c r="O749" s="101" t="s">
        <v>633</v>
      </c>
      <c r="P749" s="101">
        <v>189258</v>
      </c>
      <c r="Q749" t="s">
        <v>423</v>
      </c>
      <c r="R749" t="s">
        <v>279</v>
      </c>
      <c r="S749" t="s">
        <v>1024</v>
      </c>
      <c r="T749"/>
      <c r="U749"/>
      <c r="V749" s="220"/>
    </row>
    <row r="750" spans="1:22" x14ac:dyDescent="0.2">
      <c r="A750" t="s">
        <v>195</v>
      </c>
      <c r="B750" s="101">
        <v>-5</v>
      </c>
      <c r="C750" s="101">
        <v>-2</v>
      </c>
      <c r="D750" s="101">
        <v>-8</v>
      </c>
      <c r="E750" s="101">
        <v>-5</v>
      </c>
      <c r="F750" s="101">
        <v>-28</v>
      </c>
      <c r="G750" s="101">
        <v>-52</v>
      </c>
      <c r="H750" s="101">
        <v>-13.700000000000001</v>
      </c>
      <c r="I750" s="102">
        <v>1.01</v>
      </c>
      <c r="J750" s="102">
        <v>2.6040000000000001</v>
      </c>
      <c r="K750" s="101">
        <v>12.5</v>
      </c>
      <c r="L750" s="101">
        <v>-0.9</v>
      </c>
      <c r="M750" s="101" t="s">
        <v>1004</v>
      </c>
      <c r="N750" s="101">
        <v>2007</v>
      </c>
      <c r="O750" s="101" t="s">
        <v>633</v>
      </c>
      <c r="P750" s="101">
        <v>887497</v>
      </c>
      <c r="Q750" t="s">
        <v>423</v>
      </c>
      <c r="R750" t="s">
        <v>279</v>
      </c>
      <c r="S750" t="s">
        <v>1024</v>
      </c>
      <c r="T750"/>
      <c r="U750"/>
      <c r="V750" s="220"/>
    </row>
    <row r="751" spans="1:22" x14ac:dyDescent="0.2">
      <c r="A751" t="s">
        <v>194</v>
      </c>
      <c r="B751" s="101">
        <v>9</v>
      </c>
      <c r="C751" s="101">
        <v>2</v>
      </c>
      <c r="D751" s="101">
        <v>-7</v>
      </c>
      <c r="E751" s="101">
        <v>3</v>
      </c>
      <c r="F751" s="101">
        <v>37</v>
      </c>
      <c r="G751" s="101">
        <v>8</v>
      </c>
      <c r="H751" s="101">
        <v>1.5</v>
      </c>
      <c r="I751" s="102">
        <v>1.01</v>
      </c>
      <c r="J751" s="102">
        <v>2.6080000000000001</v>
      </c>
      <c r="K751" s="101">
        <v>16.2</v>
      </c>
      <c r="L751" s="101">
        <v>0.6</v>
      </c>
      <c r="M751" s="101" t="s">
        <v>1002</v>
      </c>
      <c r="N751" s="101">
        <v>2005</v>
      </c>
      <c r="O751" s="101" t="s">
        <v>633</v>
      </c>
      <c r="P751" s="101">
        <v>923383</v>
      </c>
      <c r="Q751" t="s">
        <v>423</v>
      </c>
      <c r="R751" t="s">
        <v>145</v>
      </c>
      <c r="S751"/>
      <c r="T751"/>
      <c r="U751"/>
      <c r="V751" s="220"/>
    </row>
    <row r="752" spans="1:22" x14ac:dyDescent="0.2">
      <c r="A752" t="s">
        <v>1083</v>
      </c>
      <c r="B752" s="101">
        <v>10</v>
      </c>
      <c r="C752" s="101">
        <v>1</v>
      </c>
      <c r="D752" s="101">
        <v>0</v>
      </c>
      <c r="E752" s="101">
        <v>14</v>
      </c>
      <c r="F752" s="101">
        <v>23</v>
      </c>
      <c r="G752" s="101">
        <v>-2</v>
      </c>
      <c r="H752" s="101">
        <v>-0.4</v>
      </c>
      <c r="I752" s="102">
        <v>1.02</v>
      </c>
      <c r="J752" s="102">
        <v>2.64</v>
      </c>
      <c r="K752" s="101">
        <v>11.5</v>
      </c>
      <c r="L752" s="101">
        <v>0.5</v>
      </c>
      <c r="M752" s="101" t="s">
        <v>1002</v>
      </c>
      <c r="N752" s="101">
        <v>2012</v>
      </c>
      <c r="O752" s="101" t="s">
        <v>633</v>
      </c>
      <c r="P752" s="101">
        <v>866715</v>
      </c>
      <c r="Q752" t="s">
        <v>1067</v>
      </c>
      <c r="R752" t="s">
        <v>102</v>
      </c>
      <c r="S752"/>
      <c r="T752"/>
      <c r="U752"/>
      <c r="V752" s="220"/>
    </row>
    <row r="753" spans="1:22" x14ac:dyDescent="0.2">
      <c r="A753" t="s">
        <v>202</v>
      </c>
      <c r="B753" s="101">
        <v>18</v>
      </c>
      <c r="C753" s="101">
        <v>7</v>
      </c>
      <c r="D753" s="101">
        <v>0</v>
      </c>
      <c r="E753" s="101">
        <v>12</v>
      </c>
      <c r="F753" s="101">
        <v>14</v>
      </c>
      <c r="G753" s="101">
        <v>-20</v>
      </c>
      <c r="H753" s="101">
        <v>-4.5</v>
      </c>
      <c r="I753" s="102">
        <v>1.02</v>
      </c>
      <c r="J753" s="102">
        <v>2.6230000000000002</v>
      </c>
      <c r="K753" s="101">
        <v>16</v>
      </c>
      <c r="L753" s="101">
        <v>0.3</v>
      </c>
      <c r="M753" s="101" t="s">
        <v>1002</v>
      </c>
      <c r="N753" s="101">
        <v>2000</v>
      </c>
      <c r="O753" s="101" t="s">
        <v>633</v>
      </c>
      <c r="P753" s="101">
        <v>440065</v>
      </c>
      <c r="Q753" t="s">
        <v>423</v>
      </c>
      <c r="R753" t="s">
        <v>92</v>
      </c>
      <c r="S753"/>
      <c r="T753"/>
      <c r="U753"/>
      <c r="V753" s="220"/>
    </row>
    <row r="754" spans="1:22" x14ac:dyDescent="0.2">
      <c r="A754" t="s">
        <v>20</v>
      </c>
      <c r="B754" s="101">
        <v>16</v>
      </c>
      <c r="C754" s="101">
        <v>7</v>
      </c>
      <c r="D754" s="101">
        <v>9</v>
      </c>
      <c r="E754" s="101">
        <v>22</v>
      </c>
      <c r="F754" s="101">
        <v>27</v>
      </c>
      <c r="G754" s="101"/>
      <c r="H754" s="101"/>
      <c r="I754" s="102">
        <v>1.02</v>
      </c>
      <c r="J754" s="102">
        <v>2.6230000000000002</v>
      </c>
      <c r="K754" s="101">
        <v>13.6</v>
      </c>
      <c r="L754" s="101">
        <v>0.5</v>
      </c>
      <c r="M754" s="101" t="s">
        <v>1004</v>
      </c>
      <c r="N754" s="101">
        <v>2010</v>
      </c>
      <c r="O754" s="101" t="s">
        <v>633</v>
      </c>
      <c r="P754" s="101">
        <v>755033</v>
      </c>
      <c r="Q754" t="s">
        <v>423</v>
      </c>
      <c r="R754" t="s">
        <v>279</v>
      </c>
      <c r="S754" t="s">
        <v>1024</v>
      </c>
      <c r="T754"/>
      <c r="U754"/>
      <c r="V754" s="220"/>
    </row>
    <row r="755" spans="1:22" x14ac:dyDescent="0.2">
      <c r="A755" t="s">
        <v>198</v>
      </c>
      <c r="B755" s="101">
        <v>6</v>
      </c>
      <c r="C755" s="101">
        <v>-1</v>
      </c>
      <c r="D755" s="101">
        <v>-2</v>
      </c>
      <c r="E755" s="101">
        <v>8</v>
      </c>
      <c r="F755" s="101">
        <v>24</v>
      </c>
      <c r="G755" s="101">
        <v>5</v>
      </c>
      <c r="H755" s="101">
        <v>1</v>
      </c>
      <c r="I755" s="102">
        <v>1.02</v>
      </c>
      <c r="J755" s="102">
        <v>2.649</v>
      </c>
      <c r="K755" s="101">
        <v>9.7000000000000011</v>
      </c>
      <c r="L755" s="101">
        <v>0.6</v>
      </c>
      <c r="M755" s="101" t="s">
        <v>1004</v>
      </c>
      <c r="N755" s="101">
        <v>2000</v>
      </c>
      <c r="O755" s="101" t="s">
        <v>633</v>
      </c>
      <c r="P755" s="101">
        <v>296749</v>
      </c>
      <c r="Q755" t="s">
        <v>423</v>
      </c>
      <c r="R755" t="s">
        <v>261</v>
      </c>
      <c r="S755"/>
      <c r="T755"/>
      <c r="U755"/>
      <c r="V755" s="220"/>
    </row>
    <row r="756" spans="1:22" x14ac:dyDescent="0.2">
      <c r="A756" t="s">
        <v>887</v>
      </c>
      <c r="B756" s="101">
        <v>5</v>
      </c>
      <c r="C756" s="101">
        <v>-1</v>
      </c>
      <c r="D756" s="101">
        <v>-1</v>
      </c>
      <c r="E756" s="101">
        <v>7</v>
      </c>
      <c r="F756" s="101">
        <v>12</v>
      </c>
      <c r="G756" s="101">
        <v>28</v>
      </c>
      <c r="H756" s="101">
        <v>5.1000000000000005</v>
      </c>
      <c r="I756" s="102">
        <v>1.03</v>
      </c>
      <c r="J756" s="102">
        <v>2.7600000000000002</v>
      </c>
      <c r="K756" s="101">
        <v>8.6</v>
      </c>
      <c r="L756" s="101">
        <v>0.3</v>
      </c>
      <c r="M756" s="101" t="s">
        <v>1004</v>
      </c>
      <c r="N756" s="101">
        <v>2009</v>
      </c>
      <c r="O756" s="101" t="s">
        <v>633</v>
      </c>
      <c r="P756" s="101">
        <v>874099</v>
      </c>
      <c r="Q756" t="s">
        <v>358</v>
      </c>
      <c r="R756" t="s">
        <v>626</v>
      </c>
      <c r="S756"/>
      <c r="T756"/>
      <c r="U756"/>
      <c r="V756" s="220"/>
    </row>
    <row r="757" spans="1:22" x14ac:dyDescent="0.2">
      <c r="A757" t="s">
        <v>581</v>
      </c>
      <c r="B757" s="101">
        <v>8</v>
      </c>
      <c r="C757" s="101">
        <v>0</v>
      </c>
      <c r="D757" s="101">
        <v>-2</v>
      </c>
      <c r="E757" s="101">
        <v>12</v>
      </c>
      <c r="F757" s="101">
        <v>31</v>
      </c>
      <c r="G757" s="101">
        <v>23</v>
      </c>
      <c r="H757" s="101">
        <v>4.2</v>
      </c>
      <c r="I757" s="102">
        <v>1.03</v>
      </c>
      <c r="J757" s="102">
        <v>2.67</v>
      </c>
      <c r="K757" s="101">
        <v>8.9</v>
      </c>
      <c r="L757" s="101">
        <v>0.9</v>
      </c>
      <c r="M757" s="101" t="s">
        <v>1004</v>
      </c>
      <c r="N757" s="101">
        <v>2010</v>
      </c>
      <c r="O757" s="101" t="s">
        <v>753</v>
      </c>
      <c r="P757" s="101">
        <v>989434</v>
      </c>
      <c r="Q757" t="s">
        <v>358</v>
      </c>
      <c r="R757" t="s">
        <v>145</v>
      </c>
      <c r="S757"/>
      <c r="T757"/>
      <c r="U757"/>
      <c r="V757" s="220"/>
    </row>
    <row r="758" spans="1:22" x14ac:dyDescent="0.2">
      <c r="A758" t="s">
        <v>21</v>
      </c>
      <c r="B758" s="101">
        <v>21</v>
      </c>
      <c r="C758" s="101">
        <v>-5</v>
      </c>
      <c r="D758" s="101">
        <v>6</v>
      </c>
      <c r="E758" s="101">
        <v>29</v>
      </c>
      <c r="F758" s="101">
        <v>24</v>
      </c>
      <c r="G758" s="101">
        <v>2</v>
      </c>
      <c r="H758" s="101">
        <v>0.3</v>
      </c>
      <c r="I758" s="102">
        <v>1.04</v>
      </c>
      <c r="J758" s="102">
        <v>2.706</v>
      </c>
      <c r="K758" s="101">
        <v>15.5</v>
      </c>
      <c r="L758" s="101">
        <v>0.5</v>
      </c>
      <c r="M758" s="101" t="s">
        <v>1004</v>
      </c>
      <c r="N758" s="101">
        <v>2000</v>
      </c>
      <c r="O758" s="101" t="s">
        <v>633</v>
      </c>
      <c r="P758" s="101">
        <v>260919</v>
      </c>
      <c r="Q758" t="s">
        <v>423</v>
      </c>
      <c r="R758" t="s">
        <v>371</v>
      </c>
      <c r="S758"/>
      <c r="T758"/>
      <c r="U758"/>
      <c r="V758" s="220"/>
    </row>
    <row r="759" spans="1:22" x14ac:dyDescent="0.2">
      <c r="A759" t="s">
        <v>197</v>
      </c>
      <c r="B759" s="101">
        <v>13</v>
      </c>
      <c r="C759" s="101">
        <v>2</v>
      </c>
      <c r="D759" s="101">
        <v>4</v>
      </c>
      <c r="E759" s="101">
        <v>14</v>
      </c>
      <c r="F759" s="101">
        <v>23</v>
      </c>
      <c r="G759" s="101">
        <v>26</v>
      </c>
      <c r="H759" s="101">
        <v>4.7</v>
      </c>
      <c r="I759" s="102">
        <v>1.04</v>
      </c>
      <c r="J759" s="102">
        <v>2.6990000000000003</v>
      </c>
      <c r="K759" s="101">
        <v>12.200000000000001</v>
      </c>
      <c r="L759" s="101">
        <v>0.5</v>
      </c>
      <c r="M759" s="101" t="s">
        <v>1004</v>
      </c>
      <c r="N759" s="101">
        <v>2004</v>
      </c>
      <c r="O759" s="101" t="s">
        <v>633</v>
      </c>
      <c r="P759" s="101">
        <v>688986</v>
      </c>
      <c r="Q759" t="s">
        <v>423</v>
      </c>
      <c r="R759" t="s">
        <v>270</v>
      </c>
      <c r="S759"/>
      <c r="T759"/>
      <c r="U759"/>
      <c r="V759" s="220"/>
    </row>
    <row r="760" spans="1:22" x14ac:dyDescent="0.2">
      <c r="A760" t="s">
        <v>204</v>
      </c>
      <c r="B760" s="101">
        <v>5</v>
      </c>
      <c r="C760" s="101">
        <v>-1</v>
      </c>
      <c r="D760" s="101">
        <v>-8</v>
      </c>
      <c r="E760" s="101">
        <v>-5</v>
      </c>
      <c r="F760" s="101">
        <v>-4</v>
      </c>
      <c r="G760" s="101"/>
      <c r="H760" s="101"/>
      <c r="I760" s="102">
        <v>1.04</v>
      </c>
      <c r="J760" s="102">
        <v>2.7070000000000003</v>
      </c>
      <c r="K760" s="101">
        <v>24.5</v>
      </c>
      <c r="L760" s="101">
        <v>0</v>
      </c>
      <c r="M760" s="101" t="s">
        <v>1004</v>
      </c>
      <c r="N760" s="101">
        <v>2009</v>
      </c>
      <c r="O760" s="101" t="s">
        <v>633</v>
      </c>
      <c r="P760" s="101">
        <v>925099</v>
      </c>
      <c r="Q760" t="s">
        <v>423</v>
      </c>
      <c r="R760" t="s">
        <v>368</v>
      </c>
      <c r="S760"/>
      <c r="T760"/>
      <c r="U760"/>
      <c r="V760" s="220"/>
    </row>
    <row r="761" spans="1:22" x14ac:dyDescent="0.2">
      <c r="A761" t="s">
        <v>201</v>
      </c>
      <c r="B761" s="101">
        <v>6</v>
      </c>
      <c r="C761" s="101">
        <v>-1</v>
      </c>
      <c r="D761" s="101">
        <v>-4</v>
      </c>
      <c r="E761" s="101">
        <v>10</v>
      </c>
      <c r="F761" s="101">
        <v>27</v>
      </c>
      <c r="G761" s="101">
        <v>4</v>
      </c>
      <c r="H761" s="101">
        <v>0.8</v>
      </c>
      <c r="I761" s="102">
        <v>1.04</v>
      </c>
      <c r="J761" s="102">
        <v>2.6970000000000001</v>
      </c>
      <c r="K761" s="101">
        <v>11.1</v>
      </c>
      <c r="L761" s="101">
        <v>0.6</v>
      </c>
      <c r="M761" s="101" t="s">
        <v>1004</v>
      </c>
      <c r="N761" s="101">
        <v>2006</v>
      </c>
      <c r="O761" s="101" t="s">
        <v>633</v>
      </c>
      <c r="P761" s="101">
        <v>968891</v>
      </c>
      <c r="Q761" t="s">
        <v>423</v>
      </c>
      <c r="R761" t="s">
        <v>279</v>
      </c>
      <c r="S761"/>
      <c r="T761"/>
      <c r="U761"/>
      <c r="V761" s="220"/>
    </row>
    <row r="762" spans="1:22" x14ac:dyDescent="0.2">
      <c r="A762" t="s">
        <v>1085</v>
      </c>
      <c r="B762" s="101">
        <v>7</v>
      </c>
      <c r="C762" s="101">
        <v>0</v>
      </c>
      <c r="D762" s="101">
        <v>-5</v>
      </c>
      <c r="E762" s="101">
        <v>7</v>
      </c>
      <c r="F762" s="101">
        <v>12</v>
      </c>
      <c r="G762" s="101">
        <v>-28</v>
      </c>
      <c r="H762" s="101">
        <v>-6.3</v>
      </c>
      <c r="I762" s="102">
        <v>1.04</v>
      </c>
      <c r="J762" s="102">
        <v>2.7</v>
      </c>
      <c r="K762" s="101">
        <v>14.200000000000001</v>
      </c>
      <c r="L762" s="101">
        <v>0.2</v>
      </c>
      <c r="M762" s="101" t="s">
        <v>1002</v>
      </c>
      <c r="N762" s="101">
        <v>2012</v>
      </c>
      <c r="O762" s="101" t="s">
        <v>633</v>
      </c>
      <c r="P762" s="101">
        <v>978452</v>
      </c>
      <c r="Q762" t="s">
        <v>1067</v>
      </c>
      <c r="R762" t="s">
        <v>161</v>
      </c>
      <c r="S762"/>
      <c r="T762"/>
      <c r="U762"/>
      <c r="V762" s="220"/>
    </row>
    <row r="763" spans="1:22" x14ac:dyDescent="0.2">
      <c r="A763" t="s">
        <v>1087</v>
      </c>
      <c r="B763" s="101">
        <v>19</v>
      </c>
      <c r="C763" s="101">
        <v>6</v>
      </c>
      <c r="D763" s="101">
        <v>3</v>
      </c>
      <c r="E763" s="101">
        <v>17</v>
      </c>
      <c r="F763" s="101">
        <v>21</v>
      </c>
      <c r="G763" s="101">
        <v>-14</v>
      </c>
      <c r="H763" s="101">
        <v>-2.9</v>
      </c>
      <c r="I763" s="102">
        <v>1.04</v>
      </c>
      <c r="J763" s="102">
        <v>2.68</v>
      </c>
      <c r="K763" s="101">
        <v>11.700000000000001</v>
      </c>
      <c r="L763" s="101">
        <v>0.5</v>
      </c>
      <c r="M763" s="101" t="s">
        <v>1002</v>
      </c>
      <c r="N763" s="101">
        <v>2012</v>
      </c>
      <c r="O763" s="101" t="s">
        <v>633</v>
      </c>
      <c r="P763" s="101">
        <v>942623</v>
      </c>
      <c r="Q763" t="s">
        <v>1067</v>
      </c>
      <c r="R763" t="s">
        <v>44</v>
      </c>
      <c r="S763"/>
      <c r="T763"/>
      <c r="U763"/>
      <c r="V763" s="220"/>
    </row>
    <row r="764" spans="1:22" x14ac:dyDescent="0.2">
      <c r="A764" t="s">
        <v>1084</v>
      </c>
      <c r="B764" s="101">
        <v>6</v>
      </c>
      <c r="C764" s="101">
        <v>-1</v>
      </c>
      <c r="D764" s="101">
        <v>-1</v>
      </c>
      <c r="E764" s="101">
        <v>10</v>
      </c>
      <c r="F764" s="101">
        <v>13</v>
      </c>
      <c r="G764" s="101">
        <v>-10</v>
      </c>
      <c r="H764" s="101">
        <v>-2.1</v>
      </c>
      <c r="I764" s="102">
        <v>1.04</v>
      </c>
      <c r="J764" s="102">
        <v>2.68</v>
      </c>
      <c r="K764" s="101">
        <v>9.8000000000000007</v>
      </c>
      <c r="L764" s="101">
        <v>0.3</v>
      </c>
      <c r="M764" s="101" t="s">
        <v>1002</v>
      </c>
      <c r="N764" s="101">
        <v>2012</v>
      </c>
      <c r="O764" s="101" t="s">
        <v>633</v>
      </c>
      <c r="P764" s="101">
        <v>870964</v>
      </c>
      <c r="Q764" t="s">
        <v>1067</v>
      </c>
      <c r="R764" t="s">
        <v>145</v>
      </c>
      <c r="S764"/>
      <c r="T764"/>
      <c r="U764"/>
      <c r="V764" s="220"/>
    </row>
    <row r="765" spans="1:22" x14ac:dyDescent="0.2">
      <c r="A765" t="s">
        <v>349</v>
      </c>
      <c r="B765" s="101">
        <v>3</v>
      </c>
      <c r="C765" s="101">
        <v>-2</v>
      </c>
      <c r="D765" s="101">
        <v>-10</v>
      </c>
      <c r="E765" s="101">
        <v>1</v>
      </c>
      <c r="F765" s="101">
        <v>23</v>
      </c>
      <c r="G765" s="101">
        <v>-7</v>
      </c>
      <c r="H765" s="101">
        <v>-1.5</v>
      </c>
      <c r="I765" s="102">
        <v>1.04</v>
      </c>
      <c r="J765" s="102">
        <v>2.7</v>
      </c>
      <c r="K765" s="101">
        <v>12.8</v>
      </c>
      <c r="L765" s="101">
        <v>0.5</v>
      </c>
      <c r="M765" s="101" t="s">
        <v>1002</v>
      </c>
      <c r="N765" s="101">
        <v>2000</v>
      </c>
      <c r="O765" s="101" t="s">
        <v>633</v>
      </c>
      <c r="P765" s="101">
        <v>174086</v>
      </c>
      <c r="Q765" t="s">
        <v>358</v>
      </c>
      <c r="R765" t="s">
        <v>102</v>
      </c>
      <c r="S765"/>
      <c r="T765"/>
      <c r="U765"/>
      <c r="V765" s="220"/>
    </row>
    <row r="766" spans="1:22" x14ac:dyDescent="0.2">
      <c r="A766" t="s">
        <v>350</v>
      </c>
      <c r="B766" s="101">
        <v>5</v>
      </c>
      <c r="C766" s="101">
        <v>-2</v>
      </c>
      <c r="D766" s="101">
        <v>-8</v>
      </c>
      <c r="E766" s="101">
        <v>9</v>
      </c>
      <c r="F766" s="101">
        <v>31</v>
      </c>
      <c r="G766" s="101">
        <v>21</v>
      </c>
      <c r="H766" s="101">
        <v>3.9</v>
      </c>
      <c r="I766" s="102">
        <v>1.04</v>
      </c>
      <c r="J766" s="102">
        <v>2.68</v>
      </c>
      <c r="K766" s="101">
        <v>10.1</v>
      </c>
      <c r="L766" s="101">
        <v>0.8</v>
      </c>
      <c r="M766" s="101" t="s">
        <v>1004</v>
      </c>
      <c r="N766" s="101">
        <v>2007</v>
      </c>
      <c r="O766" s="101" t="s">
        <v>633</v>
      </c>
      <c r="P766" s="101">
        <v>815837</v>
      </c>
      <c r="Q766" t="s">
        <v>358</v>
      </c>
      <c r="R766" t="s">
        <v>102</v>
      </c>
      <c r="S766"/>
      <c r="T766"/>
      <c r="U766"/>
      <c r="V766" s="220"/>
    </row>
    <row r="767" spans="1:22" x14ac:dyDescent="0.2">
      <c r="A767" t="s">
        <v>1086</v>
      </c>
      <c r="B767" s="101">
        <v>1</v>
      </c>
      <c r="C767" s="101">
        <v>-1</v>
      </c>
      <c r="D767" s="101">
        <v>-6</v>
      </c>
      <c r="E767" s="101">
        <v>-1</v>
      </c>
      <c r="F767" s="101">
        <v>5</v>
      </c>
      <c r="G767" s="101">
        <v>-3</v>
      </c>
      <c r="H767" s="101">
        <v>-0.70000000000000007</v>
      </c>
      <c r="I767" s="102">
        <v>1.04</v>
      </c>
      <c r="J767" s="102">
        <v>2.73</v>
      </c>
      <c r="K767" s="101">
        <v>16.7</v>
      </c>
      <c r="L767" s="101">
        <v>0.1</v>
      </c>
      <c r="M767" s="101" t="s">
        <v>1002</v>
      </c>
      <c r="N767" s="101">
        <v>2012</v>
      </c>
      <c r="O767" s="101" t="s">
        <v>633</v>
      </c>
      <c r="P767" s="101">
        <v>763474</v>
      </c>
      <c r="Q767" t="s">
        <v>1067</v>
      </c>
      <c r="R767" t="s">
        <v>369</v>
      </c>
      <c r="S767"/>
      <c r="T767"/>
      <c r="U767"/>
      <c r="V767" s="220"/>
    </row>
    <row r="768" spans="1:22" x14ac:dyDescent="0.2">
      <c r="A768" t="s">
        <v>874</v>
      </c>
      <c r="B768" s="101">
        <v>3</v>
      </c>
      <c r="C768" s="101">
        <v>1</v>
      </c>
      <c r="D768" s="101">
        <v>-3</v>
      </c>
      <c r="E768" s="101">
        <v>3</v>
      </c>
      <c r="F768" s="101">
        <v>-1</v>
      </c>
      <c r="G768" s="101"/>
      <c r="H768" s="101"/>
      <c r="I768" s="102">
        <v>1.05</v>
      </c>
      <c r="J768" s="102">
        <v>2.7336</v>
      </c>
      <c r="K768" s="101">
        <v>8.9</v>
      </c>
      <c r="L768" s="101">
        <v>-0.2</v>
      </c>
      <c r="M768" s="101" t="s">
        <v>1001</v>
      </c>
      <c r="N768" s="101">
        <v>2009</v>
      </c>
      <c r="O768" s="101" t="s">
        <v>633</v>
      </c>
      <c r="P768" s="101">
        <v>539460</v>
      </c>
      <c r="Q768" t="s">
        <v>875</v>
      </c>
      <c r="R768" t="s">
        <v>301</v>
      </c>
      <c r="S768"/>
      <c r="T768"/>
      <c r="U768"/>
      <c r="V768" s="220"/>
    </row>
    <row r="769" spans="1:22" x14ac:dyDescent="0.2">
      <c r="A769" t="s">
        <v>1088</v>
      </c>
      <c r="B769" s="101">
        <v>8</v>
      </c>
      <c r="C769" s="101">
        <v>8</v>
      </c>
      <c r="D769" s="101">
        <v>0</v>
      </c>
      <c r="E769" s="101">
        <v>3</v>
      </c>
      <c r="F769" s="101">
        <v>6</v>
      </c>
      <c r="G769" s="101"/>
      <c r="H769" s="101"/>
      <c r="I769" s="102">
        <v>1.05</v>
      </c>
      <c r="J769" s="102">
        <v>2.92</v>
      </c>
      <c r="K769" s="101">
        <v>16.3</v>
      </c>
      <c r="L769" s="101">
        <v>0.1</v>
      </c>
      <c r="M769" s="101" t="s">
        <v>1002</v>
      </c>
      <c r="N769" s="101">
        <v>2012</v>
      </c>
      <c r="O769" s="101" t="s">
        <v>633</v>
      </c>
      <c r="P769" s="101">
        <v>835132</v>
      </c>
      <c r="Q769" t="s">
        <v>1067</v>
      </c>
      <c r="R769" t="s">
        <v>145</v>
      </c>
      <c r="S769"/>
      <c r="T769"/>
      <c r="U769"/>
      <c r="V769" s="220"/>
    </row>
    <row r="770" spans="1:22" x14ac:dyDescent="0.2">
      <c r="A770" t="s">
        <v>1089</v>
      </c>
      <c r="B770" s="101">
        <v>11</v>
      </c>
      <c r="C770" s="101">
        <v>5</v>
      </c>
      <c r="D770" s="101">
        <v>0</v>
      </c>
      <c r="E770" s="101">
        <v>7</v>
      </c>
      <c r="F770" s="101"/>
      <c r="G770" s="101"/>
      <c r="H770" s="101"/>
      <c r="I770" s="102">
        <v>1.05</v>
      </c>
      <c r="J770" s="102">
        <v>2.72</v>
      </c>
      <c r="K770" s="101"/>
      <c r="L770" s="101"/>
      <c r="M770" s="101" t="s">
        <v>1002</v>
      </c>
      <c r="N770" s="101">
        <v>2012</v>
      </c>
      <c r="O770" s="101" t="s">
        <v>633</v>
      </c>
      <c r="P770" s="101">
        <v>150110</v>
      </c>
      <c r="Q770" t="s">
        <v>1067</v>
      </c>
      <c r="R770" t="s">
        <v>131</v>
      </c>
      <c r="S770"/>
      <c r="T770"/>
      <c r="U770"/>
      <c r="V770" s="220"/>
    </row>
    <row r="771" spans="1:22" x14ac:dyDescent="0.2">
      <c r="A771" t="s">
        <v>203</v>
      </c>
      <c r="B771" s="101">
        <v>9</v>
      </c>
      <c r="C771" s="101">
        <v>5</v>
      </c>
      <c r="D771" s="101">
        <v>-1</v>
      </c>
      <c r="E771" s="101">
        <v>8</v>
      </c>
      <c r="F771" s="101">
        <v>3</v>
      </c>
      <c r="G771" s="101">
        <v>-27</v>
      </c>
      <c r="H771" s="101">
        <v>-6</v>
      </c>
      <c r="I771" s="102">
        <v>1.05</v>
      </c>
      <c r="J771" s="102">
        <v>2.7170000000000001</v>
      </c>
      <c r="K771" s="101">
        <v>12.9</v>
      </c>
      <c r="L771" s="101">
        <v>0</v>
      </c>
      <c r="M771" s="101" t="s">
        <v>1004</v>
      </c>
      <c r="N771" s="101">
        <v>2003</v>
      </c>
      <c r="O771" s="101" t="s">
        <v>633</v>
      </c>
      <c r="P771" s="101">
        <v>882126</v>
      </c>
      <c r="Q771" t="s">
        <v>423</v>
      </c>
      <c r="R771" t="s">
        <v>367</v>
      </c>
      <c r="S771"/>
      <c r="T771"/>
      <c r="U771"/>
      <c r="V771" s="220"/>
    </row>
    <row r="772" spans="1:22" x14ac:dyDescent="0.2">
      <c r="A772" t="s">
        <v>200</v>
      </c>
      <c r="B772" s="101">
        <v>4</v>
      </c>
      <c r="C772" s="101">
        <v>1</v>
      </c>
      <c r="D772" s="101">
        <v>-4</v>
      </c>
      <c r="E772" s="101">
        <v>3</v>
      </c>
      <c r="F772" s="101">
        <v>0</v>
      </c>
      <c r="G772" s="101">
        <v>-36</v>
      </c>
      <c r="H772" s="101">
        <v>-8.6</v>
      </c>
      <c r="I772" s="102">
        <v>1.05</v>
      </c>
      <c r="J772" s="102">
        <v>2.7280000000000002</v>
      </c>
      <c r="K772" s="101">
        <v>13.5</v>
      </c>
      <c r="L772" s="101">
        <v>-0.1</v>
      </c>
      <c r="M772" s="101" t="s">
        <v>1004</v>
      </c>
      <c r="N772" s="101">
        <v>2003</v>
      </c>
      <c r="O772" s="101" t="s">
        <v>633</v>
      </c>
      <c r="P772" s="101">
        <v>917955</v>
      </c>
      <c r="Q772" t="s">
        <v>423</v>
      </c>
      <c r="R772" t="s">
        <v>131</v>
      </c>
      <c r="S772"/>
      <c r="T772"/>
      <c r="U772"/>
      <c r="V772" s="220"/>
    </row>
    <row r="773" spans="1:22" x14ac:dyDescent="0.2">
      <c r="A773" t="s">
        <v>1008</v>
      </c>
      <c r="B773" s="101"/>
      <c r="C773" s="101">
        <v>0</v>
      </c>
      <c r="D773" s="101">
        <v>-4</v>
      </c>
      <c r="E773" s="101"/>
      <c r="F773" s="101"/>
      <c r="G773" s="101"/>
      <c r="H773" s="101"/>
      <c r="I773" s="102">
        <v>1.06</v>
      </c>
      <c r="J773" s="102">
        <v>2.75</v>
      </c>
      <c r="K773" s="101"/>
      <c r="L773" s="101"/>
      <c r="M773" s="101" t="s">
        <v>1001</v>
      </c>
      <c r="N773" s="101">
        <v>2012</v>
      </c>
      <c r="O773" s="101" t="s">
        <v>633</v>
      </c>
      <c r="P773" s="101">
        <v>999110</v>
      </c>
      <c r="Q773" t="s">
        <v>397</v>
      </c>
      <c r="R773" t="s">
        <v>301</v>
      </c>
      <c r="S773"/>
      <c r="T773"/>
      <c r="U773"/>
      <c r="V773" s="220"/>
    </row>
    <row r="774" spans="1:22" x14ac:dyDescent="0.2">
      <c r="A774" t="s">
        <v>750</v>
      </c>
      <c r="B774" s="101">
        <v>9</v>
      </c>
      <c r="C774" s="101">
        <v>2</v>
      </c>
      <c r="D774" s="101">
        <v>-2</v>
      </c>
      <c r="E774" s="101">
        <v>7</v>
      </c>
      <c r="F774" s="101">
        <v>8</v>
      </c>
      <c r="G774" s="101">
        <v>-26</v>
      </c>
      <c r="H774" s="101">
        <v>-6</v>
      </c>
      <c r="I774" s="102">
        <v>1.06</v>
      </c>
      <c r="J774" s="102">
        <v>2.75</v>
      </c>
      <c r="K774" s="101">
        <v>13.8</v>
      </c>
      <c r="L774" s="101">
        <v>0.2</v>
      </c>
      <c r="M774" s="101" t="s">
        <v>1004</v>
      </c>
      <c r="N774" s="101">
        <v>2001</v>
      </c>
      <c r="O774" s="101" t="s">
        <v>633</v>
      </c>
      <c r="P774" s="101">
        <v>389650</v>
      </c>
      <c r="Q774" t="s">
        <v>358</v>
      </c>
      <c r="R774" t="s">
        <v>131</v>
      </c>
      <c r="S774"/>
      <c r="T774"/>
      <c r="U774"/>
      <c r="V774" s="220"/>
    </row>
    <row r="775" spans="1:22" x14ac:dyDescent="0.2">
      <c r="A775" t="s">
        <v>1090</v>
      </c>
      <c r="B775" s="101">
        <v>10</v>
      </c>
      <c r="C775" s="101">
        <v>0</v>
      </c>
      <c r="D775" s="101">
        <v>-3</v>
      </c>
      <c r="E775" s="101">
        <v>11</v>
      </c>
      <c r="F775" s="101">
        <v>15</v>
      </c>
      <c r="G775" s="101">
        <v>6</v>
      </c>
      <c r="H775" s="101">
        <v>1.1000000000000001</v>
      </c>
      <c r="I775" s="102">
        <v>1.06</v>
      </c>
      <c r="J775" s="102">
        <v>2.75</v>
      </c>
      <c r="K775" s="101">
        <v>16.100000000000001</v>
      </c>
      <c r="L775" s="101">
        <v>0.3</v>
      </c>
      <c r="M775" s="101" t="s">
        <v>1002</v>
      </c>
      <c r="N775" s="101">
        <v>2012</v>
      </c>
      <c r="O775" s="101" t="s">
        <v>633</v>
      </c>
      <c r="P775" s="101">
        <v>114280</v>
      </c>
      <c r="Q775" t="s">
        <v>1067</v>
      </c>
      <c r="R775" t="s">
        <v>161</v>
      </c>
      <c r="S775"/>
      <c r="T775"/>
      <c r="U775"/>
      <c r="V775" s="220"/>
    </row>
    <row r="776" spans="1:22" x14ac:dyDescent="0.2">
      <c r="A776" t="s">
        <v>25</v>
      </c>
      <c r="B776" s="101">
        <v>20</v>
      </c>
      <c r="C776" s="101">
        <v>8</v>
      </c>
      <c r="D776" s="101">
        <v>8</v>
      </c>
      <c r="E776" s="101">
        <v>12</v>
      </c>
      <c r="F776" s="101">
        <v>1</v>
      </c>
      <c r="G776" s="101">
        <v>-35</v>
      </c>
      <c r="H776" s="101">
        <v>-8.3000000000000007</v>
      </c>
      <c r="I776" s="102">
        <v>1.06</v>
      </c>
      <c r="J776" s="102">
        <v>2.75</v>
      </c>
      <c r="K776" s="101">
        <v>14.5</v>
      </c>
      <c r="L776" s="101">
        <v>0</v>
      </c>
      <c r="M776" s="101" t="s">
        <v>1002</v>
      </c>
      <c r="N776" s="101">
        <v>2000</v>
      </c>
      <c r="O776" s="101" t="s">
        <v>633</v>
      </c>
      <c r="P776" s="101">
        <v>353235</v>
      </c>
      <c r="Q776" t="s">
        <v>358</v>
      </c>
      <c r="R776" t="s">
        <v>279</v>
      </c>
      <c r="S776"/>
      <c r="T776"/>
      <c r="U776"/>
      <c r="V776" s="220"/>
    </row>
    <row r="777" spans="1:22" x14ac:dyDescent="0.2">
      <c r="A777" t="s">
        <v>1091</v>
      </c>
      <c r="B777" s="101">
        <v>9</v>
      </c>
      <c r="C777" s="101">
        <v>1</v>
      </c>
      <c r="D777" s="101">
        <v>-11</v>
      </c>
      <c r="E777" s="101">
        <v>-1</v>
      </c>
      <c r="F777" s="101">
        <v>5</v>
      </c>
      <c r="G777" s="101">
        <v>-42</v>
      </c>
      <c r="H777" s="101">
        <v>-10.4</v>
      </c>
      <c r="I777" s="102">
        <v>1.07</v>
      </c>
      <c r="J777" s="102">
        <v>3</v>
      </c>
      <c r="K777" s="101">
        <v>26.400000000000002</v>
      </c>
      <c r="L777" s="101">
        <v>0.1</v>
      </c>
      <c r="M777" s="101" t="s">
        <v>1002</v>
      </c>
      <c r="N777" s="101">
        <v>2004</v>
      </c>
      <c r="O777" s="101" t="s">
        <v>633</v>
      </c>
      <c r="P777" s="101">
        <v>889386</v>
      </c>
      <c r="Q777" t="s">
        <v>766</v>
      </c>
      <c r="R777" t="s">
        <v>368</v>
      </c>
      <c r="S777"/>
      <c r="T777"/>
      <c r="U777"/>
      <c r="V777" s="220"/>
    </row>
    <row r="778" spans="1:22" x14ac:dyDescent="0.2">
      <c r="A778" t="s">
        <v>425</v>
      </c>
      <c r="B778" s="101">
        <v>-12</v>
      </c>
      <c r="C778" s="101">
        <v>-4</v>
      </c>
      <c r="D778" s="101">
        <v>-18</v>
      </c>
      <c r="E778" s="101">
        <v>-13</v>
      </c>
      <c r="F778" s="101">
        <v>-42</v>
      </c>
      <c r="G778" s="101">
        <v>-70</v>
      </c>
      <c r="H778" s="101">
        <v>-21.400000000000002</v>
      </c>
      <c r="I778" s="102">
        <v>1.07</v>
      </c>
      <c r="J778" s="102">
        <v>3</v>
      </c>
      <c r="K778" s="101">
        <v>21.5</v>
      </c>
      <c r="L778" s="101">
        <v>-0.8</v>
      </c>
      <c r="M778" s="101" t="s">
        <v>1002</v>
      </c>
      <c r="N778" s="101">
        <v>2007</v>
      </c>
      <c r="O778" s="101" t="s">
        <v>633</v>
      </c>
      <c r="P778" s="101">
        <v>704098</v>
      </c>
      <c r="Q778" t="s">
        <v>766</v>
      </c>
      <c r="R778" t="s">
        <v>208</v>
      </c>
      <c r="S778"/>
      <c r="T778"/>
      <c r="U778"/>
      <c r="V778" s="220"/>
    </row>
    <row r="779" spans="1:22" x14ac:dyDescent="0.2">
      <c r="A779" t="s">
        <v>402</v>
      </c>
      <c r="B779" s="101">
        <v>0</v>
      </c>
      <c r="C779" s="101">
        <v>0</v>
      </c>
      <c r="D779" s="101">
        <v>-2</v>
      </c>
      <c r="E779" s="101">
        <v>3</v>
      </c>
      <c r="F779" s="101">
        <v>2</v>
      </c>
      <c r="G779" s="101"/>
      <c r="H779" s="101"/>
      <c r="I779" s="102">
        <v>1.08</v>
      </c>
      <c r="J779" s="102">
        <v>2.80945</v>
      </c>
      <c r="K779" s="101">
        <v>7.4</v>
      </c>
      <c r="L779" s="101">
        <v>-0.1</v>
      </c>
      <c r="M779" s="101" t="s">
        <v>1001</v>
      </c>
      <c r="N779" s="101">
        <v>2011</v>
      </c>
      <c r="O779" s="101" t="s">
        <v>633</v>
      </c>
      <c r="P779" s="101">
        <v>987602</v>
      </c>
      <c r="Q779" t="s">
        <v>397</v>
      </c>
      <c r="R779" t="s">
        <v>145</v>
      </c>
      <c r="S779"/>
      <c r="T779"/>
      <c r="U779"/>
      <c r="V779" s="220"/>
    </row>
    <row r="780" spans="1:22" x14ac:dyDescent="0.2">
      <c r="A780" t="s">
        <v>24</v>
      </c>
      <c r="B780" s="101">
        <v>18</v>
      </c>
      <c r="C780" s="101">
        <v>2</v>
      </c>
      <c r="D780" s="101">
        <v>5</v>
      </c>
      <c r="E780" s="101">
        <v>16</v>
      </c>
      <c r="F780" s="101">
        <v>20</v>
      </c>
      <c r="G780" s="101">
        <v>-17</v>
      </c>
      <c r="H780" s="101">
        <v>-3.8000000000000003</v>
      </c>
      <c r="I780" s="102">
        <v>1.0900000000000001</v>
      </c>
      <c r="J780" s="102">
        <v>2.84</v>
      </c>
      <c r="K780" s="101">
        <v>11.700000000000001</v>
      </c>
      <c r="L780" s="101">
        <v>0.4</v>
      </c>
      <c r="M780" s="101" t="s">
        <v>1004</v>
      </c>
      <c r="N780" s="101">
        <v>2007</v>
      </c>
      <c r="O780" s="101" t="s">
        <v>633</v>
      </c>
      <c r="P780" s="101">
        <v>136895</v>
      </c>
      <c r="Q780" t="s">
        <v>358</v>
      </c>
      <c r="R780" t="s">
        <v>279</v>
      </c>
      <c r="S780"/>
      <c r="T780"/>
      <c r="U780"/>
      <c r="V780" s="220"/>
    </row>
    <row r="781" spans="1:22" x14ac:dyDescent="0.2">
      <c r="A781" t="s">
        <v>221</v>
      </c>
      <c r="B781" s="101">
        <v>9</v>
      </c>
      <c r="C781" s="101">
        <v>10</v>
      </c>
      <c r="D781" s="101">
        <v>5</v>
      </c>
      <c r="E781" s="101">
        <v>7</v>
      </c>
      <c r="F781" s="101">
        <v>-11</v>
      </c>
      <c r="G781" s="101">
        <v>-38</v>
      </c>
      <c r="H781" s="101">
        <v>-9.2000000000000011</v>
      </c>
      <c r="I781" s="102">
        <v>1.1000000000000001</v>
      </c>
      <c r="J781" s="102">
        <v>2.9</v>
      </c>
      <c r="K781" s="101">
        <v>14.200000000000001</v>
      </c>
      <c r="L781" s="101">
        <v>-0.3</v>
      </c>
      <c r="M781" s="101" t="s">
        <v>1002</v>
      </c>
      <c r="N781" s="101">
        <v>2008</v>
      </c>
      <c r="O781" s="101" t="s">
        <v>633</v>
      </c>
      <c r="P781" s="101">
        <v>902668</v>
      </c>
      <c r="Q781" t="s">
        <v>782</v>
      </c>
      <c r="R781" t="s">
        <v>44</v>
      </c>
      <c r="S781"/>
      <c r="T781"/>
      <c r="U781"/>
      <c r="V781" s="220"/>
    </row>
    <row r="782" spans="1:22" x14ac:dyDescent="0.2">
      <c r="A782" t="s">
        <v>219</v>
      </c>
      <c r="B782" s="101">
        <v>6</v>
      </c>
      <c r="C782" s="101">
        <v>1</v>
      </c>
      <c r="D782" s="101">
        <v>-2</v>
      </c>
      <c r="E782" s="101">
        <v>7</v>
      </c>
      <c r="F782" s="101">
        <v>8</v>
      </c>
      <c r="G782" s="101">
        <v>-26</v>
      </c>
      <c r="H782" s="101">
        <v>-5.8</v>
      </c>
      <c r="I782" s="102">
        <v>1.1000000000000001</v>
      </c>
      <c r="J782" s="102">
        <v>2.9</v>
      </c>
      <c r="K782" s="101">
        <v>11.4</v>
      </c>
      <c r="L782" s="101">
        <v>0.1</v>
      </c>
      <c r="M782" s="101" t="s">
        <v>1004</v>
      </c>
      <c r="N782" s="101">
        <v>2008</v>
      </c>
      <c r="O782" s="101" t="s">
        <v>633</v>
      </c>
      <c r="P782" s="101">
        <v>405290</v>
      </c>
      <c r="Q782" t="s">
        <v>782</v>
      </c>
      <c r="R782" t="s">
        <v>145</v>
      </c>
      <c r="S782"/>
      <c r="T782"/>
      <c r="U782"/>
      <c r="V782" s="220"/>
    </row>
    <row r="783" spans="1:22" x14ac:dyDescent="0.2">
      <c r="A783" t="s">
        <v>217</v>
      </c>
      <c r="B783" s="101">
        <v>13</v>
      </c>
      <c r="C783" s="101">
        <v>8</v>
      </c>
      <c r="D783" s="101">
        <v>4</v>
      </c>
      <c r="E783" s="101">
        <v>-1</v>
      </c>
      <c r="F783" s="101">
        <v>5</v>
      </c>
      <c r="G783" s="101">
        <v>-31</v>
      </c>
      <c r="H783" s="101">
        <v>-7.1000000000000005</v>
      </c>
      <c r="I783" s="102">
        <v>1.1000000000000001</v>
      </c>
      <c r="J783" s="102">
        <v>2.9</v>
      </c>
      <c r="K783" s="101">
        <v>20.7</v>
      </c>
      <c r="L783" s="101">
        <v>0.1</v>
      </c>
      <c r="M783" s="101" t="s">
        <v>1004</v>
      </c>
      <c r="N783" s="101">
        <v>2008</v>
      </c>
      <c r="O783" s="101" t="s">
        <v>633</v>
      </c>
      <c r="P783" s="101">
        <v>333633</v>
      </c>
      <c r="Q783" t="s">
        <v>782</v>
      </c>
      <c r="R783" t="s">
        <v>131</v>
      </c>
      <c r="S783"/>
      <c r="T783"/>
      <c r="U783"/>
      <c r="V783" s="220"/>
    </row>
    <row r="784" spans="1:22" x14ac:dyDescent="0.2">
      <c r="A784" t="s">
        <v>886</v>
      </c>
      <c r="B784" s="101">
        <v>11</v>
      </c>
      <c r="C784" s="101">
        <v>9</v>
      </c>
      <c r="D784" s="101">
        <v>4</v>
      </c>
      <c r="E784" s="101">
        <v>6</v>
      </c>
      <c r="F784" s="101">
        <v>-7</v>
      </c>
      <c r="G784" s="101">
        <v>-31</v>
      </c>
      <c r="H784" s="101">
        <v>-7.3</v>
      </c>
      <c r="I784" s="102">
        <v>1.1000000000000001</v>
      </c>
      <c r="J784" s="102">
        <v>2.87</v>
      </c>
      <c r="K784" s="101">
        <v>16.899999999999999</v>
      </c>
      <c r="L784" s="101">
        <v>-0.2</v>
      </c>
      <c r="M784" s="101" t="s">
        <v>1002</v>
      </c>
      <c r="N784" s="101">
        <v>2004</v>
      </c>
      <c r="O784" s="101" t="s">
        <v>633</v>
      </c>
      <c r="P784" s="101">
        <v>155788</v>
      </c>
      <c r="Q784" t="s">
        <v>358</v>
      </c>
      <c r="R784" t="s">
        <v>44</v>
      </c>
      <c r="S784"/>
      <c r="T784"/>
      <c r="U784"/>
      <c r="V784" s="220"/>
    </row>
    <row r="785" spans="1:22" x14ac:dyDescent="0.2">
      <c r="A785" t="s">
        <v>884</v>
      </c>
      <c r="B785" s="101">
        <v>-4</v>
      </c>
      <c r="C785" s="101">
        <v>2</v>
      </c>
      <c r="D785" s="101">
        <v>-6</v>
      </c>
      <c r="E785" s="101">
        <v>-10</v>
      </c>
      <c r="F785" s="101">
        <v>-25</v>
      </c>
      <c r="G785" s="101"/>
      <c r="H785" s="101"/>
      <c r="I785" s="102">
        <v>1.1000000000000001</v>
      </c>
      <c r="J785" s="102">
        <v>2.8524479999999999</v>
      </c>
      <c r="K785" s="101">
        <v>17.600000000000001</v>
      </c>
      <c r="L785" s="101">
        <v>-0.6</v>
      </c>
      <c r="M785" s="101" t="s">
        <v>1001</v>
      </c>
      <c r="N785" s="101">
        <v>2009</v>
      </c>
      <c r="O785" s="101" t="s">
        <v>633</v>
      </c>
      <c r="P785" s="101">
        <v>575290</v>
      </c>
      <c r="Q785" t="s">
        <v>878</v>
      </c>
      <c r="R785" t="s">
        <v>301</v>
      </c>
      <c r="S785"/>
      <c r="T785"/>
      <c r="U785"/>
      <c r="V785" s="220"/>
    </row>
    <row r="786" spans="1:22" x14ac:dyDescent="0.2">
      <c r="A786" t="s">
        <v>218</v>
      </c>
      <c r="B786" s="101">
        <v>1</v>
      </c>
      <c r="C786" s="101">
        <v>-2</v>
      </c>
      <c r="D786" s="101">
        <v>-6</v>
      </c>
      <c r="E786" s="101">
        <v>-1</v>
      </c>
      <c r="F786" s="101">
        <v>2</v>
      </c>
      <c r="G786" s="101">
        <v>-15</v>
      </c>
      <c r="H786" s="101">
        <v>-3.2</v>
      </c>
      <c r="I786" s="102">
        <v>1.1000000000000001</v>
      </c>
      <c r="J786" s="102">
        <v>2.9</v>
      </c>
      <c r="K786" s="101">
        <v>16.399999999999999</v>
      </c>
      <c r="L786" s="101">
        <v>0</v>
      </c>
      <c r="M786" s="101" t="s">
        <v>1004</v>
      </c>
      <c r="N786" s="101">
        <v>2008</v>
      </c>
      <c r="O786" s="101" t="s">
        <v>633</v>
      </c>
      <c r="P786" s="101">
        <v>369462</v>
      </c>
      <c r="Q786" t="s">
        <v>782</v>
      </c>
      <c r="R786" t="s">
        <v>369</v>
      </c>
      <c r="S786"/>
      <c r="T786"/>
      <c r="U786"/>
      <c r="V786" s="220"/>
    </row>
    <row r="787" spans="1:22" x14ac:dyDescent="0.2">
      <c r="A787" t="s">
        <v>222</v>
      </c>
      <c r="B787" s="101">
        <v>-9</v>
      </c>
      <c r="C787" s="101">
        <v>7</v>
      </c>
      <c r="D787" s="101">
        <v>-11</v>
      </c>
      <c r="E787" s="101">
        <v>-14</v>
      </c>
      <c r="F787" s="101">
        <v>-6</v>
      </c>
      <c r="G787" s="101">
        <v>-40</v>
      </c>
      <c r="H787" s="101">
        <v>-9.6</v>
      </c>
      <c r="I787" s="102">
        <v>1.1000000000000001</v>
      </c>
      <c r="J787" s="102">
        <v>2.9</v>
      </c>
      <c r="K787" s="101">
        <v>22.3</v>
      </c>
      <c r="L787" s="101">
        <v>-0.1</v>
      </c>
      <c r="M787" s="101" t="s">
        <v>1002</v>
      </c>
      <c r="N787" s="101">
        <v>2008</v>
      </c>
      <c r="O787" s="101" t="s">
        <v>633</v>
      </c>
      <c r="P787" s="101">
        <v>938498</v>
      </c>
      <c r="Q787" t="s">
        <v>782</v>
      </c>
      <c r="R787" t="s">
        <v>279</v>
      </c>
      <c r="S787"/>
      <c r="T787"/>
      <c r="U787"/>
      <c r="V787" s="220"/>
    </row>
    <row r="788" spans="1:22" x14ac:dyDescent="0.2">
      <c r="A788" t="s">
        <v>206</v>
      </c>
      <c r="B788" s="101">
        <v>9</v>
      </c>
      <c r="C788" s="101">
        <v>0</v>
      </c>
      <c r="D788" s="101">
        <v>-1</v>
      </c>
      <c r="E788" s="101">
        <v>10</v>
      </c>
      <c r="F788" s="101">
        <v>15</v>
      </c>
      <c r="G788" s="101"/>
      <c r="H788" s="101"/>
      <c r="I788" s="102">
        <v>1.1000000000000001</v>
      </c>
      <c r="J788" s="102">
        <v>2.8540000000000001</v>
      </c>
      <c r="K788" s="101">
        <v>10.3</v>
      </c>
      <c r="L788" s="101">
        <v>0.4</v>
      </c>
      <c r="M788" s="101" t="s">
        <v>1004</v>
      </c>
      <c r="N788" s="101">
        <v>2009</v>
      </c>
      <c r="O788" s="101" t="s">
        <v>633</v>
      </c>
      <c r="P788" s="101">
        <v>690693</v>
      </c>
      <c r="Q788" t="s">
        <v>423</v>
      </c>
      <c r="R788" t="s">
        <v>145</v>
      </c>
      <c r="S788"/>
      <c r="T788"/>
      <c r="U788"/>
      <c r="V788" s="220"/>
    </row>
    <row r="789" spans="1:22" x14ac:dyDescent="0.2">
      <c r="A789" t="s">
        <v>205</v>
      </c>
      <c r="B789" s="101">
        <v>13</v>
      </c>
      <c r="C789" s="101">
        <v>6</v>
      </c>
      <c r="D789" s="101">
        <v>1</v>
      </c>
      <c r="E789" s="101">
        <v>-5</v>
      </c>
      <c r="F789" s="101">
        <v>-16</v>
      </c>
      <c r="G789" s="101">
        <v>-42</v>
      </c>
      <c r="H789" s="101">
        <v>-10.3</v>
      </c>
      <c r="I789" s="102">
        <v>1.1100000000000001</v>
      </c>
      <c r="J789" s="102">
        <v>2.9060000000000001</v>
      </c>
      <c r="K789" s="101">
        <v>22.3</v>
      </c>
      <c r="L789" s="101">
        <v>-0.2</v>
      </c>
      <c r="M789" s="101" t="s">
        <v>1004</v>
      </c>
      <c r="N789" s="101">
        <v>2000</v>
      </c>
      <c r="O789" s="101" t="s">
        <v>633</v>
      </c>
      <c r="P789" s="101">
        <v>874271</v>
      </c>
      <c r="Q789" t="s">
        <v>423</v>
      </c>
      <c r="R789" t="s">
        <v>131</v>
      </c>
      <c r="S789"/>
      <c r="T789"/>
      <c r="U789"/>
      <c r="V789" s="220"/>
    </row>
    <row r="790" spans="1:22" x14ac:dyDescent="0.2">
      <c r="A790" t="s">
        <v>972</v>
      </c>
      <c r="B790" s="101">
        <v>-1</v>
      </c>
      <c r="C790" s="101">
        <v>-1</v>
      </c>
      <c r="D790" s="101">
        <v>-4</v>
      </c>
      <c r="E790" s="101"/>
      <c r="F790" s="101"/>
      <c r="G790" s="101"/>
      <c r="H790" s="101"/>
      <c r="I790" s="102">
        <v>1.1100000000000001</v>
      </c>
      <c r="J790" s="102">
        <v>3</v>
      </c>
      <c r="K790" s="101"/>
      <c r="L790" s="101"/>
      <c r="M790" s="101" t="s">
        <v>1001</v>
      </c>
      <c r="N790" s="101">
        <v>2011</v>
      </c>
      <c r="O790" s="101" t="s">
        <v>753</v>
      </c>
      <c r="P790" s="101">
        <v>651141</v>
      </c>
      <c r="Q790" t="s">
        <v>734</v>
      </c>
      <c r="R790" t="s">
        <v>301</v>
      </c>
      <c r="S790"/>
      <c r="T790"/>
      <c r="U790"/>
      <c r="V790" s="220"/>
    </row>
    <row r="791" spans="1:22" x14ac:dyDescent="0.2">
      <c r="A791" t="s">
        <v>973</v>
      </c>
      <c r="B791" s="101">
        <v>1</v>
      </c>
      <c r="C791" s="101">
        <v>0</v>
      </c>
      <c r="D791" s="101">
        <v>-5</v>
      </c>
      <c r="E791" s="101"/>
      <c r="F791" s="101"/>
      <c r="G791" s="101"/>
      <c r="H791" s="101"/>
      <c r="I791" s="102">
        <v>1.1100000000000001</v>
      </c>
      <c r="J791" s="102">
        <v>3</v>
      </c>
      <c r="K791" s="101"/>
      <c r="L791" s="101"/>
      <c r="M791" s="101" t="s">
        <v>1001</v>
      </c>
      <c r="N791" s="101">
        <v>2011</v>
      </c>
      <c r="O791" s="101" t="s">
        <v>753</v>
      </c>
      <c r="P791" s="101">
        <v>686972</v>
      </c>
      <c r="Q791" t="s">
        <v>734</v>
      </c>
      <c r="R791" t="s">
        <v>301</v>
      </c>
      <c r="S791"/>
      <c r="T791"/>
      <c r="U791"/>
      <c r="V791" s="220"/>
    </row>
    <row r="792" spans="1:22" x14ac:dyDescent="0.2">
      <c r="A792" t="s">
        <v>698</v>
      </c>
      <c r="B792" s="101">
        <v>0</v>
      </c>
      <c r="C792" s="101">
        <v>0</v>
      </c>
      <c r="D792" s="101">
        <v>-6</v>
      </c>
      <c r="E792" s="101">
        <v>-3</v>
      </c>
      <c r="F792" s="101">
        <v>-5</v>
      </c>
      <c r="G792" s="101">
        <v>-21</v>
      </c>
      <c r="H792" s="101">
        <v>-4.6000000000000005</v>
      </c>
      <c r="I792" s="102">
        <v>1.1200000000000001</v>
      </c>
      <c r="J792" s="102">
        <v>2.91</v>
      </c>
      <c r="K792" s="101">
        <v>16</v>
      </c>
      <c r="L792" s="101">
        <v>-0.1</v>
      </c>
      <c r="M792" s="101" t="s">
        <v>1004</v>
      </c>
      <c r="N792" s="101">
        <v>2001</v>
      </c>
      <c r="O792" s="101" t="s">
        <v>633</v>
      </c>
      <c r="P792" s="101">
        <v>174672</v>
      </c>
      <c r="Q792" t="s">
        <v>358</v>
      </c>
      <c r="R792" t="s">
        <v>369</v>
      </c>
      <c r="S792"/>
      <c r="T792"/>
      <c r="U792"/>
      <c r="V792" s="220"/>
    </row>
    <row r="793" spans="1:22" x14ac:dyDescent="0.2">
      <c r="A793" t="s">
        <v>61</v>
      </c>
      <c r="B793" s="101">
        <v>14</v>
      </c>
      <c r="C793" s="101">
        <v>5</v>
      </c>
      <c r="D793" s="101">
        <v>2</v>
      </c>
      <c r="E793" s="101">
        <v>14</v>
      </c>
      <c r="F793" s="101">
        <v>18</v>
      </c>
      <c r="G793" s="101">
        <v>-11</v>
      </c>
      <c r="H793" s="101">
        <v>-2.3000000000000003</v>
      </c>
      <c r="I793" s="102">
        <v>1.1300000000000001</v>
      </c>
      <c r="J793" s="102">
        <v>2.952</v>
      </c>
      <c r="K793" s="101">
        <v>11.200000000000001</v>
      </c>
      <c r="L793" s="101">
        <v>0.4</v>
      </c>
      <c r="M793" s="101" t="s">
        <v>1002</v>
      </c>
      <c r="N793" s="101">
        <v>2001</v>
      </c>
      <c r="O793" s="101" t="s">
        <v>633</v>
      </c>
      <c r="P793" s="101">
        <v>309492</v>
      </c>
      <c r="Q793" t="s">
        <v>60</v>
      </c>
      <c r="R793" t="s">
        <v>44</v>
      </c>
      <c r="S793" t="s">
        <v>1024</v>
      </c>
      <c r="T793"/>
      <c r="U793"/>
      <c r="V793" s="220"/>
    </row>
    <row r="794" spans="1:22" x14ac:dyDescent="0.2">
      <c r="A794" t="s">
        <v>751</v>
      </c>
      <c r="B794" s="101">
        <v>14</v>
      </c>
      <c r="C794" s="101">
        <v>9</v>
      </c>
      <c r="D794" s="101">
        <v>4</v>
      </c>
      <c r="E794" s="101">
        <v>-1</v>
      </c>
      <c r="F794" s="101">
        <v>-5</v>
      </c>
      <c r="G794" s="101">
        <v>-36</v>
      </c>
      <c r="H794" s="101">
        <v>-8.5</v>
      </c>
      <c r="I794" s="102">
        <v>1.1300000000000001</v>
      </c>
      <c r="J794" s="102">
        <v>2.95</v>
      </c>
      <c r="K794" s="101">
        <v>20.6</v>
      </c>
      <c r="L794" s="101">
        <v>0</v>
      </c>
      <c r="M794" s="101" t="s">
        <v>1004</v>
      </c>
      <c r="N794" s="101">
        <v>2007</v>
      </c>
      <c r="O794" s="101" t="s">
        <v>633</v>
      </c>
      <c r="P794" s="101">
        <v>780007</v>
      </c>
      <c r="Q794" t="s">
        <v>358</v>
      </c>
      <c r="R794" t="s">
        <v>131</v>
      </c>
      <c r="S794"/>
      <c r="T794"/>
      <c r="U794"/>
      <c r="V794" s="220"/>
    </row>
    <row r="795" spans="1:22" x14ac:dyDescent="0.2">
      <c r="A795" t="s">
        <v>999</v>
      </c>
      <c r="B795" s="101">
        <v>18</v>
      </c>
      <c r="C795" s="101">
        <v>13</v>
      </c>
      <c r="D795" s="101">
        <v>6</v>
      </c>
      <c r="E795" s="101">
        <v>22</v>
      </c>
      <c r="F795" s="101"/>
      <c r="G795" s="101"/>
      <c r="H795" s="101"/>
      <c r="I795" s="102">
        <v>1.1300000000000001</v>
      </c>
      <c r="J795" s="102">
        <v>2.96</v>
      </c>
      <c r="K795" s="101"/>
      <c r="L795" s="101"/>
      <c r="M795" s="101" t="s">
        <v>1001</v>
      </c>
      <c r="N795" s="101">
        <v>2012</v>
      </c>
      <c r="O795" s="101" t="s">
        <v>753</v>
      </c>
      <c r="P795" s="101">
        <v>815712</v>
      </c>
      <c r="Q795" t="s">
        <v>446</v>
      </c>
      <c r="R795" t="s">
        <v>270</v>
      </c>
      <c r="S795" t="s">
        <v>1024</v>
      </c>
      <c r="T795"/>
      <c r="U795"/>
      <c r="V795" s="220"/>
    </row>
    <row r="796" spans="1:22" x14ac:dyDescent="0.2">
      <c r="A796" t="s">
        <v>801</v>
      </c>
      <c r="B796" s="101">
        <v>8</v>
      </c>
      <c r="C796" s="101">
        <v>2</v>
      </c>
      <c r="D796" s="101">
        <v>-1</v>
      </c>
      <c r="E796" s="101">
        <v>6</v>
      </c>
      <c r="F796" s="101">
        <v>7</v>
      </c>
      <c r="G796" s="101">
        <v>-29</v>
      </c>
      <c r="H796" s="101">
        <v>-6.7</v>
      </c>
      <c r="I796" s="102">
        <v>1.1400000000000001</v>
      </c>
      <c r="J796" s="102">
        <v>2.98</v>
      </c>
      <c r="K796" s="101">
        <v>13</v>
      </c>
      <c r="L796" s="101">
        <v>0.1</v>
      </c>
      <c r="M796" s="101" t="s">
        <v>1004</v>
      </c>
      <c r="N796" s="101">
        <v>2001</v>
      </c>
      <c r="O796" s="101" t="s">
        <v>633</v>
      </c>
      <c r="P796" s="101">
        <v>317990</v>
      </c>
      <c r="Q796" t="s">
        <v>358</v>
      </c>
      <c r="R796" t="s">
        <v>161</v>
      </c>
      <c r="S796"/>
      <c r="T796"/>
      <c r="U796"/>
      <c r="V796" s="220"/>
    </row>
    <row r="797" spans="1:22" x14ac:dyDescent="0.2">
      <c r="A797" t="s">
        <v>72</v>
      </c>
      <c r="B797" s="101">
        <v>6</v>
      </c>
      <c r="C797" s="101">
        <v>2</v>
      </c>
      <c r="D797" s="101">
        <v>-1</v>
      </c>
      <c r="E797" s="101">
        <v>6</v>
      </c>
      <c r="F797" s="101">
        <v>4</v>
      </c>
      <c r="G797" s="101">
        <v>-18</v>
      </c>
      <c r="H797" s="101">
        <v>-4</v>
      </c>
      <c r="I797" s="102">
        <v>1.1400000000000001</v>
      </c>
      <c r="J797" s="102">
        <v>3.1</v>
      </c>
      <c r="K797" s="101">
        <v>8.8000000000000007</v>
      </c>
      <c r="L797" s="101">
        <v>0</v>
      </c>
      <c r="M797" s="101" t="s">
        <v>1002</v>
      </c>
      <c r="N797" s="101">
        <v>2008</v>
      </c>
      <c r="O797" s="101" t="s">
        <v>633</v>
      </c>
      <c r="P797" s="101">
        <v>216408</v>
      </c>
      <c r="Q797" t="s">
        <v>58</v>
      </c>
      <c r="R797" t="s">
        <v>145</v>
      </c>
      <c r="S797"/>
      <c r="T797"/>
      <c r="U797"/>
      <c r="V797" s="220"/>
    </row>
    <row r="798" spans="1:22" x14ac:dyDescent="0.2">
      <c r="A798" t="s">
        <v>1092</v>
      </c>
      <c r="B798" s="101"/>
      <c r="C798" s="101"/>
      <c r="D798" s="101"/>
      <c r="E798" s="101"/>
      <c r="F798" s="101"/>
      <c r="G798" s="101"/>
      <c r="H798" s="101"/>
      <c r="I798" s="102">
        <v>1.1500000000000001</v>
      </c>
      <c r="J798" s="102">
        <v>3</v>
      </c>
      <c r="K798" s="101"/>
      <c r="L798" s="101"/>
      <c r="M798" s="101" t="s">
        <v>1001</v>
      </c>
      <c r="N798" s="101">
        <v>2012</v>
      </c>
      <c r="O798" s="101" t="s">
        <v>753</v>
      </c>
      <c r="P798" s="101">
        <v>333518</v>
      </c>
      <c r="Q798" t="s">
        <v>13</v>
      </c>
      <c r="R798" t="s">
        <v>301</v>
      </c>
      <c r="S798"/>
      <c r="T798"/>
      <c r="U798"/>
      <c r="V798" s="220"/>
    </row>
    <row r="799" spans="1:22" x14ac:dyDescent="0.2">
      <c r="A799" t="s">
        <v>22</v>
      </c>
      <c r="B799" s="101">
        <v>1</v>
      </c>
      <c r="C799" s="101">
        <v>2</v>
      </c>
      <c r="D799" s="101">
        <v>-6</v>
      </c>
      <c r="E799" s="101">
        <v>-1</v>
      </c>
      <c r="F799" s="101">
        <v>-7</v>
      </c>
      <c r="G799" s="101">
        <v>-36</v>
      </c>
      <c r="H799" s="101">
        <v>-8.5</v>
      </c>
      <c r="I799" s="102">
        <v>1.1500000000000001</v>
      </c>
      <c r="J799" s="102">
        <v>3.0140000000000002</v>
      </c>
      <c r="K799" s="101">
        <v>14.700000000000001</v>
      </c>
      <c r="L799" s="101">
        <v>-0.2</v>
      </c>
      <c r="M799" s="101" t="s">
        <v>1004</v>
      </c>
      <c r="N799" s="101">
        <v>2000</v>
      </c>
      <c r="O799" s="101" t="s">
        <v>633</v>
      </c>
      <c r="P799" s="101">
        <v>404236</v>
      </c>
      <c r="Q799" t="s">
        <v>423</v>
      </c>
      <c r="R799" t="s">
        <v>161</v>
      </c>
      <c r="S799"/>
      <c r="T799"/>
      <c r="U799"/>
      <c r="V799" s="220"/>
    </row>
    <row r="800" spans="1:22" x14ac:dyDescent="0.2">
      <c r="A800" t="s">
        <v>888</v>
      </c>
      <c r="B800" s="101">
        <v>10</v>
      </c>
      <c r="C800" s="101">
        <v>3</v>
      </c>
      <c r="D800" s="101">
        <v>-1</v>
      </c>
      <c r="E800" s="101">
        <v>7</v>
      </c>
      <c r="F800" s="101">
        <v>3</v>
      </c>
      <c r="G800" s="101">
        <v>-35</v>
      </c>
      <c r="H800" s="101">
        <v>-8.3000000000000007</v>
      </c>
      <c r="I800" s="102">
        <v>1.17</v>
      </c>
      <c r="J800" s="102">
        <v>3.0500000000000003</v>
      </c>
      <c r="K800" s="101">
        <v>15.4</v>
      </c>
      <c r="L800" s="101">
        <v>0</v>
      </c>
      <c r="M800" s="101" t="s">
        <v>1002</v>
      </c>
      <c r="N800" s="101">
        <v>2001</v>
      </c>
      <c r="O800" s="101" t="s">
        <v>633</v>
      </c>
      <c r="P800" s="101">
        <v>353821</v>
      </c>
      <c r="Q800" t="s">
        <v>358</v>
      </c>
      <c r="R800" t="s">
        <v>208</v>
      </c>
      <c r="S800"/>
      <c r="T800"/>
      <c r="U800"/>
      <c r="V800" s="220"/>
    </row>
    <row r="801" spans="1:22" x14ac:dyDescent="0.2">
      <c r="A801" t="s">
        <v>605</v>
      </c>
      <c r="B801" s="101">
        <v>4</v>
      </c>
      <c r="C801" s="101">
        <v>2</v>
      </c>
      <c r="D801" s="101">
        <v>-1</v>
      </c>
      <c r="E801" s="101">
        <v>4</v>
      </c>
      <c r="F801" s="101">
        <v>0</v>
      </c>
      <c r="G801" s="101">
        <v>-10</v>
      </c>
      <c r="H801" s="101">
        <v>-2.1</v>
      </c>
      <c r="I801" s="102">
        <v>1.17</v>
      </c>
      <c r="J801" s="102">
        <v>3.19</v>
      </c>
      <c r="K801" s="101">
        <v>6.6000000000000005</v>
      </c>
      <c r="L801" s="101">
        <v>-0.2</v>
      </c>
      <c r="M801" s="101" t="s">
        <v>1002</v>
      </c>
      <c r="N801" s="101">
        <v>2008</v>
      </c>
      <c r="O801" s="101" t="s">
        <v>633</v>
      </c>
      <c r="P801" s="101">
        <v>323899</v>
      </c>
      <c r="Q801" t="s">
        <v>58</v>
      </c>
      <c r="R801" t="s">
        <v>301</v>
      </c>
      <c r="S801"/>
      <c r="T801"/>
      <c r="U801"/>
      <c r="V801" s="220"/>
    </row>
    <row r="802" spans="1:22" x14ac:dyDescent="0.2">
      <c r="A802" t="s">
        <v>207</v>
      </c>
      <c r="B802" s="101">
        <v>11</v>
      </c>
      <c r="C802" s="101">
        <v>2</v>
      </c>
      <c r="D802" s="101">
        <v>-2</v>
      </c>
      <c r="E802" s="101">
        <v>1</v>
      </c>
      <c r="F802" s="101">
        <v>-4</v>
      </c>
      <c r="G802" s="101">
        <v>-38</v>
      </c>
      <c r="H802" s="101">
        <v>-9.2000000000000011</v>
      </c>
      <c r="I802" s="102">
        <v>1.17</v>
      </c>
      <c r="J802" s="102">
        <v>3.0630000000000002</v>
      </c>
      <c r="K802" s="101">
        <v>23</v>
      </c>
      <c r="L802" s="101">
        <v>0</v>
      </c>
      <c r="M802" s="101" t="s">
        <v>1002</v>
      </c>
      <c r="N802" s="101">
        <v>2000</v>
      </c>
      <c r="O802" s="101" t="s">
        <v>633</v>
      </c>
      <c r="P802" s="101">
        <v>368407</v>
      </c>
      <c r="Q802" t="s">
        <v>423</v>
      </c>
      <c r="R802" t="s">
        <v>208</v>
      </c>
      <c r="S802"/>
      <c r="T802"/>
      <c r="U802"/>
      <c r="V802" s="220"/>
    </row>
    <row r="803" spans="1:22" x14ac:dyDescent="0.2">
      <c r="A803" t="s">
        <v>533</v>
      </c>
      <c r="B803" s="101">
        <v>3</v>
      </c>
      <c r="C803" s="101">
        <v>0</v>
      </c>
      <c r="D803" s="101">
        <v>0</v>
      </c>
      <c r="E803" s="101">
        <v>-4</v>
      </c>
      <c r="F803" s="101"/>
      <c r="G803" s="101"/>
      <c r="H803" s="101"/>
      <c r="I803" s="102">
        <v>1.19</v>
      </c>
      <c r="J803" s="102">
        <v>1.2</v>
      </c>
      <c r="K803" s="101"/>
      <c r="L803" s="101"/>
      <c r="M803" s="101" t="s">
        <v>1001</v>
      </c>
      <c r="N803" s="101">
        <v>2010</v>
      </c>
      <c r="O803" s="101" t="s">
        <v>753</v>
      </c>
      <c r="P803" s="101">
        <v>626291</v>
      </c>
      <c r="Q803" t="s">
        <v>734</v>
      </c>
      <c r="R803" t="s">
        <v>292</v>
      </c>
      <c r="S803"/>
      <c r="T803"/>
      <c r="U803"/>
      <c r="V803" s="220"/>
    </row>
    <row r="804" spans="1:22" x14ac:dyDescent="0.2">
      <c r="A804" t="s">
        <v>534</v>
      </c>
      <c r="B804" s="101">
        <v>1</v>
      </c>
      <c r="C804" s="101">
        <v>0</v>
      </c>
      <c r="D804" s="101">
        <v>-10</v>
      </c>
      <c r="E804" s="101">
        <v>-3</v>
      </c>
      <c r="F804" s="101"/>
      <c r="G804" s="101"/>
      <c r="H804" s="101"/>
      <c r="I804" s="102">
        <v>1.21</v>
      </c>
      <c r="J804" s="102">
        <v>3.19</v>
      </c>
      <c r="K804" s="101"/>
      <c r="L804" s="101"/>
      <c r="M804" s="101" t="s">
        <v>1002</v>
      </c>
      <c r="N804" s="101">
        <v>2011</v>
      </c>
      <c r="O804" s="101" t="s">
        <v>633</v>
      </c>
      <c r="P804" s="101">
        <v>174433</v>
      </c>
      <c r="Q804" t="s">
        <v>397</v>
      </c>
      <c r="R804" t="s">
        <v>368</v>
      </c>
      <c r="S804"/>
      <c r="T804"/>
      <c r="U804"/>
      <c r="V804" s="220"/>
    </row>
    <row r="805" spans="1:22" x14ac:dyDescent="0.2">
      <c r="A805" t="s">
        <v>1042</v>
      </c>
      <c r="B805" s="101"/>
      <c r="C805" s="101">
        <v>0</v>
      </c>
      <c r="D805" s="101"/>
      <c r="E805" s="101"/>
      <c r="F805" s="101"/>
      <c r="G805" s="101"/>
      <c r="H805" s="101"/>
      <c r="I805" s="102">
        <v>1.22</v>
      </c>
      <c r="J805" s="102">
        <v>3.2</v>
      </c>
      <c r="K805" s="101"/>
      <c r="L805" s="101"/>
      <c r="M805" s="101" t="s">
        <v>1001</v>
      </c>
      <c r="N805" s="101">
        <v>2012</v>
      </c>
      <c r="O805" s="101" t="s">
        <v>633</v>
      </c>
      <c r="P805" s="101">
        <v>997288</v>
      </c>
      <c r="Q805" t="s">
        <v>1043</v>
      </c>
      <c r="R805" t="s">
        <v>301</v>
      </c>
      <c r="S805"/>
      <c r="T805"/>
      <c r="U805"/>
      <c r="V805" s="220"/>
    </row>
    <row r="806" spans="1:22" x14ac:dyDescent="0.2">
      <c r="A806" t="s">
        <v>1044</v>
      </c>
      <c r="B806" s="101"/>
      <c r="C806" s="101">
        <v>2</v>
      </c>
      <c r="D806" s="101"/>
      <c r="E806" s="101"/>
      <c r="F806" s="101"/>
      <c r="G806" s="101"/>
      <c r="H806" s="101"/>
      <c r="I806" s="102">
        <v>1.22</v>
      </c>
      <c r="J806" s="102">
        <v>3.2</v>
      </c>
      <c r="K806" s="101"/>
      <c r="L806" s="101"/>
      <c r="M806" s="101" t="s">
        <v>1001</v>
      </c>
      <c r="N806" s="101">
        <v>2012</v>
      </c>
      <c r="O806" s="101" t="s">
        <v>633</v>
      </c>
      <c r="P806" s="101">
        <v>961458</v>
      </c>
      <c r="Q806" t="s">
        <v>1043</v>
      </c>
      <c r="R806" t="s">
        <v>145</v>
      </c>
      <c r="S806"/>
      <c r="T806"/>
      <c r="U806"/>
      <c r="V806" s="220"/>
    </row>
    <row r="807" spans="1:22" x14ac:dyDescent="0.2">
      <c r="A807" t="s">
        <v>136</v>
      </c>
      <c r="B807" s="101">
        <v>12</v>
      </c>
      <c r="C807" s="101">
        <v>8</v>
      </c>
      <c r="D807" s="101">
        <v>2</v>
      </c>
      <c r="E807" s="101">
        <v>-6</v>
      </c>
      <c r="F807" s="101">
        <v>-12</v>
      </c>
      <c r="G807" s="101">
        <v>-40</v>
      </c>
      <c r="H807" s="101">
        <v>-9.8000000000000007</v>
      </c>
      <c r="I807" s="102">
        <v>1.25</v>
      </c>
      <c r="J807" s="102">
        <v>3.304983</v>
      </c>
      <c r="K807" s="101">
        <v>21.400000000000002</v>
      </c>
      <c r="L807" s="101">
        <v>-0.2</v>
      </c>
      <c r="M807" s="101" t="s">
        <v>1002</v>
      </c>
      <c r="N807" s="101">
        <v>2003</v>
      </c>
      <c r="O807" s="101" t="s">
        <v>633</v>
      </c>
      <c r="P807" s="101">
        <v>220186</v>
      </c>
      <c r="Q807" t="s">
        <v>449</v>
      </c>
      <c r="R807" t="s">
        <v>131</v>
      </c>
      <c r="S807"/>
      <c r="T807"/>
      <c r="U807"/>
      <c r="V807" s="220"/>
    </row>
    <row r="808" spans="1:22" x14ac:dyDescent="0.2">
      <c r="A808" t="s">
        <v>214</v>
      </c>
      <c r="B808" s="101">
        <v>-5</v>
      </c>
      <c r="C808" s="101">
        <v>2</v>
      </c>
      <c r="D808" s="101">
        <v>-14</v>
      </c>
      <c r="E808" s="101">
        <v>-12</v>
      </c>
      <c r="F808" s="101">
        <v>-10</v>
      </c>
      <c r="G808" s="101">
        <v>-29</v>
      </c>
      <c r="H808" s="101">
        <v>-6.7</v>
      </c>
      <c r="I808" s="102">
        <v>1.25</v>
      </c>
      <c r="J808" s="102">
        <v>3.3019810000000001</v>
      </c>
      <c r="K808" s="101">
        <v>25.900000000000002</v>
      </c>
      <c r="L808" s="101">
        <v>-0.1</v>
      </c>
      <c r="M808" s="101" t="s">
        <v>1002</v>
      </c>
      <c r="N808" s="101">
        <v>2002</v>
      </c>
      <c r="O808" s="101" t="s">
        <v>633</v>
      </c>
      <c r="P808" s="101">
        <v>396325</v>
      </c>
      <c r="Q808" t="s">
        <v>449</v>
      </c>
      <c r="R808" t="s">
        <v>368</v>
      </c>
      <c r="S808"/>
      <c r="T808"/>
      <c r="U808"/>
      <c r="V808" s="220"/>
    </row>
    <row r="809" spans="1:22" x14ac:dyDescent="0.2">
      <c r="A809" t="s">
        <v>240</v>
      </c>
      <c r="B809" s="101">
        <v>-8</v>
      </c>
      <c r="C809" s="101">
        <v>2</v>
      </c>
      <c r="D809" s="101">
        <v>-10</v>
      </c>
      <c r="E809" s="101">
        <v>-10</v>
      </c>
      <c r="F809" s="101">
        <v>-15</v>
      </c>
      <c r="G809" s="101">
        <v>-25</v>
      </c>
      <c r="H809" s="101">
        <v>-5.5</v>
      </c>
      <c r="I809" s="102">
        <v>1.25</v>
      </c>
      <c r="J809" s="102">
        <v>3.3030709999999996</v>
      </c>
      <c r="K809" s="101">
        <v>18.400000000000002</v>
      </c>
      <c r="L809" s="101">
        <v>-0.3</v>
      </c>
      <c r="M809" s="101" t="s">
        <v>1002</v>
      </c>
      <c r="N809" s="101">
        <v>2005</v>
      </c>
      <c r="O809" s="101" t="s">
        <v>633</v>
      </c>
      <c r="P809" s="101">
        <v>135129</v>
      </c>
      <c r="Q809" t="s">
        <v>449</v>
      </c>
      <c r="R809" t="s">
        <v>239</v>
      </c>
      <c r="S809"/>
      <c r="T809"/>
      <c r="U809"/>
      <c r="V809" s="220"/>
    </row>
    <row r="810" spans="1:22" x14ac:dyDescent="0.2">
      <c r="A810" t="s">
        <v>775</v>
      </c>
      <c r="B810" s="101">
        <v>5</v>
      </c>
      <c r="C810" s="101">
        <v>6</v>
      </c>
      <c r="D810" s="101">
        <v>-4</v>
      </c>
      <c r="E810" s="101">
        <v>-2</v>
      </c>
      <c r="F810" s="101">
        <v>-12</v>
      </c>
      <c r="G810" s="101">
        <v>-38</v>
      </c>
      <c r="H810" s="101">
        <v>-9</v>
      </c>
      <c r="I810" s="102">
        <v>1.25</v>
      </c>
      <c r="J810" s="102">
        <v>3.3066169999999997</v>
      </c>
      <c r="K810" s="101">
        <v>17.900000000000002</v>
      </c>
      <c r="L810" s="101">
        <v>-0.2</v>
      </c>
      <c r="M810" s="101" t="s">
        <v>1002</v>
      </c>
      <c r="N810" s="101">
        <v>2007</v>
      </c>
      <c r="O810" s="101" t="s">
        <v>633</v>
      </c>
      <c r="P810" s="101">
        <v>670091</v>
      </c>
      <c r="Q810" t="s">
        <v>449</v>
      </c>
      <c r="R810" t="s">
        <v>161</v>
      </c>
      <c r="S810"/>
      <c r="T810"/>
      <c r="U810"/>
      <c r="V810" s="220"/>
    </row>
    <row r="811" spans="1:22" x14ac:dyDescent="0.2">
      <c r="A811" t="s">
        <v>137</v>
      </c>
      <c r="B811" s="101">
        <v>8</v>
      </c>
      <c r="C811" s="101">
        <v>10</v>
      </c>
      <c r="D811" s="101">
        <v>-2</v>
      </c>
      <c r="E811" s="101">
        <v>6</v>
      </c>
      <c r="F811" s="101">
        <v>-19</v>
      </c>
      <c r="G811" s="101">
        <v>-52</v>
      </c>
      <c r="H811" s="101">
        <v>-13.5</v>
      </c>
      <c r="I811" s="102">
        <v>1.26</v>
      </c>
      <c r="J811" s="102">
        <v>3.3084709999999999</v>
      </c>
      <c r="K811" s="101">
        <v>18.600000000000001</v>
      </c>
      <c r="L811" s="101">
        <v>-0.4</v>
      </c>
      <c r="M811" s="101" t="s">
        <v>1002</v>
      </c>
      <c r="N811" s="101">
        <v>2002</v>
      </c>
      <c r="O811" s="101" t="s">
        <v>633</v>
      </c>
      <c r="P811" s="101">
        <v>118182</v>
      </c>
      <c r="Q811" t="s">
        <v>449</v>
      </c>
      <c r="R811" t="s">
        <v>367</v>
      </c>
      <c r="S811"/>
      <c r="T811"/>
      <c r="U811"/>
      <c r="V811" s="220"/>
    </row>
    <row r="812" spans="1:22" x14ac:dyDescent="0.2">
      <c r="A812" t="s">
        <v>211</v>
      </c>
      <c r="B812" s="101">
        <v>17</v>
      </c>
      <c r="C812" s="101">
        <v>12</v>
      </c>
      <c r="D812" s="101">
        <v>6</v>
      </c>
      <c r="E812" s="101">
        <v>4</v>
      </c>
      <c r="F812" s="101">
        <v>-13</v>
      </c>
      <c r="G812" s="101">
        <v>-47</v>
      </c>
      <c r="H812" s="101">
        <v>-11.9</v>
      </c>
      <c r="I812" s="102">
        <v>1.26</v>
      </c>
      <c r="J812" s="102">
        <v>3.3210389999999999</v>
      </c>
      <c r="K812" s="101">
        <v>21.3</v>
      </c>
      <c r="L812" s="101">
        <v>-0.2</v>
      </c>
      <c r="M812" s="101" t="s">
        <v>1002</v>
      </c>
      <c r="N812" s="101">
        <v>2005</v>
      </c>
      <c r="O812" s="101" t="s">
        <v>633</v>
      </c>
      <c r="P812" s="101">
        <v>999292</v>
      </c>
      <c r="Q812" t="s">
        <v>449</v>
      </c>
      <c r="R812" t="s">
        <v>208</v>
      </c>
      <c r="S812"/>
      <c r="T812"/>
      <c r="U812"/>
      <c r="V812" s="220"/>
    </row>
    <row r="813" spans="1:22" x14ac:dyDescent="0.2">
      <c r="A813" t="s">
        <v>998</v>
      </c>
      <c r="B813" s="101">
        <v>-10</v>
      </c>
      <c r="C813" s="101">
        <v>4</v>
      </c>
      <c r="D813" s="101">
        <v>-11</v>
      </c>
      <c r="E813" s="101">
        <v>-21</v>
      </c>
      <c r="F813" s="101">
        <v>-40</v>
      </c>
      <c r="G813" s="101"/>
      <c r="H813" s="101"/>
      <c r="I813" s="102">
        <v>1.26</v>
      </c>
      <c r="J813" s="102">
        <v>3.69</v>
      </c>
      <c r="K813" s="101">
        <v>18.900000000000002</v>
      </c>
      <c r="L813" s="101">
        <v>-0.9</v>
      </c>
      <c r="M813" s="101" t="s">
        <v>1002</v>
      </c>
      <c r="N813" s="101">
        <v>2011</v>
      </c>
      <c r="O813" s="101" t="s">
        <v>633</v>
      </c>
      <c r="P813" s="101">
        <v>490235</v>
      </c>
      <c r="Q813" t="s">
        <v>467</v>
      </c>
      <c r="R813" t="s">
        <v>208</v>
      </c>
      <c r="S813" t="s">
        <v>1024</v>
      </c>
    </row>
    <row r="814" spans="1:22" x14ac:dyDescent="0.2">
      <c r="A814" t="s">
        <v>692</v>
      </c>
      <c r="B814" s="101">
        <v>11</v>
      </c>
      <c r="C814" s="101">
        <v>4</v>
      </c>
      <c r="D814" s="101">
        <v>2</v>
      </c>
      <c r="E814" s="101">
        <v>8</v>
      </c>
      <c r="F814" s="101">
        <v>20</v>
      </c>
      <c r="G814" s="101">
        <v>-7</v>
      </c>
      <c r="H814" s="101">
        <v>-1.4000000000000001</v>
      </c>
      <c r="I814" s="102">
        <v>1.27</v>
      </c>
      <c r="J814" s="102">
        <v>3.48</v>
      </c>
      <c r="K814" s="101">
        <v>12</v>
      </c>
      <c r="L814" s="101">
        <v>0.4</v>
      </c>
      <c r="M814" s="101" t="s">
        <v>1004</v>
      </c>
      <c r="N814" s="101">
        <v>2006</v>
      </c>
      <c r="O814" s="101" t="s">
        <v>633</v>
      </c>
      <c r="P814" s="101">
        <v>683490</v>
      </c>
      <c r="Q814" t="s">
        <v>58</v>
      </c>
      <c r="R814" t="s">
        <v>131</v>
      </c>
      <c r="S814"/>
    </row>
    <row r="815" spans="1:22" x14ac:dyDescent="0.2">
      <c r="A815" t="s">
        <v>485</v>
      </c>
      <c r="B815" s="101">
        <v>7</v>
      </c>
      <c r="C815" s="101">
        <v>2</v>
      </c>
      <c r="D815" s="101">
        <v>-3</v>
      </c>
      <c r="E815" s="101">
        <v>5</v>
      </c>
      <c r="F815" s="101">
        <v>-7</v>
      </c>
      <c r="G815" s="101"/>
      <c r="H815" s="101"/>
      <c r="I815" s="102">
        <v>1.31</v>
      </c>
      <c r="J815" s="102">
        <v>3.4642239999999997</v>
      </c>
      <c r="K815" s="101">
        <v>10.700000000000001</v>
      </c>
      <c r="L815" s="101">
        <v>-0.3</v>
      </c>
      <c r="M815" s="101" t="s">
        <v>1002</v>
      </c>
      <c r="N815" s="101">
        <v>2008</v>
      </c>
      <c r="O815" s="101" t="s">
        <v>633</v>
      </c>
      <c r="P815" s="101">
        <v>639690</v>
      </c>
      <c r="Q815" t="s">
        <v>60</v>
      </c>
      <c r="R815" t="s">
        <v>279</v>
      </c>
      <c r="S815" t="s">
        <v>1024</v>
      </c>
    </row>
    <row r="816" spans="1:22" x14ac:dyDescent="0.2">
      <c r="A816" t="s">
        <v>435</v>
      </c>
      <c r="B816" s="101">
        <v>-6</v>
      </c>
      <c r="C816" s="101">
        <v>0</v>
      </c>
      <c r="D816" s="101">
        <v>-4</v>
      </c>
      <c r="E816" s="101">
        <v>-1</v>
      </c>
      <c r="F816" s="101">
        <v>-21</v>
      </c>
      <c r="G816" s="101"/>
      <c r="H816" s="101"/>
      <c r="I816" s="102">
        <v>1.33</v>
      </c>
      <c r="J816" s="102">
        <v>3.5356349999999996</v>
      </c>
      <c r="K816" s="101">
        <v>9.6</v>
      </c>
      <c r="L816" s="101">
        <v>-0.9</v>
      </c>
      <c r="M816" s="101" t="s">
        <v>1001</v>
      </c>
      <c r="N816" s="101">
        <v>2009</v>
      </c>
      <c r="O816" s="101" t="s">
        <v>633</v>
      </c>
      <c r="P816" s="101">
        <v>688861</v>
      </c>
      <c r="Q816" t="s">
        <v>878</v>
      </c>
      <c r="R816" t="s">
        <v>301</v>
      </c>
      <c r="S816"/>
    </row>
    <row r="817" spans="1:19" x14ac:dyDescent="0.2">
      <c r="A817" t="s">
        <v>1134</v>
      </c>
      <c r="B817" s="101">
        <v>13</v>
      </c>
      <c r="C817" s="101">
        <v>5</v>
      </c>
      <c r="D817" s="101">
        <v>0</v>
      </c>
      <c r="E817" s="101">
        <v>9</v>
      </c>
      <c r="F817" s="101"/>
      <c r="G817" s="101"/>
      <c r="H817" s="101"/>
      <c r="I817" s="102">
        <v>1.41</v>
      </c>
      <c r="J817" s="102">
        <v>1.5888769999999999</v>
      </c>
      <c r="K817" s="101"/>
      <c r="L817" s="101"/>
      <c r="M817" s="101" t="s">
        <v>1001</v>
      </c>
      <c r="N817" s="101">
        <v>2011</v>
      </c>
      <c r="O817" s="101" t="s">
        <v>753</v>
      </c>
      <c r="P817" s="101">
        <v>357830</v>
      </c>
      <c r="Q817" t="s">
        <v>13</v>
      </c>
      <c r="R817" t="s">
        <v>131</v>
      </c>
      <c r="S817"/>
    </row>
    <row r="818" spans="1:19" x14ac:dyDescent="0.2">
      <c r="A818" t="s">
        <v>19</v>
      </c>
      <c r="B818" s="101">
        <v>-5</v>
      </c>
      <c r="C818" s="101">
        <v>1</v>
      </c>
      <c r="D818" s="101">
        <v>-15</v>
      </c>
      <c r="E818" s="101">
        <v>-8</v>
      </c>
      <c r="F818" s="101"/>
      <c r="G818" s="101"/>
      <c r="H818" s="101"/>
      <c r="I818" s="102">
        <v>1.83</v>
      </c>
      <c r="J818" s="102">
        <v>2.0489549999999999</v>
      </c>
      <c r="K818" s="101"/>
      <c r="L818" s="101"/>
      <c r="M818" s="101" t="s">
        <v>1001</v>
      </c>
      <c r="N818" s="101">
        <v>2010</v>
      </c>
      <c r="O818" s="101" t="s">
        <v>753</v>
      </c>
      <c r="P818" s="101">
        <v>293498</v>
      </c>
      <c r="Q818" t="s">
        <v>1128</v>
      </c>
      <c r="R818" t="s">
        <v>131</v>
      </c>
      <c r="S818"/>
    </row>
    <row r="819" spans="1:19" x14ac:dyDescent="0.2">
      <c r="A819" t="s">
        <v>450</v>
      </c>
      <c r="B819" s="101">
        <v>4</v>
      </c>
      <c r="C819" s="101">
        <v>-1</v>
      </c>
      <c r="D819" s="101">
        <v>-4</v>
      </c>
      <c r="E819" s="101">
        <v>6</v>
      </c>
      <c r="F819" s="101"/>
      <c r="G819" s="101"/>
      <c r="H819" s="101"/>
      <c r="I819" s="102">
        <v>3.62</v>
      </c>
      <c r="J819" s="102">
        <v>2.2611719999999997</v>
      </c>
      <c r="K819" s="101"/>
      <c r="L819" s="101"/>
      <c r="M819" s="101" t="s">
        <v>1001</v>
      </c>
      <c r="N819" s="101">
        <v>2011</v>
      </c>
      <c r="O819" s="101" t="s">
        <v>753</v>
      </c>
      <c r="P819" s="101">
        <v>456236</v>
      </c>
      <c r="Q819" t="s">
        <v>1128</v>
      </c>
      <c r="R819" t="s">
        <v>279</v>
      </c>
      <c r="S819"/>
    </row>
    <row r="820" spans="1:19" x14ac:dyDescent="0.2">
      <c r="A820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/>
      <c r="R820"/>
      <c r="S820"/>
    </row>
    <row r="821" spans="1:19" x14ac:dyDescent="0.2">
      <c r="A82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/>
      <c r="R821"/>
      <c r="S821"/>
    </row>
    <row r="822" spans="1:19" x14ac:dyDescent="0.2">
      <c r="A822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/>
      <c r="R822"/>
      <c r="S822"/>
    </row>
    <row r="823" spans="1:19" x14ac:dyDescent="0.2">
      <c r="A823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/>
      <c r="R823"/>
      <c r="S823"/>
    </row>
    <row r="824" spans="1:19" x14ac:dyDescent="0.2">
      <c r="A824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/>
      <c r="R824"/>
      <c r="S824"/>
    </row>
    <row r="825" spans="1:19" x14ac:dyDescent="0.2">
      <c r="A825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/>
      <c r="R825"/>
      <c r="S825"/>
    </row>
    <row r="826" spans="1:19" x14ac:dyDescent="0.2">
      <c r="A826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/>
      <c r="R826"/>
      <c r="S826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 s="248"/>
      <c r="B887" s="83"/>
      <c r="C887" s="83"/>
      <c r="D887" s="83"/>
      <c r="E887" s="83"/>
      <c r="F887" s="83"/>
      <c r="H887" s="65"/>
      <c r="I887" s="64"/>
      <c r="J887" s="64"/>
      <c r="K887" s="65"/>
      <c r="M887" s="65"/>
      <c r="N887" s="50"/>
    </row>
    <row r="888" spans="1:19" x14ac:dyDescent="0.2">
      <c r="A888" s="248"/>
      <c r="B888" s="83"/>
      <c r="C888" s="83"/>
      <c r="D888" s="83"/>
      <c r="E888" s="83"/>
      <c r="F888" s="83"/>
      <c r="G888" s="50"/>
      <c r="I888" s="64"/>
      <c r="J888" s="64"/>
      <c r="K888" s="65"/>
      <c r="M888" s="65"/>
      <c r="N888" s="50"/>
    </row>
    <row r="889" spans="1:19" x14ac:dyDescent="0.2">
      <c r="A889" s="248"/>
      <c r="B889" s="83"/>
      <c r="C889" s="83"/>
      <c r="D889" s="83"/>
      <c r="E889" s="83"/>
      <c r="F889" s="83"/>
      <c r="G889" s="50"/>
      <c r="I889" s="64"/>
      <c r="J889" s="64"/>
      <c r="K889" s="65"/>
      <c r="M889" s="65"/>
      <c r="N889" s="50"/>
    </row>
    <row r="890" spans="1:19" x14ac:dyDescent="0.2">
      <c r="A890" s="248"/>
      <c r="B890" s="83"/>
      <c r="C890" s="83"/>
      <c r="D890" s="83"/>
      <c r="E890" s="83"/>
      <c r="F890" s="83"/>
      <c r="G890" s="50"/>
      <c r="H890" s="65"/>
      <c r="I890" s="65"/>
      <c r="J890" s="65"/>
      <c r="K890" s="65"/>
    </row>
    <row r="891" spans="1:19" x14ac:dyDescent="0.2">
      <c r="A891" s="248"/>
      <c r="B891" s="83"/>
      <c r="C891" s="83"/>
      <c r="D891" s="83"/>
      <c r="E891" s="83"/>
      <c r="F891" s="83"/>
      <c r="G891" s="50"/>
      <c r="H891" s="65"/>
      <c r="I891" s="65"/>
      <c r="J891" s="65"/>
      <c r="K891" s="65"/>
    </row>
    <row r="892" spans="1:19" x14ac:dyDescent="0.2">
      <c r="A892" s="248"/>
      <c r="B892" s="83"/>
      <c r="C892" s="83"/>
      <c r="D892" s="83"/>
      <c r="E892" s="83"/>
      <c r="F892" s="83"/>
      <c r="G892" s="50"/>
      <c r="H892" s="65"/>
      <c r="I892" s="65"/>
      <c r="J892" s="65"/>
      <c r="K892" s="65"/>
    </row>
    <row r="893" spans="1:19" x14ac:dyDescent="0.2">
      <c r="A893" s="248"/>
      <c r="B893" s="83"/>
      <c r="C893" s="83"/>
      <c r="D893" s="83"/>
      <c r="E893" s="83"/>
      <c r="F893" s="83"/>
      <c r="G893" s="50"/>
      <c r="H893" s="65"/>
      <c r="I893" s="65"/>
      <c r="J893" s="65"/>
      <c r="K893" s="65"/>
    </row>
    <row r="894" spans="1:19" x14ac:dyDescent="0.2">
      <c r="A894" s="248"/>
      <c r="B894" s="83"/>
      <c r="C894" s="83"/>
      <c r="D894" s="83"/>
      <c r="E894" s="83"/>
      <c r="F894" s="83"/>
      <c r="G894" s="50"/>
      <c r="H894" s="65"/>
      <c r="I894" s="65"/>
      <c r="J894" s="65"/>
      <c r="K894" s="65"/>
    </row>
    <row r="895" spans="1:19" x14ac:dyDescent="0.2">
      <c r="A895" s="248"/>
      <c r="B895" s="83"/>
      <c r="C895" s="83"/>
      <c r="D895" s="83"/>
      <c r="E895" s="83"/>
      <c r="F895" s="83"/>
      <c r="G895" s="50"/>
      <c r="H895" s="65"/>
      <c r="I895" s="65"/>
      <c r="J895" s="65"/>
      <c r="K895" s="65"/>
    </row>
    <row r="896" spans="1:19" x14ac:dyDescent="0.2">
      <c r="A896" s="248"/>
      <c r="B896" s="83"/>
      <c r="C896" s="83"/>
      <c r="D896" s="83"/>
      <c r="E896" s="83"/>
      <c r="F896" s="83"/>
      <c r="G896" s="50"/>
      <c r="H896" s="65"/>
      <c r="I896" s="65"/>
      <c r="J896" s="65"/>
      <c r="K896" s="65"/>
    </row>
    <row r="897" spans="1:11" x14ac:dyDescent="0.2">
      <c r="A897" s="248"/>
      <c r="B897" s="83"/>
      <c r="C897" s="83"/>
      <c r="D897" s="83"/>
      <c r="E897" s="83"/>
      <c r="F897" s="83"/>
      <c r="G897" s="50"/>
      <c r="H897" s="65"/>
      <c r="I897" s="65"/>
      <c r="J897" s="65"/>
      <c r="K897" s="65"/>
    </row>
    <row r="898" spans="1:11" x14ac:dyDescent="0.2">
      <c r="A898" s="248"/>
      <c r="B898" s="83"/>
      <c r="C898" s="83"/>
      <c r="D898" s="83"/>
      <c r="E898" s="83"/>
      <c r="F898" s="83"/>
      <c r="G898" s="50"/>
      <c r="H898" s="65"/>
      <c r="I898" s="65"/>
      <c r="J898" s="65"/>
      <c r="K898" s="65"/>
    </row>
    <row r="899" spans="1:11" x14ac:dyDescent="0.2">
      <c r="A899" s="248"/>
      <c r="B899" s="83"/>
      <c r="C899" s="83"/>
      <c r="D899" s="83"/>
      <c r="E899" s="83"/>
      <c r="F899" s="83"/>
      <c r="G899" s="50"/>
      <c r="H899" s="65"/>
      <c r="I899" s="65"/>
      <c r="J899" s="65"/>
      <c r="K899" s="65"/>
    </row>
    <row r="900" spans="1:11" x14ac:dyDescent="0.2">
      <c r="A900" s="248"/>
      <c r="B900" s="83"/>
      <c r="C900" s="83"/>
      <c r="D900" s="83"/>
      <c r="E900" s="83"/>
      <c r="F900" s="83"/>
      <c r="G900" s="50"/>
      <c r="H900" s="65"/>
      <c r="I900" s="65"/>
      <c r="J900" s="65"/>
      <c r="K900" s="65"/>
    </row>
    <row r="901" spans="1:11" x14ac:dyDescent="0.2">
      <c r="A901" s="248"/>
      <c r="B901" s="83"/>
      <c r="C901" s="83"/>
      <c r="D901" s="83"/>
      <c r="E901" s="83"/>
      <c r="F901" s="83"/>
      <c r="G901" s="50"/>
      <c r="H901" s="65"/>
      <c r="I901" s="65"/>
      <c r="J901" s="65"/>
      <c r="K901" s="65"/>
    </row>
    <row r="902" spans="1:11" x14ac:dyDescent="0.2">
      <c r="A902" s="248"/>
      <c r="B902" s="94"/>
      <c r="C902" s="94"/>
      <c r="D902" s="94"/>
      <c r="E902" s="94"/>
      <c r="F902" s="94"/>
      <c r="G902" s="50"/>
      <c r="H902" s="65"/>
      <c r="I902" s="65"/>
      <c r="J902" s="65"/>
      <c r="K902" s="65"/>
    </row>
    <row r="903" spans="1:11" x14ac:dyDescent="0.2">
      <c r="A903" s="248"/>
      <c r="B903" s="94"/>
      <c r="C903" s="94"/>
      <c r="D903" s="94"/>
      <c r="E903" s="94"/>
      <c r="F903" s="94"/>
      <c r="G903" s="50"/>
      <c r="H903" s="65"/>
      <c r="I903" s="65"/>
      <c r="J903" s="65"/>
      <c r="K903" s="65"/>
    </row>
    <row r="904" spans="1:11" x14ac:dyDescent="0.2">
      <c r="A904" s="248"/>
      <c r="B904" s="94"/>
      <c r="C904" s="94"/>
      <c r="D904" s="94"/>
      <c r="E904" s="94"/>
      <c r="F904" s="94"/>
      <c r="G904" s="50"/>
      <c r="H904" s="65"/>
      <c r="I904" s="65"/>
      <c r="J904" s="65"/>
      <c r="K904" s="65"/>
    </row>
    <row r="905" spans="1:11" x14ac:dyDescent="0.2">
      <c r="A905" s="248"/>
      <c r="B905" s="94"/>
      <c r="C905" s="94"/>
      <c r="D905" s="94"/>
      <c r="E905" s="94"/>
      <c r="F905" s="94"/>
      <c r="G905" s="50"/>
      <c r="H905" s="65"/>
      <c r="I905" s="65"/>
      <c r="J905" s="65"/>
      <c r="K905" s="65"/>
    </row>
    <row r="906" spans="1:11" x14ac:dyDescent="0.2">
      <c r="A906" s="248"/>
      <c r="B906" s="94"/>
      <c r="C906" s="94"/>
      <c r="D906" s="94"/>
      <c r="E906" s="94"/>
      <c r="F906" s="94"/>
      <c r="G906" s="50"/>
      <c r="H906" s="65"/>
      <c r="I906" s="65"/>
      <c r="J906" s="65"/>
      <c r="K906" s="65"/>
    </row>
    <row r="907" spans="1:11" x14ac:dyDescent="0.2">
      <c r="A907" s="248"/>
      <c r="B907" s="94"/>
      <c r="C907" s="94"/>
      <c r="D907" s="94"/>
      <c r="E907" s="94"/>
      <c r="F907" s="94"/>
      <c r="G907" s="50"/>
      <c r="H907" s="65"/>
      <c r="I907" s="65"/>
      <c r="J907" s="65"/>
      <c r="K907" s="65"/>
    </row>
    <row r="908" spans="1:11" x14ac:dyDescent="0.2">
      <c r="A908" s="248"/>
      <c r="B908" s="94"/>
      <c r="C908" s="94"/>
      <c r="D908" s="94"/>
      <c r="E908" s="94"/>
      <c r="F908" s="94"/>
      <c r="G908" s="50"/>
      <c r="H908" s="65"/>
      <c r="I908" s="65"/>
      <c r="J908" s="65"/>
      <c r="K908" s="65"/>
    </row>
    <row r="909" spans="1:11" x14ac:dyDescent="0.2">
      <c r="A909" s="248"/>
      <c r="B909" s="94"/>
      <c r="C909" s="94"/>
      <c r="D909" s="94"/>
      <c r="E909" s="94"/>
      <c r="F909" s="94"/>
      <c r="G909" s="50"/>
      <c r="H909" s="65"/>
      <c r="I909" s="65"/>
      <c r="J909" s="65"/>
      <c r="K909" s="65"/>
    </row>
    <row r="910" spans="1:11" x14ac:dyDescent="0.2">
      <c r="A910" s="248"/>
      <c r="B910" s="94"/>
      <c r="C910" s="94"/>
      <c r="D910" s="94"/>
      <c r="E910" s="94"/>
      <c r="F910" s="94"/>
      <c r="G910" s="50"/>
      <c r="H910" s="65"/>
      <c r="I910" s="65"/>
      <c r="J910" s="65"/>
      <c r="K910" s="65"/>
    </row>
    <row r="911" spans="1:11" x14ac:dyDescent="0.2">
      <c r="A911" s="248"/>
      <c r="B911" s="94"/>
      <c r="C911" s="94"/>
      <c r="D911" s="94"/>
      <c r="E911" s="94"/>
      <c r="F911" s="94"/>
      <c r="G911" s="50"/>
      <c r="H911" s="65"/>
      <c r="I911" s="65"/>
      <c r="J911" s="65"/>
      <c r="K911" s="65"/>
    </row>
    <row r="912" spans="1:11" x14ac:dyDescent="0.2">
      <c r="A912" s="248"/>
      <c r="B912" s="94"/>
      <c r="C912" s="94"/>
      <c r="D912" s="94"/>
      <c r="E912" s="94"/>
      <c r="F912" s="94"/>
      <c r="G912" s="50"/>
      <c r="H912" s="65"/>
      <c r="I912" s="65"/>
      <c r="J912" s="65"/>
      <c r="K912" s="65"/>
    </row>
    <row r="913" spans="1:11" x14ac:dyDescent="0.2">
      <c r="A913" s="248"/>
      <c r="B913" s="94"/>
      <c r="C913" s="94"/>
      <c r="D913" s="94"/>
      <c r="E913" s="94"/>
      <c r="F913" s="94"/>
      <c r="G913" s="50"/>
      <c r="H913" s="65"/>
      <c r="I913" s="65"/>
      <c r="J913" s="65"/>
      <c r="K913" s="65"/>
    </row>
    <row r="914" spans="1:11" x14ac:dyDescent="0.2">
      <c r="A914" s="248"/>
      <c r="B914" s="94"/>
      <c r="C914" s="94"/>
      <c r="D914" s="94"/>
      <c r="E914" s="94"/>
      <c r="F914" s="94"/>
      <c r="G914" s="50"/>
      <c r="H914" s="65"/>
      <c r="I914" s="65"/>
      <c r="J914" s="65"/>
      <c r="K914" s="65"/>
    </row>
    <row r="915" spans="1:11" x14ac:dyDescent="0.2">
      <c r="A915" s="248"/>
      <c r="B915" s="94"/>
      <c r="C915" s="94"/>
      <c r="D915" s="94"/>
      <c r="E915" s="94"/>
      <c r="F915" s="94"/>
      <c r="G915" s="50"/>
      <c r="H915" s="65"/>
      <c r="I915" s="65"/>
      <c r="J915" s="65"/>
      <c r="K915" s="65"/>
    </row>
    <row r="916" spans="1:11" x14ac:dyDescent="0.2">
      <c r="A916" s="248"/>
      <c r="B916" s="94"/>
      <c r="C916" s="94"/>
      <c r="D916" s="94"/>
      <c r="E916" s="94"/>
      <c r="F916" s="94"/>
      <c r="G916" s="50"/>
      <c r="H916" s="65"/>
      <c r="I916" s="65"/>
      <c r="J916" s="65"/>
      <c r="K916" s="65"/>
    </row>
    <row r="917" spans="1:11" x14ac:dyDescent="0.2">
      <c r="A917" s="248"/>
      <c r="B917" s="94"/>
      <c r="C917" s="94"/>
      <c r="D917" s="94"/>
      <c r="E917" s="94"/>
      <c r="F917" s="94"/>
      <c r="G917" s="50"/>
      <c r="H917" s="65"/>
      <c r="I917" s="65"/>
      <c r="J917" s="65"/>
      <c r="K917" s="65"/>
    </row>
    <row r="918" spans="1:11" x14ac:dyDescent="0.2">
      <c r="A918" s="248"/>
      <c r="B918" s="94"/>
      <c r="C918" s="94"/>
      <c r="D918" s="94"/>
      <c r="E918" s="94"/>
      <c r="F918" s="94"/>
      <c r="G918" s="50"/>
      <c r="H918" s="65"/>
      <c r="I918" s="65"/>
      <c r="J918" s="65"/>
      <c r="K918" s="65"/>
    </row>
    <row r="919" spans="1:11" x14ac:dyDescent="0.2">
      <c r="A919" s="248"/>
      <c r="B919" s="94"/>
      <c r="C919" s="94"/>
      <c r="D919" s="94"/>
      <c r="E919" s="94"/>
      <c r="F919" s="94"/>
      <c r="G919" s="50"/>
      <c r="H919" s="65"/>
      <c r="I919" s="65"/>
      <c r="J919" s="65"/>
      <c r="K919" s="65"/>
    </row>
    <row r="920" spans="1:11" x14ac:dyDescent="0.2">
      <c r="A920" s="248"/>
      <c r="B920" s="94"/>
      <c r="C920" s="94"/>
      <c r="D920" s="94"/>
      <c r="E920" s="94"/>
      <c r="F920" s="94"/>
      <c r="G920" s="50"/>
      <c r="H920" s="65"/>
      <c r="I920" s="65"/>
      <c r="J920" s="65"/>
      <c r="K920" s="65"/>
    </row>
    <row r="921" spans="1:11" x14ac:dyDescent="0.2">
      <c r="A921" s="248"/>
      <c r="B921" s="94"/>
      <c r="C921" s="94"/>
      <c r="D921" s="94"/>
      <c r="E921" s="94"/>
      <c r="F921" s="94"/>
      <c r="G921" s="50"/>
      <c r="H921" s="65"/>
      <c r="I921" s="65"/>
      <c r="J921" s="65"/>
      <c r="K921" s="65"/>
    </row>
    <row r="922" spans="1:11" x14ac:dyDescent="0.2">
      <c r="A922" s="248"/>
      <c r="B922" s="94"/>
      <c r="C922" s="94"/>
      <c r="D922" s="94"/>
      <c r="E922" s="94"/>
      <c r="F922" s="94"/>
      <c r="G922" s="50"/>
      <c r="H922" s="65"/>
      <c r="I922" s="65"/>
      <c r="J922" s="65"/>
      <c r="K922" s="65"/>
    </row>
    <row r="923" spans="1:11" x14ac:dyDescent="0.2">
      <c r="A923" s="248"/>
      <c r="B923" s="94"/>
      <c r="C923" s="94"/>
      <c r="D923" s="94"/>
      <c r="E923" s="94"/>
      <c r="F923" s="94"/>
      <c r="G923" s="50"/>
      <c r="H923" s="65"/>
      <c r="I923" s="65"/>
      <c r="J923" s="65"/>
      <c r="K923" s="65"/>
    </row>
    <row r="924" spans="1:11" x14ac:dyDescent="0.2">
      <c r="A924" s="248"/>
      <c r="B924" s="94"/>
      <c r="C924" s="94"/>
      <c r="D924" s="94"/>
      <c r="E924" s="94"/>
      <c r="F924" s="94"/>
      <c r="G924" s="50"/>
      <c r="H924" s="65"/>
      <c r="I924" s="65"/>
      <c r="J924" s="65"/>
      <c r="K924" s="65"/>
    </row>
    <row r="925" spans="1:11" x14ac:dyDescent="0.2">
      <c r="A925" s="248"/>
      <c r="B925" s="94"/>
      <c r="C925" s="94"/>
      <c r="D925" s="94"/>
      <c r="E925" s="94"/>
      <c r="F925" s="94"/>
      <c r="G925" s="50"/>
      <c r="H925" s="65"/>
      <c r="I925" s="65"/>
      <c r="J925" s="65"/>
      <c r="K925" s="65"/>
    </row>
    <row r="926" spans="1:11" x14ac:dyDescent="0.2">
      <c r="A926" s="248"/>
      <c r="B926" s="94"/>
      <c r="C926" s="94"/>
      <c r="D926" s="94"/>
      <c r="E926" s="94"/>
      <c r="F926" s="94"/>
      <c r="G926" s="50"/>
      <c r="H926" s="65"/>
      <c r="I926" s="65"/>
      <c r="J926" s="65"/>
      <c r="K926" s="65"/>
    </row>
    <row r="927" spans="1:11" x14ac:dyDescent="0.2">
      <c r="A927" s="248"/>
      <c r="B927" s="94"/>
      <c r="C927" s="94"/>
      <c r="D927" s="94"/>
      <c r="E927" s="94"/>
      <c r="F927" s="94"/>
      <c r="G927" s="50"/>
      <c r="H927" s="65"/>
      <c r="I927" s="65"/>
      <c r="J927" s="65"/>
      <c r="K927" s="65"/>
    </row>
    <row r="928" spans="1:11" x14ac:dyDescent="0.2">
      <c r="A928" s="248"/>
      <c r="B928" s="94"/>
      <c r="C928" s="94"/>
      <c r="D928" s="94"/>
      <c r="E928" s="94"/>
      <c r="F928" s="94"/>
      <c r="G928" s="50"/>
      <c r="H928" s="65"/>
      <c r="I928" s="65"/>
      <c r="J928" s="65"/>
      <c r="K928" s="65"/>
    </row>
    <row r="929" spans="1:11" x14ac:dyDescent="0.2">
      <c r="A929" s="248"/>
      <c r="B929" s="94"/>
      <c r="C929" s="94"/>
      <c r="D929" s="94"/>
      <c r="E929" s="94"/>
      <c r="F929" s="94"/>
      <c r="G929" s="50"/>
      <c r="H929" s="65"/>
      <c r="I929" s="65"/>
      <c r="J929" s="65"/>
      <c r="K929" s="65"/>
    </row>
    <row r="930" spans="1:11" x14ac:dyDescent="0.2">
      <c r="A930" s="248"/>
      <c r="B930" s="94"/>
      <c r="C930" s="94"/>
      <c r="D930" s="94"/>
      <c r="E930" s="94"/>
      <c r="F930" s="94"/>
      <c r="G930" s="50"/>
      <c r="H930" s="65"/>
      <c r="I930" s="65"/>
      <c r="J930" s="65"/>
      <c r="K930" s="65"/>
    </row>
    <row r="931" spans="1:11" x14ac:dyDescent="0.2">
      <c r="A931" s="248"/>
      <c r="B931" s="94"/>
      <c r="C931" s="94"/>
      <c r="D931" s="94"/>
      <c r="E931" s="94"/>
      <c r="F931" s="94"/>
      <c r="G931" s="50"/>
      <c r="H931" s="65"/>
      <c r="I931" s="65"/>
      <c r="J931" s="65"/>
      <c r="K931" s="65"/>
    </row>
    <row r="932" spans="1:11" x14ac:dyDescent="0.2">
      <c r="A932" s="248"/>
      <c r="B932" s="94"/>
      <c r="C932" s="94"/>
      <c r="D932" s="94"/>
      <c r="E932" s="94"/>
      <c r="F932" s="94"/>
      <c r="G932" s="50"/>
      <c r="H932" s="65"/>
      <c r="I932" s="65"/>
      <c r="J932" s="65"/>
      <c r="K932" s="65"/>
    </row>
    <row r="933" spans="1:11" x14ac:dyDescent="0.2">
      <c r="A933" s="248"/>
      <c r="B933" s="94"/>
      <c r="C933" s="94"/>
      <c r="D933" s="94"/>
      <c r="E933" s="94"/>
      <c r="F933" s="94"/>
      <c r="G933" s="50"/>
      <c r="H933" s="65"/>
      <c r="I933" s="65"/>
      <c r="J933" s="65"/>
      <c r="K933" s="65"/>
    </row>
    <row r="934" spans="1:11" x14ac:dyDescent="0.2">
      <c r="A934" s="248"/>
      <c r="B934" s="94"/>
      <c r="C934" s="94"/>
      <c r="D934" s="94"/>
      <c r="E934" s="94"/>
      <c r="F934" s="94"/>
      <c r="G934" s="50"/>
      <c r="H934" s="65"/>
      <c r="I934" s="65"/>
      <c r="J934" s="65"/>
      <c r="K934" s="65"/>
    </row>
    <row r="935" spans="1:11" x14ac:dyDescent="0.2">
      <c r="A935" s="248"/>
      <c r="B935" s="94"/>
      <c r="C935" s="94"/>
      <c r="D935" s="94"/>
      <c r="E935" s="94"/>
      <c r="F935" s="94"/>
      <c r="G935" s="50"/>
      <c r="H935" s="65"/>
      <c r="I935" s="65"/>
      <c r="J935" s="65"/>
      <c r="K935" s="65"/>
    </row>
    <row r="936" spans="1:11" x14ac:dyDescent="0.2">
      <c r="A936" s="248"/>
      <c r="B936" s="94"/>
      <c r="C936" s="94"/>
      <c r="D936" s="94"/>
      <c r="E936" s="94"/>
      <c r="F936" s="94"/>
      <c r="G936" s="50"/>
      <c r="H936" s="65"/>
      <c r="I936" s="65"/>
      <c r="J936" s="65"/>
      <c r="K936" s="65"/>
    </row>
    <row r="937" spans="1:11" x14ac:dyDescent="0.2">
      <c r="A937" s="248"/>
      <c r="B937" s="94"/>
      <c r="C937" s="94"/>
      <c r="D937" s="94"/>
      <c r="E937" s="94"/>
      <c r="F937" s="94"/>
      <c r="G937" s="50"/>
      <c r="H937" s="65"/>
      <c r="I937" s="65"/>
      <c r="J937" s="65"/>
      <c r="K937" s="65"/>
    </row>
    <row r="938" spans="1:11" x14ac:dyDescent="0.2">
      <c r="A938" s="248"/>
      <c r="B938" s="94"/>
      <c r="C938" s="94"/>
      <c r="D938" s="94"/>
      <c r="E938" s="94"/>
      <c r="F938" s="94"/>
      <c r="G938" s="50"/>
      <c r="H938" s="65"/>
      <c r="I938" s="65"/>
      <c r="J938" s="65"/>
      <c r="K938" s="65"/>
    </row>
    <row r="939" spans="1:11" x14ac:dyDescent="0.2">
      <c r="A939" s="248"/>
      <c r="B939" s="94"/>
      <c r="C939" s="94"/>
      <c r="D939" s="94"/>
      <c r="E939" s="94"/>
      <c r="F939" s="94"/>
      <c r="G939" s="50"/>
      <c r="H939" s="65"/>
      <c r="I939" s="65"/>
      <c r="J939" s="65"/>
      <c r="K939" s="65"/>
    </row>
    <row r="940" spans="1:11" x14ac:dyDescent="0.2">
      <c r="A940" s="248"/>
      <c r="B940" s="94"/>
      <c r="C940" s="94"/>
      <c r="D940" s="94"/>
      <c r="E940" s="94"/>
      <c r="F940" s="94"/>
      <c r="G940" s="50"/>
      <c r="H940" s="65"/>
      <c r="I940" s="65"/>
      <c r="J940" s="65"/>
      <c r="K940" s="65"/>
    </row>
    <row r="941" spans="1:11" x14ac:dyDescent="0.2">
      <c r="A941" s="248"/>
      <c r="B941" s="94"/>
      <c r="C941" s="94"/>
      <c r="D941" s="94"/>
      <c r="E941" s="94"/>
      <c r="F941" s="94"/>
      <c r="G941" s="50"/>
      <c r="H941" s="65"/>
      <c r="I941" s="65"/>
      <c r="J941" s="65"/>
      <c r="K941" s="65"/>
    </row>
    <row r="942" spans="1:11" x14ac:dyDescent="0.2">
      <c r="A942" s="248"/>
      <c r="B942" s="94"/>
      <c r="C942" s="94"/>
      <c r="D942" s="94"/>
      <c r="E942" s="94"/>
      <c r="F942" s="94"/>
      <c r="G942" s="50"/>
      <c r="H942" s="65"/>
      <c r="I942" s="65"/>
      <c r="J942" s="65"/>
      <c r="K942" s="65"/>
    </row>
    <row r="943" spans="1:11" x14ac:dyDescent="0.2">
      <c r="A943" s="248"/>
      <c r="B943" s="94"/>
      <c r="C943" s="94"/>
      <c r="D943" s="94"/>
      <c r="E943" s="94"/>
      <c r="F943" s="94"/>
      <c r="G943" s="50"/>
      <c r="H943" s="65"/>
      <c r="I943" s="65"/>
      <c r="J943" s="65"/>
      <c r="K943" s="65"/>
    </row>
    <row r="944" spans="1:11" x14ac:dyDescent="0.2">
      <c r="A944" s="248"/>
      <c r="B944" s="94"/>
      <c r="C944" s="94"/>
      <c r="D944" s="94"/>
      <c r="E944" s="94"/>
      <c r="F944" s="94"/>
      <c r="G944" s="50"/>
      <c r="H944" s="65"/>
      <c r="I944" s="65"/>
      <c r="J944" s="65"/>
      <c r="K944" s="65"/>
    </row>
    <row r="945" spans="1:11" x14ac:dyDescent="0.2">
      <c r="A945" s="248"/>
      <c r="B945" s="94"/>
      <c r="C945" s="94"/>
      <c r="D945" s="94"/>
      <c r="E945" s="94"/>
      <c r="F945" s="94"/>
      <c r="G945" s="50"/>
      <c r="H945" s="65"/>
      <c r="I945" s="65"/>
      <c r="J945" s="65"/>
      <c r="K945" s="65"/>
    </row>
    <row r="946" spans="1:11" x14ac:dyDescent="0.2">
      <c r="A946" s="248"/>
      <c r="B946" s="94"/>
      <c r="C946" s="94"/>
      <c r="D946" s="94"/>
      <c r="E946" s="94"/>
      <c r="F946" s="94"/>
      <c r="G946" s="50"/>
      <c r="H946" s="65"/>
      <c r="I946" s="65"/>
      <c r="J946" s="65"/>
      <c r="K946" s="65"/>
    </row>
    <row r="947" spans="1:11" x14ac:dyDescent="0.2">
      <c r="A947" s="248"/>
      <c r="B947" s="94"/>
      <c r="C947" s="94"/>
      <c r="D947" s="94"/>
      <c r="E947" s="94"/>
      <c r="F947" s="94"/>
      <c r="G947" s="50"/>
      <c r="H947" s="65"/>
      <c r="I947" s="65"/>
      <c r="J947" s="65"/>
      <c r="K947" s="65"/>
    </row>
    <row r="948" spans="1:11" x14ac:dyDescent="0.2">
      <c r="A948" s="248"/>
      <c r="B948" s="94"/>
      <c r="C948" s="94"/>
      <c r="D948" s="94"/>
      <c r="E948" s="94"/>
      <c r="F948" s="94"/>
      <c r="G948" s="50"/>
      <c r="H948" s="65"/>
      <c r="I948" s="65"/>
      <c r="J948" s="65"/>
      <c r="K948" s="65"/>
    </row>
    <row r="949" spans="1:11" x14ac:dyDescent="0.2">
      <c r="A949" s="248"/>
      <c r="B949" s="94"/>
      <c r="C949" s="94"/>
      <c r="D949" s="94"/>
      <c r="E949" s="94"/>
      <c r="F949" s="94"/>
      <c r="G949" s="50"/>
      <c r="H949" s="65"/>
      <c r="I949" s="65"/>
      <c r="J949" s="65"/>
      <c r="K949" s="65"/>
    </row>
    <row r="950" spans="1:11" x14ac:dyDescent="0.2">
      <c r="A950" s="248"/>
      <c r="B950" s="94"/>
      <c r="C950" s="94"/>
      <c r="D950" s="94"/>
      <c r="E950" s="94"/>
      <c r="F950" s="94"/>
      <c r="G950" s="50"/>
      <c r="H950" s="65"/>
      <c r="I950" s="65"/>
      <c r="J950" s="65"/>
      <c r="K950" s="65"/>
    </row>
    <row r="951" spans="1:11" x14ac:dyDescent="0.2">
      <c r="A951" s="248"/>
      <c r="B951" s="94"/>
      <c r="C951" s="94"/>
      <c r="D951" s="94"/>
      <c r="E951" s="94"/>
      <c r="F951" s="94"/>
      <c r="G951" s="50"/>
      <c r="H951" s="65"/>
      <c r="I951" s="65"/>
      <c r="J951" s="65"/>
      <c r="K951" s="65"/>
    </row>
    <row r="952" spans="1:11" x14ac:dyDescent="0.2">
      <c r="A952" s="248"/>
      <c r="B952" s="94"/>
      <c r="C952" s="94"/>
      <c r="D952" s="94"/>
      <c r="E952" s="94"/>
      <c r="F952" s="94"/>
      <c r="G952" s="50"/>
      <c r="H952" s="65"/>
      <c r="I952" s="65"/>
      <c r="J952" s="65"/>
      <c r="K952" s="65"/>
    </row>
    <row r="953" spans="1:11" x14ac:dyDescent="0.2">
      <c r="A953" s="248"/>
      <c r="B953" s="94"/>
      <c r="C953" s="94"/>
      <c r="D953" s="94"/>
      <c r="E953" s="94"/>
      <c r="F953" s="94"/>
      <c r="G953" s="50"/>
      <c r="H953" s="65"/>
      <c r="I953" s="65"/>
      <c r="J953" s="65"/>
      <c r="K953" s="65"/>
    </row>
    <row r="954" spans="1:11" x14ac:dyDescent="0.2">
      <c r="A954" s="248"/>
      <c r="B954" s="94"/>
      <c r="C954" s="94"/>
      <c r="D954" s="94"/>
      <c r="E954" s="94"/>
      <c r="F954" s="94"/>
      <c r="G954" s="50"/>
      <c r="H954" s="65"/>
      <c r="I954" s="65"/>
      <c r="J954" s="65"/>
      <c r="K954" s="65"/>
    </row>
    <row r="955" spans="1:11" x14ac:dyDescent="0.2">
      <c r="A955" s="248"/>
      <c r="B955" s="94"/>
      <c r="C955" s="94"/>
      <c r="D955" s="94"/>
      <c r="E955" s="94"/>
      <c r="F955" s="94"/>
      <c r="G955" s="50"/>
      <c r="H955" s="65"/>
      <c r="I955" s="65"/>
      <c r="J955" s="65"/>
      <c r="K955" s="65"/>
    </row>
    <row r="956" spans="1:11" x14ac:dyDescent="0.2">
      <c r="A956" s="248"/>
      <c r="B956" s="94"/>
      <c r="C956" s="94"/>
      <c r="D956" s="94"/>
      <c r="E956" s="94"/>
      <c r="F956" s="94"/>
      <c r="G956" s="50"/>
      <c r="H956" s="65"/>
      <c r="I956" s="65"/>
      <c r="J956" s="65"/>
      <c r="K956" s="65"/>
    </row>
    <row r="957" spans="1:11" x14ac:dyDescent="0.2">
      <c r="A957" s="248"/>
      <c r="B957" s="94"/>
      <c r="C957" s="94"/>
      <c r="D957" s="94"/>
      <c r="E957" s="94"/>
      <c r="F957" s="94"/>
      <c r="G957" s="50"/>
      <c r="H957" s="65"/>
      <c r="I957" s="65"/>
      <c r="J957" s="65"/>
      <c r="K957" s="65"/>
    </row>
    <row r="958" spans="1:11" x14ac:dyDescent="0.2">
      <c r="A958" s="248"/>
      <c r="B958" s="94"/>
      <c r="C958" s="94"/>
      <c r="D958" s="94"/>
      <c r="E958" s="94"/>
      <c r="F958" s="94"/>
      <c r="G958" s="50"/>
      <c r="H958" s="65"/>
      <c r="I958" s="65"/>
      <c r="J958" s="65"/>
      <c r="K958" s="65"/>
    </row>
    <row r="959" spans="1:11" x14ac:dyDescent="0.2">
      <c r="A959" s="248"/>
      <c r="B959" s="94"/>
      <c r="C959" s="94"/>
      <c r="D959" s="94"/>
      <c r="E959" s="94"/>
      <c r="F959" s="94"/>
      <c r="G959" s="50"/>
      <c r="H959" s="65"/>
      <c r="I959" s="65"/>
      <c r="J959" s="65"/>
      <c r="K959" s="65"/>
    </row>
    <row r="960" spans="1:11" x14ac:dyDescent="0.2">
      <c r="A960" s="69"/>
      <c r="B960" s="69"/>
      <c r="C960" s="69"/>
      <c r="D960" s="69"/>
      <c r="E960" s="69"/>
      <c r="F960" s="69"/>
      <c r="G960" s="50"/>
      <c r="H960" s="65"/>
      <c r="I960" s="65"/>
      <c r="J960" s="65"/>
      <c r="K960" s="65"/>
    </row>
    <row r="961" spans="1:11" x14ac:dyDescent="0.2">
      <c r="A961" s="69"/>
      <c r="B961" s="69"/>
      <c r="C961" s="69"/>
      <c r="D961" s="69"/>
      <c r="E961" s="69"/>
      <c r="F961" s="69"/>
      <c r="G961" s="50"/>
      <c r="H961" s="65"/>
      <c r="I961" s="65"/>
      <c r="J961" s="65"/>
      <c r="K961" s="65"/>
    </row>
    <row r="962" spans="1:11" x14ac:dyDescent="0.2">
      <c r="A962" s="69"/>
      <c r="B962" s="69"/>
      <c r="C962" s="69"/>
      <c r="D962" s="69"/>
      <c r="E962" s="69"/>
      <c r="F962" s="69"/>
      <c r="G962" s="50"/>
      <c r="H962" s="65"/>
      <c r="I962" s="65"/>
      <c r="J962" s="65"/>
      <c r="K962" s="65"/>
    </row>
    <row r="963" spans="1:11" x14ac:dyDescent="0.2">
      <c r="A963" s="69"/>
      <c r="B963" s="69"/>
      <c r="C963" s="69"/>
      <c r="D963" s="69"/>
      <c r="E963" s="69"/>
      <c r="F963" s="69"/>
      <c r="G963" s="50"/>
      <c r="H963" s="65"/>
      <c r="I963" s="65"/>
      <c r="J963" s="65"/>
      <c r="K963" s="65"/>
    </row>
    <row r="964" spans="1:11" x14ac:dyDescent="0.2">
      <c r="A964" s="69"/>
      <c r="B964" s="69"/>
      <c r="C964" s="69"/>
      <c r="D964" s="69"/>
      <c r="E964" s="69"/>
      <c r="F964" s="69"/>
      <c r="G964" s="50"/>
      <c r="H964" s="65"/>
      <c r="I964" s="65"/>
      <c r="J964" s="65"/>
      <c r="K964" s="65"/>
    </row>
    <row r="965" spans="1:11" x14ac:dyDescent="0.2">
      <c r="A965" s="69"/>
      <c r="B965" s="69"/>
      <c r="C965" s="69"/>
      <c r="D965" s="69"/>
      <c r="E965" s="69"/>
      <c r="F965" s="69"/>
      <c r="G965" s="50"/>
      <c r="H965" s="65"/>
      <c r="I965" s="65"/>
      <c r="J965" s="65"/>
      <c r="K965" s="65"/>
    </row>
    <row r="966" spans="1:11" x14ac:dyDescent="0.2">
      <c r="A966" s="69"/>
      <c r="B966" s="69"/>
      <c r="C966" s="69"/>
      <c r="D966" s="69"/>
      <c r="E966" s="69"/>
      <c r="F966" s="69"/>
      <c r="G966" s="50"/>
      <c r="H966" s="65"/>
      <c r="I966" s="65"/>
      <c r="J966" s="65"/>
      <c r="K966" s="65"/>
    </row>
    <row r="967" spans="1:11" x14ac:dyDescent="0.2">
      <c r="A967" s="69"/>
      <c r="B967" s="69"/>
      <c r="C967" s="69"/>
      <c r="D967" s="69"/>
      <c r="E967" s="69"/>
      <c r="F967" s="69"/>
      <c r="G967" s="50"/>
      <c r="H967" s="65"/>
      <c r="I967" s="65"/>
      <c r="J967" s="65"/>
      <c r="K967" s="65"/>
    </row>
    <row r="968" spans="1:11" x14ac:dyDescent="0.2">
      <c r="A968" s="69"/>
      <c r="B968" s="69"/>
      <c r="C968" s="69"/>
      <c r="D968" s="69"/>
      <c r="E968" s="69"/>
      <c r="F968" s="69"/>
      <c r="G968" s="50"/>
      <c r="H968" s="65"/>
      <c r="I968" s="65"/>
      <c r="J968" s="65"/>
      <c r="K968" s="65"/>
    </row>
    <row r="969" spans="1:11" x14ac:dyDescent="0.2">
      <c r="A969" s="69"/>
      <c r="B969" s="69"/>
      <c r="C969" s="69"/>
      <c r="D969" s="69"/>
      <c r="E969" s="69"/>
      <c r="F969" s="69"/>
      <c r="G969" s="50"/>
      <c r="H969" s="65"/>
      <c r="I969" s="65"/>
      <c r="J969" s="65"/>
      <c r="K969" s="65"/>
    </row>
    <row r="970" spans="1:11" x14ac:dyDescent="0.2">
      <c r="A970" s="69"/>
      <c r="B970" s="69"/>
      <c r="C970" s="69"/>
      <c r="D970" s="69"/>
      <c r="E970" s="69"/>
      <c r="F970" s="69"/>
      <c r="G970" s="50"/>
      <c r="H970" s="65"/>
      <c r="I970" s="65"/>
      <c r="J970" s="65"/>
      <c r="K970" s="65"/>
    </row>
    <row r="971" spans="1:11" x14ac:dyDescent="0.2">
      <c r="A971" s="69"/>
      <c r="B971" s="69"/>
      <c r="C971" s="69"/>
      <c r="D971" s="69"/>
      <c r="E971" s="69"/>
      <c r="F971" s="69"/>
      <c r="G971" s="50"/>
      <c r="H971" s="65"/>
      <c r="I971" s="65"/>
      <c r="J971" s="65"/>
      <c r="K971" s="65"/>
    </row>
    <row r="972" spans="1:11" x14ac:dyDescent="0.2">
      <c r="A972" s="69"/>
      <c r="B972" s="69"/>
      <c r="C972" s="69"/>
      <c r="D972" s="69"/>
      <c r="E972" s="69"/>
      <c r="F972" s="69"/>
      <c r="G972" s="50"/>
      <c r="H972" s="65"/>
      <c r="I972" s="65"/>
      <c r="J972" s="65"/>
      <c r="K972" s="65"/>
    </row>
    <row r="973" spans="1:11" x14ac:dyDescent="0.2">
      <c r="A973" s="69"/>
      <c r="B973" s="69"/>
      <c r="C973" s="69"/>
      <c r="D973" s="69"/>
      <c r="E973" s="69"/>
      <c r="F973" s="69"/>
      <c r="G973" s="50"/>
      <c r="H973" s="65"/>
      <c r="I973" s="65"/>
      <c r="J973" s="65"/>
      <c r="K973" s="65"/>
    </row>
    <row r="974" spans="1:11" x14ac:dyDescent="0.2">
      <c r="A974" s="69"/>
      <c r="B974" s="69"/>
      <c r="C974" s="69"/>
      <c r="D974" s="69"/>
      <c r="E974" s="69"/>
      <c r="F974" s="69"/>
      <c r="G974" s="50"/>
      <c r="H974" s="65"/>
      <c r="I974" s="65"/>
      <c r="J974" s="65"/>
      <c r="K974" s="65"/>
    </row>
    <row r="975" spans="1:11" x14ac:dyDescent="0.2">
      <c r="A975" s="69"/>
      <c r="B975" s="69"/>
      <c r="C975" s="69"/>
      <c r="D975" s="69"/>
      <c r="E975" s="69"/>
      <c r="F975" s="69"/>
      <c r="G975" s="50"/>
      <c r="H975" s="65"/>
      <c r="I975" s="65"/>
      <c r="J975" s="65"/>
      <c r="K975" s="65"/>
    </row>
    <row r="976" spans="1:11" x14ac:dyDescent="0.2">
      <c r="A976" s="69"/>
      <c r="B976" s="69"/>
      <c r="C976" s="69"/>
      <c r="D976" s="69"/>
      <c r="E976" s="69"/>
      <c r="F976" s="69"/>
      <c r="G976" s="50"/>
      <c r="H976" s="65"/>
      <c r="I976" s="65"/>
      <c r="J976" s="65"/>
      <c r="K976" s="65"/>
    </row>
    <row r="977" spans="1:11" x14ac:dyDescent="0.2">
      <c r="A977" s="69"/>
      <c r="B977" s="69"/>
      <c r="C977" s="69"/>
      <c r="D977" s="69"/>
      <c r="E977" s="69"/>
      <c r="F977" s="69"/>
      <c r="G977" s="50"/>
      <c r="H977" s="65"/>
      <c r="I977" s="65"/>
      <c r="J977" s="65"/>
      <c r="K977" s="65"/>
    </row>
    <row r="978" spans="1:11" x14ac:dyDescent="0.2">
      <c r="A978" s="69"/>
      <c r="B978" s="69"/>
      <c r="C978" s="69"/>
      <c r="D978" s="69"/>
      <c r="E978" s="69"/>
      <c r="F978" s="69"/>
      <c r="G978" s="50"/>
      <c r="H978" s="65"/>
      <c r="I978" s="65"/>
      <c r="J978" s="65"/>
      <c r="K978" s="65"/>
    </row>
    <row r="979" spans="1:11" x14ac:dyDescent="0.2">
      <c r="A979" s="69"/>
      <c r="B979" s="69"/>
      <c r="C979" s="69"/>
      <c r="D979" s="69"/>
      <c r="E979" s="69"/>
      <c r="F979" s="69"/>
      <c r="G979" s="50"/>
      <c r="H979" s="65"/>
      <c r="I979" s="65"/>
      <c r="J979" s="65"/>
      <c r="K979" s="65"/>
    </row>
    <row r="980" spans="1:11" x14ac:dyDescent="0.2">
      <c r="A980" s="69"/>
      <c r="B980" s="69"/>
      <c r="C980" s="69"/>
      <c r="D980" s="69"/>
      <c r="E980" s="69"/>
      <c r="F980" s="69"/>
      <c r="G980" s="50"/>
      <c r="H980" s="65"/>
      <c r="I980" s="65"/>
      <c r="J980" s="65"/>
      <c r="K980" s="65"/>
    </row>
    <row r="981" spans="1:11" x14ac:dyDescent="0.2">
      <c r="A981" s="69"/>
      <c r="B981" s="69"/>
      <c r="C981" s="69"/>
      <c r="D981" s="69"/>
      <c r="E981" s="69"/>
      <c r="F981" s="69"/>
      <c r="G981" s="50"/>
      <c r="H981" s="65"/>
      <c r="I981" s="65"/>
      <c r="J981" s="65"/>
      <c r="K981" s="65"/>
    </row>
    <row r="982" spans="1:11" x14ac:dyDescent="0.2">
      <c r="A982" s="69"/>
      <c r="B982" s="69"/>
      <c r="C982" s="69"/>
      <c r="D982" s="69"/>
      <c r="E982" s="69"/>
      <c r="F982" s="69"/>
      <c r="G982" s="50"/>
      <c r="H982" s="65"/>
      <c r="I982" s="65"/>
      <c r="J982" s="65"/>
      <c r="K982" s="65"/>
    </row>
    <row r="983" spans="1:11" x14ac:dyDescent="0.2">
      <c r="A983" s="69"/>
      <c r="B983" s="69"/>
      <c r="C983" s="69"/>
      <c r="D983" s="69"/>
      <c r="E983" s="69"/>
      <c r="F983" s="69"/>
      <c r="G983" s="50"/>
      <c r="H983" s="65"/>
      <c r="I983" s="65"/>
      <c r="J983" s="65"/>
      <c r="K983" s="65"/>
    </row>
    <row r="984" spans="1:11" x14ac:dyDescent="0.2">
      <c r="A984" s="69"/>
      <c r="B984" s="69"/>
      <c r="C984" s="69"/>
      <c r="D984" s="69"/>
      <c r="E984" s="69"/>
      <c r="F984" s="69"/>
      <c r="G984" s="50"/>
      <c r="H984" s="65"/>
      <c r="I984" s="65"/>
      <c r="J984" s="65"/>
      <c r="K984" s="65"/>
    </row>
    <row r="985" spans="1:11" x14ac:dyDescent="0.2">
      <c r="A985" s="69"/>
      <c r="B985" s="69"/>
      <c r="C985" s="69"/>
      <c r="D985" s="69"/>
      <c r="E985" s="69"/>
      <c r="F985" s="69"/>
      <c r="G985" s="50"/>
      <c r="H985" s="65"/>
      <c r="I985" s="65"/>
      <c r="J985" s="65"/>
      <c r="K985" s="65"/>
    </row>
    <row r="986" spans="1:11" x14ac:dyDescent="0.2">
      <c r="A986" s="69"/>
      <c r="B986" s="69"/>
      <c r="C986" s="69"/>
      <c r="D986" s="69"/>
      <c r="E986" s="69"/>
      <c r="F986" s="69"/>
      <c r="G986" s="50"/>
      <c r="H986" s="65"/>
      <c r="I986" s="65"/>
      <c r="J986" s="65"/>
      <c r="K986" s="65"/>
    </row>
    <row r="987" spans="1:11" x14ac:dyDescent="0.2">
      <c r="A987" s="69"/>
      <c r="B987" s="69"/>
      <c r="C987" s="69"/>
      <c r="D987" s="69"/>
      <c r="E987" s="69"/>
      <c r="F987" s="69"/>
      <c r="G987" s="50"/>
      <c r="H987" s="65"/>
      <c r="I987" s="65"/>
      <c r="J987" s="65"/>
      <c r="K987" s="65"/>
    </row>
    <row r="988" spans="1:11" x14ac:dyDescent="0.2">
      <c r="A988" s="69"/>
      <c r="B988" s="69"/>
      <c r="C988" s="69"/>
      <c r="D988" s="69"/>
      <c r="E988" s="69"/>
      <c r="F988" s="69"/>
      <c r="G988" s="50"/>
      <c r="H988" s="65"/>
      <c r="I988" s="65"/>
      <c r="J988" s="65"/>
      <c r="K988" s="65"/>
    </row>
    <row r="989" spans="1:11" x14ac:dyDescent="0.2">
      <c r="A989" s="69"/>
      <c r="B989" s="69"/>
      <c r="C989" s="69"/>
      <c r="D989" s="69"/>
      <c r="E989" s="69"/>
      <c r="F989" s="69"/>
      <c r="G989" s="50"/>
      <c r="H989" s="65"/>
      <c r="I989" s="65"/>
      <c r="J989" s="65"/>
      <c r="K989" s="65"/>
    </row>
    <row r="990" spans="1:11" x14ac:dyDescent="0.2">
      <c r="A990" s="69"/>
      <c r="B990" s="69"/>
      <c r="C990" s="69"/>
      <c r="D990" s="69"/>
      <c r="E990" s="69"/>
      <c r="F990" s="69"/>
      <c r="G990" s="50"/>
      <c r="H990" s="65"/>
      <c r="I990" s="65"/>
      <c r="J990" s="65"/>
      <c r="K990" s="65"/>
    </row>
    <row r="991" spans="1:11" x14ac:dyDescent="0.2">
      <c r="A991" s="69"/>
      <c r="B991" s="69"/>
      <c r="C991" s="69"/>
      <c r="D991" s="69"/>
      <c r="E991" s="69"/>
      <c r="F991" s="69"/>
      <c r="G991" s="50"/>
      <c r="H991" s="65"/>
      <c r="I991" s="65"/>
      <c r="J991" s="65"/>
      <c r="K991" s="65"/>
    </row>
    <row r="992" spans="1:11" x14ac:dyDescent="0.2">
      <c r="A992" s="69"/>
      <c r="B992" s="69"/>
      <c r="C992" s="69"/>
      <c r="D992" s="69"/>
      <c r="E992" s="69"/>
      <c r="F992" s="69"/>
      <c r="G992" s="50"/>
      <c r="H992" s="65"/>
      <c r="I992" s="65"/>
      <c r="J992" s="65"/>
      <c r="K992" s="65"/>
    </row>
    <row r="993" spans="1:11" x14ac:dyDescent="0.2">
      <c r="A993" s="69"/>
      <c r="B993" s="69"/>
      <c r="C993" s="69"/>
      <c r="D993" s="69"/>
      <c r="E993" s="69"/>
      <c r="F993" s="69"/>
      <c r="G993" s="50"/>
      <c r="H993" s="65"/>
      <c r="I993" s="65"/>
      <c r="J993" s="65"/>
      <c r="K993" s="65"/>
    </row>
    <row r="994" spans="1:11" x14ac:dyDescent="0.2">
      <c r="A994" s="69"/>
      <c r="B994" s="69"/>
      <c r="C994" s="69"/>
      <c r="D994" s="69"/>
      <c r="E994" s="69"/>
      <c r="F994" s="69"/>
      <c r="G994" s="50"/>
      <c r="H994" s="65"/>
      <c r="I994" s="65"/>
      <c r="J994" s="65"/>
      <c r="K994" s="65"/>
    </row>
    <row r="995" spans="1:11" x14ac:dyDescent="0.2">
      <c r="A995" s="69"/>
      <c r="B995" s="69"/>
      <c r="C995" s="69"/>
      <c r="D995" s="69"/>
      <c r="E995" s="69"/>
      <c r="F995" s="69"/>
      <c r="G995" s="50"/>
      <c r="H995" s="65"/>
      <c r="I995" s="65"/>
      <c r="J995" s="65"/>
      <c r="K995" s="65"/>
    </row>
    <row r="996" spans="1:11" x14ac:dyDescent="0.2">
      <c r="A996" s="69"/>
      <c r="B996" s="69"/>
      <c r="C996" s="69"/>
      <c r="D996" s="69"/>
      <c r="E996" s="69"/>
      <c r="F996" s="69"/>
      <c r="G996" s="50"/>
      <c r="H996" s="65"/>
      <c r="I996" s="65"/>
      <c r="J996" s="65"/>
      <c r="K996" s="65"/>
    </row>
    <row r="997" spans="1:11" x14ac:dyDescent="0.2">
      <c r="A997" s="69"/>
      <c r="B997" s="69"/>
      <c r="C997" s="69"/>
      <c r="D997" s="69"/>
      <c r="E997" s="69"/>
      <c r="F997" s="69"/>
      <c r="G997" s="50"/>
      <c r="H997" s="65"/>
      <c r="I997" s="65"/>
      <c r="J997" s="65"/>
      <c r="K997" s="65"/>
    </row>
    <row r="998" spans="1:11" x14ac:dyDescent="0.2">
      <c r="A998" s="69"/>
      <c r="B998" s="69"/>
      <c r="C998" s="69"/>
      <c r="D998" s="69"/>
      <c r="E998" s="69"/>
      <c r="F998" s="69"/>
      <c r="G998" s="50"/>
      <c r="H998" s="65"/>
      <c r="I998" s="65"/>
      <c r="J998" s="65"/>
      <c r="K998" s="65"/>
    </row>
    <row r="999" spans="1:11" x14ac:dyDescent="0.2">
      <c r="A999" s="69"/>
      <c r="B999" s="69"/>
      <c r="C999" s="69"/>
      <c r="D999" s="69"/>
      <c r="E999" s="69"/>
      <c r="F999" s="69"/>
      <c r="G999" s="50"/>
      <c r="H999" s="65"/>
      <c r="I999" s="65"/>
      <c r="J999" s="65"/>
      <c r="K999" s="65"/>
    </row>
    <row r="1000" spans="1:11" x14ac:dyDescent="0.2">
      <c r="A1000" s="69"/>
      <c r="B1000" s="69"/>
      <c r="C1000" s="69"/>
      <c r="D1000" s="69"/>
      <c r="E1000" s="69"/>
      <c r="F1000" s="69"/>
      <c r="G1000" s="50"/>
      <c r="H1000" s="65"/>
      <c r="I1000" s="65"/>
      <c r="J1000" s="65"/>
      <c r="K1000" s="65"/>
    </row>
    <row r="1001" spans="1:11" x14ac:dyDescent="0.2">
      <c r="A1001" s="69"/>
      <c r="B1001" s="69"/>
      <c r="C1001" s="69"/>
      <c r="D1001" s="69"/>
      <c r="E1001" s="69"/>
      <c r="F1001" s="69"/>
      <c r="G1001" s="50"/>
      <c r="H1001" s="65"/>
      <c r="I1001" s="65"/>
      <c r="J1001" s="65"/>
      <c r="K1001" s="65"/>
    </row>
    <row r="1002" spans="1:11" x14ac:dyDescent="0.2">
      <c r="A1002" s="69"/>
      <c r="B1002" s="69"/>
      <c r="C1002" s="69"/>
      <c r="D1002" s="69"/>
      <c r="E1002" s="69"/>
      <c r="F1002" s="69"/>
      <c r="G1002" s="50"/>
      <c r="H1002" s="65"/>
      <c r="I1002" s="65"/>
      <c r="J1002" s="65"/>
      <c r="K1002" s="65"/>
    </row>
    <row r="1003" spans="1:11" x14ac:dyDescent="0.2">
      <c r="A1003" s="69"/>
      <c r="B1003" s="69"/>
      <c r="C1003" s="69"/>
      <c r="D1003" s="69"/>
      <c r="E1003" s="69"/>
      <c r="F1003" s="69"/>
      <c r="G1003" s="50"/>
      <c r="H1003" s="65"/>
      <c r="I1003" s="65"/>
      <c r="J1003" s="65"/>
      <c r="K1003" s="65"/>
    </row>
    <row r="1004" spans="1:11" x14ac:dyDescent="0.2">
      <c r="A1004" s="69"/>
      <c r="B1004" s="69"/>
      <c r="C1004" s="69"/>
      <c r="D1004" s="69"/>
      <c r="E1004" s="69"/>
      <c r="F1004" s="69"/>
      <c r="G1004" s="50"/>
      <c r="H1004" s="65"/>
      <c r="I1004" s="65"/>
      <c r="J1004" s="65"/>
      <c r="K1004" s="65"/>
    </row>
    <row r="1005" spans="1:11" x14ac:dyDescent="0.2">
      <c r="A1005" s="69"/>
      <c r="B1005" s="69"/>
      <c r="C1005" s="69"/>
      <c r="D1005" s="69"/>
      <c r="E1005" s="69"/>
      <c r="F1005" s="69"/>
      <c r="G1005" s="50"/>
      <c r="H1005" s="65"/>
      <c r="I1005" s="65"/>
      <c r="J1005" s="65"/>
      <c r="K1005" s="65"/>
    </row>
    <row r="1006" spans="1:11" x14ac:dyDescent="0.2">
      <c r="A1006" s="69"/>
      <c r="B1006" s="69"/>
      <c r="C1006" s="69"/>
      <c r="D1006" s="69"/>
      <c r="E1006" s="69"/>
      <c r="F1006" s="69"/>
      <c r="G1006" s="50"/>
      <c r="H1006" s="65"/>
      <c r="I1006" s="65"/>
      <c r="J1006" s="65"/>
      <c r="K1006" s="65"/>
    </row>
    <row r="1007" spans="1:11" x14ac:dyDescent="0.2">
      <c r="A1007" s="69"/>
      <c r="B1007" s="69"/>
      <c r="C1007" s="69"/>
      <c r="D1007" s="69"/>
      <c r="E1007" s="69"/>
      <c r="F1007" s="69"/>
      <c r="G1007" s="50"/>
      <c r="H1007" s="65"/>
      <c r="I1007" s="65"/>
      <c r="J1007" s="65"/>
      <c r="K1007" s="65"/>
    </row>
    <row r="1008" spans="1:11" x14ac:dyDescent="0.2">
      <c r="A1008" s="69"/>
      <c r="B1008" s="69"/>
      <c r="C1008" s="69"/>
      <c r="D1008" s="69"/>
      <c r="E1008" s="69"/>
      <c r="F1008" s="69"/>
      <c r="G1008" s="50"/>
      <c r="H1008" s="65"/>
      <c r="I1008" s="65"/>
      <c r="J1008" s="65"/>
      <c r="K1008" s="65"/>
    </row>
    <row r="1009" spans="1:11" x14ac:dyDescent="0.2">
      <c r="A1009" s="69"/>
      <c r="B1009" s="69"/>
      <c r="C1009" s="69"/>
      <c r="D1009" s="69"/>
      <c r="E1009" s="69"/>
      <c r="F1009" s="69"/>
      <c r="G1009" s="50"/>
      <c r="H1009" s="65"/>
      <c r="I1009" s="65"/>
      <c r="J1009" s="65"/>
      <c r="K1009" s="65"/>
    </row>
    <row r="1010" spans="1:11" x14ac:dyDescent="0.2">
      <c r="A1010" s="69"/>
      <c r="B1010" s="50"/>
      <c r="C1010" s="50"/>
      <c r="D1010" s="50"/>
      <c r="E1010" s="50"/>
      <c r="F1010" s="50"/>
      <c r="G1010" s="50"/>
      <c r="H1010" s="65"/>
      <c r="I1010" s="65"/>
      <c r="J1010" s="65"/>
      <c r="K1010" s="65"/>
    </row>
    <row r="1011" spans="1:11" x14ac:dyDescent="0.2">
      <c r="A1011" s="69"/>
      <c r="B1011" s="50"/>
      <c r="C1011" s="50"/>
      <c r="D1011" s="50"/>
      <c r="E1011" s="50"/>
      <c r="F1011" s="50"/>
      <c r="G1011" s="50"/>
      <c r="H1011" s="65"/>
      <c r="I1011" s="65"/>
      <c r="J1011" s="65"/>
      <c r="K1011" s="65"/>
    </row>
    <row r="1014" spans="1:11" x14ac:dyDescent="0.2">
      <c r="A1014" s="69"/>
      <c r="B1014" s="50"/>
      <c r="C1014" s="50"/>
      <c r="D1014" s="50"/>
      <c r="E1014" s="50"/>
      <c r="F1014" s="50"/>
      <c r="G1014" s="50"/>
      <c r="H1014" s="65"/>
      <c r="I1014" s="65"/>
      <c r="J1014" s="65"/>
      <c r="K1014" s="65"/>
    </row>
    <row r="1015" spans="1:11" x14ac:dyDescent="0.2">
      <c r="A1015" s="69"/>
      <c r="B1015" s="50"/>
      <c r="C1015" s="50"/>
      <c r="D1015" s="50"/>
      <c r="E1015" s="50"/>
      <c r="F1015" s="50"/>
      <c r="G1015" s="50"/>
      <c r="H1015" s="65"/>
      <c r="I1015" s="65"/>
      <c r="J1015" s="65"/>
      <c r="K1015" s="65"/>
    </row>
    <row r="1016" spans="1:11" x14ac:dyDescent="0.2">
      <c r="A1016" s="69"/>
      <c r="B1016" s="50"/>
      <c r="C1016" s="50"/>
      <c r="D1016" s="50"/>
      <c r="E1016" s="50"/>
      <c r="F1016" s="50"/>
      <c r="G1016" s="50"/>
      <c r="H1016" s="65"/>
      <c r="I1016" s="65"/>
      <c r="J1016" s="65"/>
      <c r="K1016" s="65"/>
    </row>
    <row r="1017" spans="1:11" x14ac:dyDescent="0.2">
      <c r="A1017" s="69"/>
      <c r="B1017" s="50"/>
      <c r="C1017" s="50"/>
      <c r="D1017" s="50"/>
      <c r="E1017" s="50"/>
      <c r="F1017" s="50"/>
      <c r="G1017" s="50"/>
      <c r="H1017" s="65"/>
      <c r="I1017" s="65"/>
      <c r="J1017" s="65"/>
      <c r="K1017" s="65"/>
    </row>
    <row r="1018" spans="1:11" x14ac:dyDescent="0.2">
      <c r="A1018" s="69"/>
      <c r="B1018" s="50"/>
      <c r="C1018" s="50"/>
      <c r="D1018" s="50"/>
      <c r="E1018" s="50"/>
      <c r="F1018" s="50"/>
      <c r="G1018" s="50"/>
      <c r="H1018" s="65"/>
      <c r="I1018" s="65"/>
      <c r="J1018" s="65"/>
      <c r="K1018" s="65"/>
    </row>
    <row r="1019" spans="1:11" x14ac:dyDescent="0.2">
      <c r="A1019" s="69"/>
      <c r="B1019" s="50"/>
      <c r="C1019" s="50"/>
      <c r="D1019" s="50"/>
      <c r="E1019" s="50"/>
      <c r="F1019" s="50"/>
      <c r="G1019" s="50"/>
      <c r="H1019" s="65"/>
      <c r="I1019" s="65"/>
      <c r="J1019" s="65"/>
      <c r="K1019" s="65"/>
    </row>
    <row r="1020" spans="1:11" x14ac:dyDescent="0.2">
      <c r="A1020" s="69"/>
      <c r="B1020" s="50"/>
      <c r="C1020" s="50"/>
      <c r="D1020" s="50"/>
      <c r="E1020" s="50"/>
      <c r="F1020" s="50"/>
      <c r="G1020" s="50"/>
      <c r="H1020" s="65"/>
      <c r="I1020" s="65"/>
      <c r="J1020" s="65"/>
      <c r="K1020" s="65"/>
    </row>
    <row r="1021" spans="1:11" x14ac:dyDescent="0.2">
      <c r="A1021" s="69"/>
      <c r="B1021" s="50"/>
      <c r="C1021" s="50"/>
      <c r="D1021" s="50"/>
      <c r="E1021" s="50"/>
      <c r="F1021" s="50"/>
      <c r="G1021" s="50"/>
      <c r="H1021" s="65"/>
      <c r="I1021" s="65"/>
      <c r="J1021" s="65"/>
      <c r="K1021" s="65"/>
    </row>
    <row r="1022" spans="1:11" x14ac:dyDescent="0.2">
      <c r="A1022" s="69"/>
      <c r="B1022" s="50"/>
      <c r="C1022" s="50"/>
      <c r="D1022" s="50"/>
      <c r="E1022" s="50"/>
      <c r="F1022" s="50"/>
      <c r="G1022" s="50"/>
      <c r="H1022" s="65"/>
      <c r="I1022" s="65"/>
      <c r="J1022" s="65"/>
      <c r="K1022" s="65"/>
    </row>
    <row r="1023" spans="1:11" x14ac:dyDescent="0.2">
      <c r="A1023" s="69"/>
      <c r="B1023" s="50"/>
      <c r="C1023" s="50"/>
      <c r="D1023" s="50"/>
      <c r="E1023" s="50"/>
      <c r="F1023" s="50"/>
      <c r="G1023" s="50"/>
      <c r="H1023" s="65"/>
      <c r="I1023" s="65"/>
      <c r="J1023" s="65"/>
      <c r="K1023" s="65"/>
    </row>
    <row r="1024" spans="1:11" x14ac:dyDescent="0.2">
      <c r="A1024" s="69"/>
      <c r="B1024" s="50"/>
      <c r="C1024" s="50"/>
      <c r="D1024" s="50"/>
      <c r="E1024" s="50"/>
      <c r="F1024" s="50"/>
      <c r="G1024" s="50"/>
      <c r="H1024" s="65"/>
      <c r="I1024" s="65"/>
      <c r="J1024" s="65"/>
      <c r="K1024" s="65"/>
    </row>
    <row r="1025" spans="1:11" x14ac:dyDescent="0.2">
      <c r="A1025" s="69"/>
      <c r="B1025" s="50"/>
      <c r="C1025" s="50"/>
      <c r="D1025" s="50"/>
      <c r="E1025" s="50"/>
      <c r="F1025" s="50"/>
      <c r="G1025" s="50"/>
      <c r="H1025" s="65"/>
      <c r="I1025" s="65"/>
      <c r="J1025" s="65"/>
      <c r="K1025" s="65"/>
    </row>
    <row r="1026" spans="1:11" x14ac:dyDescent="0.2">
      <c r="A1026" s="69"/>
      <c r="B1026" s="50"/>
      <c r="C1026" s="50"/>
      <c r="D1026" s="50"/>
      <c r="E1026" s="50"/>
      <c r="F1026" s="50"/>
      <c r="G1026" s="50"/>
      <c r="H1026" s="65"/>
      <c r="I1026" s="65"/>
      <c r="J1026" s="65"/>
      <c r="K1026" s="65"/>
    </row>
    <row r="1027" spans="1:11" x14ac:dyDescent="0.2">
      <c r="A1027" s="69"/>
      <c r="B1027" s="50"/>
      <c r="C1027" s="50"/>
      <c r="D1027" s="50"/>
      <c r="E1027" s="50"/>
      <c r="F1027" s="50"/>
      <c r="G1027" s="50"/>
      <c r="H1027" s="65"/>
      <c r="I1027" s="65"/>
      <c r="J1027" s="65"/>
      <c r="K1027" s="65"/>
    </row>
    <row r="1028" spans="1:11" x14ac:dyDescent="0.2">
      <c r="A1028" s="69"/>
      <c r="B1028" s="50"/>
      <c r="C1028" s="50"/>
      <c r="D1028" s="50"/>
      <c r="E1028" s="50"/>
      <c r="F1028" s="50"/>
      <c r="G1028" s="50"/>
      <c r="H1028" s="65"/>
      <c r="I1028" s="65"/>
      <c r="J1028" s="65"/>
      <c r="K1028" s="65"/>
    </row>
    <row r="1029" spans="1:11" x14ac:dyDescent="0.2">
      <c r="A1029" s="69"/>
      <c r="B1029" s="50"/>
      <c r="C1029" s="50"/>
      <c r="D1029" s="50"/>
      <c r="E1029" s="50"/>
      <c r="F1029" s="50"/>
      <c r="G1029" s="50"/>
      <c r="H1029" s="65"/>
      <c r="I1029" s="65"/>
      <c r="J1029" s="65"/>
      <c r="K1029" s="65"/>
    </row>
    <row r="1030" spans="1:11" x14ac:dyDescent="0.2">
      <c r="A1030" s="69"/>
      <c r="B1030" s="50"/>
      <c r="C1030" s="50"/>
      <c r="D1030" s="50"/>
      <c r="E1030" s="50"/>
      <c r="F1030" s="50"/>
      <c r="G1030" s="50"/>
      <c r="H1030" s="65"/>
      <c r="I1030" s="65"/>
      <c r="J1030" s="65"/>
      <c r="K1030" s="65"/>
    </row>
    <row r="1031" spans="1:11" x14ac:dyDescent="0.2">
      <c r="A1031" s="69"/>
      <c r="B1031" s="50"/>
      <c r="C1031" s="50"/>
      <c r="D1031" s="50"/>
      <c r="E1031" s="50"/>
      <c r="F1031" s="50"/>
      <c r="G1031" s="50"/>
      <c r="H1031" s="65"/>
      <c r="I1031" s="65"/>
      <c r="J1031" s="65"/>
      <c r="K1031" s="65"/>
    </row>
    <row r="1032" spans="1:11" x14ac:dyDescent="0.2">
      <c r="A1032" s="69"/>
      <c r="B1032" s="50"/>
      <c r="C1032" s="50"/>
      <c r="D1032" s="50"/>
      <c r="E1032" s="50"/>
      <c r="F1032" s="50"/>
      <c r="G1032" s="50"/>
      <c r="H1032" s="65"/>
      <c r="I1032" s="65"/>
      <c r="J1032" s="65"/>
      <c r="K1032" s="65"/>
    </row>
    <row r="1033" spans="1:11" x14ac:dyDescent="0.2">
      <c r="A1033" s="69"/>
      <c r="B1033" s="50"/>
      <c r="C1033" s="50"/>
      <c r="D1033" s="50"/>
      <c r="E1033" s="50"/>
      <c r="F1033" s="50"/>
      <c r="G1033" s="50"/>
      <c r="H1033" s="65"/>
      <c r="I1033" s="65"/>
      <c r="J1033" s="65"/>
      <c r="K1033" s="65"/>
    </row>
    <row r="1034" spans="1:11" x14ac:dyDescent="0.2">
      <c r="A1034" s="69"/>
      <c r="B1034" s="50"/>
      <c r="C1034" s="50"/>
      <c r="D1034" s="50"/>
      <c r="E1034" s="50"/>
      <c r="F1034" s="50"/>
      <c r="G1034" s="50"/>
      <c r="H1034" s="65"/>
      <c r="I1034" s="65"/>
      <c r="J1034" s="65"/>
      <c r="K1034" s="65"/>
    </row>
    <row r="1035" spans="1:11" x14ac:dyDescent="0.2">
      <c r="A1035" s="69"/>
      <c r="B1035" s="50"/>
      <c r="C1035" s="50"/>
      <c r="D1035" s="50"/>
      <c r="E1035" s="50"/>
      <c r="F1035" s="50"/>
      <c r="G1035" s="50"/>
      <c r="H1035" s="65"/>
      <c r="I1035" s="65"/>
      <c r="J1035" s="65"/>
      <c r="K1035" s="65"/>
    </row>
    <row r="1036" spans="1:11" x14ac:dyDescent="0.2">
      <c r="A1036" s="69"/>
      <c r="B1036" s="50"/>
      <c r="C1036" s="50"/>
      <c r="D1036" s="50"/>
      <c r="E1036" s="50"/>
      <c r="F1036" s="50"/>
      <c r="G1036" s="50"/>
      <c r="H1036" s="65"/>
      <c r="I1036" s="65"/>
      <c r="J1036" s="65"/>
      <c r="K1036" s="65"/>
    </row>
    <row r="1037" spans="1:11" x14ac:dyDescent="0.2">
      <c r="A1037" s="69"/>
      <c r="B1037" s="50"/>
      <c r="C1037" s="50"/>
      <c r="D1037" s="50"/>
      <c r="E1037" s="50"/>
      <c r="F1037" s="50"/>
      <c r="G1037" s="50"/>
      <c r="H1037" s="65"/>
      <c r="I1037" s="65"/>
      <c r="J1037" s="65"/>
      <c r="K1037" s="65"/>
    </row>
    <row r="1038" spans="1:11" x14ac:dyDescent="0.2">
      <c r="A1038" s="69"/>
      <c r="B1038" s="50"/>
      <c r="C1038" s="50"/>
      <c r="D1038" s="50"/>
      <c r="E1038" s="50"/>
      <c r="F1038" s="50"/>
      <c r="G1038" s="50"/>
      <c r="H1038" s="65"/>
      <c r="I1038" s="65"/>
      <c r="J1038" s="65"/>
      <c r="K1038" s="65"/>
    </row>
    <row r="1039" spans="1:11" x14ac:dyDescent="0.2">
      <c r="A1039" s="69"/>
      <c r="B1039" s="50"/>
      <c r="C1039" s="50"/>
      <c r="D1039" s="50"/>
      <c r="E1039" s="50"/>
      <c r="F1039" s="50"/>
      <c r="G1039" s="50"/>
      <c r="H1039" s="65"/>
      <c r="I1039" s="65"/>
      <c r="J1039" s="65"/>
      <c r="K1039" s="65"/>
    </row>
    <row r="1040" spans="1:11" x14ac:dyDescent="0.2">
      <c r="A1040" s="69"/>
      <c r="B1040" s="50"/>
      <c r="C1040" s="50"/>
      <c r="D1040" s="50"/>
      <c r="E1040" s="50"/>
      <c r="F1040" s="50"/>
      <c r="G1040" s="50"/>
      <c r="H1040" s="65"/>
      <c r="I1040" s="65"/>
      <c r="J1040" s="65"/>
      <c r="K1040" s="65"/>
    </row>
    <row r="1041" spans="1:11" x14ac:dyDescent="0.2">
      <c r="A1041" s="69"/>
      <c r="B1041" s="50"/>
      <c r="C1041" s="50"/>
      <c r="D1041" s="50"/>
      <c r="E1041" s="50"/>
      <c r="F1041" s="50"/>
      <c r="G1041" s="50"/>
      <c r="H1041" s="65"/>
      <c r="I1041" s="65"/>
      <c r="J1041" s="65"/>
      <c r="K1041" s="65"/>
    </row>
    <row r="1042" spans="1:11" x14ac:dyDescent="0.2">
      <c r="A1042" s="69"/>
      <c r="B1042" s="50"/>
      <c r="C1042" s="50"/>
      <c r="D1042" s="50"/>
      <c r="E1042" s="50"/>
      <c r="F1042" s="50"/>
      <c r="G1042" s="50"/>
      <c r="H1042" s="65"/>
      <c r="I1042" s="65"/>
      <c r="J1042" s="65"/>
      <c r="K1042" s="65"/>
    </row>
    <row r="1043" spans="1:11" x14ac:dyDescent="0.2">
      <c r="A1043" s="69"/>
      <c r="B1043" s="50"/>
      <c r="C1043" s="50"/>
      <c r="D1043" s="50"/>
      <c r="E1043" s="50"/>
      <c r="F1043" s="50"/>
      <c r="G1043" s="50"/>
      <c r="H1043" s="65"/>
      <c r="I1043" s="65"/>
      <c r="J1043" s="65"/>
      <c r="K1043" s="65"/>
    </row>
    <row r="1044" spans="1:11" x14ac:dyDescent="0.2">
      <c r="A1044" s="69"/>
      <c r="B1044" s="50"/>
      <c r="C1044" s="50"/>
      <c r="D1044" s="50"/>
      <c r="E1044" s="50"/>
      <c r="F1044" s="50"/>
      <c r="G1044" s="50"/>
      <c r="H1044" s="65"/>
      <c r="I1044" s="65"/>
      <c r="J1044" s="65"/>
      <c r="K1044" s="65"/>
    </row>
    <row r="1045" spans="1:11" x14ac:dyDescent="0.2">
      <c r="A1045" s="69"/>
      <c r="B1045" s="50"/>
      <c r="C1045" s="50"/>
      <c r="D1045" s="50"/>
      <c r="E1045" s="50"/>
      <c r="F1045" s="50"/>
      <c r="G1045" s="50"/>
      <c r="H1045" s="65"/>
      <c r="I1045" s="65"/>
      <c r="J1045" s="65"/>
      <c r="K1045" s="65"/>
    </row>
    <row r="1046" spans="1:11" x14ac:dyDescent="0.2">
      <c r="A1046" s="69"/>
      <c r="B1046" s="50"/>
      <c r="C1046" s="50"/>
      <c r="D1046" s="50"/>
      <c r="E1046" s="50"/>
      <c r="F1046" s="50"/>
      <c r="G1046" s="50"/>
      <c r="H1046" s="65"/>
      <c r="I1046" s="65"/>
      <c r="J1046" s="65"/>
      <c r="K1046" s="65"/>
    </row>
    <row r="1047" spans="1:11" x14ac:dyDescent="0.2">
      <c r="A1047" s="69"/>
      <c r="B1047" s="50"/>
      <c r="C1047" s="50"/>
      <c r="D1047" s="50"/>
      <c r="E1047" s="50"/>
      <c r="F1047" s="50"/>
      <c r="G1047" s="50"/>
      <c r="H1047" s="65"/>
      <c r="I1047" s="65"/>
      <c r="J1047" s="65"/>
      <c r="K1047" s="65"/>
    </row>
    <row r="1048" spans="1:11" x14ac:dyDescent="0.2">
      <c r="A1048" s="69"/>
      <c r="B1048" s="50"/>
      <c r="C1048" s="50"/>
      <c r="D1048" s="50"/>
      <c r="E1048" s="50"/>
      <c r="F1048" s="50"/>
      <c r="G1048" s="50"/>
      <c r="H1048" s="65"/>
      <c r="I1048" s="65"/>
      <c r="J1048" s="65"/>
      <c r="K1048" s="65"/>
    </row>
    <row r="1049" spans="1:11" x14ac:dyDescent="0.2">
      <c r="A1049" s="69"/>
      <c r="B1049" s="50"/>
      <c r="C1049" s="50"/>
      <c r="D1049" s="50"/>
      <c r="E1049" s="50"/>
      <c r="F1049" s="50"/>
      <c r="G1049" s="50"/>
      <c r="H1049" s="65"/>
      <c r="I1049" s="65"/>
      <c r="J1049" s="65"/>
      <c r="K1049" s="65"/>
    </row>
    <row r="1050" spans="1:11" x14ac:dyDescent="0.2">
      <c r="A1050" s="69"/>
      <c r="B1050" s="50"/>
      <c r="C1050" s="50"/>
      <c r="D1050" s="50"/>
      <c r="E1050" s="50"/>
      <c r="F1050" s="50"/>
      <c r="G1050" s="50"/>
      <c r="H1050" s="65"/>
      <c r="I1050" s="65"/>
      <c r="J1050" s="65"/>
      <c r="K1050" s="65"/>
    </row>
    <row r="1051" spans="1:11" x14ac:dyDescent="0.2">
      <c r="A1051" s="69"/>
      <c r="B1051" s="50"/>
      <c r="C1051" s="50"/>
      <c r="D1051" s="50"/>
      <c r="E1051" s="50"/>
      <c r="F1051" s="50"/>
      <c r="G1051" s="50"/>
      <c r="H1051" s="65"/>
      <c r="I1051" s="65"/>
      <c r="J1051" s="65"/>
      <c r="K1051" s="65"/>
    </row>
    <row r="1052" spans="1:11" x14ac:dyDescent="0.2">
      <c r="A1052" s="69"/>
      <c r="B1052" s="50"/>
      <c r="C1052" s="50"/>
      <c r="D1052" s="50"/>
      <c r="E1052" s="50"/>
      <c r="F1052" s="50"/>
      <c r="G1052" s="50"/>
      <c r="H1052" s="65"/>
      <c r="I1052" s="65"/>
      <c r="J1052" s="65"/>
      <c r="K1052" s="65"/>
    </row>
    <row r="1053" spans="1:11" x14ac:dyDescent="0.2">
      <c r="A1053" s="69"/>
      <c r="B1053" s="50"/>
      <c r="C1053" s="50"/>
      <c r="D1053" s="50"/>
      <c r="E1053" s="50"/>
      <c r="F1053" s="50"/>
      <c r="G1053" s="50"/>
      <c r="H1053" s="65"/>
      <c r="I1053" s="65"/>
      <c r="J1053" s="65"/>
      <c r="K1053" s="65"/>
    </row>
    <row r="1054" spans="1:11" x14ac:dyDescent="0.2">
      <c r="A1054" s="69"/>
      <c r="B1054" s="50"/>
      <c r="C1054" s="50"/>
      <c r="D1054" s="50"/>
      <c r="E1054" s="50"/>
      <c r="F1054" s="50"/>
      <c r="G1054" s="50"/>
      <c r="H1054" s="65"/>
      <c r="I1054" s="65"/>
      <c r="J1054" s="65"/>
      <c r="K1054" s="65"/>
    </row>
    <row r="1055" spans="1:11" x14ac:dyDescent="0.2">
      <c r="A1055" s="69"/>
      <c r="B1055" s="50"/>
      <c r="C1055" s="50"/>
      <c r="D1055" s="50"/>
      <c r="E1055" s="50"/>
      <c r="F1055" s="50"/>
      <c r="G1055" s="50"/>
      <c r="H1055" s="65"/>
      <c r="I1055" s="65"/>
      <c r="J1055" s="65"/>
      <c r="K1055" s="65"/>
    </row>
    <row r="1056" spans="1:11" x14ac:dyDescent="0.2">
      <c r="A1056" s="69"/>
      <c r="B1056" s="50"/>
      <c r="C1056" s="50"/>
      <c r="D1056" s="50"/>
      <c r="E1056" s="50"/>
      <c r="F1056" s="50"/>
      <c r="G1056" s="50"/>
      <c r="H1056" s="65"/>
      <c r="I1056" s="65"/>
      <c r="J1056" s="65"/>
      <c r="K1056" s="65"/>
    </row>
    <row r="1057" spans="1:11" x14ac:dyDescent="0.2">
      <c r="A1057" s="69"/>
      <c r="B1057" s="50"/>
      <c r="C1057" s="50"/>
      <c r="D1057" s="50"/>
      <c r="E1057" s="50"/>
      <c r="F1057" s="50"/>
      <c r="G1057" s="50"/>
      <c r="H1057" s="65"/>
      <c r="I1057" s="65"/>
      <c r="J1057" s="65"/>
      <c r="K1057" s="65"/>
    </row>
    <row r="1058" spans="1:11" x14ac:dyDescent="0.2">
      <c r="A1058" s="69"/>
      <c r="B1058" s="50"/>
      <c r="C1058" s="50"/>
      <c r="D1058" s="50"/>
      <c r="E1058" s="50"/>
      <c r="F1058" s="50"/>
      <c r="G1058" s="50"/>
      <c r="H1058" s="65"/>
      <c r="I1058" s="65"/>
      <c r="J1058" s="65"/>
      <c r="K1058" s="65"/>
    </row>
    <row r="1059" spans="1:11" x14ac:dyDescent="0.2">
      <c r="A1059" s="69"/>
      <c r="B1059" s="50"/>
      <c r="C1059" s="50"/>
      <c r="D1059" s="50"/>
      <c r="E1059" s="50"/>
      <c r="F1059" s="50"/>
      <c r="G1059" s="50"/>
      <c r="H1059" s="65"/>
      <c r="I1059" s="65"/>
      <c r="J1059" s="65"/>
      <c r="K1059" s="65"/>
    </row>
    <row r="1060" spans="1:11" x14ac:dyDescent="0.2">
      <c r="A1060" s="69"/>
      <c r="B1060" s="50"/>
      <c r="C1060" s="50"/>
      <c r="D1060" s="50"/>
      <c r="E1060" s="50"/>
      <c r="F1060" s="50"/>
      <c r="G1060" s="50"/>
      <c r="H1060" s="65"/>
      <c r="I1060" s="65"/>
      <c r="J1060" s="65"/>
      <c r="K1060" s="65"/>
    </row>
    <row r="1061" spans="1:11" x14ac:dyDescent="0.2">
      <c r="A1061" s="69"/>
      <c r="B1061" s="50"/>
      <c r="C1061" s="50"/>
      <c r="D1061" s="50"/>
      <c r="E1061" s="50"/>
      <c r="F1061" s="50"/>
      <c r="G1061" s="50"/>
      <c r="H1061" s="65"/>
      <c r="I1061" s="65"/>
      <c r="J1061" s="65"/>
      <c r="K1061" s="65"/>
    </row>
    <row r="1062" spans="1:11" x14ac:dyDescent="0.2">
      <c r="A1062" s="69"/>
      <c r="B1062" s="50"/>
      <c r="C1062" s="50"/>
      <c r="D1062" s="50"/>
      <c r="E1062" s="50"/>
      <c r="F1062" s="50"/>
      <c r="G1062" s="50"/>
      <c r="H1062" s="65"/>
      <c r="I1062" s="65"/>
      <c r="J1062" s="65"/>
      <c r="K1062" s="65"/>
    </row>
    <row r="1063" spans="1:11" x14ac:dyDescent="0.2">
      <c r="A1063" s="69"/>
      <c r="B1063" s="50"/>
      <c r="C1063" s="50"/>
      <c r="D1063" s="50"/>
      <c r="E1063" s="50"/>
      <c r="F1063" s="50"/>
      <c r="G1063" s="50"/>
      <c r="H1063" s="65"/>
      <c r="I1063" s="65"/>
      <c r="J1063" s="65"/>
      <c r="K1063" s="65"/>
    </row>
    <row r="1064" spans="1:11" x14ac:dyDescent="0.2">
      <c r="A1064" s="69"/>
      <c r="B1064" s="50"/>
      <c r="C1064" s="50"/>
      <c r="D1064" s="50"/>
      <c r="E1064" s="50"/>
      <c r="F1064" s="50"/>
      <c r="G1064" s="50"/>
      <c r="H1064" s="65"/>
      <c r="I1064" s="65"/>
      <c r="J1064" s="65"/>
      <c r="K1064" s="65"/>
    </row>
    <row r="1065" spans="1:11" x14ac:dyDescent="0.2">
      <c r="A1065" s="69"/>
      <c r="B1065" s="50"/>
      <c r="C1065" s="50"/>
      <c r="D1065" s="50"/>
      <c r="E1065" s="50"/>
      <c r="F1065" s="50"/>
      <c r="G1065" s="50"/>
      <c r="H1065" s="65"/>
      <c r="I1065" s="65"/>
      <c r="J1065" s="65"/>
      <c r="K1065" s="65"/>
    </row>
    <row r="1066" spans="1:11" x14ac:dyDescent="0.2">
      <c r="A1066" s="69"/>
      <c r="B1066" s="50"/>
      <c r="C1066" s="50"/>
      <c r="D1066" s="50"/>
      <c r="E1066" s="50"/>
      <c r="F1066" s="50"/>
      <c r="G1066" s="50"/>
      <c r="H1066" s="65"/>
      <c r="I1066" s="65"/>
      <c r="J1066" s="65"/>
      <c r="K1066" s="65"/>
    </row>
    <row r="1067" spans="1:11" x14ac:dyDescent="0.2">
      <c r="A1067" s="69"/>
      <c r="B1067" s="50"/>
      <c r="C1067" s="50"/>
      <c r="D1067" s="50"/>
      <c r="E1067" s="50"/>
      <c r="F1067" s="50"/>
      <c r="G1067" s="50"/>
      <c r="H1067" s="65"/>
      <c r="I1067" s="65"/>
      <c r="J1067" s="65"/>
      <c r="K1067" s="65"/>
    </row>
    <row r="1068" spans="1:11" x14ac:dyDescent="0.2">
      <c r="A1068" s="69"/>
      <c r="B1068" s="50"/>
      <c r="C1068" s="50"/>
      <c r="D1068" s="50"/>
      <c r="E1068" s="50"/>
      <c r="F1068" s="50"/>
      <c r="G1068" s="50"/>
      <c r="H1068" s="65"/>
      <c r="I1068" s="65"/>
      <c r="J1068" s="65"/>
      <c r="K1068" s="65"/>
    </row>
    <row r="1069" spans="1:11" x14ac:dyDescent="0.2">
      <c r="A1069" s="69"/>
      <c r="B1069" s="50"/>
      <c r="C1069" s="50"/>
      <c r="D1069" s="50"/>
      <c r="E1069" s="50"/>
      <c r="F1069" s="50"/>
      <c r="G1069" s="50"/>
      <c r="H1069" s="65"/>
      <c r="I1069" s="65"/>
      <c r="J1069" s="65"/>
      <c r="K1069" s="65"/>
    </row>
    <row r="1070" spans="1:11" x14ac:dyDescent="0.2">
      <c r="A1070" s="69"/>
      <c r="B1070" s="50"/>
      <c r="C1070" s="50"/>
      <c r="D1070" s="50"/>
      <c r="E1070" s="50"/>
      <c r="F1070" s="50"/>
      <c r="G1070" s="50"/>
      <c r="H1070" s="65"/>
      <c r="I1070" s="65"/>
      <c r="J1070" s="65"/>
      <c r="K1070" s="65"/>
    </row>
    <row r="1071" spans="1:11" x14ac:dyDescent="0.2">
      <c r="A1071" s="69"/>
      <c r="B1071" s="50"/>
      <c r="C1071" s="50"/>
      <c r="D1071" s="50"/>
      <c r="E1071" s="50"/>
      <c r="F1071" s="50"/>
      <c r="G1071" s="50"/>
      <c r="H1071" s="65"/>
      <c r="I1071" s="65"/>
      <c r="J1071" s="65"/>
      <c r="K1071" s="65"/>
    </row>
    <row r="1072" spans="1:11" x14ac:dyDescent="0.2">
      <c r="A1072" s="69"/>
      <c r="B1072" s="50"/>
      <c r="C1072" s="50"/>
      <c r="D1072" s="50"/>
      <c r="E1072" s="50"/>
      <c r="F1072" s="50"/>
      <c r="G1072" s="50"/>
      <c r="H1072" s="65"/>
      <c r="I1072" s="65"/>
      <c r="J1072" s="65"/>
      <c r="K1072" s="65"/>
    </row>
    <row r="1073" spans="1:11" x14ac:dyDescent="0.2">
      <c r="A1073" s="69"/>
      <c r="B1073" s="50"/>
      <c r="C1073" s="50"/>
      <c r="D1073" s="50"/>
      <c r="E1073" s="50"/>
      <c r="F1073" s="50"/>
      <c r="G1073" s="50"/>
      <c r="H1073" s="65"/>
      <c r="I1073" s="65"/>
      <c r="J1073" s="65"/>
      <c r="K1073" s="65"/>
    </row>
    <row r="1074" spans="1:11" x14ac:dyDescent="0.2">
      <c r="A1074" s="69"/>
      <c r="B1074" s="50"/>
      <c r="C1074" s="50"/>
      <c r="D1074" s="50"/>
      <c r="E1074" s="50"/>
      <c r="F1074" s="50"/>
      <c r="G1074" s="50"/>
      <c r="H1074" s="65"/>
      <c r="I1074" s="65"/>
      <c r="J1074" s="65"/>
      <c r="K1074" s="65"/>
    </row>
    <row r="1075" spans="1:11" x14ac:dyDescent="0.2">
      <c r="A1075" s="69"/>
      <c r="B1075" s="50"/>
      <c r="C1075" s="50"/>
      <c r="D1075" s="50"/>
      <c r="E1075" s="50"/>
      <c r="F1075" s="50"/>
      <c r="G1075" s="50"/>
      <c r="H1075" s="65"/>
      <c r="I1075" s="65"/>
      <c r="J1075" s="65"/>
      <c r="K1075" s="65"/>
    </row>
    <row r="1076" spans="1:11" x14ac:dyDescent="0.2">
      <c r="A1076" s="69"/>
      <c r="B1076" s="50"/>
      <c r="C1076" s="50"/>
      <c r="D1076" s="50"/>
      <c r="E1076" s="50"/>
      <c r="F1076" s="50"/>
      <c r="G1076" s="50"/>
      <c r="H1076" s="65"/>
      <c r="I1076" s="65"/>
      <c r="J1076" s="65"/>
      <c r="K1076" s="65"/>
    </row>
    <row r="1077" spans="1:11" x14ac:dyDescent="0.2">
      <c r="A1077" s="69"/>
      <c r="B1077" s="50"/>
      <c r="C1077" s="50"/>
      <c r="D1077" s="50"/>
      <c r="E1077" s="50"/>
      <c r="F1077" s="50"/>
      <c r="G1077" s="50"/>
      <c r="H1077" s="65"/>
      <c r="I1077" s="65"/>
      <c r="J1077" s="65"/>
      <c r="K1077" s="65"/>
    </row>
    <row r="1078" spans="1:11" x14ac:dyDescent="0.2">
      <c r="A1078" s="69"/>
      <c r="B1078" s="50"/>
      <c r="C1078" s="50"/>
      <c r="D1078" s="50"/>
      <c r="E1078" s="50"/>
      <c r="F1078" s="50"/>
      <c r="G1078" s="50"/>
      <c r="H1078" s="65"/>
      <c r="I1078" s="65"/>
      <c r="J1078" s="65"/>
      <c r="K1078" s="65"/>
    </row>
    <row r="1079" spans="1:11" x14ac:dyDescent="0.2">
      <c r="A1079" s="69"/>
      <c r="B1079" s="50"/>
      <c r="C1079" s="50"/>
      <c r="D1079" s="50"/>
      <c r="E1079" s="50"/>
      <c r="F1079" s="50"/>
      <c r="G1079" s="50"/>
      <c r="H1079" s="65"/>
      <c r="I1079" s="65"/>
      <c r="J1079" s="65"/>
      <c r="K1079" s="65"/>
    </row>
    <row r="1080" spans="1:11" x14ac:dyDescent="0.2">
      <c r="A1080" s="69"/>
      <c r="B1080" s="50"/>
      <c r="C1080" s="50"/>
      <c r="D1080" s="50"/>
      <c r="E1080" s="50"/>
      <c r="F1080" s="50"/>
      <c r="G1080" s="50"/>
      <c r="H1080" s="65"/>
      <c r="I1080" s="65"/>
      <c r="J1080" s="65"/>
      <c r="K1080" s="65"/>
    </row>
    <row r="1081" spans="1:11" x14ac:dyDescent="0.2">
      <c r="A1081" s="69"/>
      <c r="B1081" s="50"/>
      <c r="C1081" s="50"/>
      <c r="D1081" s="50"/>
      <c r="E1081" s="50"/>
      <c r="F1081" s="50"/>
      <c r="G1081" s="50"/>
      <c r="H1081" s="65"/>
      <c r="I1081" s="65"/>
      <c r="J1081" s="65"/>
      <c r="K1081" s="65"/>
    </row>
    <row r="1082" spans="1:11" x14ac:dyDescent="0.2">
      <c r="A1082" s="69"/>
      <c r="B1082" s="50"/>
      <c r="C1082" s="50"/>
      <c r="D1082" s="50"/>
      <c r="E1082" s="50"/>
      <c r="F1082" s="50"/>
      <c r="G1082" s="50"/>
      <c r="H1082" s="65"/>
      <c r="I1082" s="65"/>
      <c r="J1082" s="65"/>
      <c r="K1082" s="65"/>
    </row>
    <row r="1083" spans="1:11" x14ac:dyDescent="0.2">
      <c r="A1083" s="69"/>
      <c r="B1083" s="50"/>
      <c r="C1083" s="50"/>
      <c r="D1083" s="50"/>
      <c r="E1083" s="50"/>
      <c r="F1083" s="50"/>
      <c r="G1083" s="50"/>
      <c r="H1083" s="65"/>
      <c r="I1083" s="65"/>
      <c r="J1083" s="65"/>
      <c r="K1083" s="65"/>
    </row>
    <row r="1084" spans="1:11" x14ac:dyDescent="0.2">
      <c r="A1084" s="69"/>
      <c r="B1084" s="50"/>
      <c r="C1084" s="50"/>
      <c r="D1084" s="50"/>
      <c r="E1084" s="50"/>
      <c r="F1084" s="50"/>
      <c r="G1084" s="50"/>
      <c r="H1084" s="65"/>
      <c r="I1084" s="65"/>
      <c r="J1084" s="65"/>
      <c r="K1084" s="65"/>
    </row>
    <row r="1085" spans="1:11" x14ac:dyDescent="0.2">
      <c r="A1085" s="69"/>
      <c r="B1085" s="50"/>
      <c r="C1085" s="50"/>
      <c r="D1085" s="50"/>
      <c r="E1085" s="50"/>
      <c r="F1085" s="50"/>
      <c r="G1085" s="50"/>
      <c r="H1085" s="65"/>
      <c r="I1085" s="65"/>
      <c r="J1085" s="65"/>
      <c r="K1085" s="65"/>
    </row>
    <row r="1086" spans="1:11" x14ac:dyDescent="0.2">
      <c r="A1086" s="69"/>
      <c r="B1086" s="50"/>
      <c r="C1086" s="50"/>
      <c r="D1086" s="50"/>
      <c r="E1086" s="50"/>
      <c r="F1086" s="50"/>
      <c r="G1086" s="50"/>
      <c r="H1086" s="65"/>
      <c r="I1086" s="65"/>
      <c r="J1086" s="65"/>
      <c r="K1086" s="65"/>
    </row>
    <row r="1087" spans="1:11" x14ac:dyDescent="0.2">
      <c r="A1087" s="69"/>
      <c r="B1087" s="50"/>
      <c r="C1087" s="50"/>
      <c r="D1087" s="50"/>
      <c r="E1087" s="50"/>
      <c r="F1087" s="50"/>
      <c r="G1087" s="50"/>
      <c r="H1087" s="65"/>
      <c r="I1087" s="65"/>
      <c r="J1087" s="65"/>
      <c r="K1087" s="65"/>
    </row>
    <row r="1088" spans="1:11" x14ac:dyDescent="0.2">
      <c r="A1088" s="69"/>
      <c r="B1088" s="50"/>
      <c r="C1088" s="50"/>
      <c r="D1088" s="50"/>
      <c r="E1088" s="50"/>
      <c r="F1088" s="50"/>
      <c r="G1088" s="50"/>
      <c r="H1088" s="65"/>
      <c r="I1088" s="65"/>
      <c r="J1088" s="65"/>
      <c r="K1088" s="65"/>
    </row>
    <row r="1089" spans="1:11" x14ac:dyDescent="0.2">
      <c r="A1089" s="69"/>
      <c r="B1089" s="50"/>
      <c r="C1089" s="50"/>
      <c r="D1089" s="50"/>
      <c r="E1089" s="50"/>
      <c r="F1089" s="50"/>
      <c r="G1089" s="50"/>
      <c r="H1089" s="65"/>
      <c r="I1089" s="65"/>
      <c r="J1089" s="65"/>
      <c r="K1089" s="65"/>
    </row>
    <row r="1090" spans="1:11" x14ac:dyDescent="0.2">
      <c r="A1090" s="69"/>
      <c r="B1090" s="50"/>
      <c r="C1090" s="50"/>
      <c r="D1090" s="50"/>
      <c r="E1090" s="50"/>
      <c r="F1090" s="50"/>
      <c r="G1090" s="50"/>
      <c r="H1090" s="65"/>
      <c r="I1090" s="65"/>
      <c r="J1090" s="65"/>
      <c r="K1090" s="65"/>
    </row>
    <row r="1091" spans="1:11" x14ac:dyDescent="0.2">
      <c r="A1091" s="69"/>
      <c r="B1091" s="50"/>
      <c r="C1091" s="50"/>
      <c r="D1091" s="50"/>
      <c r="E1091" s="50"/>
      <c r="F1091" s="50"/>
      <c r="G1091" s="50"/>
      <c r="H1091" s="65"/>
      <c r="I1091" s="65"/>
      <c r="J1091" s="65"/>
      <c r="K1091" s="65"/>
    </row>
    <row r="1092" spans="1:11" x14ac:dyDescent="0.2">
      <c r="A1092" s="69"/>
      <c r="B1092" s="50"/>
      <c r="C1092" s="50"/>
      <c r="D1092" s="50"/>
      <c r="E1092" s="50"/>
      <c r="F1092" s="50"/>
      <c r="G1092" s="50"/>
      <c r="H1092" s="65"/>
      <c r="I1092" s="65"/>
      <c r="J1092" s="65"/>
      <c r="K1092" s="65"/>
    </row>
    <row r="1093" spans="1:11" x14ac:dyDescent="0.2">
      <c r="A1093" s="69"/>
      <c r="B1093" s="50"/>
      <c r="C1093" s="50"/>
      <c r="D1093" s="50"/>
      <c r="E1093" s="50"/>
      <c r="F1093" s="50"/>
      <c r="G1093" s="50"/>
      <c r="H1093" s="65"/>
      <c r="I1093" s="65"/>
      <c r="J1093" s="65"/>
      <c r="K1093" s="65"/>
    </row>
    <row r="1094" spans="1:11" x14ac:dyDescent="0.2">
      <c r="A1094" s="69"/>
      <c r="B1094" s="50"/>
      <c r="C1094" s="50"/>
      <c r="D1094" s="50"/>
      <c r="E1094" s="50"/>
      <c r="F1094" s="50"/>
      <c r="G1094" s="50"/>
      <c r="H1094" s="65"/>
      <c r="I1094" s="65"/>
      <c r="J1094" s="65"/>
      <c r="K1094" s="65"/>
    </row>
    <row r="1095" spans="1:11" x14ac:dyDescent="0.2">
      <c r="A1095" s="69"/>
      <c r="B1095" s="50"/>
      <c r="C1095" s="50"/>
      <c r="D1095" s="50"/>
      <c r="E1095" s="50"/>
      <c r="F1095" s="50"/>
      <c r="G1095" s="50"/>
      <c r="H1095" s="65"/>
      <c r="I1095" s="65"/>
      <c r="J1095" s="65"/>
      <c r="K1095" s="65"/>
    </row>
    <row r="1096" spans="1:11" x14ac:dyDescent="0.2">
      <c r="A1096" s="69"/>
      <c r="B1096" s="50"/>
      <c r="C1096" s="50"/>
      <c r="D1096" s="50"/>
      <c r="E1096" s="50"/>
      <c r="F1096" s="50"/>
      <c r="G1096" s="50"/>
      <c r="H1096" s="65"/>
      <c r="I1096" s="65"/>
      <c r="J1096" s="65"/>
      <c r="K1096" s="65"/>
    </row>
    <row r="1097" spans="1:11" x14ac:dyDescent="0.2">
      <c r="A1097" s="69"/>
      <c r="B1097" s="50"/>
      <c r="C1097" s="50"/>
      <c r="D1097" s="50"/>
      <c r="E1097" s="50"/>
      <c r="F1097" s="50"/>
      <c r="G1097" s="50"/>
      <c r="H1097" s="65"/>
      <c r="I1097" s="65"/>
      <c r="J1097" s="65"/>
      <c r="K1097" s="65"/>
    </row>
    <row r="1098" spans="1:11" x14ac:dyDescent="0.2">
      <c r="A1098" s="69"/>
      <c r="B1098" s="50"/>
      <c r="C1098" s="50"/>
      <c r="D1098" s="50"/>
      <c r="E1098" s="50"/>
      <c r="F1098" s="50"/>
      <c r="G1098" s="50"/>
      <c r="H1098" s="65"/>
      <c r="I1098" s="65"/>
      <c r="J1098" s="65"/>
      <c r="K1098" s="65"/>
    </row>
    <row r="1099" spans="1:11" x14ac:dyDescent="0.2">
      <c r="A1099" s="69"/>
      <c r="B1099" s="50"/>
      <c r="C1099" s="50"/>
      <c r="D1099" s="50"/>
      <c r="E1099" s="50"/>
      <c r="F1099" s="50"/>
      <c r="G1099" s="50"/>
      <c r="H1099" s="65"/>
      <c r="I1099" s="65"/>
      <c r="J1099" s="65"/>
      <c r="K1099" s="65"/>
    </row>
    <row r="1100" spans="1:11" x14ac:dyDescent="0.2">
      <c r="A1100" s="69"/>
      <c r="B1100" s="50"/>
      <c r="C1100" s="50"/>
      <c r="D1100" s="50"/>
      <c r="E1100" s="50"/>
      <c r="F1100" s="50"/>
      <c r="G1100" s="50"/>
      <c r="H1100" s="65"/>
      <c r="I1100" s="65"/>
      <c r="J1100" s="65"/>
      <c r="K1100" s="65"/>
    </row>
    <row r="1101" spans="1:11" x14ac:dyDescent="0.2">
      <c r="A1101" s="69"/>
      <c r="B1101" s="50"/>
      <c r="C1101" s="50"/>
      <c r="D1101" s="50"/>
      <c r="E1101" s="50"/>
      <c r="F1101" s="50"/>
      <c r="G1101" s="50"/>
      <c r="H1101" s="65"/>
      <c r="I1101" s="65"/>
      <c r="J1101" s="65"/>
      <c r="K1101" s="65"/>
    </row>
    <row r="1102" spans="1:11" x14ac:dyDescent="0.2">
      <c r="A1102" s="69"/>
      <c r="B1102" s="50"/>
      <c r="C1102" s="50"/>
      <c r="D1102" s="50"/>
      <c r="E1102" s="50"/>
      <c r="F1102" s="50"/>
      <c r="G1102" s="50"/>
      <c r="H1102" s="65"/>
      <c r="I1102" s="65"/>
      <c r="J1102" s="65"/>
      <c r="K1102" s="65"/>
    </row>
    <row r="1103" spans="1:11" x14ac:dyDescent="0.2">
      <c r="A1103" s="69"/>
      <c r="B1103" s="50"/>
      <c r="C1103" s="50"/>
      <c r="D1103" s="50"/>
      <c r="E1103" s="50"/>
      <c r="F1103" s="50"/>
      <c r="G1103" s="50"/>
      <c r="H1103" s="65"/>
      <c r="I1103" s="65"/>
      <c r="J1103" s="65"/>
      <c r="K1103" s="65"/>
    </row>
    <row r="1104" spans="1:11" x14ac:dyDescent="0.2">
      <c r="A1104" s="69"/>
      <c r="B1104" s="50"/>
      <c r="C1104" s="50"/>
      <c r="D1104" s="50"/>
      <c r="E1104" s="50"/>
      <c r="F1104" s="50"/>
      <c r="G1104" s="50"/>
      <c r="H1104" s="65"/>
      <c r="I1104" s="65"/>
      <c r="J1104" s="65"/>
      <c r="K1104" s="65"/>
    </row>
    <row r="1105" spans="1:11" x14ac:dyDescent="0.2">
      <c r="A1105" s="69"/>
      <c r="B1105" s="50"/>
      <c r="C1105" s="50"/>
      <c r="D1105" s="50"/>
      <c r="E1105" s="50"/>
      <c r="F1105" s="50"/>
      <c r="G1105" s="50"/>
      <c r="H1105" s="65"/>
      <c r="I1105" s="65"/>
      <c r="J1105" s="65"/>
      <c r="K1105" s="65"/>
    </row>
    <row r="1106" spans="1:11" x14ac:dyDescent="0.2">
      <c r="A1106" s="69"/>
      <c r="B1106" s="50"/>
      <c r="C1106" s="50"/>
      <c r="D1106" s="50"/>
      <c r="E1106" s="50"/>
      <c r="F1106" s="50"/>
      <c r="G1106" s="50"/>
      <c r="H1106" s="65"/>
      <c r="I1106" s="65"/>
      <c r="J1106" s="65"/>
      <c r="K1106" s="65"/>
    </row>
    <row r="1107" spans="1:11" x14ac:dyDescent="0.2">
      <c r="A1107" s="69"/>
      <c r="B1107" s="50"/>
      <c r="C1107" s="50"/>
      <c r="D1107" s="50"/>
      <c r="E1107" s="50"/>
      <c r="F1107" s="50"/>
      <c r="G1107" s="50"/>
      <c r="H1107" s="65"/>
      <c r="I1107" s="65"/>
      <c r="J1107" s="65"/>
      <c r="K1107" s="65"/>
    </row>
    <row r="1108" spans="1:11" x14ac:dyDescent="0.2">
      <c r="A1108" s="69"/>
      <c r="B1108" s="50"/>
      <c r="C1108" s="50"/>
      <c r="D1108" s="50"/>
      <c r="E1108" s="50"/>
      <c r="F1108" s="50"/>
      <c r="G1108" s="50"/>
      <c r="H1108" s="65"/>
      <c r="I1108" s="65"/>
      <c r="J1108" s="65"/>
      <c r="K1108" s="65"/>
    </row>
    <row r="1109" spans="1:11" x14ac:dyDescent="0.2">
      <c r="A1109" s="69"/>
      <c r="B1109" s="50"/>
      <c r="C1109" s="50"/>
      <c r="D1109" s="50"/>
      <c r="E1109" s="50"/>
      <c r="F1109" s="50"/>
      <c r="G1109" s="50"/>
      <c r="H1109" s="65"/>
      <c r="I1109" s="65"/>
      <c r="J1109" s="65"/>
      <c r="K1109" s="65"/>
    </row>
    <row r="1110" spans="1:11" x14ac:dyDescent="0.2">
      <c r="A1110" s="69"/>
      <c r="B1110" s="50"/>
      <c r="C1110" s="50"/>
      <c r="D1110" s="50"/>
      <c r="E1110" s="50"/>
      <c r="F1110" s="50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3" spans="1:11" x14ac:dyDescent="0.2">
      <c r="A1113" s="69"/>
      <c r="B1113" s="50"/>
      <c r="C1113" s="50"/>
      <c r="D1113" s="50"/>
      <c r="E1113" s="50"/>
      <c r="F1113" s="50"/>
      <c r="G1113" s="50"/>
      <c r="H1113" s="65"/>
      <c r="I1113" s="65"/>
      <c r="J1113" s="65"/>
      <c r="K1113" s="65"/>
    </row>
    <row r="1114" spans="1:11" x14ac:dyDescent="0.2">
      <c r="A1114" s="69"/>
      <c r="B1114" s="50"/>
      <c r="C1114" s="50"/>
      <c r="D1114" s="50"/>
      <c r="E1114" s="50"/>
      <c r="F1114" s="50"/>
      <c r="G1114" s="50"/>
      <c r="H1114" s="65"/>
      <c r="I1114" s="65"/>
      <c r="J1114" s="65"/>
      <c r="K1114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</sheetData>
  <sortState ref="A19:S825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F64" sqref="F64"/>
    </sheetView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3" t="s">
        <v>1138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4"/>
    </row>
    <row r="39" spans="2:2" x14ac:dyDescent="0.2">
      <c r="B39" s="1" t="s">
        <v>275</v>
      </c>
    </row>
    <row r="40" spans="2:2" x14ac:dyDescent="0.2">
      <c r="B40" s="1" t="s">
        <v>288</v>
      </c>
    </row>
    <row r="41" spans="2:2" x14ac:dyDescent="0.2">
      <c r="B41" s="1" t="s">
        <v>478</v>
      </c>
    </row>
    <row r="42" spans="2:2" x14ac:dyDescent="0.2">
      <c r="B42" s="1" t="s">
        <v>479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B2" sqref="B2"/>
    </sheetView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53" t="s">
        <v>1138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987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196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2" t="s">
        <v>499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975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976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498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307</v>
      </c>
    </row>
    <row r="50" spans="2:2" x14ac:dyDescent="0.2">
      <c r="B50" s="193" t="s">
        <v>304</v>
      </c>
    </row>
    <row r="51" spans="2:2" x14ac:dyDescent="0.2">
      <c r="B51" s="2" t="s">
        <v>656</v>
      </c>
    </row>
    <row r="52" spans="2:2" x14ac:dyDescent="0.2">
      <c r="B52" s="2" t="s">
        <v>305</v>
      </c>
    </row>
    <row r="54" spans="2:2" x14ac:dyDescent="0.2">
      <c r="B54" s="2" t="s">
        <v>306</v>
      </c>
    </row>
    <row r="56" spans="2:2" x14ac:dyDescent="0.2">
      <c r="B56" s="98" t="s">
        <v>308</v>
      </c>
    </row>
    <row r="62" spans="2:2" x14ac:dyDescent="0.2">
      <c r="B62" s="2" t="s">
        <v>309</v>
      </c>
    </row>
    <row r="64" spans="2:2" x14ac:dyDescent="0.2">
      <c r="B64" s="2" t="s">
        <v>310</v>
      </c>
    </row>
    <row r="65" spans="2:2" x14ac:dyDescent="0.2">
      <c r="B65" s="2" t="s">
        <v>311</v>
      </c>
    </row>
    <row r="66" spans="2:2" x14ac:dyDescent="0.2">
      <c r="B66" s="2" t="s">
        <v>312</v>
      </c>
    </row>
    <row r="69" spans="2:2" x14ac:dyDescent="0.2">
      <c r="B69" s="173"/>
    </row>
    <row r="70" spans="2:2" x14ac:dyDescent="0.2">
      <c r="B70"/>
    </row>
    <row r="74" spans="2:2" ht="15.75" x14ac:dyDescent="0.3">
      <c r="B74" s="194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3" t="s">
        <v>1138</v>
      </c>
    </row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951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897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952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1023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53" t="s">
        <v>1138</v>
      </c>
    </row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127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128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>
      <selection activeCell="F5" sqref="F5"/>
    </sheetView>
  </sheetViews>
  <sheetFormatPr defaultRowHeight="12.75" x14ac:dyDescent="0.2"/>
  <cols>
    <col min="1" max="16384" width="9.140625" style="2"/>
  </cols>
  <sheetData>
    <row r="5" spans="6:6" x14ac:dyDescent="0.2">
      <c r="F5" s="253" t="s">
        <v>1139</v>
      </c>
    </row>
    <row r="39" spans="1:17" x14ac:dyDescent="0.2">
      <c r="A39" s="98"/>
      <c r="B39" s="99" t="s">
        <v>991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480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889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246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5" spans="6:6" x14ac:dyDescent="0.2">
      <c r="F5" s="253" t="s">
        <v>1138</v>
      </c>
    </row>
    <row r="39" spans="1:16" x14ac:dyDescent="0.2">
      <c r="A39" s="98"/>
      <c r="B39" s="99" t="s">
        <v>991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845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889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891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6"/>
  <sheetViews>
    <sheetView showGridLines="0" showRowColHeaders="0" workbookViewId="0">
      <pane ySplit="22" topLeftCell="A156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6" t="s">
        <v>911</v>
      </c>
      <c r="C2" s="44"/>
      <c r="D2" s="44"/>
      <c r="E2" s="44"/>
      <c r="F2" s="253" t="s">
        <v>1138</v>
      </c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662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714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715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665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177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666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661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89" t="s">
        <v>893</v>
      </c>
      <c r="D21" s="289" t="s">
        <v>894</v>
      </c>
      <c r="E21" s="290" t="s">
        <v>414</v>
      </c>
      <c r="F21" s="290" t="s">
        <v>895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89"/>
      <c r="D22" s="289"/>
      <c r="E22" s="291"/>
      <c r="F22" s="291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1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1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1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1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1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1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1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1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1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1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1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1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1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1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59">
        <v>40268</v>
      </c>
      <c r="C135" s="238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59">
        <v>40298</v>
      </c>
      <c r="C136" s="238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59">
        <v>40329</v>
      </c>
      <c r="C137" s="160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59">
        <v>40359</v>
      </c>
      <c r="C138" s="160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59">
        <v>40390</v>
      </c>
      <c r="C139" s="160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59">
        <v>40421</v>
      </c>
      <c r="C140" s="160">
        <v>2.9506999372779858E-2</v>
      </c>
      <c r="D140" s="62">
        <v>1.7359436795189032E-2</v>
      </c>
      <c r="F140" s="62"/>
      <c r="H140" s="221"/>
      <c r="J140" s="67"/>
      <c r="K140" s="90"/>
      <c r="L140" s="90"/>
    </row>
    <row r="141" spans="2:12" x14ac:dyDescent="0.2">
      <c r="B141" s="159">
        <v>40451</v>
      </c>
      <c r="C141" s="160">
        <v>3.335931017917132E-2</v>
      </c>
      <c r="D141" s="62">
        <v>2.0682496548403373E-2</v>
      </c>
      <c r="F141" s="62"/>
      <c r="H141" s="221"/>
      <c r="J141" s="67"/>
      <c r="K141" s="90"/>
      <c r="L141" s="90"/>
    </row>
    <row r="142" spans="2:12" x14ac:dyDescent="0.2">
      <c r="B142" s="159">
        <v>40482</v>
      </c>
      <c r="C142" s="160">
        <v>3.5975209023492986E-2</v>
      </c>
      <c r="D142" s="62">
        <v>2.3125833495651227E-2</v>
      </c>
      <c r="F142" s="62"/>
      <c r="H142" s="221"/>
      <c r="J142" s="67"/>
      <c r="K142" s="90"/>
      <c r="L142" s="90"/>
    </row>
    <row r="143" spans="2:12" x14ac:dyDescent="0.2">
      <c r="B143" s="159">
        <v>40512</v>
      </c>
      <c r="C143" s="160">
        <v>3.7473871553749323E-2</v>
      </c>
      <c r="D143" s="62">
        <v>2.4458909450991939E-2</v>
      </c>
      <c r="F143" s="62"/>
      <c r="H143" s="221"/>
      <c r="J143" s="67"/>
      <c r="K143" s="90"/>
      <c r="L143" s="90"/>
    </row>
    <row r="144" spans="2:12" x14ac:dyDescent="0.2">
      <c r="B144" s="159">
        <v>40543</v>
      </c>
      <c r="C144" s="160">
        <v>4.2412769241055637E-2</v>
      </c>
      <c r="D144" s="62">
        <v>2.8949994981807947E-2</v>
      </c>
      <c r="E144" s="223">
        <v>2.15332568359375E-2</v>
      </c>
      <c r="F144" s="223">
        <v>8.3401417466919536E-3</v>
      </c>
      <c r="H144" s="62"/>
      <c r="J144" s="67"/>
      <c r="K144" s="90"/>
    </row>
    <row r="145" spans="2:11" x14ac:dyDescent="0.2">
      <c r="B145" s="159">
        <v>40574</v>
      </c>
      <c r="C145" s="175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59">
        <v>40602</v>
      </c>
      <c r="C146" s="160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59">
        <v>40633</v>
      </c>
      <c r="C147" s="160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59">
        <v>40663</v>
      </c>
      <c r="C148" s="160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59">
        <v>40694</v>
      </c>
      <c r="C149" s="160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59">
        <v>40724</v>
      </c>
      <c r="C150" s="160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59">
        <v>40755</v>
      </c>
      <c r="C151" s="160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59">
        <v>40786</v>
      </c>
      <c r="C152" s="160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59">
        <v>40816</v>
      </c>
      <c r="C153" s="162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59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59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59">
        <v>40908</v>
      </c>
      <c r="C156" s="62">
        <v>2.412726074218751E-2</v>
      </c>
      <c r="D156" s="62">
        <v>1.0515910236677195E-2</v>
      </c>
      <c r="E156" s="223">
        <v>2.0072153320312508E-2</v>
      </c>
      <c r="F156" s="62">
        <v>6.5146979610135602E-3</v>
      </c>
      <c r="H156" s="62"/>
    </row>
    <row r="157" spans="2:11" x14ac:dyDescent="0.2">
      <c r="B157" s="159">
        <v>40939</v>
      </c>
      <c r="C157" s="62">
        <v>3.1015268554687503E-2</v>
      </c>
      <c r="D157" s="62">
        <v>1.7941996911883917E-2</v>
      </c>
    </row>
    <row r="158" spans="2:11" x14ac:dyDescent="0.2">
      <c r="B158" s="159">
        <v>40968</v>
      </c>
      <c r="C158" s="62">
        <v>3.5189965820312516E-2</v>
      </c>
      <c r="D158" s="62">
        <v>2.1729992452113711E-2</v>
      </c>
    </row>
    <row r="159" spans="2:11" x14ac:dyDescent="0.2">
      <c r="B159" s="255">
        <v>40999</v>
      </c>
      <c r="C159" s="162">
        <v>3.4631059570312511E-2</v>
      </c>
      <c r="D159" s="62">
        <v>2.1076218730202267E-2</v>
      </c>
    </row>
    <row r="160" spans="2:11" x14ac:dyDescent="0.2">
      <c r="B160" s="255">
        <v>41029</v>
      </c>
      <c r="C160" s="162">
        <v>3.3569233398437495E-2</v>
      </c>
      <c r="D160" s="62">
        <v>2.0288992060290667E-2</v>
      </c>
    </row>
    <row r="161" spans="2:4" x14ac:dyDescent="0.2">
      <c r="B161" s="255">
        <v>41060</v>
      </c>
      <c r="C161" s="162">
        <v>2.8288481445312506E-2</v>
      </c>
      <c r="D161" s="175">
        <v>1.4865738425540842E-2</v>
      </c>
    </row>
    <row r="162" spans="2:4" x14ac:dyDescent="0.2">
      <c r="B162" s="255">
        <v>41090</v>
      </c>
      <c r="C162" s="162">
        <v>2.8859262695312506E-2</v>
      </c>
      <c r="D162" s="175">
        <v>1.5632923947092037E-2</v>
      </c>
    </row>
    <row r="163" spans="2:4" x14ac:dyDescent="0.2">
      <c r="B163" s="255">
        <v>41121</v>
      </c>
      <c r="C163" s="162">
        <v>3.0935004882812506E-2</v>
      </c>
      <c r="D163" s="175">
        <v>1.7977601349618677E-2</v>
      </c>
    </row>
    <row r="164" spans="2:4" x14ac:dyDescent="0.2">
      <c r="B164" s="255">
        <v>41152</v>
      </c>
      <c r="C164" s="162">
        <v>3.1047563476562505E-2</v>
      </c>
      <c r="D164" s="175">
        <v>1.809066091010636E-2</v>
      </c>
    </row>
    <row r="165" spans="2:4" x14ac:dyDescent="0.2">
      <c r="B165" s="255">
        <v>41182</v>
      </c>
      <c r="C165" s="162">
        <v>3.2554301757812515E-2</v>
      </c>
      <c r="D165" s="175">
        <v>1.9407039951484961E-2</v>
      </c>
    </row>
    <row r="166" spans="2:4" x14ac:dyDescent="0.2">
      <c r="B166" s="255">
        <v>41213</v>
      </c>
      <c r="C166" s="162">
        <v>3.2000000000000001E-2</v>
      </c>
      <c r="D166" s="175">
        <v>1.9E-2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N12" sqref="N12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667</v>
      </c>
    </row>
    <row r="2" spans="1:20" ht="18" x14ac:dyDescent="0.25">
      <c r="B2" s="227" t="s">
        <v>912</v>
      </c>
      <c r="I2" s="253" t="s">
        <v>1138</v>
      </c>
      <c r="P2" s="46"/>
    </row>
    <row r="4" spans="1:20" x14ac:dyDescent="0.2">
      <c r="B4" s="47" t="s">
        <v>898</v>
      </c>
      <c r="P4" s="47"/>
    </row>
    <row r="5" spans="1:20" x14ac:dyDescent="0.2">
      <c r="B5" s="47" t="s">
        <v>667</v>
      </c>
      <c r="P5" s="47"/>
    </row>
    <row r="6" spans="1:20" x14ac:dyDescent="0.2">
      <c r="B6" s="47" t="s">
        <v>899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900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0">
        <v>41213</v>
      </c>
      <c r="P11" s="80"/>
      <c r="Q11" s="85"/>
      <c r="R11" s="80"/>
    </row>
    <row r="12" spans="1:20" x14ac:dyDescent="0.2">
      <c r="B12" s="44" t="s">
        <v>413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5">
        <v>0.12151293044644662</v>
      </c>
      <c r="M12" s="62">
        <v>-0.10687426681227297</v>
      </c>
      <c r="N12" s="275">
        <v>9.611628172338138E-2</v>
      </c>
      <c r="P12" s="76"/>
      <c r="Q12" s="86"/>
      <c r="S12" s="66"/>
    </row>
    <row r="13" spans="1:20" x14ac:dyDescent="0.2">
      <c r="B13" s="19" t="s">
        <v>696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5">
        <v>0.14644453351666153</v>
      </c>
      <c r="M13" s="62">
        <v>-0.10536246609942557</v>
      </c>
      <c r="N13" s="276">
        <v>0.15135384757065684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949</v>
      </c>
      <c r="L16" s="98"/>
      <c r="P16" s="88"/>
      <c r="Q16" s="89"/>
      <c r="S16" s="66"/>
    </row>
    <row r="17" spans="1:19" x14ac:dyDescent="0.2">
      <c r="B17" s="19" t="s">
        <v>950</v>
      </c>
      <c r="L17" s="98"/>
      <c r="P17" s="76"/>
      <c r="Q17" s="90"/>
      <c r="S17" s="66"/>
    </row>
    <row r="18" spans="1:19" x14ac:dyDescent="0.2">
      <c r="A18" s="83"/>
      <c r="C18" s="176"/>
      <c r="D18" s="176"/>
      <c r="E18" s="176"/>
      <c r="F18" s="176"/>
      <c r="G18" s="176"/>
      <c r="H18" s="176"/>
      <c r="I18" s="176"/>
      <c r="J18" s="176"/>
      <c r="K18" s="176"/>
      <c r="L18" s="177"/>
      <c r="M18" s="83"/>
      <c r="N18" s="259"/>
      <c r="P18" s="76"/>
      <c r="Q18" s="90"/>
      <c r="S18" s="66"/>
    </row>
    <row r="19" spans="1:19" x14ac:dyDescent="0.2">
      <c r="A19" s="83"/>
      <c r="F19" s="176"/>
      <c r="G19" s="176"/>
      <c r="H19" s="176"/>
      <c r="I19" s="176"/>
      <c r="J19" s="176"/>
      <c r="K19" s="176"/>
      <c r="L19" s="178"/>
      <c r="M19" s="83"/>
      <c r="N19" s="259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59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6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59"/>
      <c r="O23" s="259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79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J2" s="253" t="s">
        <v>1138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5">
        <v>40543</v>
      </c>
      <c r="N11" s="195">
        <v>40908</v>
      </c>
      <c r="O11" s="252">
        <v>41213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678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0">
        <v>323.04324834873717</v>
      </c>
      <c r="N12" s="170">
        <v>354.29697772737427</v>
      </c>
      <c r="O12" s="65">
        <v>355.43909777910881</v>
      </c>
    </row>
    <row r="13" spans="1:27" x14ac:dyDescent="0.2">
      <c r="B13" s="44" t="s">
        <v>679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0">
        <v>408.47751268748601</v>
      </c>
      <c r="N13" s="170">
        <v>393.15689279941199</v>
      </c>
      <c r="O13" s="65">
        <v>429.77920547154798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0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8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5"/>
      <c r="C18" s="62"/>
      <c r="D18" s="62"/>
      <c r="E18" s="62"/>
      <c r="F18" s="62"/>
      <c r="G18" s="62"/>
      <c r="H18" s="62"/>
      <c r="I18" s="62"/>
      <c r="K18" s="65"/>
      <c r="L18" s="155"/>
      <c r="N18" s="66"/>
    </row>
    <row r="19" spans="2:14" x14ac:dyDescent="0.2">
      <c r="B19" s="155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55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7" t="s">
        <v>913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253" t="s">
        <v>1138</v>
      </c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178</v>
      </c>
      <c r="I7" s="47"/>
      <c r="K7" s="47"/>
    </row>
    <row r="8" spans="2:22" x14ac:dyDescent="0.2">
      <c r="B8" s="47" t="s">
        <v>892</v>
      </c>
      <c r="I8" s="47"/>
      <c r="K8" s="47"/>
    </row>
    <row r="9" spans="2:22" x14ac:dyDescent="0.2">
      <c r="B9" s="47"/>
      <c r="I9" s="47"/>
    </row>
    <row r="10" spans="2:22" x14ac:dyDescent="0.2">
      <c r="B10" s="251" t="s">
        <v>5</v>
      </c>
      <c r="I10" s="49"/>
      <c r="K10" s="47"/>
    </row>
    <row r="11" spans="2:22" x14ac:dyDescent="0.2">
      <c r="B11" s="47" t="s">
        <v>807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89" t="s">
        <v>97</v>
      </c>
      <c r="D18" s="289" t="s">
        <v>98</v>
      </c>
      <c r="E18" s="289" t="s">
        <v>663</v>
      </c>
      <c r="F18" s="289" t="s">
        <v>664</v>
      </c>
      <c r="G18" s="53"/>
      <c r="H18" s="53"/>
      <c r="I18" s="53"/>
      <c r="K18" s="53"/>
      <c r="L18" s="289"/>
      <c r="M18" s="289"/>
      <c r="N18" s="289"/>
      <c r="O18" s="289"/>
      <c r="P18" s="53"/>
      <c r="Q18" s="53"/>
    </row>
    <row r="19" spans="2:22" s="55" customFormat="1" x14ac:dyDescent="0.2">
      <c r="B19" s="56"/>
      <c r="C19" s="289"/>
      <c r="D19" s="289"/>
      <c r="E19" s="289"/>
      <c r="F19" s="289"/>
      <c r="G19" s="58"/>
      <c r="H19" s="59"/>
      <c r="I19" s="58"/>
      <c r="K19" s="56"/>
      <c r="L19" s="289"/>
      <c r="M19" s="289"/>
      <c r="N19" s="289"/>
      <c r="O19" s="289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1">
        <v>7.2714774332358623E-3</v>
      </c>
      <c r="D132" s="161">
        <v>-8.0466500837836907E-3</v>
      </c>
      <c r="E132" s="161">
        <v>6.9960321678838921E-2</v>
      </c>
      <c r="F132" s="162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1">
        <v>8.9710598371586237E-3</v>
      </c>
      <c r="D133" s="161">
        <v>-6.1150600541195477E-3</v>
      </c>
      <c r="E133" s="161">
        <v>8.7738537739706191E-2</v>
      </c>
      <c r="F133" s="162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1">
        <v>1.1757971236948661E-2</v>
      </c>
      <c r="D143" s="161">
        <v>-3.3122408109134138E-3</v>
      </c>
      <c r="E143" s="161">
        <v>0.127289614049932</v>
      </c>
      <c r="F143" s="162">
        <v>-3.2225550291120619E-2</v>
      </c>
    </row>
    <row r="144" spans="2:15" x14ac:dyDescent="0.2">
      <c r="B144" s="93">
        <v>40633</v>
      </c>
      <c r="C144" s="161">
        <v>1.2311686217160611E-2</v>
      </c>
      <c r="D144" s="161">
        <v>-3.9424626729700485E-3</v>
      </c>
      <c r="E144" s="161">
        <v>0.13478587383121199</v>
      </c>
      <c r="F144" s="162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5">
        <v>-3.2258906758955153E-3</v>
      </c>
      <c r="D150" s="225">
        <v>-1.9457870608243777E-2</v>
      </c>
      <c r="E150" s="225">
        <v>-3.4398096944852075E-2</v>
      </c>
      <c r="F150" s="225">
        <v>-0.19063329206921498</v>
      </c>
    </row>
    <row r="151" spans="2:6" x14ac:dyDescent="0.2">
      <c r="B151" s="67">
        <v>40847</v>
      </c>
      <c r="C151" s="225">
        <v>2.7862013168424848E-3</v>
      </c>
      <c r="D151" s="225">
        <v>-1.3421994319146924E-2</v>
      </c>
      <c r="E151" s="225">
        <v>3.0839724905906474E-2</v>
      </c>
      <c r="F151" s="225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59">
        <v>41060</v>
      </c>
      <c r="C158" s="260">
        <v>6.3884371626934389E-3</v>
      </c>
      <c r="D158" s="260">
        <v>-9.5529530528657425E-3</v>
      </c>
      <c r="E158" s="260">
        <v>7.5981590412642186E-2</v>
      </c>
      <c r="F158" s="162">
        <v>-0.10332023030358439</v>
      </c>
    </row>
    <row r="159" spans="2:6" x14ac:dyDescent="0.2">
      <c r="B159" s="159">
        <v>41090</v>
      </c>
      <c r="C159" s="260">
        <v>6.9047494449268054E-3</v>
      </c>
      <c r="D159" s="260">
        <v>-8.716626672028549E-3</v>
      </c>
      <c r="E159" s="260">
        <v>8.2967716131719493E-2</v>
      </c>
      <c r="F159" s="162">
        <v>-9.525959921194882E-2</v>
      </c>
    </row>
    <row r="160" spans="2:6" x14ac:dyDescent="0.2">
      <c r="B160" s="159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263">
        <v>41152</v>
      </c>
      <c r="C161" s="62">
        <v>8.0000000000000002E-3</v>
      </c>
      <c r="D161" s="62">
        <v>-7.0000000000000001E-3</v>
      </c>
      <c r="E161" s="62">
        <v>9.5000000000000001E-2</v>
      </c>
      <c r="F161" s="62">
        <v>-8.3000000000000004E-2</v>
      </c>
    </row>
    <row r="162" spans="2:6" x14ac:dyDescent="0.2">
      <c r="B162" s="263">
        <v>41182</v>
      </c>
      <c r="C162" s="62">
        <v>9.9494584964721078E-3</v>
      </c>
      <c r="D162" s="62">
        <v>-5.4851731630494172E-3</v>
      </c>
      <c r="E162" s="62">
        <v>0.1242918985969359</v>
      </c>
      <c r="F162" s="62">
        <v>-6.1810356210364903E-2</v>
      </c>
    </row>
    <row r="163" spans="2:6" x14ac:dyDescent="0.2">
      <c r="B163" s="274">
        <v>41213</v>
      </c>
      <c r="C163" s="273">
        <v>9.9967456049194769E-3</v>
      </c>
      <c r="D163" s="273">
        <v>-5.2719741961625433E-3</v>
      </c>
      <c r="E163" s="273">
        <v>0.12584782986895471</v>
      </c>
      <c r="F163" s="272">
        <v>-5.9854970257877227E-2</v>
      </c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658</v>
      </c>
      <c r="E2" s="69"/>
    </row>
    <row r="5" spans="3:8" x14ac:dyDescent="0.2">
      <c r="C5" s="47" t="s">
        <v>847</v>
      </c>
    </row>
    <row r="6" spans="3:8" x14ac:dyDescent="0.2">
      <c r="C6" s="44" t="s">
        <v>855</v>
      </c>
    </row>
    <row r="7" spans="3:8" x14ac:dyDescent="0.2">
      <c r="C7" s="44" t="s">
        <v>457</v>
      </c>
      <c r="D7" s="47"/>
      <c r="E7" s="47"/>
    </row>
    <row r="9" spans="3:8" x14ac:dyDescent="0.2">
      <c r="C9" s="47" t="s">
        <v>848</v>
      </c>
      <c r="H9" s="44" t="s">
        <v>428</v>
      </c>
    </row>
    <row r="10" spans="3:8" x14ac:dyDescent="0.2">
      <c r="C10" s="44" t="s">
        <v>856</v>
      </c>
    </row>
    <row r="11" spans="3:8" x14ac:dyDescent="0.2">
      <c r="C11" s="44" t="s">
        <v>245</v>
      </c>
    </row>
    <row r="12" spans="3:8" x14ac:dyDescent="0.2">
      <c r="C12" s="75" t="s">
        <v>470</v>
      </c>
    </row>
    <row r="13" spans="3:8" x14ac:dyDescent="0.2">
      <c r="C13" s="75"/>
    </row>
    <row r="14" spans="3:8" x14ac:dyDescent="0.2">
      <c r="C14" s="21" t="s">
        <v>853</v>
      </c>
    </row>
    <row r="15" spans="3:8" x14ac:dyDescent="0.2">
      <c r="C15" t="s">
        <v>852</v>
      </c>
    </row>
    <row r="16" spans="3:8" x14ac:dyDescent="0.2">
      <c r="C16" s="75"/>
    </row>
    <row r="17" spans="3:4" x14ac:dyDescent="0.2">
      <c r="C17" s="47" t="s">
        <v>651</v>
      </c>
    </row>
    <row r="18" spans="3:4" x14ac:dyDescent="0.2">
      <c r="C18" s="44" t="s">
        <v>429</v>
      </c>
    </row>
    <row r="20" spans="3:4" x14ac:dyDescent="0.2">
      <c r="C20" s="47" t="s">
        <v>639</v>
      </c>
    </row>
    <row r="21" spans="3:4" x14ac:dyDescent="0.2">
      <c r="C21" s="44" t="s">
        <v>76</v>
      </c>
    </row>
    <row r="22" spans="3:4" x14ac:dyDescent="0.2">
      <c r="C22" s="44" t="s">
        <v>78</v>
      </c>
    </row>
    <row r="23" spans="3:4" x14ac:dyDescent="0.2">
      <c r="C23" s="44" t="s">
        <v>77</v>
      </c>
    </row>
    <row r="25" spans="3:4" x14ac:dyDescent="0.2">
      <c r="C25" s="47" t="s">
        <v>638</v>
      </c>
      <c r="D25" s="47"/>
    </row>
    <row r="26" spans="3:4" x14ac:dyDescent="0.2">
      <c r="C26" s="44" t="s">
        <v>659</v>
      </c>
    </row>
    <row r="27" spans="3:4" x14ac:dyDescent="0.2">
      <c r="C27" s="44" t="s">
        <v>660</v>
      </c>
    </row>
    <row r="29" spans="3:4" x14ac:dyDescent="0.2">
      <c r="C29" s="47" t="s">
        <v>652</v>
      </c>
    </row>
    <row r="30" spans="3:4" x14ac:dyDescent="0.2">
      <c r="C30" s="44" t="s">
        <v>430</v>
      </c>
    </row>
    <row r="31" spans="3:4" x14ac:dyDescent="0.2">
      <c r="C31" s="47"/>
    </row>
    <row r="32" spans="3:4" x14ac:dyDescent="0.2">
      <c r="C32" s="47" t="s">
        <v>653</v>
      </c>
    </row>
    <row r="33" spans="3:3" x14ac:dyDescent="0.2">
      <c r="C33" s="44" t="s">
        <v>74</v>
      </c>
    </row>
    <row r="34" spans="3:3" x14ac:dyDescent="0.2">
      <c r="C34" s="44" t="s">
        <v>73</v>
      </c>
    </row>
    <row r="36" spans="3:3" x14ac:dyDescent="0.2">
      <c r="C36" s="47" t="s">
        <v>654</v>
      </c>
    </row>
    <row r="37" spans="3:3" x14ac:dyDescent="0.2">
      <c r="C37" s="44" t="s">
        <v>79</v>
      </c>
    </row>
    <row r="39" spans="3:3" x14ac:dyDescent="0.2">
      <c r="C39" s="47" t="s">
        <v>655</v>
      </c>
    </row>
    <row r="40" spans="3:3" x14ac:dyDescent="0.2">
      <c r="C40" s="44" t="s">
        <v>657</v>
      </c>
    </row>
    <row r="42" spans="3:3" x14ac:dyDescent="0.2">
      <c r="C42" s="47" t="s">
        <v>431</v>
      </c>
    </row>
    <row r="43" spans="3:3" x14ac:dyDescent="0.2">
      <c r="C43" s="44" t="s">
        <v>854</v>
      </c>
    </row>
    <row r="44" spans="3:3" x14ac:dyDescent="0.2">
      <c r="C44" s="44" t="s">
        <v>75</v>
      </c>
    </row>
    <row r="45" spans="3:3" x14ac:dyDescent="0.2">
      <c r="C45" s="44" t="s">
        <v>80</v>
      </c>
    </row>
    <row r="46" spans="3:3" x14ac:dyDescent="0.2">
      <c r="C46" s="44" t="s">
        <v>81</v>
      </c>
    </row>
    <row r="47" spans="3:3" x14ac:dyDescent="0.2">
      <c r="C47" s="44" t="s">
        <v>82</v>
      </c>
    </row>
    <row r="48" spans="3:3" x14ac:dyDescent="0.2">
      <c r="C48" s="19" t="s">
        <v>988</v>
      </c>
    </row>
    <row r="51" spans="3:16" x14ac:dyDescent="0.2">
      <c r="C51" s="47" t="s">
        <v>432</v>
      </c>
    </row>
    <row r="52" spans="3:16" x14ac:dyDescent="0.2">
      <c r="C52" s="19" t="s">
        <v>1015</v>
      </c>
    </row>
    <row r="53" spans="3:16" x14ac:dyDescent="0.2">
      <c r="C53" s="19" t="s">
        <v>989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50</v>
      </c>
    </row>
    <row r="56" spans="3:16" x14ac:dyDescent="0.2">
      <c r="C56" s="44" t="s">
        <v>159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661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407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274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408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90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409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91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410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411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J38" sqref="J38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586</v>
      </c>
    </row>
    <row r="4" spans="2:2" x14ac:dyDescent="0.2">
      <c r="B4" s="5" t="s">
        <v>588</v>
      </c>
    </row>
    <row r="5" spans="2:2" x14ac:dyDescent="0.2">
      <c r="B5" s="5" t="s">
        <v>589</v>
      </c>
    </row>
    <row r="6" spans="2:2" x14ac:dyDescent="0.2">
      <c r="B6" s="5" t="s">
        <v>585</v>
      </c>
    </row>
    <row r="8" spans="2:2" x14ac:dyDescent="0.2">
      <c r="B8" s="9" t="s">
        <v>587</v>
      </c>
    </row>
    <row r="9" spans="2:2" x14ac:dyDescent="0.2">
      <c r="B9" s="9" t="s">
        <v>686</v>
      </c>
    </row>
    <row r="18" spans="2:2" x14ac:dyDescent="0.2">
      <c r="B18" s="8"/>
    </row>
    <row r="23" spans="2:2" x14ac:dyDescent="0.2">
      <c r="B23" s="5" t="s">
        <v>420</v>
      </c>
    </row>
    <row r="24" spans="2:2" x14ac:dyDescent="0.2">
      <c r="B24" s="5" t="s">
        <v>486</v>
      </c>
    </row>
    <row r="25" spans="2:2" x14ac:dyDescent="0.2">
      <c r="B25" s="5" t="s">
        <v>487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2012-11-19T11:39:51Z</dcterms:modified>
</cp:coreProperties>
</file>