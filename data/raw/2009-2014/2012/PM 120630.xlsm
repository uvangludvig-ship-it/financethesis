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510" yWindow="750" windowWidth="13350" windowHeight="8430" tabRatio="917" firstSheet="11" activeTab="17"/>
  </bookViews>
  <sheets>
    <sheet name="Innehåll" sheetId="31" r:id="rId1"/>
    <sheet name="Första halvåret 2012" sheetId="54" r:id="rId2"/>
    <sheet name="Fondval &amp; marknadsvärde" sheetId="13" r:id="rId3"/>
    <sheet name="10 mest valda fonder" sheetId="53" r:id="rId4"/>
    <sheet name="Fondstatistik" sheetId="14" r:id="rId5"/>
    <sheet name="Värdeutveckling, konto" sheetId="29" r:id="rId6"/>
    <sheet name="Värdeutv. Premiepensionssystem" sheetId="32" r:id="rId7"/>
    <sheet name="Värdeutv. fondrörelse per år" sheetId="38" r:id="rId8"/>
    <sheet name="Marknadsv. &amp; tillfört kapital" sheetId="39" r:id="rId9"/>
    <sheet name="Värdeutveckling - fondrörelse" sheetId="34" r:id="rId10"/>
    <sheet name="Värdeutv fondrörelse genomsnitt" sheetId="36" r:id="rId11"/>
    <sheet name="Avkastning pp-systemet" sheetId="27" r:id="rId12"/>
    <sheet name="Index, fondrörelsen" sheetId="25" r:id="rId13"/>
    <sheet name="Marknadsv. och tillfört kapital" sheetId="22" r:id="rId14"/>
    <sheet name="Avkastning sedan 2000" sheetId="47" r:id="rId15"/>
    <sheet name="Ordlista" sheetId="19" r:id="rId16"/>
    <sheet name="Beskrivning av mått" sheetId="45" r:id="rId17"/>
    <sheet name="Info Makro" sheetId="43" r:id="rId18"/>
  </sheets>
  <definedNames>
    <definedName name="_xlnm._FilterDatabase" localSheetId="2" hidden="1">'Fondval &amp; marknadsvärde'!$A$18:$N$18</definedName>
    <definedName name="Fråga_från_FIDB" localSheetId="4">Fondstatistik!$A$18:$M$687</definedName>
    <definedName name="Innehållsfört">Innehåll!$A$1</definedName>
    <definedName name="MyTblStart" localSheetId="2">'Fondval &amp; marknadsvärde'!$A$18</definedName>
    <definedName name="MyTblStart">Fondstatistik!$A$18</definedName>
    <definedName name="N1000F" localSheetId="16">'Beskrivning av mått'!$C$3</definedName>
    <definedName name="N1000F" localSheetId="15">Ordlista!#REF!</definedName>
    <definedName name="N1001D" localSheetId="16">'Beskrivning av mått'!$C$23</definedName>
    <definedName name="N1001D" localSheetId="17">'Info Makro'!$B$17</definedName>
    <definedName name="N1001D" localSheetId="15">Ordlista!#REF!</definedName>
    <definedName name="N1004E" localSheetId="16">'Beskrivning av mått'!$C$30</definedName>
    <definedName name="N1004E" localSheetId="17">'Info Makro'!$B$22</definedName>
    <definedName name="N1004E" localSheetId="15">Ordlista!#REF!</definedName>
    <definedName name="N1006A" localSheetId="17">'Info Makro'!$B$40</definedName>
    <definedName name="RubrFondNamn">Fondstatistik!$A$18</definedName>
    <definedName name="RubrMArknV">'Fondval &amp; marknadsvärde'!$H$17</definedName>
    <definedName name="_xlnm.Print_Titles" localSheetId="2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E31" i="54" l="1"/>
  <c r="E27" i="54" l="1"/>
  <c r="E6" i="54"/>
  <c r="E9" i="54"/>
  <c r="E10" i="54"/>
  <c r="E11" i="54"/>
  <c r="E12" i="54"/>
  <c r="E13" i="54"/>
  <c r="E14" i="54"/>
  <c r="E30" i="54"/>
  <c r="E25" i="54"/>
  <c r="E26" i="54"/>
  <c r="E5" i="54"/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<sst xmlns="http://schemas.openxmlformats.org/spreadsheetml/2006/main" count="8184" uniqueCount="1156">
  <si>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</si>
  <si>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</si>
  <si>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</si>
  <si>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</si>
  <si>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</si>
  <si>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</si>
  <si>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</si>
  <si>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</si>
  <si>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</si>
  <si>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</si>
  <si>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</si>
  <si>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</si>
  <si>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</si>
  <si>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</si>
  <si>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</si>
  <si>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</si>
  <si>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</si>
  <si>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</si>
  <si>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</si>
  <si>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</si>
  <si>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</si>
  <si>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</si>
  <si>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</si>
  <si>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</si>
  <si>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</si>
  <si>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</si>
  <si>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</si>
  <si>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</si>
  <si>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</si>
  <si>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</si>
  <si>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</si>
  <si>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</si>
  <si>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</si>
  <si>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</si>
  <si>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</si>
  <si>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</si>
  <si>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</si>
  <si>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</si>
  <si>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</si>
  <si>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</si>
  <si>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</si>
  <si>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</si>
  <si>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</si>
  <si>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</si>
  <si>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</si>
  <si>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</si>
  <si>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</si>
  <si>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</si>
  <si>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</si>
  <si>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</si>
  <si>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</si>
  <si>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</si>
  <si>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</si>
  <si>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</si>
  <si>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</si>
  <si>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</si>
  <si>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</si>
  <si>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</si>
  <si>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</si>
  <si>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</si>
  <si>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</si>
  <si>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</si>
  <si>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</si>
  <si>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</si>
  <si>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</si>
  <si>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</si>
  <si>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</si>
  <si>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</si>
  <si>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</si>
  <si>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</si>
  <si>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</si>
  <si>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</si>
  <si>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</si>
  <si>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</si>
  <si>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</si>
  <si>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</si>
  <si>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</si>
  <si>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</si>
  <si>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</si>
  <si>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</si>
  <si>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</si>
  <si>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</si>
  <si>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</si>
  <si>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</si>
  <si>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</si>
  <si>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</si>
  <si>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</si>
  <si>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</si>
  <si>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</si>
  <si>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</si>
  <si>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Real Estate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</si>
  <si>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</si>
  <si>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</si>
  <si>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</si>
  <si>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</si>
  <si>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</si>
  <si>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</si>
  <si>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</si>
  <si>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</si>
  <si>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</si>
  <si>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</si>
  <si>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</si>
  <si>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</si>
  <si>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</si>
  <si>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</si>
  <si>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</si>
  <si>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</si>
  <si>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</si>
  <si>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</si>
  <si>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</si>
  <si>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</si>
  <si>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</si>
  <si>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</si>
  <si>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</si>
  <si>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</si>
  <si>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</si>
  <si>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</si>
  <si>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</si>
  <si>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</si>
  <si>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</si>
  <si>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</si>
  <si>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</si>
  <si>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</si>
  <si>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</si>
  <si>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</si>
  <si>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</si>
  <si>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</si>
  <si>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</si>
  <si>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</si>
  <si>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</si>
  <si>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</si>
  <si>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</si>
  <si>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</si>
  <si>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</si>
  <si>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</si>
  <si>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</si>
  <si>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</si>
  <si>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</si>
  <si>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</si>
  <si>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</si>
  <si>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</si>
  <si>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</si>
  <si>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</si>
  <si>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</si>
  <si>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</si>
  <si>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</si>
  <si>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</si>
  <si>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</si>
  <si>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</si>
  <si>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</si>
  <si>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</si>
  <si>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</si>
  <si>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</si>
  <si>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</si>
  <si>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</si>
  <si>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</si>
  <si>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</si>
  <si>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</si>
  <si>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</si>
  <si>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</si>
  <si>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</si>
  <si>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</si>
  <si>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</si>
  <si>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</si>
  <si>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</si>
  <si>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</si>
  <si>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</si>
  <si>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</si>
  <si>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</si>
  <si>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</si>
  <si>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</si>
  <si>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</si>
  <si>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</si>
  <si>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</si>
  <si>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</si>
  <si>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</si>
  <si>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</si>
  <si>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</si>
  <si>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</si>
  <si>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</si>
  <si>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</si>
  <si>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</si>
  <si>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</si>
  <si>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</si>
  <si>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</si>
  <si>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</si>
  <si>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</si>
  <si>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</si>
  <si>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</si>
  <si>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</si>
  <si>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</si>
  <si>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</si>
  <si>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</si>
  <si>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</si>
  <si>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</si>
  <si>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</si>
  <si>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</si>
  <si>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</si>
  <si>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</si>
  <si>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</si>
  <si>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</si>
  <si>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</si>
  <si>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</si>
  <si>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</si>
  <si>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</si>
  <si>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</si>
  <si>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</si>
  <si>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</si>
  <si>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</si>
  <si>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</si>
  <si>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</si>
  <si>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</si>
  <si>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</si>
  <si>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</si>
  <si>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</si>
  <si>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</si>
  <si>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</si>
  <si>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</si>
  <si>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</si>
  <si>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</si>
  <si>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</si>
  <si>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</si>
  <si>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</si>
  <si>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</si>
  <si>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</si>
  <si>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</si>
  <si>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</si>
  <si>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</si>
  <si>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</si>
  <si>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</si>
  <si>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</si>
  <si>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</si>
  <si>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</si>
  <si>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</si>
  <si>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</si>
  <si>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</si>
  <si>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</si>
  <si>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</si>
  <si>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</si>
  <si>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</si>
  <si>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</si>
  <si>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</si>
  <si>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</si>
  <si>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</si>
  <si>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</si>
  <si>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</si>
  <si>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</si>
  <si>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</si>
  <si>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</si>
  <si>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</si>
  <si>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</si>
  <si>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</si>
  <si>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</si>
  <si>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</si>
  <si>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</si>
  <si>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</si>
  <si>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</si>
  <si>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</si>
  <si>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</si>
  <si>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</si>
  <si>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</si>
  <si>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</si>
  <si>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</si>
  <si>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</si>
  <si>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</si>
  <si>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</si>
  <si>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</si>
  <si>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</si>
  <si>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</si>
  <si>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</si>
  <si>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</si>
  <si>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</si>
  <si>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</si>
  <si>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</si>
  <si>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</si>
  <si>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</si>
  <si>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</si>
  <si>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</si>
  <si>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</si>
  <si>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</si>
  <si>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</si>
  <si>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</si>
  <si>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</si>
  <si>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</si>
  <si>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</si>
  <si>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</si>
  <si>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</si>
  <si>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</si>
  <si>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</si>
  <si>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</si>
  <si>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</si>
  <si>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</si>
  <si>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</si>
  <si>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</si>
  <si>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</si>
  <si>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</si>
  <si>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</si>
  <si>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</si>
  <si>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</si>
  <si>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</si>
  <si>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</si>
  <si>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</si>
  <si>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</si>
  <si>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</si>
  <si>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</si>
  <si>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</si>
  <si>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</si>
  <si>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</si>
  <si>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</si>
  <si>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</si>
  <si>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</si>
  <si>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</si>
  <si>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</si>
  <si>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</si>
  <si>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</si>
  <si>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</si>
  <si>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</si>
  <si>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</si>
  <si>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</si>
  <si>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</si>
  <si>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</si>
  <si>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</si>
  <si>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</si>
  <si>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</si>
  <si>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</si>
  <si>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</si>
  <si>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</si>
  <si>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</si>
  <si>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</si>
  <si>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</si>
  <si>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</si>
  <si>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</si>
  <si>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</si>
  <si>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</si>
  <si>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</si>
  <si>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</si>
  <si>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</si>
  <si>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</si>
  <si>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</si>
  <si>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</si>
  <si>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</si>
  <si>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</si>
  <si>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</si>
  <si>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</si>
  <si>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</si>
  <si>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</si>
  <si>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</si>
  <si>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</si>
  <si>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</si>
  <si>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</si>
  <si>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</si>
  <si>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</si>
  <si>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</si>
  <si>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</si>
  <si>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</si>
  <si>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</si>
  <si>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</si>
  <si>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</si>
  <si>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</si>
  <si>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</si>
  <si>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</si>
  <si>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</si>
  <si>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</si>
  <si>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</si>
  <si>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</si>
  <si>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</si>
  <si>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</si>
  <si>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</si>
  <si>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</si>
  <si>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</si>
  <si>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</si>
  <si>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</si>
  <si>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</si>
  <si>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</si>
  <si>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</si>
  <si>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</si>
  <si>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</si>
  <si>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</si>
  <si>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</si>
  <si>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</si>
  <si>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</si>
  <si>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</si>
  <si>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</si>
  <si>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</si>
  <si>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</si>
  <si>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</si>
  <si>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</si>
  <si>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</si>
  <si>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</si>
  <si>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</si>
  <si>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</si>
  <si>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</si>
  <si>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</si>
  <si>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</si>
  <si>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</si>
  <si>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</si>
  <si>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</si>
  <si>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</si>
  <si>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</si>
  <si>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</si>
  <si>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</si>
  <si>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</si>
  <si>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</si>
  <si>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</si>
  <si>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</si>
  <si>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</si>
  <si>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</si>
  <si>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</si>
  <si>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</si>
  <si>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</si>
  <si>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</si>
  <si>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</si>
  <si>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</si>
  <si>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</si>
  <si>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</si>
  <si>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</si>
  <si>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</si>
  <si>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</si>
  <si>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</si>
  <si>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</si>
  <si>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</si>
  <si>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</si>
  <si>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</si>
  <si>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</si>
  <si>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</si>
  <si>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</si>
  <si>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</si>
  <si>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</si>
  <si>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</si>
  <si>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</si>
  <si>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</si>
  <si>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</si>
  <si>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</si>
  <si>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</si>
  <si>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</si>
  <si>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</si>
  <si>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</si>
  <si>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</si>
  <si>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</si>
  <si>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</si>
  <si>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</si>
  <si>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</si>
  <si>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</si>
  <si>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</si>
  <si>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</si>
  <si>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</si>
  <si>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</si>
  <si>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</si>
  <si>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</si>
  <si>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</si>
  <si>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</si>
  <si>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</si>
  <si>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</si>
  <si>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</si>
  <si>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</si>
  <si>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</si>
  <si>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</si>
  <si>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</si>
  <si>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</si>
  <si>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</si>
  <si>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</si>
  <si>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</si>
  <si>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</si>
  <si>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</si>
  <si>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</si>
  <si>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</si>
  <si>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</si>
  <si>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</si>
  <si>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</si>
  <si>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</si>
  <si>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</si>
  <si>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</si>
  <si>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</si>
  <si>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</si>
  <si>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</si>
  <si>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</si>
  <si>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</si>
  <si>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</si>
  <si>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</si>
  <si>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</si>
  <si>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</si>
  <si>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</si>
  <si>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</si>
  <si>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</si>
  <si>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</si>
  <si>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</si>
  <si>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</si>
  <si>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</si>
  <si>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</si>
  <si>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</si>
  <si>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</si>
  <si>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</si>
  <si>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</si>
  <si>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</si>
  <si>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</si>
  <si>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</si>
  <si>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</si>
  <si>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</si>
  <si>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</si>
  <si>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</si>
  <si>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</si>
  <si>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</si>
  <si>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</si>
  <si>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</si>
  <si>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</si>
  <si>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</si>
  <si>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</si>
  <si>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</si>
  <si>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</si>
  <si>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</si>
  <si>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</si>
  <si>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</si>
  <si>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</si>
  <si>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</si>
  <si>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</si>
  <si>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</si>
  <si>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</si>
  <si>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</si>
  <si>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</si>
  <si>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</si>
  <si>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</si>
  <si>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</si>
  <si>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</si>
  <si>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</si>
  <si>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</si>
  <si>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</si>
  <si>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</si>
  <si>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</si>
  <si>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</si>
  <si>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</si>
  <si>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</si>
  <si>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</si>
  <si>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</si>
  <si>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</si>
  <si>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</si>
  <si>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</si>
  <si>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</si>
  <si>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</si>
  <si>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</si>
  <si>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</si>
  <si>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</si>
  <si>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</si>
  <si>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</si>
  <si>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</si>
  <si>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</si>
  <si>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</si>
  <si>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</si>
  <si>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</si>
  <si>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</si>
  <si>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</si>
  <si>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</si>
  <si>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</si>
  <si>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</si>
  <si>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</si>
  <si>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</si>
  <si>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</si>
  <si>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</si>
  <si>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</si>
  <si>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</si>
  <si>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</si>
  <si>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</si>
  <si>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</si>
  <si>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</si>
  <si>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</si>
  <si>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</si>
  <si>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</si>
  <si>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</si>
  <si>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</si>
  <si>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</si>
  <si>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</si>
  <si>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</si>
  <si>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</si>
  <si>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</si>
  <si>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</si>
  <si>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</si>
  <si>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</si>
  <si>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</si>
  <si>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</si>
  <si>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</si>
  <si>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</si>
  <si>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</si>
  <si>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</si>
  <si>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</si>
  <si>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</si>
  <si>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</si>
  <si>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</si>
  <si>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</si>
  <si>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</si>
  <si>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</si>
  <si>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</si>
  <si>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</si>
  <si>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</si>
  <si>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</si>
  <si>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</si>
  <si>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</si>
  <si>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</si>
  <si>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</si>
  <si>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</si>
  <si>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</si>
  <si>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</si>
  <si>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</si>
  <si>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</si>
  <si>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</si>
  <si>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</si>
  <si>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</si>
  <si>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</si>
  <si>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</si>
  <si>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</si>
  <si>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</si>
  <si>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</si>
  <si>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</si>
  <si>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</si>
  <si>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</si>
  <si>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</si>
  <si>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</si>
  <si>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</si>
  <si>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</si>
  <si>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</si>
  <si>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</si>
  <si>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</si>
  <si>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</si>
  <si>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</si>
  <si>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</si>
  <si>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</si>
  <si>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</si>
  <si>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</si>
  <si>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</si>
  <si>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</si>
  <si>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</si>
  <si>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</si>
  <si>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</si>
  <si>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</si>
  <si>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</si>
  <si>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</si>
  <si>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</si>
  <si>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</si>
  <si>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</si>
  <si>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</si>
  <si>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</si>
  <si>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</si>
  <si>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</si>
  <si>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</si>
  <si>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</si>
  <si>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</si>
  <si>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</si>
  <si>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</si>
  <si>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</si>
  <si>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</si>
  <si>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</si>
  <si>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</si>
  <si>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</si>
  <si>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</si>
  <si>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</si>
  <si>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</si>
  <si>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</si>
  <si>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</si>
  <si>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</si>
  <si>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</si>
  <si>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</si>
  <si>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</si>
  <si>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</si>
  <si>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</si>
  <si>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</si>
  <si>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</si>
  <si>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</si>
  <si>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</si>
  <si>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</si>
  <si>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</si>
  <si>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</si>
  <si>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</si>
  <si>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</si>
  <si>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</si>
  <si>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</si>
  <si>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</si>
  <si>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</si>
  <si>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</si>
  <si>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</si>
  <si>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</si>
  <si>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</si>
  <si>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</si>
  <si>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</si>
  <si>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</si>
  <si>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</si>
  <si>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</si>
  <si>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</si>
  <si>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</si>
  <si>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</si>
  <si>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</si>
  <si>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</si>
  <si>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</si>
  <si>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</si>
  <si>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</si>
  <si>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</si>
  <si>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</si>
  <si>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</si>
  <si>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</si>
  <si>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</si>
  <si>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</si>
  <si>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</si>
  <si>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</si>
  <si>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</si>
  <si>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</si>
  <si>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</si>
  <si>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</si>
  <si>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</si>
  <si>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</si>
  <si>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</si>
  <si>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</si>
  <si>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</si>
  <si>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</si>
  <si>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</si>
  <si>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</si>
  <si>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</si>
  <si>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</si>
  <si>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</si>
  <si>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</si>
  <si>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</si>
  <si>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</si>
  <si>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</si>
  <si>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</si>
  <si>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</si>
  <si>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</si>
  <si>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</si>
  <si>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</si>
  <si>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</si>
  <si>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</si>
  <si>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</si>
  <si>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</si>
  <si>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</si>
  <si>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</si>
  <si>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</si>
  <si>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</si>
  <si>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</si>
  <si>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</si>
  <si>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</si>
  <si>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</si>
  <si>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</si>
  <si>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</si>
  <si>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</si>
  <si>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</si>
  <si>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</si>
  <si>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</si>
  <si>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</si>
  <si>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</si>
  <si>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</si>
  <si>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</si>
  <si>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</si>
  <si>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</si>
  <si>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</si>
  <si>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</si>
  <si>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</si>
  <si>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</si>
  <si>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</si>
  <si>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</si>
  <si>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</si>
  <si>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</si>
  <si>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</si>
  <si>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</si>
  <si>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</si>
  <si>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</si>
  <si>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</si>
  <si>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</si>
  <si>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</si>
  <si>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</si>
  <si>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</si>
  <si>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</si>
  <si>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</si>
  <si>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</si>
  <si>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</si>
  <si>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</si>
  <si>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</si>
  <si>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</si>
  <si>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</si>
  <si>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</si>
  <si>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</si>
  <si>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</si>
  <si>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</si>
  <si>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</si>
  <si>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</si>
  <si>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</si>
  <si>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</si>
  <si>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</si>
  <si>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</si>
  <si>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</si>
  <si>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</si>
  <si>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</si>
  <si>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</si>
  <si>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</si>
  <si>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</si>
  <si>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</si>
  <si>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</si>
  <si>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</si>
  <si>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</si>
  <si>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</si>
  <si>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</si>
  <si>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</si>
  <si>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</si>
  <si>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</si>
  <si>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</si>
  <si>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</si>
  <si>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</si>
  <si>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</si>
  <si>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</si>
  <si>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</si>
  <si>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</si>
  <si>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</si>
  <si>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</si>
  <si>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</si>
  <si>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</si>
  <si>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</si>
  <si>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</si>
  <si>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</si>
  <si>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</si>
  <si>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</si>
  <si>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</si>
  <si>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</si>
  <si>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</si>
  <si>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</si>
  <si>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</si>
  <si>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</si>
  <si>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</si>
  <si>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</si>
  <si>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</si>
  <si>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</si>
  <si>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</si>
  <si>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</si>
  <si>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</si>
  <si>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</si>
  <si>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</si>
  <si>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</si>
  <si>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</si>
  <si>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</si>
  <si>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</si>
  <si>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</si>
  <si>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</si>
  <si>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</si>
  <si>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</si>
  <si>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</si>
  <si>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</si>
  <si>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</si>
  <si>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</si>
  <si>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</si>
  <si>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</si>
  <si>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</si>
  <si>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</si>
  <si>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</si>
  <si>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</si>
  <si>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</si>
  <si>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</si>
  <si>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</si>
  <si>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</si>
  <si>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</si>
  <si>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</si>
  <si>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</si>
  <si>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</si>
  <si>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</si>
  <si>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</si>
  <si>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</si>
  <si>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</si>
  <si>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</si>
  <si>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</si>
  <si>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</si>
  <si>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</si>
  <si>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</si>
  <si>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</si>
  <si>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</si>
  <si>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</si>
  <si>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</si>
  <si>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</si>
  <si>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</si>
  <si>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</si>
  <si>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</si>
  <si>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</si>
  <si>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</si>
  <si>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</si>
  <si>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</si>
  <si>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</si>
  <si>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</si>
  <si>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</si>
  <si>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</si>
  <si>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</si>
  <si>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</si>
  <si>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</si>
  <si>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</si>
  <si>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</si>
  <si>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</si>
  <si>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</si>
  <si>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</si>
  <si>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</si>
  <si>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</si>
  <si>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</si>
  <si>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</si>
  <si>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</si>
  <si>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</si>
  <si>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</si>
  <si>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</si>
  <si>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</si>
  <si>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</si>
  <si>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</si>
  <si>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</si>
  <si>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</si>
  <si>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</si>
  <si>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</si>
  <si>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</si>
  <si>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</si>
  <si>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</si>
  <si>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</si>
  <si>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</si>
  <si>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</si>
  <si>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</si>
  <si>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</si>
  <si>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</si>
  <si>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</si>
  <si>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</si>
  <si>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</si>
  <si>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</si>
  <si>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</si>
  <si>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</si>
  <si>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</si>
  <si>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</si>
  <si>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</si>
  <si>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</si>
  <si>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</si>
  <si>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</si>
  <si>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</si>
  <si>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</si>
  <si>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</si>
  <si>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</si>
  <si>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</si>
  <si>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</si>
  <si>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</si>
  <si>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</si>
  <si>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</si>
  <si>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</si>
  <si>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</si>
  <si>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</si>
  <si>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</si>
  <si>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</si>
  <si>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</si>
  <si>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</si>
  <si>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</si>
  <si>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</si>
  <si>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</si>
  <si>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</si>
  <si>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</si>
  <si>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</si>
  <si>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</si>
  <si>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</si>
  <si>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</si>
  <si>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</si>
  <si>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</si>
  <si>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</si>
  <si>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</si>
  <si>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</si>
  <si>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</si>
  <si>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</si>
  <si>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</si>
  <si>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</si>
  <si>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</si>
  <si>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</si>
  <si>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</si>
  <si>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</si>
  <si>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</si>
  <si>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</si>
  <si>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</si>
  <si>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</si>
  <si>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</si>
  <si>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</si>
  <si>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</si>
  <si>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</si>
  <si>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</si>
  <si>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</si>
  <si>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</si>
  <si>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</si>
  <si>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</si>
  <si>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</si>
  <si>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</si>
  <si>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</si>
  <si>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</si>
  <si>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</si>
  <si>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</si>
  <si>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</si>
  <si>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</si>
  <si>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</si>
  <si>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</si>
  <si>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</si>
  <si>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</si>
  <si>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</si>
  <si>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</si>
  <si>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</si>
  <si>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</si>
  <si>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</si>
  <si>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</si>
  <si>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</si>
  <si>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</si>
  <si>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</si>
  <si>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</si>
  <si>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</si>
  <si>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</si>
  <si>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</si>
  <si>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</si>
  <si>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</si>
  <si>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</si>
  <si>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</si>
  <si>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</si>
  <si>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</si>
  <si>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</si>
  <si>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</si>
  <si>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</si>
  <si>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</si>
  <si>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</si>
  <si>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</si>
  <si>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</si>
  <si>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</si>
  <si>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</si>
  <si>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</si>
  <si>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</si>
  <si>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</si>
  <si>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</si>
  <si>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</si>
  <si>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</si>
  <si>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</si>
  <si>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</si>
  <si>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</si>
  <si>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</si>
  <si>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</si>
  <si>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</si>
  <si>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</si>
  <si>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</si>
  <si>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</si>
  <si>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</si>
  <si>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</si>
  <si>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</si>
  <si>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</si>
  <si>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</si>
  <si>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</si>
  <si>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</si>
  <si>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</si>
  <si>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</si>
  <si>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</si>
  <si>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</si>
  <si>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</si>
  <si>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</si>
  <si>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</si>
  <si>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</si>
  <si>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</si>
  <si>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</si>
  <si>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</si>
  <si>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</si>
  <si>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</si>
  <si>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</si>
  <si>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</si>
  <si>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</si>
  <si>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</si>
  <si>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</si>
  <si>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</si>
  <si>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</si>
  <si>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</si>
  <si>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</si>
  <si>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</si>
  <si>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</si>
  <si>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</si>
  <si>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</si>
  <si>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AMF Räntefond Mix</t>
  </si>
  <si>
    <t>AMF Aktiefond Mix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</si>
  <si>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</si>
  <si>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</si>
  <si>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</si>
  <si>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</si>
  <si>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</si>
  <si>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</si>
  <si>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</si>
  <si>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</si>
  <si>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</si>
  <si>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</si>
  <si>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</si>
  <si>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</si>
  <si>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</si>
  <si>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</si>
  <si>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</si>
  <si>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</si>
  <si>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</si>
  <si>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</si>
  <si>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</si>
  <si>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</si>
  <si>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</si>
  <si>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</si>
  <si>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</si>
  <si>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</si>
  <si>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</si>
  <si>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</si>
  <si>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</si>
  <si>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</si>
  <si>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</si>
  <si>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</si>
  <si>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</si>
  <si>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</si>
  <si>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</si>
  <si>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</si>
  <si>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</si>
  <si>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</si>
  <si>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</si>
  <si>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</si>
  <si>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</si>
  <si>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</si>
  <si>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</si>
  <si>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</si>
  <si>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</si>
  <si>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</si>
  <si>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</si>
  <si>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</si>
  <si>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</si>
  <si>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Taaleritehdas Arvo Rhein Equity</t>
  </si>
  <si>
    <t>Alpha Management Company S.A</t>
  </si>
  <si>
    <t>NGAM S.A</t>
  </si>
  <si>
    <t>Antal fondval och marknadsvärde i fonderna 2012-06-30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</si>
  <si>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</si>
  <si>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</si>
  <si>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</si>
  <si>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</si>
  <si>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</si>
  <si>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</si>
  <si>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</si>
  <si>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</si>
  <si>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</si>
  <si>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</si>
  <si>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</si>
  <si>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</si>
  <si>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</si>
  <si>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</si>
  <si>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</si>
  <si>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</si>
  <si>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</si>
  <si>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</si>
  <si>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Fondstatistik per 2012-06-30</t>
  </si>
  <si>
    <t>Första halvåret 2012</t>
  </si>
  <si>
    <t>Antal fondbyten</t>
  </si>
  <si>
    <t>Antal fondbyten per handelsdag</t>
  </si>
  <si>
    <t>Antal fond-i-fonder</t>
  </si>
  <si>
    <t>AP7 Försiktig, Balanserad, Offensiv</t>
  </si>
  <si>
    <t>Unika pensionssparare som gjort fondbyte</t>
  </si>
  <si>
    <t>Antal pensionssparare med fondförsäkring</t>
  </si>
  <si>
    <t>Förändring (%)</t>
  </si>
  <si>
    <t>Delårssiffror för fondförsäkring 2012</t>
  </si>
  <si>
    <t>Svenska aktier</t>
  </si>
  <si>
    <t>Utländska aktier</t>
  </si>
  <si>
    <t>Tillväxtmarknader</t>
  </si>
  <si>
    <t>Räntor &amp; kontanter, Sv</t>
  </si>
  <si>
    <t>Räntor &amp; kontanter, Utl</t>
  </si>
  <si>
    <t>Alternativa placeringar</t>
  </si>
  <si>
    <t>Stor ökning av antalet fond-i-fond</t>
  </si>
  <si>
    <t>Antalet fondbyten har minskat</t>
  </si>
  <si>
    <t>Fondplaceringarnas andelar uppdelat på olika värdepappersmarknader, procent:</t>
  </si>
  <si>
    <t>Marknadsvärdet av fondinnehavet inom fondförsäkring, mdkr</t>
  </si>
  <si>
    <t>Fondplaceringarnas marknadsvärde uppdelat på fondtyper, mdkr:</t>
  </si>
  <si>
    <t>Totalt kapital i fond-i-fonder, mdkr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</si>
</sst>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3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02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1" fillId="0" borderId="0" xfId="4"/>
    <xf numFmtId="0" fontId="1" fillId="0" borderId="0" xfId="4" applyFill="1"/>
    <xf numFmtId="168" fontId="1" fillId="0" borderId="0" xfId="5" applyNumberFormat="1" applyFont="1" applyFill="1" applyBorder="1" applyAlignment="1">
      <alignment horizontal="right"/>
    </xf>
    <xf numFmtId="168" fontId="1" fillId="0" borderId="0" xfId="4" applyNumberFormat="1" applyFont="1" applyBorder="1" applyAlignment="1">
      <alignment horizontal="right"/>
    </xf>
    <xf numFmtId="0" fontId="1" fillId="0" borderId="0" xfId="4" applyAlignment="1">
      <alignment wrapText="1"/>
    </xf>
    <xf numFmtId="0" fontId="1" fillId="0" borderId="0" xfId="0" applyFont="1"/>
    <xf numFmtId="0" fontId="1" fillId="0" borderId="0" xfId="4" applyAlignment="1">
      <alignment horizontal="left"/>
    </xf>
    <xf numFmtId="0" fontId="1" fillId="0" borderId="0" xfId="4" applyFont="1" applyAlignment="1">
      <alignment wrapText="1"/>
    </xf>
    <xf numFmtId="3" fontId="1" fillId="0" borderId="0" xfId="4" applyNumberFormat="1" applyAlignment="1">
      <alignment horizontal="right"/>
    </xf>
    <xf numFmtId="165" fontId="0" fillId="0" borderId="0" xfId="0" applyNumberFormat="1"/>
    <xf numFmtId="3" fontId="31" fillId="0" borderId="0" xfId="0" applyNumberFormat="1" applyFont="1" applyAlignment="1">
      <alignment horizontal="left"/>
    </xf>
    <xf numFmtId="0" fontId="3" fillId="0" borderId="0" xfId="4" applyFont="1"/>
    <xf numFmtId="165" fontId="0" fillId="0" borderId="0" xfId="2" applyNumberFormat="1" applyFont="1"/>
    <xf numFmtId="171" fontId="0" fillId="0" borderId="0" xfId="0" applyNumberFormat="1"/>
    <xf numFmtId="0" fontId="3" fillId="0" borderId="0" xfId="4" applyFont="1" applyAlignment="1">
      <alignment wrapText="1"/>
    </xf>
    <xf numFmtId="0" fontId="3" fillId="0" borderId="0" xfId="0" applyFont="1" applyAlignment="1">
      <alignment horizontal="right" wrapText="1"/>
    </xf>
    <xf numFmtId="0" fontId="3" fillId="0" borderId="0" xfId="4" applyFont="1" applyAlignment="1">
      <alignment horizontal="left"/>
    </xf>
    <xf numFmtId="168" fontId="0" fillId="0" borderId="0" xfId="0" applyNumberFormat="1"/>
    <xf numFmtId="0" fontId="6" fillId="0" borderId="0" xfId="0" applyFont="1"/>
    <xf numFmtId="14" fontId="3" fillId="0" borderId="0" xfId="0" applyNumberFormat="1" applyFont="1"/>
    <xf numFmtId="1" fontId="0" fillId="0" borderId="0" xfId="2" applyNumberFormat="1" applyFont="1"/>
    <xf numFmtId="0" fontId="32" fillId="2" borderId="0" xfId="1" applyFont="1" applyFill="1" applyAlignment="1" applyProtection="1">
      <alignment horizontal="left" indent="2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6">
    <cellStyle name="Hyperlänk" xfId="1" builtinId="8"/>
    <cellStyle name="Normal" xfId="0" builtinId="0"/>
    <cellStyle name="Normal 2" xfId="4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22080"/>
        <c:axId val="69436160"/>
      </c:lineChart>
      <c:dateAx>
        <c:axId val="69422080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4361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6943616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422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41090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5.436843776999889E-2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41090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8.3872487603983581E-2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69669632"/>
        <c:axId val="69671168"/>
      </c:barChart>
      <c:catAx>
        <c:axId val="6966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671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671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66963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41090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355.06603240698024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41090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414.36394120998403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69769856"/>
        <c:axId val="69771648"/>
      </c:barChart>
      <c:catAx>
        <c:axId val="6976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771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7716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697698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8.2967598728947989E-2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048000"/>
        <c:axId val="258049536"/>
      </c:lineChart>
      <c:dateAx>
        <c:axId val="25804800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804953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804953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80480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6.9047400213084753E-3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447040"/>
        <c:axId val="257448576"/>
      </c:lineChart>
      <c:dateAx>
        <c:axId val="25744704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74485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744857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74470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583352</xdr:colOff>
      <xdr:row>37</xdr:row>
      <xdr:rowOff>107505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6062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6"/>
  <sheetViews>
    <sheetView showGridLines="0" showRowColHeaders="0" topLeftCell="B1" workbookViewId="0">
      <selection activeCell="A13" sqref="A13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739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494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286" t="s">
        <v>1135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917</v>
      </c>
      <c r="C12" s="183"/>
      <c r="D12" s="183"/>
      <c r="E12" s="166"/>
      <c r="F12" s="167"/>
      <c r="G12" s="166"/>
      <c r="H12" s="166"/>
      <c r="I12" s="166"/>
      <c r="J12" s="166"/>
      <c r="K12" s="166"/>
    </row>
    <row r="13" spans="2:11" ht="22.5" customHeight="1" x14ac:dyDescent="0.2">
      <c r="B13" s="185" t="s">
        <v>491</v>
      </c>
      <c r="C13" s="183"/>
      <c r="D13" s="183"/>
      <c r="E13" s="166"/>
      <c r="F13" s="168"/>
      <c r="G13" s="166"/>
      <c r="H13" s="166"/>
      <c r="I13" s="166"/>
      <c r="J13" s="166"/>
      <c r="K13" s="166"/>
    </row>
    <row r="14" spans="2:11" ht="22.5" customHeight="1" x14ac:dyDescent="0.2">
      <c r="B14" s="185" t="s">
        <v>1059</v>
      </c>
      <c r="C14" s="183"/>
      <c r="D14" s="183"/>
      <c r="E14" s="166"/>
      <c r="F14" s="167"/>
      <c r="G14" s="166"/>
      <c r="H14" s="166"/>
      <c r="I14" s="166"/>
      <c r="J14" s="166"/>
      <c r="K14" s="166"/>
    </row>
    <row r="15" spans="2:11" ht="22.5" customHeight="1" x14ac:dyDescent="0.2">
      <c r="B15" s="186" t="s">
        <v>492</v>
      </c>
      <c r="C15" s="183"/>
      <c r="D15" s="183"/>
      <c r="E15" s="166"/>
      <c r="F15" s="169"/>
      <c r="G15" s="166"/>
      <c r="H15" s="166"/>
      <c r="I15" s="166"/>
      <c r="J15" s="166"/>
      <c r="K15" s="166"/>
    </row>
    <row r="16" spans="2:11" ht="22.5" customHeight="1" x14ac:dyDescent="0.2">
      <c r="B16" s="186" t="s">
        <v>493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975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6" t="s">
        <v>6</v>
      </c>
      <c r="C18" s="183"/>
      <c r="D18" s="183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969</v>
      </c>
      <c r="C19" s="188"/>
      <c r="D19" s="188"/>
      <c r="E19" s="166"/>
      <c r="F19" s="167"/>
      <c r="G19" s="166"/>
      <c r="H19" s="166"/>
      <c r="I19" s="166"/>
      <c r="J19" s="166"/>
      <c r="K19" s="166"/>
    </row>
    <row r="20" spans="2:11" ht="22.5" customHeight="1" x14ac:dyDescent="0.2">
      <c r="B20" s="187" t="s">
        <v>655</v>
      </c>
      <c r="C20" s="187"/>
      <c r="D20" s="187"/>
      <c r="E20" s="187"/>
      <c r="F20" s="167"/>
      <c r="G20" s="166"/>
      <c r="H20" s="166"/>
      <c r="I20" s="166"/>
      <c r="J20" s="166"/>
      <c r="K20" s="166"/>
    </row>
    <row r="21" spans="2:11" ht="13.5" x14ac:dyDescent="0.2">
      <c r="B21" s="190" t="s">
        <v>490</v>
      </c>
      <c r="C21" s="188"/>
      <c r="D21" s="188"/>
      <c r="E21" s="166"/>
      <c r="F21" s="167"/>
      <c r="G21" s="166"/>
      <c r="H21" s="166"/>
      <c r="I21" s="166"/>
      <c r="J21" s="166"/>
      <c r="K21" s="166"/>
    </row>
    <row r="22" spans="2:11" ht="13.5" x14ac:dyDescent="0.2">
      <c r="B22" s="189" t="s">
        <v>423</v>
      </c>
      <c r="C22" s="188"/>
      <c r="D22" s="188"/>
      <c r="E22" s="166"/>
      <c r="F22" s="167"/>
      <c r="G22" s="166"/>
      <c r="I22" s="166"/>
      <c r="J22" s="166"/>
      <c r="K22" s="166"/>
    </row>
    <row r="23" spans="2:11" ht="13.5" x14ac:dyDescent="0.2">
      <c r="B23" s="190"/>
      <c r="C23" s="188"/>
      <c r="D23" s="188"/>
      <c r="E23" s="166"/>
      <c r="F23" s="167"/>
    </row>
    <row r="24" spans="2:11" ht="13.5" x14ac:dyDescent="0.2">
      <c r="B24" s="187" t="s">
        <v>710</v>
      </c>
      <c r="C24" s="188"/>
      <c r="D24" s="188"/>
      <c r="E24" s="166"/>
      <c r="F24" s="167"/>
    </row>
    <row r="25" spans="2:11" ht="13.5" x14ac:dyDescent="0.2">
      <c r="B25" s="190"/>
      <c r="C25" s="188"/>
      <c r="D25" s="188"/>
      <c r="E25" s="166"/>
      <c r="F25" s="169"/>
    </row>
    <row r="26" spans="2:11" ht="13.5" x14ac:dyDescent="0.2">
      <c r="B26" s="182"/>
      <c r="C26" s="188"/>
      <c r="D26" s="188"/>
      <c r="E26" s="166"/>
      <c r="F26" s="167"/>
    </row>
    <row r="27" spans="2:11" ht="13.5" x14ac:dyDescent="0.2">
      <c r="B27" s="182"/>
      <c r="C27" s="166"/>
      <c r="D27" s="166"/>
      <c r="E27" s="166"/>
      <c r="F27" s="169"/>
    </row>
    <row r="28" spans="2:11" ht="13.5" x14ac:dyDescent="0.2">
      <c r="B28" s="182"/>
      <c r="C28" s="166"/>
      <c r="D28" s="166"/>
      <c r="E28" s="166"/>
      <c r="F28" s="167"/>
    </row>
    <row r="29" spans="2:11" ht="13.5" x14ac:dyDescent="0.2">
      <c r="B29" s="182"/>
      <c r="F29" s="96"/>
    </row>
    <row r="30" spans="2:11" ht="13.5" x14ac:dyDescent="0.2">
      <c r="B30" s="182"/>
      <c r="F30" s="95"/>
    </row>
    <row r="31" spans="2:11" x14ac:dyDescent="0.2">
      <c r="F31" s="97"/>
    </row>
    <row r="32" spans="2:11" x14ac:dyDescent="0.2">
      <c r="F32" s="95"/>
    </row>
    <row r="33" spans="2:3" ht="13.5" x14ac:dyDescent="0.2">
      <c r="B33" s="182"/>
      <c r="C33" s="224"/>
    </row>
    <row r="34" spans="2:3" ht="13.5" x14ac:dyDescent="0.2">
      <c r="B34" s="182"/>
      <c r="C34" s="224"/>
    </row>
    <row r="35" spans="2:3" ht="13.5" x14ac:dyDescent="0.2">
      <c r="B35" s="182"/>
      <c r="C35" s="224"/>
    </row>
    <row r="36" spans="2:3" ht="13.5" x14ac:dyDescent="0.2">
      <c r="B36" s="182"/>
      <c r="C36" s="224"/>
    </row>
  </sheetData>
  <phoneticPr fontId="5" type="noConversion"/>
  <hyperlinks>
    <hyperlink ref="B12" location="'Fondval &amp; marknadsvärde'!A1" tooltip="Här visas antal gjorda val och marknadsvärde per fond fördelat på kön." display="Antal gjorda fondval och aktuellt marknadsvärde"/>
    <hyperlink ref="B14" location="Fondstatistik!A1" tooltip="Här visas fondernas värdeutveckling, brutto och fondavgifter samt fondernas risknvivå." display="Fondstatistik"/>
    <hyperlink ref="B15" location="'Värdeutveckling, konto'!A1" tooltip="Här visas variationen i värdeutvecklingen i pensionsspararnas konton sedan deras inträde i premiepensionssystemet." display="VÄRDEUTVECKLING - INDIVIDUELLA KONTON"/>
    <hyperlink ref="B19" location="'Värdeutveckling - fondrörelse'!A1" tooltip="Här visas värdeutvecklingen i alla fonder, inklusive Premiesparfonden, sedan systemets införande 2000-12-13" display="VÄRDEUTVECKLING FÖR PREMIEPENSIONSFONDERNAS INDEX"/>
    <hyperlink ref="B18" location="'Marknadsv. &amp; tillfört kapital'!A1" tooltip="Här visas hur stora medel som tillförts till premiepensionssystemet samt markandsvärde per år." display="MARKNADSVÄRDE OCH TILLFÖRT KAPITAL TILL FONDRÖRELSEN"/>
    <hyperlink ref="B16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0" location="'Värdeutv fondrörelse genomsnitt'!A1" tooltip="Här visas den årliga genomsnittliga värdeutvecklingen för alla fonder sedan systemets införande." display="Värdeutveckling för fondrörelsen i genomsnitt per år"/>
    <hyperlink ref="B17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4" location="Ordlista!A1" tooltip="Här visas ordlista med förklaringar." display="ORDLISTA"/>
    <hyperlink ref="B13" location="'10 mest valda fonder'!A1" tooltip="Här visas de tio fonderna med flest val , mest kapital samt högsta värdeutveckling." display="De tio mest valda fonderna m.m"/>
    <hyperlink ref="B22" location="'Beskrivning av mått'!A1" tooltip="Här förklaras måtten som används i dokumentet." display="Beskrivning av mått"/>
    <hyperlink ref="B11" location="'Första halvåret 2012'!A1" tooltip="Första halvåret 2012" display="Första halvåret 2012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04"/>
  <sheetViews>
    <sheetView showGridLines="0" showRowColHeaders="0" workbookViewId="0"/>
  </sheetViews>
  <sheetFormatPr defaultRowHeight="12.75" x14ac:dyDescent="0.2"/>
  <cols>
    <col min="2" max="2" width="59.42578125" bestFit="1" customWidth="1"/>
    <col min="3" max="3" width="16.5703125" customWidth="1"/>
    <col min="4" max="4" width="17.42578125" customWidth="1"/>
    <col min="5" max="5" width="13.28515625" bestFit="1" customWidth="1"/>
    <col min="9" max="9" width="14.85546875" bestFit="1" customWidth="1"/>
  </cols>
  <sheetData>
    <row r="2" spans="2:9" ht="15.75" x14ac:dyDescent="0.25">
      <c r="B2" s="283" t="s">
        <v>1143</v>
      </c>
    </row>
    <row r="4" spans="2:9" x14ac:dyDescent="0.2">
      <c r="C4" s="284">
        <v>41090</v>
      </c>
      <c r="D4" s="284">
        <v>40724</v>
      </c>
      <c r="E4" s="221" t="s">
        <v>1142</v>
      </c>
      <c r="I4" s="152"/>
    </row>
    <row r="5" spans="2:9" x14ac:dyDescent="0.2">
      <c r="B5" s="265" t="s">
        <v>1141</v>
      </c>
      <c r="C5" s="152">
        <v>6203389</v>
      </c>
      <c r="D5" s="152">
        <v>6084028</v>
      </c>
      <c r="E5" s="277">
        <f>(C5/D5-1)*100</f>
        <v>1.9618746001826448</v>
      </c>
      <c r="I5" s="152"/>
    </row>
    <row r="6" spans="2:9" x14ac:dyDescent="0.2">
      <c r="B6" s="265" t="s">
        <v>1153</v>
      </c>
      <c r="C6" s="270">
        <v>414.4</v>
      </c>
      <c r="D6">
        <v>400.1</v>
      </c>
      <c r="E6" s="277">
        <f t="shared" ref="E6:E27" si="0">(C6/D6-1)*100</f>
        <v>3.574106473381633</v>
      </c>
      <c r="I6" s="152"/>
    </row>
    <row r="7" spans="2:9" x14ac:dyDescent="0.2">
      <c r="B7" s="265"/>
      <c r="C7" s="270"/>
      <c r="E7" s="277"/>
      <c r="I7" s="152"/>
    </row>
    <row r="8" spans="2:9" x14ac:dyDescent="0.2">
      <c r="B8" s="276" t="s">
        <v>1154</v>
      </c>
      <c r="C8" s="265"/>
      <c r="E8" s="277"/>
    </row>
    <row r="9" spans="2:9" x14ac:dyDescent="0.2">
      <c r="B9" s="271" t="s">
        <v>127</v>
      </c>
      <c r="C9" s="270">
        <v>168.6</v>
      </c>
      <c r="D9">
        <v>199.6</v>
      </c>
      <c r="E9" s="277">
        <f t="shared" si="0"/>
        <v>-15.531062124248496</v>
      </c>
    </row>
    <row r="10" spans="2:9" x14ac:dyDescent="0.2">
      <c r="B10" s="271" t="s">
        <v>129</v>
      </c>
      <c r="C10">
        <v>47.1</v>
      </c>
      <c r="D10">
        <v>16.7</v>
      </c>
      <c r="E10" s="277">
        <f t="shared" si="0"/>
        <v>182.0359281437126</v>
      </c>
    </row>
    <row r="11" spans="2:9" x14ac:dyDescent="0.2">
      <c r="B11" s="271" t="s">
        <v>131</v>
      </c>
      <c r="C11">
        <v>63.3</v>
      </c>
      <c r="D11">
        <v>49.5</v>
      </c>
      <c r="E11" s="277">
        <f t="shared" si="0"/>
        <v>27.878787878787882</v>
      </c>
    </row>
    <row r="12" spans="2:9" x14ac:dyDescent="0.2">
      <c r="B12" s="271" t="s">
        <v>128</v>
      </c>
      <c r="C12">
        <v>22.5</v>
      </c>
      <c r="D12" s="274">
        <v>26</v>
      </c>
      <c r="E12" s="277">
        <f t="shared" si="0"/>
        <v>-13.461538461538458</v>
      </c>
    </row>
    <row r="13" spans="2:9" x14ac:dyDescent="0.2">
      <c r="B13" s="271" t="s">
        <v>123</v>
      </c>
      <c r="C13">
        <v>111.8</v>
      </c>
      <c r="D13">
        <v>108.4</v>
      </c>
      <c r="E13" s="277">
        <f t="shared" si="0"/>
        <v>3.136531365313644</v>
      </c>
    </row>
    <row r="14" spans="2:9" x14ac:dyDescent="0.2">
      <c r="B14" s="271" t="s">
        <v>1139</v>
      </c>
      <c r="C14" s="274">
        <v>1</v>
      </c>
      <c r="D14">
        <v>0.5</v>
      </c>
      <c r="E14" s="277">
        <f t="shared" si="0"/>
        <v>100</v>
      </c>
    </row>
    <row r="15" spans="2:9" x14ac:dyDescent="0.2">
      <c r="B15" s="271"/>
      <c r="C15" s="274"/>
      <c r="E15" s="277"/>
    </row>
    <row r="16" spans="2:9" x14ac:dyDescent="0.2">
      <c r="B16" s="276" t="s">
        <v>1152</v>
      </c>
      <c r="C16" s="274"/>
      <c r="E16" s="277"/>
    </row>
    <row r="17" spans="2:5" x14ac:dyDescent="0.2">
      <c r="B17" s="271" t="s">
        <v>1144</v>
      </c>
      <c r="C17" s="274">
        <v>20.943134022170653</v>
      </c>
      <c r="E17" s="277"/>
    </row>
    <row r="18" spans="2:5" x14ac:dyDescent="0.2">
      <c r="B18" s="271" t="s">
        <v>1145</v>
      </c>
      <c r="C18" s="274">
        <v>47.997206089287076</v>
      </c>
      <c r="E18" s="277"/>
    </row>
    <row r="19" spans="2:5" x14ac:dyDescent="0.2">
      <c r="B19" s="271" t="s">
        <v>1146</v>
      </c>
      <c r="C19" s="274">
        <v>12.594049489544686</v>
      </c>
      <c r="E19" s="277"/>
    </row>
    <row r="20" spans="2:5" x14ac:dyDescent="0.2">
      <c r="B20" s="271" t="s">
        <v>1147</v>
      </c>
      <c r="C20" s="274">
        <v>15.685847833819929</v>
      </c>
      <c r="E20" s="277"/>
    </row>
    <row r="21" spans="2:5" x14ac:dyDescent="0.2">
      <c r="B21" s="271" t="s">
        <v>1148</v>
      </c>
      <c r="C21" s="274">
        <v>1.817669076644874</v>
      </c>
      <c r="E21" s="277"/>
    </row>
    <row r="22" spans="2:5" x14ac:dyDescent="0.2">
      <c r="B22" s="271" t="s">
        <v>1149</v>
      </c>
      <c r="C22" s="274">
        <v>0.96209348853279819</v>
      </c>
      <c r="E22" s="277"/>
    </row>
    <row r="23" spans="2:5" x14ac:dyDescent="0.2">
      <c r="B23" s="265"/>
      <c r="C23" s="278"/>
      <c r="D23" s="278"/>
      <c r="E23" s="277"/>
    </row>
    <row r="24" spans="2:5" x14ac:dyDescent="0.2">
      <c r="B24" s="281" t="s">
        <v>1151</v>
      </c>
      <c r="E24" s="277"/>
    </row>
    <row r="25" spans="2:5" x14ac:dyDescent="0.2">
      <c r="B25" s="269" t="s">
        <v>1136</v>
      </c>
      <c r="C25" s="152">
        <v>815979</v>
      </c>
      <c r="D25" s="152">
        <v>2307443</v>
      </c>
      <c r="E25" s="285">
        <f t="shared" si="0"/>
        <v>-64.637089626916037</v>
      </c>
    </row>
    <row r="26" spans="2:5" x14ac:dyDescent="0.2">
      <c r="B26" s="265" t="s">
        <v>1137</v>
      </c>
      <c r="C26" s="152">
        <v>6325</v>
      </c>
      <c r="D26" s="152">
        <v>18760</v>
      </c>
      <c r="E26" s="285">
        <f t="shared" si="0"/>
        <v>-66.284648187633266</v>
      </c>
    </row>
    <row r="27" spans="2:5" x14ac:dyDescent="0.2">
      <c r="B27" s="265" t="s">
        <v>1140</v>
      </c>
      <c r="C27" s="152">
        <v>466960</v>
      </c>
      <c r="D27" s="152">
        <v>934419</v>
      </c>
      <c r="E27" s="285">
        <f t="shared" si="0"/>
        <v>-50.026701083775052</v>
      </c>
    </row>
    <row r="28" spans="2:5" x14ac:dyDescent="0.2">
      <c r="B28" s="265"/>
      <c r="C28" s="152"/>
      <c r="D28" s="152"/>
      <c r="E28" s="285"/>
    </row>
    <row r="29" spans="2:5" x14ac:dyDescent="0.2">
      <c r="B29" s="276" t="s">
        <v>1150</v>
      </c>
      <c r="C29" s="152"/>
      <c r="D29" s="152"/>
      <c r="E29" s="285"/>
    </row>
    <row r="30" spans="2:5" x14ac:dyDescent="0.2">
      <c r="B30" s="272" t="s">
        <v>1138</v>
      </c>
      <c r="C30" s="273">
        <v>67</v>
      </c>
      <c r="D30" s="273">
        <v>41</v>
      </c>
      <c r="E30" s="285">
        <f>(C30/D30-1)*100</f>
        <v>63.414634146341456</v>
      </c>
    </row>
    <row r="31" spans="2:5" x14ac:dyDescent="0.2">
      <c r="B31" s="265" t="s">
        <v>1155</v>
      </c>
      <c r="C31" s="278">
        <v>67.2</v>
      </c>
      <c r="D31" s="278">
        <v>36</v>
      </c>
      <c r="E31" s="285">
        <f>(C31/D31-1)*100</f>
        <v>86.666666666666671</v>
      </c>
    </row>
    <row r="32" spans="2:5" x14ac:dyDescent="0.2">
      <c r="B32" s="265"/>
      <c r="C32" s="152"/>
      <c r="D32" s="152"/>
      <c r="E32" s="277"/>
    </row>
    <row r="33" spans="2:5" x14ac:dyDescent="0.2">
      <c r="B33" s="276"/>
      <c r="C33" s="152"/>
      <c r="D33" s="152"/>
      <c r="E33" s="277"/>
    </row>
    <row r="34" spans="2:5" x14ac:dyDescent="0.2">
      <c r="B34" s="276"/>
      <c r="C34" s="152"/>
      <c r="D34" s="152"/>
      <c r="E34" s="277"/>
    </row>
    <row r="35" spans="2:5" x14ac:dyDescent="0.2">
      <c r="B35" s="276"/>
      <c r="C35" s="152"/>
      <c r="D35" s="152"/>
      <c r="E35" s="277"/>
    </row>
    <row r="36" spans="2:5" x14ac:dyDescent="0.2">
      <c r="B36" s="276"/>
      <c r="C36" s="152"/>
      <c r="D36" s="152"/>
      <c r="E36" s="277"/>
    </row>
    <row r="37" spans="2:5" x14ac:dyDescent="0.2">
      <c r="B37" s="276"/>
      <c r="C37" s="152"/>
      <c r="D37" s="152"/>
      <c r="E37" s="277"/>
    </row>
    <row r="38" spans="2:5" x14ac:dyDescent="0.2">
      <c r="B38" s="276"/>
      <c r="C38" s="152"/>
      <c r="D38" s="152"/>
      <c r="E38" s="277"/>
    </row>
    <row r="39" spans="2:5" x14ac:dyDescent="0.2">
      <c r="B39" s="276"/>
      <c r="C39" s="152"/>
      <c r="D39" s="152"/>
      <c r="E39" s="277"/>
    </row>
    <row r="40" spans="2:5" x14ac:dyDescent="0.2">
      <c r="B40" s="276"/>
      <c r="C40" s="152"/>
      <c r="D40" s="152"/>
      <c r="E40" s="277"/>
    </row>
    <row r="41" spans="2:5" x14ac:dyDescent="0.2">
      <c r="B41" s="276"/>
      <c r="C41" s="152"/>
      <c r="D41" s="152"/>
      <c r="E41" s="277"/>
    </row>
    <row r="42" spans="2:5" x14ac:dyDescent="0.2">
      <c r="B42" s="276"/>
      <c r="C42" s="152"/>
      <c r="D42" s="152"/>
      <c r="E42" s="277"/>
    </row>
    <row r="43" spans="2:5" x14ac:dyDescent="0.2">
      <c r="B43" s="276"/>
      <c r="C43" s="152"/>
      <c r="D43" s="152"/>
      <c r="E43" s="277"/>
    </row>
    <row r="44" spans="2:5" x14ac:dyDescent="0.2">
      <c r="B44" s="276"/>
      <c r="C44" s="152"/>
      <c r="D44" s="152"/>
      <c r="E44" s="277"/>
    </row>
    <row r="45" spans="2:5" x14ac:dyDescent="0.2">
      <c r="B45" s="276"/>
      <c r="C45" s="152"/>
      <c r="D45" s="152"/>
      <c r="E45" s="277"/>
    </row>
    <row r="46" spans="2:5" x14ac:dyDescent="0.2">
      <c r="B46" s="276"/>
      <c r="C46" s="152"/>
      <c r="D46" s="152"/>
      <c r="E46" s="277"/>
    </row>
    <row r="47" spans="2:5" x14ac:dyDescent="0.2">
      <c r="B47" s="276"/>
      <c r="C47" s="152"/>
      <c r="D47" s="152"/>
      <c r="E47" s="277"/>
    </row>
    <row r="48" spans="2:5" x14ac:dyDescent="0.2">
      <c r="B48" s="276"/>
      <c r="C48" s="152"/>
      <c r="D48" s="152"/>
      <c r="E48" s="277"/>
    </row>
    <row r="49" spans="2:6" x14ac:dyDescent="0.2">
      <c r="B49" s="276"/>
      <c r="C49" s="152"/>
      <c r="D49" s="152"/>
      <c r="E49" s="277"/>
    </row>
    <row r="50" spans="2:6" x14ac:dyDescent="0.2">
      <c r="B50" s="276"/>
      <c r="C50" s="152"/>
      <c r="D50" s="152"/>
      <c r="E50" s="277"/>
    </row>
    <row r="51" spans="2:6" x14ac:dyDescent="0.2">
      <c r="B51" s="276"/>
      <c r="C51" s="152"/>
      <c r="D51" s="152"/>
      <c r="E51" s="277"/>
    </row>
    <row r="52" spans="2:6" x14ac:dyDescent="0.2">
      <c r="B52" s="276"/>
      <c r="C52" s="152"/>
      <c r="D52" s="152"/>
      <c r="E52" s="277"/>
    </row>
    <row r="53" spans="2:6" x14ac:dyDescent="0.2">
      <c r="B53" s="276"/>
      <c r="C53" s="152"/>
      <c r="D53" s="152"/>
      <c r="E53" s="277"/>
    </row>
    <row r="54" spans="2:6" x14ac:dyDescent="0.2">
      <c r="B54" s="276"/>
      <c r="C54" s="152"/>
      <c r="D54" s="152"/>
      <c r="E54" s="277"/>
    </row>
    <row r="55" spans="2:6" x14ac:dyDescent="0.2">
      <c r="E55" s="277"/>
    </row>
    <row r="56" spans="2:6" x14ac:dyDescent="0.2">
      <c r="B56" s="276"/>
      <c r="C56" s="284"/>
      <c r="D56" s="284"/>
      <c r="E56" s="277"/>
    </row>
    <row r="57" spans="2:6" x14ac:dyDescent="0.2">
      <c r="B57" s="266"/>
      <c r="C57" s="267"/>
      <c r="D57" s="268"/>
      <c r="E57" s="277"/>
    </row>
    <row r="58" spans="2:6" x14ac:dyDescent="0.2">
      <c r="B58" s="266"/>
      <c r="C58" s="268"/>
      <c r="D58" s="268"/>
      <c r="E58" s="277"/>
    </row>
    <row r="59" spans="2:6" x14ac:dyDescent="0.2">
      <c r="E59" s="277"/>
    </row>
    <row r="60" spans="2:6" x14ac:dyDescent="0.2">
      <c r="B60" s="279"/>
      <c r="C60" s="280"/>
      <c r="D60" s="280"/>
      <c r="E60" s="280"/>
      <c r="F60" s="280"/>
    </row>
    <row r="61" spans="2:6" x14ac:dyDescent="0.2">
      <c r="B61" s="270"/>
      <c r="C61" s="282"/>
      <c r="D61" s="274"/>
      <c r="F61" s="274"/>
    </row>
    <row r="62" spans="2:6" x14ac:dyDescent="0.2">
      <c r="B62" s="270"/>
      <c r="C62" s="282"/>
      <c r="D62" s="274"/>
      <c r="F62" s="274"/>
    </row>
    <row r="66" spans="2:4" ht="15" x14ac:dyDescent="0.25">
      <c r="C66" s="275"/>
    </row>
    <row r="68" spans="2:4" x14ac:dyDescent="0.2">
      <c r="B68" s="270"/>
    </row>
    <row r="69" spans="2:4" x14ac:dyDescent="0.2">
      <c r="C69" s="270"/>
      <c r="D69" s="270"/>
    </row>
    <row r="84" spans="2:2" x14ac:dyDescent="0.2">
      <c r="B84" s="270"/>
    </row>
    <row r="102" spans="2:2" x14ac:dyDescent="0.2">
      <c r="B102" s="276"/>
    </row>
    <row r="104" spans="2:2" x14ac:dyDescent="0.2">
      <c r="B104" s="27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0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0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1" t="s">
        <v>1115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2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3" t="s">
        <v>915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4" t="s">
        <v>749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517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505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2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5" t="s">
        <v>504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5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5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5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6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7"/>
      <c r="B17" s="26"/>
      <c r="C17" s="287" t="s">
        <v>916</v>
      </c>
      <c r="D17" s="288"/>
      <c r="E17" s="289"/>
      <c r="F17" s="290" t="s">
        <v>691</v>
      </c>
      <c r="G17" s="291"/>
      <c r="H17" s="291"/>
      <c r="I17" s="203" t="s">
        <v>27</v>
      </c>
      <c r="J17" s="201"/>
      <c r="K17" s="198"/>
      <c r="L17" s="164"/>
    </row>
    <row r="18" spans="1:22" x14ac:dyDescent="0.2">
      <c r="A18" s="238" t="s">
        <v>689</v>
      </c>
      <c r="B18" s="137" t="s">
        <v>688</v>
      </c>
      <c r="C18" s="138" t="s">
        <v>694</v>
      </c>
      <c r="D18" s="138" t="s">
        <v>695</v>
      </c>
      <c r="E18" s="138" t="s">
        <v>696</v>
      </c>
      <c r="F18" s="138" t="s">
        <v>694</v>
      </c>
      <c r="G18" s="138" t="s">
        <v>695</v>
      </c>
      <c r="H18" s="264" t="s">
        <v>696</v>
      </c>
      <c r="I18" s="204" t="s">
        <v>685</v>
      </c>
      <c r="J18" s="202" t="s">
        <v>697</v>
      </c>
      <c r="K18" s="199" t="s">
        <v>693</v>
      </c>
      <c r="L18" s="164" t="s">
        <v>692</v>
      </c>
    </row>
    <row r="19" spans="1:22" x14ac:dyDescent="0.2">
      <c r="A19" t="s">
        <v>841</v>
      </c>
      <c r="B19" t="s">
        <v>123</v>
      </c>
      <c r="C19" s="152">
        <v>1396186</v>
      </c>
      <c r="D19" s="152">
        <v>1508567</v>
      </c>
      <c r="E19" s="152">
        <v>2904753</v>
      </c>
      <c r="F19" s="152">
        <v>49133602142.601974</v>
      </c>
      <c r="G19" s="152">
        <v>62702894886.490829</v>
      </c>
      <c r="H19" s="152">
        <v>111836497029.09261</v>
      </c>
      <c r="I19" t="s">
        <v>806</v>
      </c>
      <c r="J19" t="s">
        <v>131</v>
      </c>
      <c r="K19">
        <v>1</v>
      </c>
      <c r="L19" t="s">
        <v>748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291</v>
      </c>
      <c r="B20" t="s">
        <v>1083</v>
      </c>
      <c r="C20" s="152">
        <v>136603</v>
      </c>
      <c r="D20" s="152">
        <v>141661</v>
      </c>
      <c r="E20" s="152">
        <v>278264</v>
      </c>
      <c r="F20" s="152">
        <v>2385806280.7121201</v>
      </c>
      <c r="G20" s="152">
        <v>3180003641.5864</v>
      </c>
      <c r="H20" s="152">
        <v>5565809922.2985096</v>
      </c>
      <c r="I20" t="s">
        <v>806</v>
      </c>
      <c r="J20" t="s">
        <v>127</v>
      </c>
      <c r="K20">
        <v>283408</v>
      </c>
      <c r="L20" t="s">
        <v>182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723</v>
      </c>
      <c r="B21" t="s">
        <v>877</v>
      </c>
      <c r="C21" s="152">
        <v>129159</v>
      </c>
      <c r="D21" s="152">
        <v>137342</v>
      </c>
      <c r="E21" s="152">
        <v>266501</v>
      </c>
      <c r="F21" s="152">
        <v>4273214553.8103199</v>
      </c>
      <c r="G21" s="152">
        <v>5731541366.3986301</v>
      </c>
      <c r="H21" s="152">
        <v>10004755920.209</v>
      </c>
      <c r="I21" t="s">
        <v>806</v>
      </c>
      <c r="J21" t="s">
        <v>127</v>
      </c>
      <c r="K21">
        <v>681783</v>
      </c>
      <c r="L21" t="s">
        <v>865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782</v>
      </c>
      <c r="B22" t="s">
        <v>876</v>
      </c>
      <c r="C22" s="152">
        <v>117914</v>
      </c>
      <c r="D22" s="152">
        <v>121081</v>
      </c>
      <c r="E22" s="152">
        <v>238995</v>
      </c>
      <c r="F22" s="152">
        <v>3448373482.39604</v>
      </c>
      <c r="G22" s="152">
        <v>4534257962.9659004</v>
      </c>
      <c r="H22" s="152">
        <v>7982631445.3619404</v>
      </c>
      <c r="I22" t="s">
        <v>806</v>
      </c>
      <c r="J22" t="s">
        <v>127</v>
      </c>
      <c r="K22">
        <v>645952</v>
      </c>
      <c r="L22" t="s">
        <v>865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723</v>
      </c>
      <c r="B23" t="s">
        <v>735</v>
      </c>
      <c r="C23" s="152">
        <v>111778</v>
      </c>
      <c r="D23" s="152">
        <v>118270</v>
      </c>
      <c r="E23" s="152">
        <v>230048</v>
      </c>
      <c r="F23" s="152">
        <v>4021261042.4611301</v>
      </c>
      <c r="G23" s="152">
        <v>5232489442.6878901</v>
      </c>
      <c r="H23" s="152">
        <v>9253750485.1490192</v>
      </c>
      <c r="I23" t="s">
        <v>806</v>
      </c>
      <c r="J23" t="s">
        <v>127</v>
      </c>
      <c r="K23">
        <v>291906</v>
      </c>
      <c r="L23" t="s">
        <v>734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168</v>
      </c>
      <c r="B24" t="s">
        <v>184</v>
      </c>
      <c r="C24" s="152">
        <v>99480</v>
      </c>
      <c r="D24" s="152">
        <v>113539</v>
      </c>
      <c r="E24" s="152">
        <v>213019</v>
      </c>
      <c r="F24" s="152">
        <v>1785107548.1022</v>
      </c>
      <c r="G24" s="152">
        <v>2649005045.4254999</v>
      </c>
      <c r="H24" s="152">
        <v>4434112593.5276899</v>
      </c>
      <c r="I24" t="s">
        <v>685</v>
      </c>
      <c r="J24" t="s">
        <v>127</v>
      </c>
      <c r="K24">
        <v>501981</v>
      </c>
      <c r="L24" t="s">
        <v>851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782</v>
      </c>
      <c r="B25" t="s">
        <v>568</v>
      </c>
      <c r="C25" s="152">
        <v>91402</v>
      </c>
      <c r="D25" s="152">
        <v>77093</v>
      </c>
      <c r="E25" s="152">
        <v>168495</v>
      </c>
      <c r="F25" s="152">
        <v>3216533349.1489401</v>
      </c>
      <c r="G25" s="152">
        <v>3312513738.0221601</v>
      </c>
      <c r="H25" s="152">
        <v>6529047087.1710901</v>
      </c>
      <c r="I25" t="s">
        <v>806</v>
      </c>
      <c r="J25" t="s">
        <v>127</v>
      </c>
      <c r="K25">
        <v>785022</v>
      </c>
      <c r="L25" t="s">
        <v>182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509</v>
      </c>
      <c r="B26" t="s">
        <v>563</v>
      </c>
      <c r="C26" s="152">
        <v>68270</v>
      </c>
      <c r="D26" s="152">
        <v>71582</v>
      </c>
      <c r="E26" s="152">
        <v>139852</v>
      </c>
      <c r="F26" s="152">
        <v>4052261803.2300701</v>
      </c>
      <c r="G26" s="152">
        <v>5289794155.1560001</v>
      </c>
      <c r="H26" s="152">
        <v>9342055958.3860703</v>
      </c>
      <c r="I26" t="s">
        <v>806</v>
      </c>
      <c r="J26" t="s">
        <v>131</v>
      </c>
      <c r="K26">
        <v>747899</v>
      </c>
      <c r="L26" t="s">
        <v>182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152</v>
      </c>
      <c r="B27" t="s">
        <v>159</v>
      </c>
      <c r="C27" s="152">
        <v>66161</v>
      </c>
      <c r="D27" s="152">
        <v>71619</v>
      </c>
      <c r="E27" s="152">
        <v>137780</v>
      </c>
      <c r="F27" s="152">
        <v>1489249989.58934</v>
      </c>
      <c r="G27" s="152">
        <v>1987384747.9874001</v>
      </c>
      <c r="H27" s="152">
        <v>3476634737.5767298</v>
      </c>
      <c r="I27" t="s">
        <v>685</v>
      </c>
      <c r="J27" t="s">
        <v>127</v>
      </c>
      <c r="K27">
        <v>984187</v>
      </c>
      <c r="L27" t="s">
        <v>851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282</v>
      </c>
      <c r="B28" t="s">
        <v>587</v>
      </c>
      <c r="C28" s="152">
        <v>69610</v>
      </c>
      <c r="D28" s="152">
        <v>64601</v>
      </c>
      <c r="E28" s="152">
        <v>134211</v>
      </c>
      <c r="F28" s="152">
        <v>1101138228.97945</v>
      </c>
      <c r="G28" s="152">
        <v>1319759744.95929</v>
      </c>
      <c r="H28" s="152">
        <v>2420897973.9387398</v>
      </c>
      <c r="I28" t="s">
        <v>806</v>
      </c>
      <c r="J28" t="s">
        <v>127</v>
      </c>
      <c r="K28">
        <v>928341</v>
      </c>
      <c r="L28" t="s">
        <v>182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509</v>
      </c>
      <c r="B29" t="s">
        <v>567</v>
      </c>
      <c r="C29" s="152">
        <v>72068</v>
      </c>
      <c r="D29" s="152">
        <v>56524</v>
      </c>
      <c r="E29" s="152">
        <v>128592</v>
      </c>
      <c r="F29" s="152">
        <v>5044911728.7629004</v>
      </c>
      <c r="G29" s="152">
        <v>4694439454.8017302</v>
      </c>
      <c r="H29" s="152">
        <v>9739351183.5646305</v>
      </c>
      <c r="I29" t="s">
        <v>806</v>
      </c>
      <c r="J29" t="s">
        <v>131</v>
      </c>
      <c r="K29">
        <v>783720</v>
      </c>
      <c r="L29" t="s">
        <v>182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306</v>
      </c>
      <c r="B30" t="s">
        <v>875</v>
      </c>
      <c r="C30" s="152">
        <v>66567</v>
      </c>
      <c r="D30" s="152">
        <v>59461</v>
      </c>
      <c r="E30" s="152">
        <v>126028</v>
      </c>
      <c r="F30" s="152">
        <v>2243398262.2884302</v>
      </c>
      <c r="G30" s="152">
        <v>2492879918.8885002</v>
      </c>
      <c r="H30" s="152">
        <v>4736278181.17694</v>
      </c>
      <c r="I30" t="s">
        <v>806</v>
      </c>
      <c r="J30" t="s">
        <v>129</v>
      </c>
      <c r="K30">
        <v>610121</v>
      </c>
      <c r="L30" t="s">
        <v>865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362</v>
      </c>
      <c r="B31" t="s">
        <v>518</v>
      </c>
      <c r="C31" s="152">
        <v>61702</v>
      </c>
      <c r="D31" s="152">
        <v>49406</v>
      </c>
      <c r="E31" s="152">
        <v>111108</v>
      </c>
      <c r="F31" s="152">
        <v>2518849854.7193599</v>
      </c>
      <c r="G31" s="152">
        <v>2478351146.8382101</v>
      </c>
      <c r="H31" s="152">
        <v>4997201001.55758</v>
      </c>
      <c r="I31" t="s">
        <v>806</v>
      </c>
      <c r="J31" t="s">
        <v>131</v>
      </c>
      <c r="K31">
        <v>463141</v>
      </c>
      <c r="L31" t="s">
        <v>852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282</v>
      </c>
      <c r="B32" t="s">
        <v>932</v>
      </c>
      <c r="C32" s="152">
        <v>51718</v>
      </c>
      <c r="D32" s="152">
        <v>47270</v>
      </c>
      <c r="E32" s="152">
        <v>98988</v>
      </c>
      <c r="F32" s="152">
        <v>915172044.37716603</v>
      </c>
      <c r="G32" s="152">
        <v>1005596742.7977999</v>
      </c>
      <c r="H32" s="152">
        <v>1920768787.1749699</v>
      </c>
      <c r="I32" t="s">
        <v>685</v>
      </c>
      <c r="J32" t="s">
        <v>127</v>
      </c>
      <c r="K32">
        <v>313155</v>
      </c>
      <c r="L32" t="s">
        <v>817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723</v>
      </c>
      <c r="B33" t="s">
        <v>569</v>
      </c>
      <c r="C33" s="152">
        <v>50058</v>
      </c>
      <c r="D33" s="152">
        <v>46819</v>
      </c>
      <c r="E33" s="152">
        <v>96877</v>
      </c>
      <c r="F33" s="152">
        <v>1120807318.5231199</v>
      </c>
      <c r="G33" s="152">
        <v>1309791412.4174199</v>
      </c>
      <c r="H33" s="152">
        <v>2430598730.9405398</v>
      </c>
      <c r="I33" t="s">
        <v>806</v>
      </c>
      <c r="J33" t="s">
        <v>127</v>
      </c>
      <c r="K33">
        <v>789271</v>
      </c>
      <c r="L33" t="s">
        <v>182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362</v>
      </c>
      <c r="B34" t="s">
        <v>507</v>
      </c>
      <c r="C34" s="152">
        <v>51154</v>
      </c>
      <c r="D34" s="152">
        <v>45298</v>
      </c>
      <c r="E34" s="152">
        <v>96452</v>
      </c>
      <c r="F34" s="152">
        <v>2435992693.3034</v>
      </c>
      <c r="G34" s="152">
        <v>2663979744.1747599</v>
      </c>
      <c r="H34" s="152">
        <v>5099972437.4781599</v>
      </c>
      <c r="I34" t="s">
        <v>806</v>
      </c>
      <c r="J34" t="s">
        <v>131</v>
      </c>
      <c r="K34">
        <v>427310</v>
      </c>
      <c r="L34" t="s">
        <v>852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723</v>
      </c>
      <c r="B35" t="s">
        <v>761</v>
      </c>
      <c r="C35" s="152">
        <v>44572</v>
      </c>
      <c r="D35" s="152">
        <v>45480</v>
      </c>
      <c r="E35" s="152">
        <v>90052</v>
      </c>
      <c r="F35" s="152">
        <v>1400786982.08041</v>
      </c>
      <c r="G35" s="152">
        <v>1803464842.53666</v>
      </c>
      <c r="H35" s="152">
        <v>3204251824.6170702</v>
      </c>
      <c r="I35" t="s">
        <v>806</v>
      </c>
      <c r="J35" t="s">
        <v>127</v>
      </c>
      <c r="K35">
        <v>976928</v>
      </c>
      <c r="L35" t="s">
        <v>831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152</v>
      </c>
      <c r="B36" t="s">
        <v>161</v>
      </c>
      <c r="C36" s="152">
        <v>44433</v>
      </c>
      <c r="D36" s="152">
        <v>43228</v>
      </c>
      <c r="E36" s="152">
        <v>87661</v>
      </c>
      <c r="F36" s="152">
        <v>1015798923.10586</v>
      </c>
      <c r="G36" s="152">
        <v>1233386024.0089099</v>
      </c>
      <c r="H36" s="152">
        <v>2249184947.1147699</v>
      </c>
      <c r="I36" t="s">
        <v>806</v>
      </c>
      <c r="J36" t="s">
        <v>127</v>
      </c>
      <c r="K36">
        <v>941096</v>
      </c>
      <c r="L36" t="s">
        <v>831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358</v>
      </c>
      <c r="B37" t="s">
        <v>359</v>
      </c>
      <c r="C37" s="152">
        <v>45249</v>
      </c>
      <c r="D37" s="152">
        <v>41379</v>
      </c>
      <c r="E37" s="152">
        <v>86628</v>
      </c>
      <c r="F37" s="152">
        <v>1304196402.6437199</v>
      </c>
      <c r="G37" s="152">
        <v>1500335504.55545</v>
      </c>
      <c r="H37" s="152">
        <v>2804531907.1991601</v>
      </c>
      <c r="I37" t="s">
        <v>806</v>
      </c>
      <c r="J37" t="s">
        <v>131</v>
      </c>
      <c r="K37">
        <v>391482</v>
      </c>
      <c r="L37" t="s">
        <v>852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594</v>
      </c>
      <c r="B38" t="s">
        <v>866</v>
      </c>
      <c r="C38" s="152">
        <v>40266</v>
      </c>
      <c r="D38" s="152">
        <v>39963</v>
      </c>
      <c r="E38" s="152">
        <v>80229</v>
      </c>
      <c r="F38" s="152">
        <v>1517997403.54807</v>
      </c>
      <c r="G38" s="152">
        <v>1898608777.9139199</v>
      </c>
      <c r="H38" s="152">
        <v>3416606181.4619899</v>
      </c>
      <c r="I38" t="s">
        <v>806</v>
      </c>
      <c r="J38" t="s">
        <v>128</v>
      </c>
      <c r="K38">
        <v>574293</v>
      </c>
      <c r="L38" t="s">
        <v>865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282</v>
      </c>
      <c r="B39" t="s">
        <v>289</v>
      </c>
      <c r="C39" s="152">
        <v>40147</v>
      </c>
      <c r="D39" s="152">
        <v>39140</v>
      </c>
      <c r="E39" s="152">
        <v>79287</v>
      </c>
      <c r="F39" s="152">
        <v>763000970.58804405</v>
      </c>
      <c r="G39" s="152">
        <v>922525189.62191796</v>
      </c>
      <c r="H39" s="152">
        <v>1685526160.20996</v>
      </c>
      <c r="I39" t="s">
        <v>806</v>
      </c>
      <c r="J39" t="s">
        <v>127</v>
      </c>
      <c r="K39">
        <v>229922</v>
      </c>
      <c r="L39" t="s">
        <v>846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382</v>
      </c>
      <c r="B40" t="s">
        <v>565</v>
      </c>
      <c r="C40" s="152">
        <v>33033</v>
      </c>
      <c r="D40" s="152">
        <v>45115</v>
      </c>
      <c r="E40" s="152">
        <v>78148</v>
      </c>
      <c r="F40" s="152">
        <v>747880427.34932494</v>
      </c>
      <c r="G40" s="152">
        <v>1368331911.4739399</v>
      </c>
      <c r="H40" s="152">
        <v>2116212338.8232601</v>
      </c>
      <c r="I40" t="s">
        <v>806</v>
      </c>
      <c r="J40" t="s">
        <v>127</v>
      </c>
      <c r="K40">
        <v>752204</v>
      </c>
      <c r="L40" t="s">
        <v>182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509</v>
      </c>
      <c r="B41" t="s">
        <v>513</v>
      </c>
      <c r="C41" s="152">
        <v>44600</v>
      </c>
      <c r="D41" s="152">
        <v>32597</v>
      </c>
      <c r="E41" s="152">
        <v>77197</v>
      </c>
      <c r="F41" s="152">
        <v>1553942302.65206</v>
      </c>
      <c r="G41" s="152">
        <v>1361220432.2857201</v>
      </c>
      <c r="H41" s="152">
        <v>2915162734.9377799</v>
      </c>
      <c r="I41" t="s">
        <v>806</v>
      </c>
      <c r="J41" t="s">
        <v>131</v>
      </c>
      <c r="K41">
        <v>498972</v>
      </c>
      <c r="L41" t="s">
        <v>852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382</v>
      </c>
      <c r="B42" t="s">
        <v>224</v>
      </c>
      <c r="C42" s="152">
        <v>31599</v>
      </c>
      <c r="D42" s="152">
        <v>45240</v>
      </c>
      <c r="E42" s="152">
        <v>76839</v>
      </c>
      <c r="F42" s="152">
        <v>773797266.62794399</v>
      </c>
      <c r="G42" s="152">
        <v>1429896968.6442299</v>
      </c>
      <c r="H42" s="152">
        <v>2203694235.2721701</v>
      </c>
      <c r="I42" t="s">
        <v>806</v>
      </c>
      <c r="J42" t="s">
        <v>127</v>
      </c>
      <c r="K42">
        <v>834788</v>
      </c>
      <c r="L42" t="s">
        <v>223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723</v>
      </c>
      <c r="B43" t="s">
        <v>328</v>
      </c>
      <c r="C43" s="152">
        <v>37189</v>
      </c>
      <c r="D43" s="152">
        <v>39342</v>
      </c>
      <c r="E43" s="152">
        <v>76531</v>
      </c>
      <c r="F43" s="152">
        <v>467023533.982131</v>
      </c>
      <c r="G43" s="152">
        <v>619344677.73480701</v>
      </c>
      <c r="H43" s="152">
        <v>1086368211.7169399</v>
      </c>
      <c r="I43" t="s">
        <v>806</v>
      </c>
      <c r="J43" t="s">
        <v>127</v>
      </c>
      <c r="K43">
        <v>605634</v>
      </c>
      <c r="L43" t="s">
        <v>989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152</v>
      </c>
      <c r="B44" t="s">
        <v>931</v>
      </c>
      <c r="C44" s="152">
        <v>37398</v>
      </c>
      <c r="D44" s="152">
        <v>34890</v>
      </c>
      <c r="E44" s="152">
        <v>72288</v>
      </c>
      <c r="F44" s="152">
        <v>809389239.45059001</v>
      </c>
      <c r="G44" s="152">
        <v>879454220.74160397</v>
      </c>
      <c r="H44" s="152">
        <v>1688843460.1921899</v>
      </c>
      <c r="I44" t="s">
        <v>685</v>
      </c>
      <c r="J44" t="s">
        <v>127</v>
      </c>
      <c r="K44">
        <v>384818</v>
      </c>
      <c r="L44" t="s">
        <v>817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382</v>
      </c>
      <c r="B45" t="s">
        <v>412</v>
      </c>
      <c r="C45" s="152">
        <v>27903</v>
      </c>
      <c r="D45" s="152">
        <v>42500</v>
      </c>
      <c r="E45" s="152">
        <v>70403</v>
      </c>
      <c r="F45" s="152">
        <v>890086131.59386802</v>
      </c>
      <c r="G45" s="152">
        <v>1823893534.6867001</v>
      </c>
      <c r="H45" s="152">
        <v>2713979666.28057</v>
      </c>
      <c r="I45" t="s">
        <v>806</v>
      </c>
      <c r="J45" t="s">
        <v>127</v>
      </c>
      <c r="K45">
        <v>249995</v>
      </c>
      <c r="L45" t="s">
        <v>925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779</v>
      </c>
      <c r="B46" t="s">
        <v>775</v>
      </c>
      <c r="C46" s="152">
        <v>32123</v>
      </c>
      <c r="D46" s="152">
        <v>36687</v>
      </c>
      <c r="E46" s="152">
        <v>68810</v>
      </c>
      <c r="F46" s="152">
        <v>869455187.876724</v>
      </c>
      <c r="G46" s="152">
        <v>1237968137.7849901</v>
      </c>
      <c r="H46" s="152">
        <v>2107423325.66171</v>
      </c>
      <c r="I46" t="s">
        <v>806</v>
      </c>
      <c r="J46" t="s">
        <v>127</v>
      </c>
      <c r="K46">
        <v>212332</v>
      </c>
      <c r="L46" t="s">
        <v>852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218</v>
      </c>
      <c r="B47" t="s">
        <v>576</v>
      </c>
      <c r="C47" s="152">
        <v>31137</v>
      </c>
      <c r="D47" s="152">
        <v>37361</v>
      </c>
      <c r="E47" s="152">
        <v>68498</v>
      </c>
      <c r="F47" s="152">
        <v>596785189.35334802</v>
      </c>
      <c r="G47" s="152">
        <v>962783665.17382503</v>
      </c>
      <c r="H47" s="152">
        <v>1559568854.5271699</v>
      </c>
      <c r="I47" t="s">
        <v>806</v>
      </c>
      <c r="J47" t="s">
        <v>127</v>
      </c>
      <c r="K47">
        <v>825109</v>
      </c>
      <c r="L47" t="s">
        <v>182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102</v>
      </c>
      <c r="B48" t="s">
        <v>1042</v>
      </c>
      <c r="C48" s="152">
        <v>33687</v>
      </c>
      <c r="D48" s="152">
        <v>32416</v>
      </c>
      <c r="E48" s="152">
        <v>66103</v>
      </c>
      <c r="F48" s="152">
        <v>472365072.37806797</v>
      </c>
      <c r="G48" s="152">
        <v>557622387.68778503</v>
      </c>
      <c r="H48" s="152">
        <v>1029987460.06585</v>
      </c>
      <c r="I48" t="s">
        <v>806</v>
      </c>
      <c r="J48" t="s">
        <v>127</v>
      </c>
      <c r="K48">
        <v>140673</v>
      </c>
      <c r="L48" t="s">
        <v>852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98</v>
      </c>
      <c r="B49" t="s">
        <v>585</v>
      </c>
      <c r="C49" s="152">
        <v>33555</v>
      </c>
      <c r="D49" s="152">
        <v>32329</v>
      </c>
      <c r="E49" s="152">
        <v>65884</v>
      </c>
      <c r="F49" s="152">
        <v>562008804.86012805</v>
      </c>
      <c r="G49" s="152">
        <v>676584095.45466697</v>
      </c>
      <c r="H49" s="152">
        <v>1238592900.3148</v>
      </c>
      <c r="I49" t="s">
        <v>806</v>
      </c>
      <c r="J49" t="s">
        <v>127</v>
      </c>
      <c r="K49">
        <v>896761</v>
      </c>
      <c r="L49" t="s">
        <v>182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314</v>
      </c>
      <c r="B50" t="s">
        <v>22</v>
      </c>
      <c r="C50" s="152">
        <v>31525</v>
      </c>
      <c r="D50" s="152">
        <v>32982</v>
      </c>
      <c r="E50" s="152">
        <v>64507</v>
      </c>
      <c r="F50" s="152">
        <v>1537995828.1263599</v>
      </c>
      <c r="G50" s="152">
        <v>2015994608.27988</v>
      </c>
      <c r="H50" s="152">
        <v>3553990436.40624</v>
      </c>
      <c r="I50" t="s">
        <v>685</v>
      </c>
      <c r="J50" t="s">
        <v>129</v>
      </c>
      <c r="K50">
        <v>276493</v>
      </c>
      <c r="L50" t="s">
        <v>21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362</v>
      </c>
      <c r="B51" t="s">
        <v>574</v>
      </c>
      <c r="C51" s="152">
        <v>38349</v>
      </c>
      <c r="D51" s="152">
        <v>25284</v>
      </c>
      <c r="E51" s="152">
        <v>63633</v>
      </c>
      <c r="F51" s="152">
        <v>2678495625.22861</v>
      </c>
      <c r="G51" s="152">
        <v>2071111551.70981</v>
      </c>
      <c r="H51" s="152">
        <v>4749607176.9384203</v>
      </c>
      <c r="I51" t="s">
        <v>806</v>
      </c>
      <c r="J51" t="s">
        <v>131</v>
      </c>
      <c r="K51">
        <v>819557</v>
      </c>
      <c r="L51" t="s">
        <v>182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152</v>
      </c>
      <c r="B52" t="s">
        <v>566</v>
      </c>
      <c r="C52" s="152">
        <v>32084</v>
      </c>
      <c r="D52" s="152">
        <v>30872</v>
      </c>
      <c r="E52" s="152">
        <v>62956</v>
      </c>
      <c r="F52" s="152">
        <v>836300978.369959</v>
      </c>
      <c r="G52" s="152">
        <v>1131299378.1751399</v>
      </c>
      <c r="H52" s="152">
        <v>1967600356.5451</v>
      </c>
      <c r="I52" t="s">
        <v>806</v>
      </c>
      <c r="J52" t="s">
        <v>127</v>
      </c>
      <c r="K52">
        <v>753442</v>
      </c>
      <c r="L52" t="s">
        <v>182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48</v>
      </c>
      <c r="B53" t="s">
        <v>589</v>
      </c>
      <c r="C53" s="152">
        <v>33193</v>
      </c>
      <c r="D53" s="152">
        <v>29166</v>
      </c>
      <c r="E53" s="152">
        <v>62359</v>
      </c>
      <c r="F53" s="152">
        <v>501943748.37641901</v>
      </c>
      <c r="G53" s="152">
        <v>539802265.36161602</v>
      </c>
      <c r="H53" s="152">
        <v>1041746013.73803</v>
      </c>
      <c r="I53" t="s">
        <v>806</v>
      </c>
      <c r="J53" t="s">
        <v>127</v>
      </c>
      <c r="K53">
        <v>964171</v>
      </c>
      <c r="L53" t="s">
        <v>182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314</v>
      </c>
      <c r="B54" t="s">
        <v>564</v>
      </c>
      <c r="C54" s="152">
        <v>36575</v>
      </c>
      <c r="D54" s="152">
        <v>25221</v>
      </c>
      <c r="E54" s="152">
        <v>61796</v>
      </c>
      <c r="F54" s="152">
        <v>976564439.55307603</v>
      </c>
      <c r="G54" s="152">
        <v>809977585.89480495</v>
      </c>
      <c r="H54" s="152">
        <v>1786542025.44788</v>
      </c>
      <c r="I54" t="s">
        <v>806</v>
      </c>
      <c r="J54" t="s">
        <v>129</v>
      </c>
      <c r="K54">
        <v>749192</v>
      </c>
      <c r="L54" t="s">
        <v>182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723</v>
      </c>
      <c r="B55" t="s">
        <v>395</v>
      </c>
      <c r="C55" s="152">
        <v>30401</v>
      </c>
      <c r="D55" s="152">
        <v>31345</v>
      </c>
      <c r="E55" s="152">
        <v>61746</v>
      </c>
      <c r="F55" s="152">
        <v>477519054.77877003</v>
      </c>
      <c r="G55" s="152">
        <v>625981359.79984403</v>
      </c>
      <c r="H55" s="152">
        <v>1103500414.5786099</v>
      </c>
      <c r="I55" t="s">
        <v>806</v>
      </c>
      <c r="J55" t="s">
        <v>127</v>
      </c>
      <c r="K55">
        <v>393314</v>
      </c>
      <c r="L55" t="s">
        <v>925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314</v>
      </c>
      <c r="B56" t="s">
        <v>1001</v>
      </c>
      <c r="C56" s="152">
        <v>29847</v>
      </c>
      <c r="D56" s="152">
        <v>31525</v>
      </c>
      <c r="E56" s="152">
        <v>61372</v>
      </c>
      <c r="F56" s="152">
        <v>287030244.863621</v>
      </c>
      <c r="G56" s="152">
        <v>377026162.15245402</v>
      </c>
      <c r="H56" s="152">
        <v>664056407.01607502</v>
      </c>
      <c r="I56" t="s">
        <v>806</v>
      </c>
      <c r="J56" t="s">
        <v>129</v>
      </c>
      <c r="K56">
        <v>889204</v>
      </c>
      <c r="L56" t="s">
        <v>989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168</v>
      </c>
      <c r="B57" t="s">
        <v>1030</v>
      </c>
      <c r="C57" s="152">
        <v>27208</v>
      </c>
      <c r="D57" s="152">
        <v>31890</v>
      </c>
      <c r="E57" s="152">
        <v>59098</v>
      </c>
      <c r="F57" s="152">
        <v>1078508907.54039</v>
      </c>
      <c r="G57" s="152">
        <v>1569554997.0641</v>
      </c>
      <c r="H57" s="152">
        <v>2648063904.6044998</v>
      </c>
      <c r="I57" t="s">
        <v>685</v>
      </c>
      <c r="J57" t="s">
        <v>127</v>
      </c>
      <c r="K57">
        <v>391839</v>
      </c>
      <c r="L57" t="s">
        <v>1028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314</v>
      </c>
      <c r="B58" t="s">
        <v>1027</v>
      </c>
      <c r="C58" s="152">
        <v>27190</v>
      </c>
      <c r="D58" s="152">
        <v>31877</v>
      </c>
      <c r="E58" s="152">
        <v>59067</v>
      </c>
      <c r="F58" s="152">
        <v>1188636258.8942699</v>
      </c>
      <c r="G58" s="152">
        <v>1709335569.0589299</v>
      </c>
      <c r="H58" s="152">
        <v>2897971827.9531999</v>
      </c>
      <c r="I58" t="s">
        <v>685</v>
      </c>
      <c r="J58" t="s">
        <v>129</v>
      </c>
      <c r="K58">
        <v>356006</v>
      </c>
      <c r="L58" t="s">
        <v>1028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314</v>
      </c>
      <c r="B59" t="s">
        <v>584</v>
      </c>
      <c r="C59" s="152">
        <v>29590</v>
      </c>
      <c r="D59" s="152">
        <v>28502</v>
      </c>
      <c r="E59" s="152">
        <v>58092</v>
      </c>
      <c r="F59" s="152">
        <v>2220311218.4605899</v>
      </c>
      <c r="G59" s="152">
        <v>2493866279.3179302</v>
      </c>
      <c r="H59" s="152">
        <v>4714177497.7785301</v>
      </c>
      <c r="I59" t="s">
        <v>806</v>
      </c>
      <c r="J59" t="s">
        <v>129</v>
      </c>
      <c r="K59">
        <v>286179</v>
      </c>
      <c r="L59" t="s">
        <v>870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381</v>
      </c>
      <c r="B60" t="s">
        <v>139</v>
      </c>
      <c r="C60" s="152">
        <v>22485</v>
      </c>
      <c r="D60" s="152">
        <v>33631</v>
      </c>
      <c r="E60" s="152">
        <v>56116</v>
      </c>
      <c r="F60" s="152">
        <v>521293590.85044402</v>
      </c>
      <c r="G60" s="152">
        <v>996079460.84445703</v>
      </c>
      <c r="H60" s="152">
        <v>1517373051.6949</v>
      </c>
      <c r="I60" t="s">
        <v>685</v>
      </c>
      <c r="J60" t="s">
        <v>127</v>
      </c>
      <c r="K60">
        <v>334409</v>
      </c>
      <c r="L60" t="s">
        <v>368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282</v>
      </c>
      <c r="B61" t="s">
        <v>290</v>
      </c>
      <c r="C61" s="152">
        <v>28247</v>
      </c>
      <c r="D61" s="152">
        <v>24938</v>
      </c>
      <c r="E61" s="152">
        <v>53185</v>
      </c>
      <c r="F61" s="152">
        <v>541060878.57854795</v>
      </c>
      <c r="G61" s="152">
        <v>579400584.28145504</v>
      </c>
      <c r="H61" s="152">
        <v>1120461462.8599999</v>
      </c>
      <c r="I61" t="s">
        <v>806</v>
      </c>
      <c r="J61" t="s">
        <v>127</v>
      </c>
      <c r="K61">
        <v>749788</v>
      </c>
      <c r="L61" t="s">
        <v>736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152</v>
      </c>
      <c r="B62" t="s">
        <v>629</v>
      </c>
      <c r="C62" s="152">
        <v>25268</v>
      </c>
      <c r="D62" s="152">
        <v>27636</v>
      </c>
      <c r="E62" s="152">
        <v>52904</v>
      </c>
      <c r="F62" s="152">
        <v>135527836.98523599</v>
      </c>
      <c r="G62" s="152">
        <v>186912664.09616899</v>
      </c>
      <c r="H62" s="152">
        <v>322440501.08140498</v>
      </c>
      <c r="I62" t="s">
        <v>806</v>
      </c>
      <c r="J62" t="s">
        <v>127</v>
      </c>
      <c r="K62">
        <v>989434</v>
      </c>
      <c r="L62" t="s">
        <v>372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536</v>
      </c>
      <c r="B63" t="s">
        <v>864</v>
      </c>
      <c r="C63" s="152">
        <v>24856</v>
      </c>
      <c r="D63" s="152">
        <v>24407</v>
      </c>
      <c r="E63" s="152">
        <v>49263</v>
      </c>
      <c r="F63" s="152">
        <v>905015652.69209301</v>
      </c>
      <c r="G63" s="152">
        <v>1209324887.01969</v>
      </c>
      <c r="H63" s="152">
        <v>2114340539.7117801</v>
      </c>
      <c r="I63" t="s">
        <v>806</v>
      </c>
      <c r="J63" t="s">
        <v>128</v>
      </c>
      <c r="K63">
        <v>305185</v>
      </c>
      <c r="L63" t="s">
        <v>865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723</v>
      </c>
      <c r="B64" t="s">
        <v>774</v>
      </c>
      <c r="C64" s="152">
        <v>24978</v>
      </c>
      <c r="D64" s="152">
        <v>24161</v>
      </c>
      <c r="E64" s="152">
        <v>49139</v>
      </c>
      <c r="F64" s="152">
        <v>627421686.36272502</v>
      </c>
      <c r="G64" s="152">
        <v>746714072.05608201</v>
      </c>
      <c r="H64" s="152">
        <v>1374135758.4188099</v>
      </c>
      <c r="I64" t="s">
        <v>806</v>
      </c>
      <c r="J64" t="s">
        <v>127</v>
      </c>
      <c r="K64">
        <v>721860</v>
      </c>
      <c r="L64" t="s">
        <v>832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48</v>
      </c>
      <c r="B65" t="s">
        <v>51</v>
      </c>
      <c r="C65" s="152">
        <v>24753</v>
      </c>
      <c r="D65" s="152">
        <v>23379</v>
      </c>
      <c r="E65" s="152">
        <v>48132</v>
      </c>
      <c r="F65" s="152">
        <v>367640954.71966702</v>
      </c>
      <c r="G65" s="152">
        <v>422376923.68272603</v>
      </c>
      <c r="H65" s="152">
        <v>790017878.40239406</v>
      </c>
      <c r="I65" t="s">
        <v>806</v>
      </c>
      <c r="J65" t="s">
        <v>127</v>
      </c>
      <c r="K65">
        <v>108506</v>
      </c>
      <c r="L65" t="s">
        <v>755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776</v>
      </c>
      <c r="B66" t="s">
        <v>578</v>
      </c>
      <c r="C66" s="152">
        <v>21361</v>
      </c>
      <c r="D66" s="152">
        <v>26068</v>
      </c>
      <c r="E66" s="152">
        <v>47429</v>
      </c>
      <c r="F66" s="152">
        <v>534869626.486269</v>
      </c>
      <c r="G66" s="152">
        <v>818728148.52978301</v>
      </c>
      <c r="H66" s="152">
        <v>1353597775.0160501</v>
      </c>
      <c r="I66" t="s">
        <v>806</v>
      </c>
      <c r="J66" t="s">
        <v>127</v>
      </c>
      <c r="K66">
        <v>856682</v>
      </c>
      <c r="L66" t="s">
        <v>182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594</v>
      </c>
      <c r="B67" t="s">
        <v>559</v>
      </c>
      <c r="C67" s="152">
        <v>27203</v>
      </c>
      <c r="D67" s="152">
        <v>20127</v>
      </c>
      <c r="E67" s="152">
        <v>47330</v>
      </c>
      <c r="F67" s="152">
        <v>739584398.40200901</v>
      </c>
      <c r="G67" s="152">
        <v>643124662.34347904</v>
      </c>
      <c r="H67" s="152">
        <v>1382709060.7454901</v>
      </c>
      <c r="I67" t="s">
        <v>806</v>
      </c>
      <c r="J67" t="s">
        <v>128</v>
      </c>
      <c r="K67">
        <v>677534</v>
      </c>
      <c r="L67" t="s">
        <v>182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291</v>
      </c>
      <c r="B68" t="s">
        <v>296</v>
      </c>
      <c r="C68" s="152">
        <v>24018</v>
      </c>
      <c r="D68" s="152">
        <v>23160</v>
      </c>
      <c r="E68" s="152">
        <v>47178</v>
      </c>
      <c r="F68" s="152">
        <v>360248404.48235101</v>
      </c>
      <c r="G68" s="152">
        <v>417745089.78244299</v>
      </c>
      <c r="H68" s="152">
        <v>777993494.26479399</v>
      </c>
      <c r="I68" t="s">
        <v>806</v>
      </c>
      <c r="J68" t="s">
        <v>127</v>
      </c>
      <c r="K68">
        <v>144337</v>
      </c>
      <c r="L68" t="s">
        <v>755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314</v>
      </c>
      <c r="B69" t="s">
        <v>988</v>
      </c>
      <c r="C69" s="152">
        <v>24908</v>
      </c>
      <c r="D69" s="152">
        <v>22127</v>
      </c>
      <c r="E69" s="152">
        <v>47035</v>
      </c>
      <c r="F69" s="152">
        <v>2010899317.24052</v>
      </c>
      <c r="G69" s="152">
        <v>2126375282.2646201</v>
      </c>
      <c r="H69" s="152">
        <v>4137274599.5051398</v>
      </c>
      <c r="I69" t="s">
        <v>685</v>
      </c>
      <c r="J69" t="s">
        <v>129</v>
      </c>
      <c r="K69">
        <v>119776</v>
      </c>
      <c r="L69" t="s">
        <v>411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776</v>
      </c>
      <c r="B70" t="s">
        <v>746</v>
      </c>
      <c r="C70" s="152">
        <v>20757</v>
      </c>
      <c r="D70" s="152">
        <v>24348</v>
      </c>
      <c r="E70" s="152">
        <v>45105</v>
      </c>
      <c r="F70" s="152">
        <v>590634149.17734504</v>
      </c>
      <c r="G70" s="152">
        <v>851559412.629776</v>
      </c>
      <c r="H70" s="152">
        <v>1442193561.8071201</v>
      </c>
      <c r="I70" t="s">
        <v>806</v>
      </c>
      <c r="J70" t="s">
        <v>127</v>
      </c>
      <c r="K70">
        <v>952010</v>
      </c>
      <c r="L70" t="s">
        <v>729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385</v>
      </c>
      <c r="B71" t="s">
        <v>283</v>
      </c>
      <c r="C71" s="152">
        <v>19421</v>
      </c>
      <c r="D71" s="152">
        <v>25657</v>
      </c>
      <c r="E71" s="152">
        <v>45078</v>
      </c>
      <c r="F71" s="152">
        <v>327554443.29819202</v>
      </c>
      <c r="G71" s="152">
        <v>544662026.77984202</v>
      </c>
      <c r="H71" s="152">
        <v>872216470.07803404</v>
      </c>
      <c r="I71" t="s">
        <v>685</v>
      </c>
      <c r="J71" t="s">
        <v>127</v>
      </c>
      <c r="K71">
        <v>364158</v>
      </c>
      <c r="L71" t="s">
        <v>94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92</v>
      </c>
      <c r="B72" t="s">
        <v>874</v>
      </c>
      <c r="C72" s="152">
        <v>20111</v>
      </c>
      <c r="D72" s="152">
        <v>24789</v>
      </c>
      <c r="E72" s="152">
        <v>44900</v>
      </c>
      <c r="F72" s="152">
        <v>314084426.14002001</v>
      </c>
      <c r="G72" s="152">
        <v>487786536.60535002</v>
      </c>
      <c r="H72" s="152">
        <v>801870962.74537003</v>
      </c>
      <c r="I72" t="s">
        <v>806</v>
      </c>
      <c r="J72" t="s">
        <v>127</v>
      </c>
      <c r="K72">
        <v>538462</v>
      </c>
      <c r="L72" t="s">
        <v>865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108</v>
      </c>
      <c r="B73" t="s">
        <v>135</v>
      </c>
      <c r="C73" s="152">
        <v>22615</v>
      </c>
      <c r="D73" s="152">
        <v>21797</v>
      </c>
      <c r="E73" s="152">
        <v>44412</v>
      </c>
      <c r="F73" s="152">
        <v>427481948.41440803</v>
      </c>
      <c r="G73" s="152">
        <v>507295183.44770497</v>
      </c>
      <c r="H73" s="152">
        <v>934777131.862113</v>
      </c>
      <c r="I73" t="s">
        <v>685</v>
      </c>
      <c r="J73" t="s">
        <v>127</v>
      </c>
      <c r="K73">
        <v>563254</v>
      </c>
      <c r="L73" t="s">
        <v>833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776</v>
      </c>
      <c r="B74" t="s">
        <v>777</v>
      </c>
      <c r="C74" s="152">
        <v>20052</v>
      </c>
      <c r="D74" s="152">
        <v>24288</v>
      </c>
      <c r="E74" s="152">
        <v>44340</v>
      </c>
      <c r="F74" s="152">
        <v>572598645.399863</v>
      </c>
      <c r="G74" s="152">
        <v>838481794.05278599</v>
      </c>
      <c r="H74" s="152">
        <v>1411080439.4526501</v>
      </c>
      <c r="I74" t="s">
        <v>806</v>
      </c>
      <c r="J74" t="s">
        <v>127</v>
      </c>
      <c r="K74">
        <v>842690</v>
      </c>
      <c r="L74" t="s">
        <v>753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108</v>
      </c>
      <c r="B75" t="s">
        <v>1044</v>
      </c>
      <c r="C75" s="152">
        <v>20099</v>
      </c>
      <c r="D75" s="152">
        <v>24023</v>
      </c>
      <c r="E75" s="152">
        <v>44122</v>
      </c>
      <c r="F75" s="152">
        <v>363043773.37752098</v>
      </c>
      <c r="G75" s="152">
        <v>533930714.08085603</v>
      </c>
      <c r="H75" s="152">
        <v>896974487.458377</v>
      </c>
      <c r="I75" t="s">
        <v>806</v>
      </c>
      <c r="J75" t="s">
        <v>127</v>
      </c>
      <c r="K75">
        <v>248161</v>
      </c>
      <c r="L75" t="s">
        <v>852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800</v>
      </c>
      <c r="B76" t="s">
        <v>575</v>
      </c>
      <c r="C76" s="152">
        <v>20702</v>
      </c>
      <c r="D76" s="152">
        <v>22588</v>
      </c>
      <c r="E76" s="152">
        <v>43290</v>
      </c>
      <c r="F76" s="152">
        <v>438983407.37620002</v>
      </c>
      <c r="G76" s="152">
        <v>592408312.70210505</v>
      </c>
      <c r="H76" s="152">
        <v>1031391720.07831</v>
      </c>
      <c r="I76" t="s">
        <v>806</v>
      </c>
      <c r="J76" t="s">
        <v>127</v>
      </c>
      <c r="K76">
        <v>820852</v>
      </c>
      <c r="L76" t="s">
        <v>182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800</v>
      </c>
      <c r="B77" t="s">
        <v>579</v>
      </c>
      <c r="C77" s="152">
        <v>21755</v>
      </c>
      <c r="D77" s="152">
        <v>21457</v>
      </c>
      <c r="E77" s="152">
        <v>43212</v>
      </c>
      <c r="F77" s="152">
        <v>491809185.35174102</v>
      </c>
      <c r="G77" s="152">
        <v>596485577.56604397</v>
      </c>
      <c r="H77" s="152">
        <v>1088294762.9177899</v>
      </c>
      <c r="I77" t="s">
        <v>806</v>
      </c>
      <c r="J77" t="s">
        <v>127</v>
      </c>
      <c r="K77">
        <v>860932</v>
      </c>
      <c r="L77" t="s">
        <v>182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779</v>
      </c>
      <c r="B78" t="s">
        <v>808</v>
      </c>
      <c r="C78" s="152">
        <v>15240</v>
      </c>
      <c r="D78" s="152">
        <v>27583</v>
      </c>
      <c r="E78" s="152">
        <v>42823</v>
      </c>
      <c r="F78" s="152">
        <v>455432286.309964</v>
      </c>
      <c r="G78" s="152">
        <v>996506482.14982498</v>
      </c>
      <c r="H78" s="152">
        <v>1451938768.45979</v>
      </c>
      <c r="I78" t="s">
        <v>806</v>
      </c>
      <c r="J78" t="s">
        <v>127</v>
      </c>
      <c r="K78">
        <v>734491</v>
      </c>
      <c r="L78" t="s">
        <v>231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314</v>
      </c>
      <c r="B79" t="s">
        <v>991</v>
      </c>
      <c r="C79" s="152">
        <v>19497</v>
      </c>
      <c r="D79" s="152">
        <v>23134</v>
      </c>
      <c r="E79" s="152">
        <v>42631</v>
      </c>
      <c r="F79" s="152">
        <v>1549641762.8167701</v>
      </c>
      <c r="G79" s="152">
        <v>2244676563.3256202</v>
      </c>
      <c r="H79" s="152">
        <v>3794318326.1423898</v>
      </c>
      <c r="I79" t="s">
        <v>685</v>
      </c>
      <c r="J79" t="s">
        <v>129</v>
      </c>
      <c r="K79">
        <v>912287</v>
      </c>
      <c r="L79" t="s">
        <v>411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779</v>
      </c>
      <c r="B80" t="s">
        <v>1103</v>
      </c>
      <c r="C80" s="152">
        <v>21050</v>
      </c>
      <c r="D80" s="152">
        <v>20780</v>
      </c>
      <c r="E80" s="152">
        <v>41830</v>
      </c>
      <c r="F80" s="152">
        <v>529523925.87215</v>
      </c>
      <c r="G80" s="152">
        <v>647634715.62541604</v>
      </c>
      <c r="H80" s="152">
        <v>1177158641.49757</v>
      </c>
      <c r="I80" t="s">
        <v>806</v>
      </c>
      <c r="J80" t="s">
        <v>127</v>
      </c>
      <c r="K80">
        <v>465914</v>
      </c>
      <c r="L80" t="s">
        <v>729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273</v>
      </c>
      <c r="B81" t="s">
        <v>277</v>
      </c>
      <c r="C81" s="152">
        <v>19533</v>
      </c>
      <c r="D81" s="152">
        <v>22257</v>
      </c>
      <c r="E81" s="152">
        <v>41790</v>
      </c>
      <c r="F81" s="152">
        <v>375273044.17816299</v>
      </c>
      <c r="G81" s="152">
        <v>553844560.12237298</v>
      </c>
      <c r="H81" s="152">
        <v>929117604.30053604</v>
      </c>
      <c r="I81" t="s">
        <v>806</v>
      </c>
      <c r="J81" t="s">
        <v>127</v>
      </c>
      <c r="K81">
        <v>194092</v>
      </c>
      <c r="L81" t="s">
        <v>846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48</v>
      </c>
      <c r="B82" t="s">
        <v>61</v>
      </c>
      <c r="C82" s="152">
        <v>22085</v>
      </c>
      <c r="D82" s="152">
        <v>19647</v>
      </c>
      <c r="E82" s="152">
        <v>41732</v>
      </c>
      <c r="F82" s="152">
        <v>340457009.69005901</v>
      </c>
      <c r="G82" s="152">
        <v>366498073.30254</v>
      </c>
      <c r="H82" s="152">
        <v>706955082.99259996</v>
      </c>
      <c r="I82" t="s">
        <v>806</v>
      </c>
      <c r="J82" t="s">
        <v>127</v>
      </c>
      <c r="K82">
        <v>686030</v>
      </c>
      <c r="L82" t="s">
        <v>832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168</v>
      </c>
      <c r="B83" t="s">
        <v>377</v>
      </c>
      <c r="C83" s="152">
        <v>18738</v>
      </c>
      <c r="D83" s="152">
        <v>20835</v>
      </c>
      <c r="E83" s="152">
        <v>39573</v>
      </c>
      <c r="F83" s="152">
        <v>383526622.64847797</v>
      </c>
      <c r="G83" s="152">
        <v>547193115.66496503</v>
      </c>
      <c r="H83" s="152">
        <v>930719738.31344199</v>
      </c>
      <c r="I83" t="s">
        <v>806</v>
      </c>
      <c r="J83" t="s">
        <v>127</v>
      </c>
      <c r="K83">
        <v>987842</v>
      </c>
      <c r="L83" t="s">
        <v>729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152</v>
      </c>
      <c r="B84" t="s">
        <v>167</v>
      </c>
      <c r="C84" s="152">
        <v>21613</v>
      </c>
      <c r="D84" s="152">
        <v>17510</v>
      </c>
      <c r="E84" s="152">
        <v>39123</v>
      </c>
      <c r="F84" s="152">
        <v>394930856.31719702</v>
      </c>
      <c r="G84" s="152">
        <v>372096558.77299798</v>
      </c>
      <c r="H84" s="152">
        <v>767027415.09019494</v>
      </c>
      <c r="I84" t="s">
        <v>806</v>
      </c>
      <c r="J84" t="s">
        <v>127</v>
      </c>
      <c r="K84">
        <v>475301</v>
      </c>
      <c r="L84" t="s">
        <v>732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273</v>
      </c>
      <c r="B85" t="s">
        <v>280</v>
      </c>
      <c r="C85" s="152">
        <v>18310</v>
      </c>
      <c r="D85" s="152">
        <v>19838</v>
      </c>
      <c r="E85" s="152">
        <v>38148</v>
      </c>
      <c r="F85" s="152">
        <v>240988351.73803601</v>
      </c>
      <c r="G85" s="152">
        <v>325081200.17289501</v>
      </c>
      <c r="H85" s="152">
        <v>566069551.91093099</v>
      </c>
      <c r="I85" t="s">
        <v>806</v>
      </c>
      <c r="J85" t="s">
        <v>127</v>
      </c>
      <c r="K85">
        <v>785618</v>
      </c>
      <c r="L85" t="s">
        <v>736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48</v>
      </c>
      <c r="B86" t="s">
        <v>60</v>
      </c>
      <c r="C86" s="152">
        <v>18554</v>
      </c>
      <c r="D86" s="152">
        <v>19296</v>
      </c>
      <c r="E86" s="152">
        <v>37850</v>
      </c>
      <c r="F86" s="152">
        <v>287776863.40470701</v>
      </c>
      <c r="G86" s="152">
        <v>349054701.944866</v>
      </c>
      <c r="H86" s="152">
        <v>636831565.34957302</v>
      </c>
      <c r="I86" t="s">
        <v>806</v>
      </c>
      <c r="J86" t="s">
        <v>127</v>
      </c>
      <c r="K86">
        <v>492306</v>
      </c>
      <c r="L86" t="s">
        <v>751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108</v>
      </c>
      <c r="B87" t="s">
        <v>121</v>
      </c>
      <c r="C87" s="152">
        <v>16238</v>
      </c>
      <c r="D87" s="152">
        <v>20749</v>
      </c>
      <c r="E87" s="152">
        <v>36987</v>
      </c>
      <c r="F87" s="152">
        <v>256339713.320618</v>
      </c>
      <c r="G87" s="152">
        <v>389044625.22491997</v>
      </c>
      <c r="H87" s="152">
        <v>645384338.54553699</v>
      </c>
      <c r="I87" t="s">
        <v>806</v>
      </c>
      <c r="J87" t="s">
        <v>127</v>
      </c>
      <c r="K87">
        <v>511139</v>
      </c>
      <c r="L87" t="s">
        <v>732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108</v>
      </c>
      <c r="B88" t="s">
        <v>136</v>
      </c>
      <c r="C88" s="152">
        <v>17425</v>
      </c>
      <c r="D88" s="152">
        <v>19117</v>
      </c>
      <c r="E88" s="152">
        <v>36542</v>
      </c>
      <c r="F88" s="152">
        <v>316406929.43064702</v>
      </c>
      <c r="G88" s="152">
        <v>431587573.61504501</v>
      </c>
      <c r="H88" s="152">
        <v>747994503.04569101</v>
      </c>
      <c r="I88" t="s">
        <v>806</v>
      </c>
      <c r="J88" t="s">
        <v>127</v>
      </c>
      <c r="K88">
        <v>650200</v>
      </c>
      <c r="L88" t="s">
        <v>832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362</v>
      </c>
      <c r="B89" t="s">
        <v>577</v>
      </c>
      <c r="C89" s="152">
        <v>22597</v>
      </c>
      <c r="D89" s="152">
        <v>13819</v>
      </c>
      <c r="E89" s="152">
        <v>36416</v>
      </c>
      <c r="F89" s="152">
        <v>1403791263.80635</v>
      </c>
      <c r="G89" s="152">
        <v>987089525.40917301</v>
      </c>
      <c r="H89" s="152">
        <v>2390880789.2155199</v>
      </c>
      <c r="I89" t="s">
        <v>806</v>
      </c>
      <c r="J89" t="s">
        <v>131</v>
      </c>
      <c r="K89">
        <v>855387</v>
      </c>
      <c r="L89" t="s">
        <v>182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358</v>
      </c>
      <c r="B90" t="s">
        <v>360</v>
      </c>
      <c r="C90" s="152">
        <v>16925</v>
      </c>
      <c r="D90" s="152">
        <v>18928</v>
      </c>
      <c r="E90" s="152">
        <v>35853</v>
      </c>
      <c r="F90" s="152">
        <v>380650407.61242801</v>
      </c>
      <c r="G90" s="152">
        <v>526491763.98051</v>
      </c>
      <c r="H90" s="152">
        <v>907142171.59293902</v>
      </c>
      <c r="I90" t="s">
        <v>806</v>
      </c>
      <c r="J90" t="s">
        <v>131</v>
      </c>
      <c r="K90">
        <v>850602</v>
      </c>
      <c r="L90" t="s">
        <v>751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291</v>
      </c>
      <c r="B91" t="s">
        <v>294</v>
      </c>
      <c r="C91" s="152">
        <v>15816</v>
      </c>
      <c r="D91" s="152">
        <v>18670</v>
      </c>
      <c r="E91" s="152">
        <v>34486</v>
      </c>
      <c r="F91" s="152">
        <v>439548655.03997201</v>
      </c>
      <c r="G91" s="152">
        <v>625043760.95711899</v>
      </c>
      <c r="H91" s="152">
        <v>1064592415.99709</v>
      </c>
      <c r="I91" t="s">
        <v>806</v>
      </c>
      <c r="J91" t="s">
        <v>127</v>
      </c>
      <c r="K91">
        <v>313742</v>
      </c>
      <c r="L91" t="s">
        <v>751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723</v>
      </c>
      <c r="B92" t="s">
        <v>752</v>
      </c>
      <c r="C92" s="152">
        <v>16584</v>
      </c>
      <c r="D92" s="152">
        <v>17714</v>
      </c>
      <c r="E92" s="152">
        <v>34298</v>
      </c>
      <c r="F92" s="152">
        <v>424179714.68033302</v>
      </c>
      <c r="G92" s="152">
        <v>554708290.61590195</v>
      </c>
      <c r="H92" s="152">
        <v>978888005.29623497</v>
      </c>
      <c r="I92" t="s">
        <v>806</v>
      </c>
      <c r="J92" t="s">
        <v>127</v>
      </c>
      <c r="K92">
        <v>528133</v>
      </c>
      <c r="L92" t="s">
        <v>751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594</v>
      </c>
      <c r="B93" t="s">
        <v>642</v>
      </c>
      <c r="C93" s="152">
        <v>17170</v>
      </c>
      <c r="D93" s="152">
        <v>16036</v>
      </c>
      <c r="E93" s="152">
        <v>33206</v>
      </c>
      <c r="F93" s="152">
        <v>416601941.11433399</v>
      </c>
      <c r="G93" s="152">
        <v>470646181.54813403</v>
      </c>
      <c r="H93" s="152">
        <v>887248122.662467</v>
      </c>
      <c r="I93" t="s">
        <v>806</v>
      </c>
      <c r="J93" t="s">
        <v>128</v>
      </c>
      <c r="K93">
        <v>869438</v>
      </c>
      <c r="L93" t="s">
        <v>831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723</v>
      </c>
      <c r="B94" t="s">
        <v>73</v>
      </c>
      <c r="C94" s="152">
        <v>15937</v>
      </c>
      <c r="D94" s="152">
        <v>16726</v>
      </c>
      <c r="E94" s="152">
        <v>32663</v>
      </c>
      <c r="F94" s="152">
        <v>178627718.51348999</v>
      </c>
      <c r="G94" s="152">
        <v>241341876.74164999</v>
      </c>
      <c r="H94" s="152">
        <v>419969595.25514001</v>
      </c>
      <c r="I94" t="s">
        <v>806</v>
      </c>
      <c r="J94" t="s">
        <v>127</v>
      </c>
      <c r="K94">
        <v>490292</v>
      </c>
      <c r="L94" t="s">
        <v>753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383</v>
      </c>
      <c r="B95" t="s">
        <v>370</v>
      </c>
      <c r="C95" s="152">
        <v>13526</v>
      </c>
      <c r="D95" s="152">
        <v>18960</v>
      </c>
      <c r="E95" s="152">
        <v>32486</v>
      </c>
      <c r="F95" s="152">
        <v>287600563.564403</v>
      </c>
      <c r="G95" s="152">
        <v>502410075.17953497</v>
      </c>
      <c r="H95" s="152">
        <v>790010638.74393797</v>
      </c>
      <c r="I95" t="s">
        <v>806</v>
      </c>
      <c r="J95" t="s">
        <v>127</v>
      </c>
      <c r="K95">
        <v>679837</v>
      </c>
      <c r="L95" t="s">
        <v>729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138</v>
      </c>
      <c r="B96" t="s">
        <v>547</v>
      </c>
      <c r="C96" s="152">
        <v>15111</v>
      </c>
      <c r="D96" s="152">
        <v>17337</v>
      </c>
      <c r="E96" s="152">
        <v>32448</v>
      </c>
      <c r="F96" s="152">
        <v>246777952.13379499</v>
      </c>
      <c r="G96" s="152">
        <v>380299163.086182</v>
      </c>
      <c r="H96" s="152">
        <v>627077115.21997797</v>
      </c>
      <c r="I96" t="s">
        <v>806</v>
      </c>
      <c r="J96" t="s">
        <v>127</v>
      </c>
      <c r="K96">
        <v>104257</v>
      </c>
      <c r="L96" t="s">
        <v>182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723</v>
      </c>
      <c r="B97" t="s">
        <v>442</v>
      </c>
      <c r="C97" s="152">
        <v>19675</v>
      </c>
      <c r="D97" s="152">
        <v>12646</v>
      </c>
      <c r="E97" s="152">
        <v>32321</v>
      </c>
      <c r="F97" s="152">
        <v>419282248.67015398</v>
      </c>
      <c r="G97" s="152">
        <v>322577198.75537002</v>
      </c>
      <c r="H97" s="152">
        <v>741859447.425524</v>
      </c>
      <c r="I97" t="s">
        <v>806</v>
      </c>
      <c r="J97" t="s">
        <v>127</v>
      </c>
      <c r="K97">
        <v>853499</v>
      </c>
      <c r="L97" t="s">
        <v>182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138</v>
      </c>
      <c r="B98" t="s">
        <v>146</v>
      </c>
      <c r="C98" s="152">
        <v>14358</v>
      </c>
      <c r="D98" s="152">
        <v>17148</v>
      </c>
      <c r="E98" s="152">
        <v>31506</v>
      </c>
      <c r="F98" s="152">
        <v>287230284.66983098</v>
      </c>
      <c r="G98" s="152">
        <v>445149576.207178</v>
      </c>
      <c r="H98" s="152">
        <v>732379860.87700903</v>
      </c>
      <c r="I98" t="s">
        <v>806</v>
      </c>
      <c r="J98" t="s">
        <v>127</v>
      </c>
      <c r="K98">
        <v>471052</v>
      </c>
      <c r="L98" t="s">
        <v>832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723</v>
      </c>
      <c r="B99" t="s">
        <v>1045</v>
      </c>
      <c r="C99" s="152">
        <v>16054</v>
      </c>
      <c r="D99" s="152">
        <v>15053</v>
      </c>
      <c r="E99" s="152">
        <v>31107</v>
      </c>
      <c r="F99" s="152">
        <v>383211023.35198301</v>
      </c>
      <c r="G99" s="152">
        <v>436993261.90747899</v>
      </c>
      <c r="H99" s="152">
        <v>820204285.259462</v>
      </c>
      <c r="I99" t="s">
        <v>806</v>
      </c>
      <c r="J99" t="s">
        <v>127</v>
      </c>
      <c r="K99">
        <v>104844</v>
      </c>
      <c r="L99" t="s">
        <v>852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800</v>
      </c>
      <c r="B100" t="s">
        <v>552</v>
      </c>
      <c r="C100" s="152">
        <v>15757</v>
      </c>
      <c r="D100" s="152">
        <v>15186</v>
      </c>
      <c r="E100" s="152">
        <v>30943</v>
      </c>
      <c r="F100" s="152">
        <v>331053356.95444</v>
      </c>
      <c r="G100" s="152">
        <v>390924224.955459</v>
      </c>
      <c r="H100" s="152">
        <v>721977581.909899</v>
      </c>
      <c r="I100" t="s">
        <v>685</v>
      </c>
      <c r="J100" t="s">
        <v>127</v>
      </c>
      <c r="K100">
        <v>286294</v>
      </c>
      <c r="L100" t="s">
        <v>553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152</v>
      </c>
      <c r="B101" t="s">
        <v>646</v>
      </c>
      <c r="C101" s="152">
        <v>15561</v>
      </c>
      <c r="D101" s="152">
        <v>15334</v>
      </c>
      <c r="E101" s="152">
        <v>30895</v>
      </c>
      <c r="F101" s="152">
        <v>264822396.02406299</v>
      </c>
      <c r="G101" s="152">
        <v>297742309.26220202</v>
      </c>
      <c r="H101" s="152">
        <v>562564705.28626502</v>
      </c>
      <c r="I101" t="s">
        <v>685</v>
      </c>
      <c r="J101" t="s">
        <v>127</v>
      </c>
      <c r="K101">
        <v>303412</v>
      </c>
      <c r="L101" t="s">
        <v>868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291</v>
      </c>
      <c r="B102" t="s">
        <v>609</v>
      </c>
      <c r="C102" s="152">
        <v>13089</v>
      </c>
      <c r="D102" s="152">
        <v>17709</v>
      </c>
      <c r="E102" s="152">
        <v>30798</v>
      </c>
      <c r="F102" s="152">
        <v>205197186.23938799</v>
      </c>
      <c r="G102" s="152">
        <v>370378267.58959699</v>
      </c>
      <c r="H102" s="152">
        <v>575575453.82898605</v>
      </c>
      <c r="I102" t="s">
        <v>685</v>
      </c>
      <c r="J102" t="s">
        <v>127</v>
      </c>
      <c r="K102">
        <v>338590</v>
      </c>
      <c r="L102" t="s">
        <v>813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306</v>
      </c>
      <c r="B103" t="s">
        <v>311</v>
      </c>
      <c r="C103" s="152">
        <v>16963</v>
      </c>
      <c r="D103" s="152">
        <v>13762</v>
      </c>
      <c r="E103" s="152">
        <v>30725</v>
      </c>
      <c r="F103" s="152">
        <v>375901300.10676599</v>
      </c>
      <c r="G103" s="152">
        <v>358037719.7511</v>
      </c>
      <c r="H103" s="152">
        <v>733939019.85786498</v>
      </c>
      <c r="I103" t="s">
        <v>806</v>
      </c>
      <c r="J103" t="s">
        <v>129</v>
      </c>
      <c r="K103">
        <v>542712</v>
      </c>
      <c r="L103" t="s">
        <v>832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314</v>
      </c>
      <c r="B104" t="s">
        <v>1071</v>
      </c>
      <c r="C104" s="152">
        <v>15236</v>
      </c>
      <c r="D104" s="152">
        <v>14587</v>
      </c>
      <c r="E104" s="152">
        <v>29823</v>
      </c>
      <c r="F104" s="152">
        <v>1287414193.93347</v>
      </c>
      <c r="G104" s="152">
        <v>1527379203.3317201</v>
      </c>
      <c r="H104" s="152">
        <v>2814793397.2651901</v>
      </c>
      <c r="I104" t="s">
        <v>685</v>
      </c>
      <c r="J104" t="s">
        <v>129</v>
      </c>
      <c r="K104">
        <v>982116</v>
      </c>
      <c r="L104" t="s">
        <v>1070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779</v>
      </c>
      <c r="B105" t="s">
        <v>781</v>
      </c>
      <c r="C105" s="152">
        <v>12720</v>
      </c>
      <c r="D105" s="152">
        <v>17045</v>
      </c>
      <c r="E105" s="152">
        <v>29765</v>
      </c>
      <c r="F105" s="152">
        <v>337036568.85252303</v>
      </c>
      <c r="G105" s="152">
        <v>561665503.30341399</v>
      </c>
      <c r="H105" s="152">
        <v>898702072.15593696</v>
      </c>
      <c r="I105" t="s">
        <v>806</v>
      </c>
      <c r="J105" t="s">
        <v>127</v>
      </c>
      <c r="K105">
        <v>290072</v>
      </c>
      <c r="L105" t="s">
        <v>675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536</v>
      </c>
      <c r="B106" t="s">
        <v>542</v>
      </c>
      <c r="C106" s="152">
        <v>16196</v>
      </c>
      <c r="D106" s="152">
        <v>13082</v>
      </c>
      <c r="E106" s="152">
        <v>29278</v>
      </c>
      <c r="F106" s="152">
        <v>427120073.48588699</v>
      </c>
      <c r="G106" s="152">
        <v>433119697.08540797</v>
      </c>
      <c r="H106" s="152">
        <v>860239770.57129502</v>
      </c>
      <c r="I106" t="s">
        <v>806</v>
      </c>
      <c r="J106" t="s">
        <v>128</v>
      </c>
      <c r="K106">
        <v>614370</v>
      </c>
      <c r="L106" t="s">
        <v>832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776</v>
      </c>
      <c r="B107" t="s">
        <v>887</v>
      </c>
      <c r="C107" s="152">
        <v>12815</v>
      </c>
      <c r="D107" s="152">
        <v>15761</v>
      </c>
      <c r="E107" s="152">
        <v>28576</v>
      </c>
      <c r="F107" s="152">
        <v>323895666.543603</v>
      </c>
      <c r="G107" s="152">
        <v>505933200.61826801</v>
      </c>
      <c r="H107" s="152">
        <v>829828867.16187</v>
      </c>
      <c r="I107" t="s">
        <v>806</v>
      </c>
      <c r="J107" t="s">
        <v>127</v>
      </c>
      <c r="K107">
        <v>269357</v>
      </c>
      <c r="L107" t="s">
        <v>865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509</v>
      </c>
      <c r="B108" t="s">
        <v>533</v>
      </c>
      <c r="C108" s="152">
        <v>16004</v>
      </c>
      <c r="D108" s="152">
        <v>12551</v>
      </c>
      <c r="E108" s="152">
        <v>28555</v>
      </c>
      <c r="F108" s="152">
        <v>901023977.16808403</v>
      </c>
      <c r="G108" s="152">
        <v>837516806.12116396</v>
      </c>
      <c r="H108" s="152">
        <v>1738540783.2892499</v>
      </c>
      <c r="I108" t="s">
        <v>806</v>
      </c>
      <c r="J108" t="s">
        <v>131</v>
      </c>
      <c r="K108">
        <v>323485</v>
      </c>
      <c r="L108" t="s">
        <v>755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152</v>
      </c>
      <c r="B109" t="s">
        <v>836</v>
      </c>
      <c r="C109" s="152">
        <v>14443</v>
      </c>
      <c r="D109" s="152">
        <v>13732</v>
      </c>
      <c r="E109" s="152">
        <v>28175</v>
      </c>
      <c r="F109" s="152">
        <v>261396558.61951199</v>
      </c>
      <c r="G109" s="152">
        <v>291939196.15000099</v>
      </c>
      <c r="H109" s="152">
        <v>553335754.76951301</v>
      </c>
      <c r="I109" t="s">
        <v>806</v>
      </c>
      <c r="J109" t="s">
        <v>127</v>
      </c>
      <c r="K109">
        <v>123679</v>
      </c>
      <c r="L109" t="s">
        <v>729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358</v>
      </c>
      <c r="B110" t="s">
        <v>522</v>
      </c>
      <c r="C110" s="152">
        <v>16510</v>
      </c>
      <c r="D110" s="152">
        <v>11469</v>
      </c>
      <c r="E110" s="152">
        <v>27979</v>
      </c>
      <c r="F110" s="152">
        <v>988693390.61206901</v>
      </c>
      <c r="G110" s="152">
        <v>776799541.28944802</v>
      </c>
      <c r="H110" s="152">
        <v>1765492931.90152</v>
      </c>
      <c r="I110" t="s">
        <v>806</v>
      </c>
      <c r="J110" t="s">
        <v>131</v>
      </c>
      <c r="K110">
        <v>430975</v>
      </c>
      <c r="L110" t="s">
        <v>755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273</v>
      </c>
      <c r="B111" t="s">
        <v>278</v>
      </c>
      <c r="C111" s="152">
        <v>14038</v>
      </c>
      <c r="D111" s="152">
        <v>13875</v>
      </c>
      <c r="E111" s="152">
        <v>27913</v>
      </c>
      <c r="F111" s="152">
        <v>242537464.410043</v>
      </c>
      <c r="G111" s="152">
        <v>298721872.10347003</v>
      </c>
      <c r="H111" s="152">
        <v>541259336.51351297</v>
      </c>
      <c r="I111" t="s">
        <v>806</v>
      </c>
      <c r="J111" t="s">
        <v>127</v>
      </c>
      <c r="K111">
        <v>435222</v>
      </c>
      <c r="L111" t="s">
        <v>832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509</v>
      </c>
      <c r="B112" t="s">
        <v>532</v>
      </c>
      <c r="C112" s="152">
        <v>15530</v>
      </c>
      <c r="D112" s="152">
        <v>12295</v>
      </c>
      <c r="E112" s="152">
        <v>27825</v>
      </c>
      <c r="F112" s="152">
        <v>798003142.57036495</v>
      </c>
      <c r="G112" s="152">
        <v>760393430.300421</v>
      </c>
      <c r="H112" s="152">
        <v>1558396572.87079</v>
      </c>
      <c r="I112" t="s">
        <v>806</v>
      </c>
      <c r="J112" t="s">
        <v>131</v>
      </c>
      <c r="K112">
        <v>287656</v>
      </c>
      <c r="L112" t="s">
        <v>755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358</v>
      </c>
      <c r="B113" t="s">
        <v>361</v>
      </c>
      <c r="C113" s="152">
        <v>13967</v>
      </c>
      <c r="D113" s="152">
        <v>13452</v>
      </c>
      <c r="E113" s="152">
        <v>27419</v>
      </c>
      <c r="F113" s="152">
        <v>569612608.89876604</v>
      </c>
      <c r="G113" s="152">
        <v>659512120.48548496</v>
      </c>
      <c r="H113" s="152">
        <v>1229124729.3842499</v>
      </c>
      <c r="I113" t="s">
        <v>806</v>
      </c>
      <c r="J113" t="s">
        <v>131</v>
      </c>
      <c r="K113">
        <v>814772</v>
      </c>
      <c r="L113" t="s">
        <v>751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362</v>
      </c>
      <c r="B114" t="s">
        <v>527</v>
      </c>
      <c r="C114" s="152">
        <v>15607</v>
      </c>
      <c r="D114" s="152">
        <v>11684</v>
      </c>
      <c r="E114" s="152">
        <v>27291</v>
      </c>
      <c r="F114" s="152">
        <v>937060621.164464</v>
      </c>
      <c r="G114" s="152">
        <v>821704166.94669104</v>
      </c>
      <c r="H114" s="152">
        <v>1758764788.11116</v>
      </c>
      <c r="I114" t="s">
        <v>806</v>
      </c>
      <c r="J114" t="s">
        <v>131</v>
      </c>
      <c r="K114">
        <v>359315</v>
      </c>
      <c r="L114" t="s">
        <v>755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594</v>
      </c>
      <c r="B115" t="s">
        <v>657</v>
      </c>
      <c r="C115" s="152">
        <v>15053</v>
      </c>
      <c r="D115" s="152">
        <v>12133</v>
      </c>
      <c r="E115" s="152">
        <v>27186</v>
      </c>
      <c r="F115" s="152">
        <v>367046326.50658602</v>
      </c>
      <c r="G115" s="152">
        <v>363930740.870682</v>
      </c>
      <c r="H115" s="152">
        <v>730977067.37726903</v>
      </c>
      <c r="I115" t="s">
        <v>806</v>
      </c>
      <c r="J115" t="s">
        <v>128</v>
      </c>
      <c r="K115">
        <v>578542</v>
      </c>
      <c r="L115" t="s">
        <v>832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782</v>
      </c>
      <c r="B116" t="s">
        <v>548</v>
      </c>
      <c r="C116" s="152">
        <v>14117</v>
      </c>
      <c r="D116" s="152">
        <v>12669</v>
      </c>
      <c r="E116" s="152">
        <v>26786</v>
      </c>
      <c r="F116" s="152">
        <v>307480074.97721398</v>
      </c>
      <c r="G116" s="152">
        <v>338991172.088112</v>
      </c>
      <c r="H116" s="152">
        <v>646471247.06532598</v>
      </c>
      <c r="I116" t="s">
        <v>806</v>
      </c>
      <c r="J116" t="s">
        <v>127</v>
      </c>
      <c r="K116">
        <v>175919</v>
      </c>
      <c r="L116" t="s">
        <v>182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536</v>
      </c>
      <c r="B117" t="s">
        <v>562</v>
      </c>
      <c r="C117" s="152">
        <v>15172</v>
      </c>
      <c r="D117" s="152">
        <v>11606</v>
      </c>
      <c r="E117" s="152">
        <v>26778</v>
      </c>
      <c r="F117" s="152">
        <v>422520578.54572201</v>
      </c>
      <c r="G117" s="152">
        <v>402041281.04393101</v>
      </c>
      <c r="H117" s="152">
        <v>824561859.58965194</v>
      </c>
      <c r="I117" t="s">
        <v>806</v>
      </c>
      <c r="J117" t="s">
        <v>128</v>
      </c>
      <c r="K117">
        <v>717611</v>
      </c>
      <c r="L117" t="s">
        <v>182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218</v>
      </c>
      <c r="B118" t="s">
        <v>226</v>
      </c>
      <c r="C118" s="152">
        <v>12131</v>
      </c>
      <c r="D118" s="152">
        <v>14628</v>
      </c>
      <c r="E118" s="152">
        <v>26759</v>
      </c>
      <c r="F118" s="152">
        <v>198456917.21560299</v>
      </c>
      <c r="G118" s="152">
        <v>293709439.29325801</v>
      </c>
      <c r="H118" s="152">
        <v>492166356.50886101</v>
      </c>
      <c r="I118" t="s">
        <v>806</v>
      </c>
      <c r="J118" t="s">
        <v>127</v>
      </c>
      <c r="K118">
        <v>442483</v>
      </c>
      <c r="L118" t="s">
        <v>223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381</v>
      </c>
      <c r="B119" t="s">
        <v>555</v>
      </c>
      <c r="C119" s="152">
        <v>11552</v>
      </c>
      <c r="D119" s="152">
        <v>15198</v>
      </c>
      <c r="E119" s="152">
        <v>26750</v>
      </c>
      <c r="F119" s="152">
        <v>191318545.05298501</v>
      </c>
      <c r="G119" s="152">
        <v>346666748.75792301</v>
      </c>
      <c r="H119" s="152">
        <v>537985293.81090796</v>
      </c>
      <c r="I119" t="s">
        <v>806</v>
      </c>
      <c r="J119" t="s">
        <v>127</v>
      </c>
      <c r="K119">
        <v>348862</v>
      </c>
      <c r="L119" t="s">
        <v>182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362</v>
      </c>
      <c r="B120" t="s">
        <v>528</v>
      </c>
      <c r="C120" s="152">
        <v>15454</v>
      </c>
      <c r="D120" s="152">
        <v>11226</v>
      </c>
      <c r="E120" s="152">
        <v>26680</v>
      </c>
      <c r="F120" s="152">
        <v>986971181.87345195</v>
      </c>
      <c r="G120" s="152">
        <v>824436814.25017595</v>
      </c>
      <c r="H120" s="152">
        <v>1811407996.12363</v>
      </c>
      <c r="I120" t="s">
        <v>806</v>
      </c>
      <c r="J120" t="s">
        <v>131</v>
      </c>
      <c r="K120">
        <v>395145</v>
      </c>
      <c r="L120" t="s">
        <v>755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782</v>
      </c>
      <c r="B121" t="s">
        <v>797</v>
      </c>
      <c r="C121" s="152">
        <v>18246</v>
      </c>
      <c r="D121" s="152">
        <v>8048</v>
      </c>
      <c r="E121" s="152">
        <v>26294</v>
      </c>
      <c r="F121" s="152">
        <v>454655344.16886503</v>
      </c>
      <c r="G121" s="152">
        <v>236331114.91540399</v>
      </c>
      <c r="H121" s="152">
        <v>690986459.08426905</v>
      </c>
      <c r="I121" t="s">
        <v>806</v>
      </c>
      <c r="J121" t="s">
        <v>127</v>
      </c>
      <c r="K121">
        <v>296152</v>
      </c>
      <c r="L121" t="s">
        <v>832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776</v>
      </c>
      <c r="B122" t="s">
        <v>904</v>
      </c>
      <c r="C122" s="152">
        <v>11318</v>
      </c>
      <c r="D122" s="152">
        <v>14762</v>
      </c>
      <c r="E122" s="152">
        <v>26080</v>
      </c>
      <c r="F122" s="152">
        <v>235779017.724834</v>
      </c>
      <c r="G122" s="152">
        <v>380976710.80280602</v>
      </c>
      <c r="H122" s="152">
        <v>616755728.52763999</v>
      </c>
      <c r="I122" t="s">
        <v>806</v>
      </c>
      <c r="J122" t="s">
        <v>127</v>
      </c>
      <c r="K122">
        <v>766667</v>
      </c>
      <c r="L122" t="s">
        <v>182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138</v>
      </c>
      <c r="B123" t="s">
        <v>1019</v>
      </c>
      <c r="C123" s="152">
        <v>10796</v>
      </c>
      <c r="D123" s="152">
        <v>14573</v>
      </c>
      <c r="E123" s="152">
        <v>25369</v>
      </c>
      <c r="F123" s="152">
        <v>165617233.76499301</v>
      </c>
      <c r="G123" s="152">
        <v>284231210.16036999</v>
      </c>
      <c r="H123" s="152">
        <v>449848443.925363</v>
      </c>
      <c r="I123" t="s">
        <v>685</v>
      </c>
      <c r="J123" t="s">
        <v>127</v>
      </c>
      <c r="K123">
        <v>362327</v>
      </c>
      <c r="L123" t="s">
        <v>1004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108</v>
      </c>
      <c r="B124" t="s">
        <v>764</v>
      </c>
      <c r="C124" s="152">
        <v>12821</v>
      </c>
      <c r="D124" s="152">
        <v>11699</v>
      </c>
      <c r="E124" s="152">
        <v>24520</v>
      </c>
      <c r="F124" s="152">
        <v>132040432.71611901</v>
      </c>
      <c r="G124" s="152">
        <v>149387966.39444199</v>
      </c>
      <c r="H124" s="152">
        <v>281428399.11056101</v>
      </c>
      <c r="I124" t="s">
        <v>685</v>
      </c>
      <c r="J124" t="s">
        <v>127</v>
      </c>
      <c r="K124">
        <v>407775</v>
      </c>
      <c r="L124" t="s">
        <v>805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509</v>
      </c>
      <c r="B125" t="s">
        <v>531</v>
      </c>
      <c r="C125" s="152">
        <v>13411</v>
      </c>
      <c r="D125" s="152">
        <v>10955</v>
      </c>
      <c r="E125" s="152">
        <v>24366</v>
      </c>
      <c r="F125" s="152">
        <v>587339699.039222</v>
      </c>
      <c r="G125" s="152">
        <v>576337749.66679204</v>
      </c>
      <c r="H125" s="152">
        <v>1163677448.7060101</v>
      </c>
      <c r="I125" t="s">
        <v>806</v>
      </c>
      <c r="J125" t="s">
        <v>131</v>
      </c>
      <c r="K125">
        <v>251827</v>
      </c>
      <c r="L125" t="s">
        <v>755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138</v>
      </c>
      <c r="B126" t="s">
        <v>408</v>
      </c>
      <c r="C126" s="152">
        <v>9278</v>
      </c>
      <c r="D126" s="152">
        <v>14652</v>
      </c>
      <c r="E126" s="152">
        <v>23930</v>
      </c>
      <c r="F126" s="152">
        <v>180943785.32499501</v>
      </c>
      <c r="G126" s="152">
        <v>373764767.85571998</v>
      </c>
      <c r="H126" s="152">
        <v>554708553.18071496</v>
      </c>
      <c r="I126" t="s">
        <v>806</v>
      </c>
      <c r="J126" t="s">
        <v>127</v>
      </c>
      <c r="K126">
        <v>505586</v>
      </c>
      <c r="L126" t="s">
        <v>925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723</v>
      </c>
      <c r="B127" t="s">
        <v>837</v>
      </c>
      <c r="C127" s="152">
        <v>10761</v>
      </c>
      <c r="D127" s="152">
        <v>12868</v>
      </c>
      <c r="E127" s="152">
        <v>23629</v>
      </c>
      <c r="F127" s="152">
        <v>277676942.47396702</v>
      </c>
      <c r="G127" s="152">
        <v>409135595.89719999</v>
      </c>
      <c r="H127" s="152">
        <v>686812538.37116599</v>
      </c>
      <c r="I127" t="s">
        <v>806</v>
      </c>
      <c r="J127" t="s">
        <v>127</v>
      </c>
      <c r="K127">
        <v>916189</v>
      </c>
      <c r="L127" t="s">
        <v>729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779</v>
      </c>
      <c r="B128" t="s">
        <v>984</v>
      </c>
      <c r="C128" s="152">
        <v>11709</v>
      </c>
      <c r="D128" s="152">
        <v>11762</v>
      </c>
      <c r="E128" s="152">
        <v>23471</v>
      </c>
      <c r="F128" s="152">
        <v>275052166.62939698</v>
      </c>
      <c r="G128" s="152">
        <v>350149188.66494203</v>
      </c>
      <c r="H128" s="152">
        <v>625201355.29433894</v>
      </c>
      <c r="I128" t="s">
        <v>685</v>
      </c>
      <c r="J128" t="s">
        <v>127</v>
      </c>
      <c r="K128">
        <v>585216</v>
      </c>
      <c r="L128" t="s">
        <v>411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108</v>
      </c>
      <c r="B129" t="s">
        <v>386</v>
      </c>
      <c r="C129" s="152">
        <v>10979</v>
      </c>
      <c r="D129" s="152">
        <v>12452</v>
      </c>
      <c r="E129" s="152">
        <v>23431</v>
      </c>
      <c r="F129" s="152">
        <v>119216230.475908</v>
      </c>
      <c r="G129" s="152">
        <v>159716844.993927</v>
      </c>
      <c r="H129" s="152">
        <v>278933075.46983498</v>
      </c>
      <c r="I129" t="s">
        <v>685</v>
      </c>
      <c r="J129" t="s">
        <v>127</v>
      </c>
      <c r="K129">
        <v>384107</v>
      </c>
      <c r="L129" t="s">
        <v>833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291</v>
      </c>
      <c r="B130" t="s">
        <v>295</v>
      </c>
      <c r="C130" s="152">
        <v>11286</v>
      </c>
      <c r="D130" s="152">
        <v>12106</v>
      </c>
      <c r="E130" s="152">
        <v>23392</v>
      </c>
      <c r="F130" s="152">
        <v>179747822.42465699</v>
      </c>
      <c r="G130" s="152">
        <v>235943331.90727299</v>
      </c>
      <c r="H130" s="152">
        <v>415691154.33192998</v>
      </c>
      <c r="I130" t="s">
        <v>806</v>
      </c>
      <c r="J130" t="s">
        <v>127</v>
      </c>
      <c r="K130">
        <v>771030</v>
      </c>
      <c r="L130" t="s">
        <v>753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358</v>
      </c>
      <c r="B131" t="s">
        <v>525</v>
      </c>
      <c r="C131" s="152">
        <v>13655</v>
      </c>
      <c r="D131" s="152">
        <v>9601</v>
      </c>
      <c r="E131" s="152">
        <v>23256</v>
      </c>
      <c r="F131" s="152">
        <v>614528936.44313598</v>
      </c>
      <c r="G131" s="152">
        <v>484240769.60378402</v>
      </c>
      <c r="H131" s="152">
        <v>1098769706.0469201</v>
      </c>
      <c r="I131" t="s">
        <v>806</v>
      </c>
      <c r="J131" t="s">
        <v>131</v>
      </c>
      <c r="K131">
        <v>466805</v>
      </c>
      <c r="L131" t="s">
        <v>755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152</v>
      </c>
      <c r="B132" t="s">
        <v>163</v>
      </c>
      <c r="C132" s="152">
        <v>13387</v>
      </c>
      <c r="D132" s="152">
        <v>9594</v>
      </c>
      <c r="E132" s="152">
        <v>22981</v>
      </c>
      <c r="F132" s="152">
        <v>290134577.02305502</v>
      </c>
      <c r="G132" s="152">
        <v>238290552.57939199</v>
      </c>
      <c r="H132" s="152">
        <v>528425129.60244697</v>
      </c>
      <c r="I132" t="s">
        <v>806</v>
      </c>
      <c r="J132" t="s">
        <v>127</v>
      </c>
      <c r="K132">
        <v>797779</v>
      </c>
      <c r="L132" t="s">
        <v>832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314</v>
      </c>
      <c r="B133" t="s">
        <v>20</v>
      </c>
      <c r="C133" s="152">
        <v>10626</v>
      </c>
      <c r="D133" s="152">
        <v>12264</v>
      </c>
      <c r="E133" s="152">
        <v>22890</v>
      </c>
      <c r="F133" s="152">
        <v>333104035.24492198</v>
      </c>
      <c r="G133" s="152">
        <v>505525282.709207</v>
      </c>
      <c r="H133" s="152">
        <v>838629317.95412898</v>
      </c>
      <c r="I133" t="s">
        <v>685</v>
      </c>
      <c r="J133" t="s">
        <v>129</v>
      </c>
      <c r="K133">
        <v>240663</v>
      </c>
      <c r="L133" t="s">
        <v>21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779</v>
      </c>
      <c r="B134" t="s">
        <v>193</v>
      </c>
      <c r="C134" s="152">
        <v>10542</v>
      </c>
      <c r="D134" s="152">
        <v>12105</v>
      </c>
      <c r="E134" s="152">
        <v>22647</v>
      </c>
      <c r="F134" s="152">
        <v>267751354.264222</v>
      </c>
      <c r="G134" s="152">
        <v>377559768.27441299</v>
      </c>
      <c r="H134" s="152">
        <v>645311122.53863502</v>
      </c>
      <c r="I134" t="s">
        <v>806</v>
      </c>
      <c r="J134" t="s">
        <v>127</v>
      </c>
      <c r="K134">
        <v>661124</v>
      </c>
      <c r="L134" t="s">
        <v>191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723</v>
      </c>
      <c r="B135" t="s">
        <v>728</v>
      </c>
      <c r="C135" s="152">
        <v>10673</v>
      </c>
      <c r="D135" s="152">
        <v>11849</v>
      </c>
      <c r="E135" s="152">
        <v>22522</v>
      </c>
      <c r="F135" s="152">
        <v>294391061.67515397</v>
      </c>
      <c r="G135" s="152">
        <v>399461608.42694497</v>
      </c>
      <c r="H135" s="152">
        <v>693852670.10209799</v>
      </c>
      <c r="I135" t="s">
        <v>806</v>
      </c>
      <c r="J135" t="s">
        <v>127</v>
      </c>
      <c r="K135">
        <v>220244</v>
      </c>
      <c r="L135" t="s">
        <v>727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782</v>
      </c>
      <c r="B136" t="s">
        <v>398</v>
      </c>
      <c r="C136" s="152">
        <v>10579</v>
      </c>
      <c r="D136" s="152">
        <v>11543</v>
      </c>
      <c r="E136" s="152">
        <v>22122</v>
      </c>
      <c r="F136" s="152">
        <v>264352390.62773699</v>
      </c>
      <c r="G136" s="152">
        <v>354668916.15399498</v>
      </c>
      <c r="H136" s="152">
        <v>619021306.78173196</v>
      </c>
      <c r="I136" t="s">
        <v>806</v>
      </c>
      <c r="J136" t="s">
        <v>127</v>
      </c>
      <c r="K136">
        <v>357483</v>
      </c>
      <c r="L136" t="s">
        <v>925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314</v>
      </c>
      <c r="B137" t="s">
        <v>990</v>
      </c>
      <c r="C137" s="152">
        <v>12022</v>
      </c>
      <c r="D137" s="152">
        <v>10032</v>
      </c>
      <c r="E137" s="152">
        <v>22054</v>
      </c>
      <c r="F137" s="152">
        <v>932872532.98393595</v>
      </c>
      <c r="G137" s="152">
        <v>976373829.381024</v>
      </c>
      <c r="H137" s="152">
        <v>1909246362.36496</v>
      </c>
      <c r="I137" t="s">
        <v>685</v>
      </c>
      <c r="J137" t="s">
        <v>129</v>
      </c>
      <c r="K137">
        <v>983940</v>
      </c>
      <c r="L137" t="s">
        <v>411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152</v>
      </c>
      <c r="B138" t="s">
        <v>157</v>
      </c>
      <c r="C138" s="152">
        <v>11122</v>
      </c>
      <c r="D138" s="152">
        <v>10864</v>
      </c>
      <c r="E138" s="152">
        <v>21986</v>
      </c>
      <c r="F138" s="152">
        <v>198878370.94126201</v>
      </c>
      <c r="G138" s="152">
        <v>227988633.47795999</v>
      </c>
      <c r="H138" s="152">
        <v>426867004.419222</v>
      </c>
      <c r="I138" t="s">
        <v>806</v>
      </c>
      <c r="J138" t="s">
        <v>127</v>
      </c>
      <c r="K138">
        <v>563965</v>
      </c>
      <c r="L138" t="s">
        <v>751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782</v>
      </c>
      <c r="B139" t="s">
        <v>557</v>
      </c>
      <c r="C139" s="152">
        <v>12232</v>
      </c>
      <c r="D139" s="152">
        <v>9598</v>
      </c>
      <c r="E139" s="152">
        <v>21830</v>
      </c>
      <c r="F139" s="152">
        <v>251328805.233751</v>
      </c>
      <c r="G139" s="152">
        <v>229523750.87714699</v>
      </c>
      <c r="H139" s="152">
        <v>480852556.11089802</v>
      </c>
      <c r="I139" t="s">
        <v>806</v>
      </c>
      <c r="J139" t="s">
        <v>127</v>
      </c>
      <c r="K139">
        <v>641704</v>
      </c>
      <c r="L139" t="s">
        <v>182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102</v>
      </c>
      <c r="B140" t="s">
        <v>374</v>
      </c>
      <c r="C140" s="152">
        <v>10831</v>
      </c>
      <c r="D140" s="152">
        <v>10884</v>
      </c>
      <c r="E140" s="152">
        <v>21715</v>
      </c>
      <c r="F140" s="152">
        <v>177727780.710547</v>
      </c>
      <c r="G140" s="152">
        <v>216229382.66244</v>
      </c>
      <c r="H140" s="152">
        <v>393957163.37298799</v>
      </c>
      <c r="I140" t="s">
        <v>806</v>
      </c>
      <c r="J140" t="s">
        <v>127</v>
      </c>
      <c r="K140">
        <v>629543</v>
      </c>
      <c r="L140" t="s">
        <v>729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291</v>
      </c>
      <c r="B141" t="s">
        <v>590</v>
      </c>
      <c r="C141" s="152">
        <v>10651</v>
      </c>
      <c r="D141" s="152">
        <v>10822</v>
      </c>
      <c r="E141" s="152">
        <v>21473</v>
      </c>
      <c r="F141" s="152">
        <v>263451582.39595601</v>
      </c>
      <c r="G141" s="152">
        <v>331230609.03698498</v>
      </c>
      <c r="H141" s="152">
        <v>594682191.43294096</v>
      </c>
      <c r="I141" t="s">
        <v>806</v>
      </c>
      <c r="J141" t="s">
        <v>127</v>
      </c>
      <c r="K141">
        <v>968420</v>
      </c>
      <c r="L141" t="s">
        <v>182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108</v>
      </c>
      <c r="B142" t="s">
        <v>554</v>
      </c>
      <c r="C142" s="152">
        <v>9239</v>
      </c>
      <c r="D142" s="152">
        <v>11185</v>
      </c>
      <c r="E142" s="152">
        <v>20424</v>
      </c>
      <c r="F142" s="152">
        <v>143723664.27703601</v>
      </c>
      <c r="G142" s="152">
        <v>220662589.434672</v>
      </c>
      <c r="H142" s="152">
        <v>364386253.71170801</v>
      </c>
      <c r="I142" t="s">
        <v>806</v>
      </c>
      <c r="J142" t="s">
        <v>127</v>
      </c>
      <c r="K142">
        <v>319236</v>
      </c>
      <c r="L142" t="s">
        <v>182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362</v>
      </c>
      <c r="B143" t="s">
        <v>365</v>
      </c>
      <c r="C143" s="152">
        <v>10648</v>
      </c>
      <c r="D143" s="152">
        <v>9449</v>
      </c>
      <c r="E143" s="152">
        <v>20097</v>
      </c>
      <c r="F143" s="152">
        <v>483734436.68498403</v>
      </c>
      <c r="G143" s="152">
        <v>523531755.78035098</v>
      </c>
      <c r="H143" s="152">
        <v>1007266192.46533</v>
      </c>
      <c r="I143" t="s">
        <v>806</v>
      </c>
      <c r="J143" t="s">
        <v>131</v>
      </c>
      <c r="K143">
        <v>743112</v>
      </c>
      <c r="L143" t="s">
        <v>751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362</v>
      </c>
      <c r="B144" t="s">
        <v>366</v>
      </c>
      <c r="C144" s="152">
        <v>10352</v>
      </c>
      <c r="D144" s="152">
        <v>9743</v>
      </c>
      <c r="E144" s="152">
        <v>20095</v>
      </c>
      <c r="F144" s="152">
        <v>497564154.43965298</v>
      </c>
      <c r="G144" s="152">
        <v>573504404.99005604</v>
      </c>
      <c r="H144" s="152">
        <v>1071068559.42971</v>
      </c>
      <c r="I144" t="s">
        <v>806</v>
      </c>
      <c r="J144" t="s">
        <v>131</v>
      </c>
      <c r="K144">
        <v>778944</v>
      </c>
      <c r="L144" t="s">
        <v>751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306</v>
      </c>
      <c r="B145" t="s">
        <v>380</v>
      </c>
      <c r="C145" s="152">
        <v>10558</v>
      </c>
      <c r="D145" s="152">
        <v>9281</v>
      </c>
      <c r="E145" s="152">
        <v>19839</v>
      </c>
      <c r="F145" s="152">
        <v>219708152.78472301</v>
      </c>
      <c r="G145" s="152">
        <v>228673828.38882101</v>
      </c>
      <c r="H145" s="152">
        <v>448381981.17354399</v>
      </c>
      <c r="I145" t="s">
        <v>806</v>
      </c>
      <c r="J145" t="s">
        <v>129</v>
      </c>
      <c r="K145">
        <v>665372</v>
      </c>
      <c r="L145" t="s">
        <v>729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152</v>
      </c>
      <c r="B146" t="s">
        <v>556</v>
      </c>
      <c r="C146" s="152">
        <v>10159</v>
      </c>
      <c r="D146" s="152">
        <v>9550</v>
      </c>
      <c r="E146" s="152">
        <v>19709</v>
      </c>
      <c r="F146" s="152">
        <v>148915509.66256899</v>
      </c>
      <c r="G146" s="152">
        <v>170072805.85173601</v>
      </c>
      <c r="H146" s="152">
        <v>318988315.514305</v>
      </c>
      <c r="I146" t="s">
        <v>806</v>
      </c>
      <c r="J146" t="s">
        <v>127</v>
      </c>
      <c r="K146">
        <v>384693</v>
      </c>
      <c r="L146" t="s">
        <v>182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138</v>
      </c>
      <c r="B147" t="s">
        <v>148</v>
      </c>
      <c r="C147" s="152">
        <v>7849</v>
      </c>
      <c r="D147" s="152">
        <v>11690</v>
      </c>
      <c r="E147" s="152">
        <v>19539</v>
      </c>
      <c r="F147" s="152">
        <v>138242250.04806599</v>
      </c>
      <c r="G147" s="152">
        <v>276488135.15115201</v>
      </c>
      <c r="H147" s="152">
        <v>414730385.19921798</v>
      </c>
      <c r="I147" t="s">
        <v>806</v>
      </c>
      <c r="J147" t="s">
        <v>127</v>
      </c>
      <c r="K147">
        <v>722983</v>
      </c>
      <c r="L147" t="s">
        <v>36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48</v>
      </c>
      <c r="B148" t="s">
        <v>57</v>
      </c>
      <c r="C148" s="152">
        <v>8589</v>
      </c>
      <c r="D148" s="152">
        <v>10767</v>
      </c>
      <c r="E148" s="152">
        <v>19356</v>
      </c>
      <c r="F148" s="152">
        <v>118615660.862446</v>
      </c>
      <c r="G148" s="152">
        <v>188860068.46436799</v>
      </c>
      <c r="H148" s="152">
        <v>307475729.326814</v>
      </c>
      <c r="I148" t="s">
        <v>685</v>
      </c>
      <c r="J148" t="s">
        <v>127</v>
      </c>
      <c r="K148">
        <v>327734</v>
      </c>
      <c r="L148" t="s">
        <v>56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218</v>
      </c>
      <c r="B149" t="s">
        <v>227</v>
      </c>
      <c r="C149" s="152">
        <v>8638</v>
      </c>
      <c r="D149" s="152">
        <v>10694</v>
      </c>
      <c r="E149" s="152">
        <v>19332</v>
      </c>
      <c r="F149" s="152">
        <v>162977878.22552601</v>
      </c>
      <c r="G149" s="152">
        <v>249929019.865578</v>
      </c>
      <c r="H149" s="152">
        <v>412906898.09110397</v>
      </c>
      <c r="I149" t="s">
        <v>806</v>
      </c>
      <c r="J149" t="s">
        <v>127</v>
      </c>
      <c r="K149">
        <v>552984</v>
      </c>
      <c r="L149" t="s">
        <v>223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168</v>
      </c>
      <c r="B150" t="s">
        <v>176</v>
      </c>
      <c r="C150" s="152">
        <v>8790</v>
      </c>
      <c r="D150" s="152">
        <v>10179</v>
      </c>
      <c r="E150" s="152">
        <v>18969</v>
      </c>
      <c r="F150" s="152">
        <v>155030877.01739901</v>
      </c>
      <c r="G150" s="152">
        <v>233841203.545935</v>
      </c>
      <c r="H150" s="152">
        <v>388872080.56333399</v>
      </c>
      <c r="I150" t="s">
        <v>685</v>
      </c>
      <c r="J150" t="s">
        <v>127</v>
      </c>
      <c r="K150">
        <v>305243</v>
      </c>
      <c r="L150" t="s">
        <v>838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168</v>
      </c>
      <c r="B151" t="s">
        <v>169</v>
      </c>
      <c r="C151" s="152">
        <v>9266</v>
      </c>
      <c r="D151" s="152">
        <v>9677</v>
      </c>
      <c r="E151" s="152">
        <v>18943</v>
      </c>
      <c r="F151" s="152">
        <v>104714077.050255</v>
      </c>
      <c r="G151" s="152">
        <v>151522764.43623301</v>
      </c>
      <c r="H151" s="152">
        <v>256236841.48648801</v>
      </c>
      <c r="I151" t="s">
        <v>685</v>
      </c>
      <c r="J151" t="s">
        <v>127</v>
      </c>
      <c r="K151">
        <v>191080</v>
      </c>
      <c r="L151" t="s">
        <v>368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594</v>
      </c>
      <c r="B152" t="s">
        <v>600</v>
      </c>
      <c r="C152" s="152">
        <v>10430</v>
      </c>
      <c r="D152" s="152">
        <v>8506</v>
      </c>
      <c r="E152" s="152">
        <v>18936</v>
      </c>
      <c r="F152" s="152">
        <v>280800241.34878701</v>
      </c>
      <c r="G152" s="152">
        <v>289710311.07633501</v>
      </c>
      <c r="H152" s="152">
        <v>570510552.42512298</v>
      </c>
      <c r="I152" t="s">
        <v>806</v>
      </c>
      <c r="J152" t="s">
        <v>128</v>
      </c>
      <c r="K152">
        <v>534800</v>
      </c>
      <c r="L152" t="s">
        <v>852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168</v>
      </c>
      <c r="B153" t="s">
        <v>640</v>
      </c>
      <c r="C153" s="152">
        <v>9409</v>
      </c>
      <c r="D153" s="152">
        <v>9234</v>
      </c>
      <c r="E153" s="152">
        <v>18643</v>
      </c>
      <c r="F153" s="152">
        <v>138012408.402282</v>
      </c>
      <c r="G153" s="152">
        <v>171644586.255548</v>
      </c>
      <c r="H153" s="152">
        <v>309656994.65783</v>
      </c>
      <c r="I153" t="s">
        <v>685</v>
      </c>
      <c r="J153" t="s">
        <v>127</v>
      </c>
      <c r="K153">
        <v>995571</v>
      </c>
      <c r="L153" t="s">
        <v>553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509</v>
      </c>
      <c r="B154" t="s">
        <v>530</v>
      </c>
      <c r="C154" s="152">
        <v>10134</v>
      </c>
      <c r="D154" s="152">
        <v>8423</v>
      </c>
      <c r="E154" s="152">
        <v>18557</v>
      </c>
      <c r="F154" s="152">
        <v>308076407.84294701</v>
      </c>
      <c r="G154" s="152">
        <v>317469462.343382</v>
      </c>
      <c r="H154" s="152">
        <v>625545870.18632901</v>
      </c>
      <c r="I154" t="s">
        <v>806</v>
      </c>
      <c r="J154" t="s">
        <v>131</v>
      </c>
      <c r="K154">
        <v>215996</v>
      </c>
      <c r="L154" t="s">
        <v>755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660</v>
      </c>
      <c r="B155" t="s">
        <v>558</v>
      </c>
      <c r="C155" s="152">
        <v>9407</v>
      </c>
      <c r="D155" s="152">
        <v>9129</v>
      </c>
      <c r="E155" s="152">
        <v>18536</v>
      </c>
      <c r="F155" s="152">
        <v>306338645.72206402</v>
      </c>
      <c r="G155" s="152">
        <v>391923905.62179202</v>
      </c>
      <c r="H155" s="152">
        <v>698262551.34385598</v>
      </c>
      <c r="I155" t="s">
        <v>806</v>
      </c>
      <c r="J155" t="s">
        <v>128</v>
      </c>
      <c r="K155">
        <v>666552</v>
      </c>
      <c r="L155" t="s">
        <v>182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536</v>
      </c>
      <c r="B156" t="s">
        <v>591</v>
      </c>
      <c r="C156" s="152">
        <v>9451</v>
      </c>
      <c r="D156" s="152">
        <v>9059</v>
      </c>
      <c r="E156" s="152">
        <v>18510</v>
      </c>
      <c r="F156" s="152">
        <v>247628218.81359899</v>
      </c>
      <c r="G156" s="152">
        <v>309655390.78778398</v>
      </c>
      <c r="H156" s="152">
        <v>557283609.60138297</v>
      </c>
      <c r="I156" t="s">
        <v>806</v>
      </c>
      <c r="J156" t="s">
        <v>128</v>
      </c>
      <c r="K156">
        <v>420646</v>
      </c>
      <c r="L156" t="s">
        <v>751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362</v>
      </c>
      <c r="B157" t="s">
        <v>535</v>
      </c>
      <c r="C157" s="152">
        <v>9889</v>
      </c>
      <c r="D157" s="152">
        <v>8401</v>
      </c>
      <c r="E157" s="152">
        <v>18290</v>
      </c>
      <c r="F157" s="152">
        <v>425960066.36079103</v>
      </c>
      <c r="G157" s="152">
        <v>459620247.27169001</v>
      </c>
      <c r="H157" s="152">
        <v>885580313.63248098</v>
      </c>
      <c r="I157" t="s">
        <v>806</v>
      </c>
      <c r="J157" t="s">
        <v>131</v>
      </c>
      <c r="K157">
        <v>707281</v>
      </c>
      <c r="L157" t="s">
        <v>751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382</v>
      </c>
      <c r="B158" t="s">
        <v>35</v>
      </c>
      <c r="C158" s="152">
        <v>7873</v>
      </c>
      <c r="D158" s="152">
        <v>10410</v>
      </c>
      <c r="E158" s="152">
        <v>18283</v>
      </c>
      <c r="F158" s="152">
        <v>147695275.89135301</v>
      </c>
      <c r="G158" s="152">
        <v>250620498.00874901</v>
      </c>
      <c r="H158" s="152">
        <v>398315773.90010101</v>
      </c>
      <c r="I158" t="s">
        <v>806</v>
      </c>
      <c r="J158" t="s">
        <v>127</v>
      </c>
      <c r="K158">
        <v>671982</v>
      </c>
      <c r="L158" t="s">
        <v>901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723</v>
      </c>
      <c r="B159" t="s">
        <v>1007</v>
      </c>
      <c r="C159" s="152">
        <v>8876</v>
      </c>
      <c r="D159" s="152">
        <v>9253</v>
      </c>
      <c r="E159" s="152">
        <v>18129</v>
      </c>
      <c r="F159" s="152">
        <v>212786177.28569701</v>
      </c>
      <c r="G159" s="152">
        <v>258939750.969969</v>
      </c>
      <c r="H159" s="152">
        <v>471725928.255665</v>
      </c>
      <c r="I159" t="s">
        <v>806</v>
      </c>
      <c r="J159" t="s">
        <v>127</v>
      </c>
      <c r="K159">
        <v>730366</v>
      </c>
      <c r="L159" t="s">
        <v>816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306</v>
      </c>
      <c r="B160" t="s">
        <v>308</v>
      </c>
      <c r="C160" s="152">
        <v>12526</v>
      </c>
      <c r="D160" s="152">
        <v>5463</v>
      </c>
      <c r="E160" s="152">
        <v>17989</v>
      </c>
      <c r="F160" s="152">
        <v>475236240.60974503</v>
      </c>
      <c r="G160" s="152">
        <v>202345081.66204801</v>
      </c>
      <c r="H160" s="152">
        <v>677581322.27179205</v>
      </c>
      <c r="I160" t="s">
        <v>806</v>
      </c>
      <c r="J160" t="s">
        <v>129</v>
      </c>
      <c r="K160">
        <v>117002</v>
      </c>
      <c r="L160" t="s">
        <v>798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385</v>
      </c>
      <c r="B161" t="s">
        <v>25</v>
      </c>
      <c r="C161" s="152">
        <v>7914</v>
      </c>
      <c r="D161" s="152">
        <v>10055</v>
      </c>
      <c r="E161" s="152">
        <v>17969</v>
      </c>
      <c r="F161" s="152">
        <v>160868706.369618</v>
      </c>
      <c r="G161" s="152">
        <v>248093576.52743199</v>
      </c>
      <c r="H161" s="152">
        <v>408962282.89705002</v>
      </c>
      <c r="I161" t="s">
        <v>685</v>
      </c>
      <c r="J161" t="s">
        <v>127</v>
      </c>
      <c r="K161">
        <v>260919</v>
      </c>
      <c r="L161" t="s">
        <v>451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306</v>
      </c>
      <c r="B162" t="s">
        <v>309</v>
      </c>
      <c r="C162" s="152">
        <v>9835</v>
      </c>
      <c r="D162" s="152">
        <v>7838</v>
      </c>
      <c r="E162" s="152">
        <v>17673</v>
      </c>
      <c r="F162" s="152">
        <v>179690147.24822599</v>
      </c>
      <c r="G162" s="152">
        <v>168847176.79182401</v>
      </c>
      <c r="H162" s="152">
        <v>348537324.04005003</v>
      </c>
      <c r="I162" t="s">
        <v>806</v>
      </c>
      <c r="J162" t="s">
        <v>129</v>
      </c>
      <c r="K162">
        <v>599795</v>
      </c>
      <c r="L162" t="s">
        <v>751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382</v>
      </c>
      <c r="B163" t="s">
        <v>114</v>
      </c>
      <c r="C163" s="152">
        <v>7692</v>
      </c>
      <c r="D163" s="152">
        <v>9960</v>
      </c>
      <c r="E163" s="152">
        <v>17652</v>
      </c>
      <c r="F163" s="152">
        <v>116802479.924376</v>
      </c>
      <c r="G163" s="152">
        <v>208982858.428045</v>
      </c>
      <c r="H163" s="152">
        <v>325785338.352422</v>
      </c>
      <c r="I163" t="s">
        <v>685</v>
      </c>
      <c r="J163" t="s">
        <v>127</v>
      </c>
      <c r="K163">
        <v>433862</v>
      </c>
      <c r="L163" t="s">
        <v>553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381</v>
      </c>
      <c r="B164" t="s">
        <v>950</v>
      </c>
      <c r="C164" s="152">
        <v>6598</v>
      </c>
      <c r="D164" s="152">
        <v>10982</v>
      </c>
      <c r="E164" s="152">
        <v>17580</v>
      </c>
      <c r="F164" s="152">
        <v>136812357.85493699</v>
      </c>
      <c r="G164" s="152">
        <v>297560589.40047902</v>
      </c>
      <c r="H164" s="152">
        <v>434372947.25541699</v>
      </c>
      <c r="I164" t="s">
        <v>806</v>
      </c>
      <c r="J164" t="s">
        <v>127</v>
      </c>
      <c r="K164">
        <v>688457</v>
      </c>
      <c r="L164" t="s">
        <v>899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800</v>
      </c>
      <c r="B165" t="s">
        <v>741</v>
      </c>
      <c r="C165" s="152">
        <v>7707</v>
      </c>
      <c r="D165" s="152">
        <v>9754</v>
      </c>
      <c r="E165" s="152">
        <v>17461</v>
      </c>
      <c r="F165" s="152">
        <v>222693660.893103</v>
      </c>
      <c r="G165" s="152">
        <v>345660204.50252402</v>
      </c>
      <c r="H165" s="152">
        <v>568353865.39562702</v>
      </c>
      <c r="I165" t="s">
        <v>806</v>
      </c>
      <c r="J165" t="s">
        <v>127</v>
      </c>
      <c r="K165">
        <v>140491</v>
      </c>
      <c r="L165" t="s">
        <v>734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237</v>
      </c>
      <c r="B166" t="s">
        <v>1043</v>
      </c>
      <c r="C166" s="152">
        <v>7109</v>
      </c>
      <c r="D166" s="152">
        <v>10105</v>
      </c>
      <c r="E166" s="152">
        <v>17214</v>
      </c>
      <c r="F166" s="152">
        <v>74430143.422576606</v>
      </c>
      <c r="G166" s="152">
        <v>136979060.633459</v>
      </c>
      <c r="H166" s="152">
        <v>211409204.056036</v>
      </c>
      <c r="I166" t="s">
        <v>806</v>
      </c>
      <c r="J166" t="s">
        <v>127</v>
      </c>
      <c r="K166">
        <v>176503</v>
      </c>
      <c r="L166" t="s">
        <v>852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509</v>
      </c>
      <c r="B167" t="s">
        <v>512</v>
      </c>
      <c r="C167" s="152">
        <v>8988</v>
      </c>
      <c r="D167" s="152">
        <v>8065</v>
      </c>
      <c r="E167" s="152">
        <v>17053</v>
      </c>
      <c r="F167" s="152">
        <v>287862150.22860903</v>
      </c>
      <c r="G167" s="152">
        <v>321481977.93072301</v>
      </c>
      <c r="H167" s="152">
        <v>609344128.15933096</v>
      </c>
      <c r="I167" t="s">
        <v>806</v>
      </c>
      <c r="J167" t="s">
        <v>131</v>
      </c>
      <c r="K167">
        <v>844522</v>
      </c>
      <c r="L167" t="s">
        <v>852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782</v>
      </c>
      <c r="B168" t="s">
        <v>799</v>
      </c>
      <c r="C168" s="152">
        <v>12267</v>
      </c>
      <c r="D168" s="152">
        <v>4758</v>
      </c>
      <c r="E168" s="152">
        <v>17025</v>
      </c>
      <c r="F168" s="152">
        <v>471327943.20352399</v>
      </c>
      <c r="G168" s="152">
        <v>205348407.06089899</v>
      </c>
      <c r="H168" s="152">
        <v>676676350.26442301</v>
      </c>
      <c r="I168" t="s">
        <v>806</v>
      </c>
      <c r="J168" t="s">
        <v>127</v>
      </c>
      <c r="K168">
        <v>152835</v>
      </c>
      <c r="L168" t="s">
        <v>798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273</v>
      </c>
      <c r="B169" t="s">
        <v>276</v>
      </c>
      <c r="C169" s="152">
        <v>7867</v>
      </c>
      <c r="D169" s="152">
        <v>8869</v>
      </c>
      <c r="E169" s="152">
        <v>16736</v>
      </c>
      <c r="F169" s="152">
        <v>140907806.17027</v>
      </c>
      <c r="G169" s="152">
        <v>194108390.859238</v>
      </c>
      <c r="H169" s="152">
        <v>335016197.02950799</v>
      </c>
      <c r="I169" t="s">
        <v>806</v>
      </c>
      <c r="J169" t="s">
        <v>127</v>
      </c>
      <c r="K169">
        <v>439471</v>
      </c>
      <c r="L169" t="s">
        <v>732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306</v>
      </c>
      <c r="B170" t="s">
        <v>312</v>
      </c>
      <c r="C170" s="152">
        <v>12277</v>
      </c>
      <c r="D170" s="152">
        <v>4458</v>
      </c>
      <c r="E170" s="152">
        <v>16735</v>
      </c>
      <c r="F170" s="152">
        <v>295654431.992181</v>
      </c>
      <c r="G170" s="152">
        <v>119693784.94567201</v>
      </c>
      <c r="H170" s="152">
        <v>415348216.93785399</v>
      </c>
      <c r="I170" t="s">
        <v>806</v>
      </c>
      <c r="J170" t="s">
        <v>129</v>
      </c>
      <c r="K170">
        <v>224493</v>
      </c>
      <c r="L170" t="s">
        <v>832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723</v>
      </c>
      <c r="B171" t="s">
        <v>465</v>
      </c>
      <c r="C171" s="152">
        <v>8654</v>
      </c>
      <c r="D171" s="152">
        <v>7953</v>
      </c>
      <c r="E171" s="152">
        <v>16607</v>
      </c>
      <c r="F171" s="152">
        <v>176688801.40103099</v>
      </c>
      <c r="G171" s="152">
        <v>197574058.37707099</v>
      </c>
      <c r="H171" s="152">
        <v>374262859.77810299</v>
      </c>
      <c r="I171" t="s">
        <v>806</v>
      </c>
      <c r="J171" t="s">
        <v>127</v>
      </c>
      <c r="K171">
        <v>363564</v>
      </c>
      <c r="L171" t="s">
        <v>755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358</v>
      </c>
      <c r="B172" t="s">
        <v>526</v>
      </c>
      <c r="C172" s="152">
        <v>9601</v>
      </c>
      <c r="D172" s="152">
        <v>6900</v>
      </c>
      <c r="E172" s="152">
        <v>16501</v>
      </c>
      <c r="F172" s="152">
        <v>161833439.54505101</v>
      </c>
      <c r="G172" s="152">
        <v>134932050.75468501</v>
      </c>
      <c r="H172" s="152">
        <v>296765490.29973602</v>
      </c>
      <c r="I172" t="s">
        <v>806</v>
      </c>
      <c r="J172" t="s">
        <v>131</v>
      </c>
      <c r="K172">
        <v>502633</v>
      </c>
      <c r="L172" t="s">
        <v>755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509</v>
      </c>
      <c r="B173" t="s">
        <v>511</v>
      </c>
      <c r="C173" s="152">
        <v>9405</v>
      </c>
      <c r="D173" s="152">
        <v>6876</v>
      </c>
      <c r="E173" s="152">
        <v>16281</v>
      </c>
      <c r="F173" s="152">
        <v>321531587.13742697</v>
      </c>
      <c r="G173" s="152">
        <v>278571620.12978798</v>
      </c>
      <c r="H173" s="152">
        <v>600103207.26721394</v>
      </c>
      <c r="I173" t="s">
        <v>806</v>
      </c>
      <c r="J173" t="s">
        <v>131</v>
      </c>
      <c r="K173">
        <v>829358</v>
      </c>
      <c r="L173" t="s">
        <v>846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723</v>
      </c>
      <c r="B174" t="s">
        <v>588</v>
      </c>
      <c r="C174" s="152">
        <v>7408</v>
      </c>
      <c r="D174" s="152">
        <v>8777</v>
      </c>
      <c r="E174" s="152">
        <v>16185</v>
      </c>
      <c r="F174" s="152">
        <v>150208151.62694901</v>
      </c>
      <c r="G174" s="152">
        <v>226176647.65487501</v>
      </c>
      <c r="H174" s="152">
        <v>376384799.28182399</v>
      </c>
      <c r="I174" t="s">
        <v>806</v>
      </c>
      <c r="J174" t="s">
        <v>127</v>
      </c>
      <c r="K174">
        <v>939850</v>
      </c>
      <c r="L174" t="s">
        <v>182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168</v>
      </c>
      <c r="B175" t="s">
        <v>1051</v>
      </c>
      <c r="C175" s="152">
        <v>7367</v>
      </c>
      <c r="D175" s="152">
        <v>8798</v>
      </c>
      <c r="E175" s="152">
        <v>16165</v>
      </c>
      <c r="F175" s="152">
        <v>133879584.20711701</v>
      </c>
      <c r="G175" s="152">
        <v>217881728.864014</v>
      </c>
      <c r="H175" s="152">
        <v>351761313.07113099</v>
      </c>
      <c r="I175" t="s">
        <v>806</v>
      </c>
      <c r="J175" t="s">
        <v>127</v>
      </c>
      <c r="K175">
        <v>950774</v>
      </c>
      <c r="L175" t="s">
        <v>846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536</v>
      </c>
      <c r="B176" t="s">
        <v>638</v>
      </c>
      <c r="C176" s="152">
        <v>7207</v>
      </c>
      <c r="D176" s="152">
        <v>8951</v>
      </c>
      <c r="E176" s="152">
        <v>16158</v>
      </c>
      <c r="F176" s="152">
        <v>336059024.954</v>
      </c>
      <c r="G176" s="152">
        <v>515002905.90420002</v>
      </c>
      <c r="H176" s="152">
        <v>851061930.858199</v>
      </c>
      <c r="I176" t="s">
        <v>806</v>
      </c>
      <c r="J176" t="s">
        <v>128</v>
      </c>
      <c r="K176">
        <v>972497</v>
      </c>
      <c r="L176" t="s">
        <v>671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362</v>
      </c>
      <c r="B177" t="s">
        <v>510</v>
      </c>
      <c r="C177" s="152">
        <v>8633</v>
      </c>
      <c r="D177" s="152">
        <v>7458</v>
      </c>
      <c r="E177" s="152">
        <v>16091</v>
      </c>
      <c r="F177" s="152">
        <v>347590770.78319001</v>
      </c>
      <c r="G177" s="152">
        <v>364788910.55900198</v>
      </c>
      <c r="H177" s="152">
        <v>712379681.34219205</v>
      </c>
      <c r="I177" t="s">
        <v>806</v>
      </c>
      <c r="J177" t="s">
        <v>131</v>
      </c>
      <c r="K177">
        <v>901017</v>
      </c>
      <c r="L177" t="s">
        <v>846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723</v>
      </c>
      <c r="B178" t="s">
        <v>754</v>
      </c>
      <c r="C178" s="152">
        <v>7510</v>
      </c>
      <c r="D178" s="152">
        <v>8446</v>
      </c>
      <c r="E178" s="152">
        <v>15956</v>
      </c>
      <c r="F178" s="152">
        <v>148141752.654046</v>
      </c>
      <c r="G178" s="152">
        <v>206939887.860383</v>
      </c>
      <c r="H178" s="152">
        <v>355081640.51442897</v>
      </c>
      <c r="I178" t="s">
        <v>806</v>
      </c>
      <c r="J178" t="s">
        <v>127</v>
      </c>
      <c r="K178">
        <v>806869</v>
      </c>
      <c r="L178" t="s">
        <v>753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138</v>
      </c>
      <c r="B179" t="s">
        <v>115</v>
      </c>
      <c r="C179" s="152">
        <v>6694</v>
      </c>
      <c r="D179" s="152">
        <v>9102</v>
      </c>
      <c r="E179" s="152">
        <v>15796</v>
      </c>
      <c r="F179" s="152">
        <v>99025720.639660001</v>
      </c>
      <c r="G179" s="152">
        <v>181878414.12345999</v>
      </c>
      <c r="H179" s="152">
        <v>280904134.76312</v>
      </c>
      <c r="I179" t="s">
        <v>685</v>
      </c>
      <c r="J179" t="s">
        <v>127</v>
      </c>
      <c r="K179">
        <v>469692</v>
      </c>
      <c r="L179" t="s">
        <v>553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48</v>
      </c>
      <c r="B180" t="s">
        <v>53</v>
      </c>
      <c r="C180" s="152">
        <v>8127</v>
      </c>
      <c r="D180" s="152">
        <v>7498</v>
      </c>
      <c r="E180" s="152">
        <v>15625</v>
      </c>
      <c r="F180" s="152">
        <v>122467734.520906</v>
      </c>
      <c r="G180" s="152">
        <v>137496218.69988501</v>
      </c>
      <c r="H180" s="152">
        <v>259963953.22079</v>
      </c>
      <c r="I180" t="s">
        <v>806</v>
      </c>
      <c r="J180" t="s">
        <v>127</v>
      </c>
      <c r="K180">
        <v>122432</v>
      </c>
      <c r="L180" t="s">
        <v>846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306</v>
      </c>
      <c r="B181" t="s">
        <v>313</v>
      </c>
      <c r="C181" s="152">
        <v>10868</v>
      </c>
      <c r="D181" s="152">
        <v>4514</v>
      </c>
      <c r="E181" s="152">
        <v>15382</v>
      </c>
      <c r="F181" s="152">
        <v>296011121.44059902</v>
      </c>
      <c r="G181" s="152">
        <v>138921314.77555001</v>
      </c>
      <c r="H181" s="152">
        <v>434932436.21614897</v>
      </c>
      <c r="I181" t="s">
        <v>806</v>
      </c>
      <c r="J181" t="s">
        <v>129</v>
      </c>
      <c r="K181">
        <v>260323</v>
      </c>
      <c r="L181" t="s">
        <v>832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362</v>
      </c>
      <c r="B182" t="s">
        <v>508</v>
      </c>
      <c r="C182" s="152">
        <v>8192</v>
      </c>
      <c r="D182" s="152">
        <v>7184</v>
      </c>
      <c r="E182" s="152">
        <v>15376</v>
      </c>
      <c r="F182" s="152">
        <v>310803208.29974401</v>
      </c>
      <c r="G182" s="152">
        <v>321504687.03277302</v>
      </c>
      <c r="H182" s="152">
        <v>632307895.33251595</v>
      </c>
      <c r="I182" t="s">
        <v>806</v>
      </c>
      <c r="J182" t="s">
        <v>131</v>
      </c>
      <c r="K182">
        <v>972679</v>
      </c>
      <c r="L182" t="s">
        <v>846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273</v>
      </c>
      <c r="B183" t="s">
        <v>923</v>
      </c>
      <c r="C183" s="152">
        <v>6129</v>
      </c>
      <c r="D183" s="152">
        <v>9228</v>
      </c>
      <c r="E183" s="152">
        <v>15357</v>
      </c>
      <c r="F183" s="152">
        <v>88205028.557153001</v>
      </c>
      <c r="G183" s="152">
        <v>164459552.83152899</v>
      </c>
      <c r="H183" s="152">
        <v>252664581.38868201</v>
      </c>
      <c r="I183" t="s">
        <v>806</v>
      </c>
      <c r="J183" t="s">
        <v>127</v>
      </c>
      <c r="K183">
        <v>939264</v>
      </c>
      <c r="L183" t="s">
        <v>899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723</v>
      </c>
      <c r="B184" t="s">
        <v>760</v>
      </c>
      <c r="C184" s="152">
        <v>7051</v>
      </c>
      <c r="D184" s="152">
        <v>8304</v>
      </c>
      <c r="E184" s="152">
        <v>15355</v>
      </c>
      <c r="F184" s="152">
        <v>167512478.06659901</v>
      </c>
      <c r="G184" s="152">
        <v>244883255.15615699</v>
      </c>
      <c r="H184" s="152">
        <v>412395733.22275698</v>
      </c>
      <c r="I184" t="s">
        <v>685</v>
      </c>
      <c r="J184" t="s">
        <v>127</v>
      </c>
      <c r="K184">
        <v>450981</v>
      </c>
      <c r="L184" t="s">
        <v>759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723</v>
      </c>
      <c r="B185" t="s">
        <v>279</v>
      </c>
      <c r="C185" s="152">
        <v>7775</v>
      </c>
      <c r="D185" s="152">
        <v>7568</v>
      </c>
      <c r="E185" s="152">
        <v>15343</v>
      </c>
      <c r="F185" s="152">
        <v>202275307.57056901</v>
      </c>
      <c r="G185" s="152">
        <v>247628968.18898901</v>
      </c>
      <c r="H185" s="152">
        <v>449904275.75955802</v>
      </c>
      <c r="I185" t="s">
        <v>806</v>
      </c>
      <c r="J185" t="s">
        <v>127</v>
      </c>
      <c r="K185">
        <v>158261</v>
      </c>
      <c r="L185" t="s">
        <v>846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314</v>
      </c>
      <c r="B186" t="s">
        <v>1048</v>
      </c>
      <c r="C186" s="152">
        <v>8090</v>
      </c>
      <c r="D186" s="152">
        <v>7240</v>
      </c>
      <c r="E186" s="152">
        <v>15330</v>
      </c>
      <c r="F186" s="152">
        <v>205682937.37854999</v>
      </c>
      <c r="G186" s="152">
        <v>230281074.30776</v>
      </c>
      <c r="H186" s="152">
        <v>435964011.68631101</v>
      </c>
      <c r="I186" t="s">
        <v>685</v>
      </c>
      <c r="J186" t="s">
        <v>129</v>
      </c>
      <c r="K186">
        <v>762880</v>
      </c>
      <c r="L186" t="s">
        <v>411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48</v>
      </c>
      <c r="B187" t="s">
        <v>834</v>
      </c>
      <c r="C187" s="152">
        <v>7772</v>
      </c>
      <c r="D187" s="152">
        <v>7449</v>
      </c>
      <c r="E187" s="152">
        <v>15221</v>
      </c>
      <c r="F187" s="152">
        <v>89506693.192098796</v>
      </c>
      <c r="G187" s="152">
        <v>110371477.711685</v>
      </c>
      <c r="H187" s="152">
        <v>199878170.90378401</v>
      </c>
      <c r="I187" t="s">
        <v>685</v>
      </c>
      <c r="J187" t="s">
        <v>127</v>
      </c>
      <c r="K187">
        <v>666495</v>
      </c>
      <c r="L187" t="s">
        <v>833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723</v>
      </c>
      <c r="B188" t="s">
        <v>733</v>
      </c>
      <c r="C188" s="152">
        <v>7223</v>
      </c>
      <c r="D188" s="152">
        <v>7847</v>
      </c>
      <c r="E188" s="152">
        <v>15070</v>
      </c>
      <c r="F188" s="152">
        <v>181558679.04209399</v>
      </c>
      <c r="G188" s="152">
        <v>241566384.077701</v>
      </c>
      <c r="H188" s="152">
        <v>423125063.11979502</v>
      </c>
      <c r="I188" t="s">
        <v>806</v>
      </c>
      <c r="J188" t="s">
        <v>127</v>
      </c>
      <c r="K188">
        <v>690289</v>
      </c>
      <c r="L188" t="s">
        <v>732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594</v>
      </c>
      <c r="B189" t="s">
        <v>599</v>
      </c>
      <c r="C189" s="152">
        <v>7744</v>
      </c>
      <c r="D189" s="152">
        <v>7110</v>
      </c>
      <c r="E189" s="152">
        <v>14854</v>
      </c>
      <c r="F189" s="152">
        <v>195664879.991451</v>
      </c>
      <c r="G189" s="152">
        <v>222156142.97601801</v>
      </c>
      <c r="H189" s="152">
        <v>417821022.96746898</v>
      </c>
      <c r="I189" t="s">
        <v>806</v>
      </c>
      <c r="J189" t="s">
        <v>128</v>
      </c>
      <c r="K189">
        <v>726117</v>
      </c>
      <c r="L189" t="s">
        <v>732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218</v>
      </c>
      <c r="B190" t="s">
        <v>178</v>
      </c>
      <c r="C190" s="152">
        <v>6704</v>
      </c>
      <c r="D190" s="152">
        <v>7929</v>
      </c>
      <c r="E190" s="152">
        <v>14633</v>
      </c>
      <c r="F190" s="152">
        <v>113385456.72119699</v>
      </c>
      <c r="G190" s="152">
        <v>166429682.43613899</v>
      </c>
      <c r="H190" s="152">
        <v>279815139.157336</v>
      </c>
      <c r="I190" t="s">
        <v>806</v>
      </c>
      <c r="J190" t="s">
        <v>127</v>
      </c>
      <c r="K190">
        <v>715664</v>
      </c>
      <c r="L190" t="s">
        <v>729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250</v>
      </c>
      <c r="B191" t="s">
        <v>1024</v>
      </c>
      <c r="C191" s="152">
        <v>6380</v>
      </c>
      <c r="D191" s="152">
        <v>8022</v>
      </c>
      <c r="E191" s="152">
        <v>14402</v>
      </c>
      <c r="F191" s="152">
        <v>70153456.367377996</v>
      </c>
      <c r="G191" s="152">
        <v>117873426.65947101</v>
      </c>
      <c r="H191" s="152">
        <v>188026883.026849</v>
      </c>
      <c r="I191" t="s">
        <v>806</v>
      </c>
      <c r="J191" t="s">
        <v>127</v>
      </c>
      <c r="K191">
        <v>705806</v>
      </c>
      <c r="L191" t="s">
        <v>1025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509</v>
      </c>
      <c r="B192" t="s">
        <v>534</v>
      </c>
      <c r="C192" s="152">
        <v>7959</v>
      </c>
      <c r="D192" s="152">
        <v>6274</v>
      </c>
      <c r="E192" s="152">
        <v>14233</v>
      </c>
      <c r="F192" s="152">
        <v>314959002.92546499</v>
      </c>
      <c r="G192" s="152">
        <v>313029032.587713</v>
      </c>
      <c r="H192" s="152">
        <v>627988035.51317894</v>
      </c>
      <c r="I192" t="s">
        <v>806</v>
      </c>
      <c r="J192" t="s">
        <v>131</v>
      </c>
      <c r="K192">
        <v>671453</v>
      </c>
      <c r="L192" t="s">
        <v>751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48</v>
      </c>
      <c r="B193" t="s">
        <v>740</v>
      </c>
      <c r="C193" s="152">
        <v>6503</v>
      </c>
      <c r="D193" s="152">
        <v>7604</v>
      </c>
      <c r="E193" s="152">
        <v>14107</v>
      </c>
      <c r="F193" s="152">
        <v>46757589.232647397</v>
      </c>
      <c r="G193" s="152">
        <v>69620208.524839893</v>
      </c>
      <c r="H193" s="152">
        <v>116377797.757487</v>
      </c>
      <c r="I193" t="s">
        <v>806</v>
      </c>
      <c r="J193" t="s">
        <v>127</v>
      </c>
      <c r="K193">
        <v>102897</v>
      </c>
      <c r="L193" t="s">
        <v>546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306</v>
      </c>
      <c r="B194" t="s">
        <v>910</v>
      </c>
      <c r="C194" s="152">
        <v>7619</v>
      </c>
      <c r="D194" s="152">
        <v>6305</v>
      </c>
      <c r="E194" s="152">
        <v>13924</v>
      </c>
      <c r="F194" s="152">
        <v>175752998.873303</v>
      </c>
      <c r="G194" s="152">
        <v>173386305.144348</v>
      </c>
      <c r="H194" s="152">
        <v>349139304.01765198</v>
      </c>
      <c r="I194" t="s">
        <v>806</v>
      </c>
      <c r="J194" t="s">
        <v>129</v>
      </c>
      <c r="K194">
        <v>546960</v>
      </c>
      <c r="L194" t="s">
        <v>732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314</v>
      </c>
      <c r="B195" t="s">
        <v>897</v>
      </c>
      <c r="C195" s="152">
        <v>6349</v>
      </c>
      <c r="D195" s="152">
        <v>7393</v>
      </c>
      <c r="E195" s="152">
        <v>13742</v>
      </c>
      <c r="F195" s="152">
        <v>321124313.00838</v>
      </c>
      <c r="G195" s="152">
        <v>477046102.22382498</v>
      </c>
      <c r="H195" s="152">
        <v>798170415.23220503</v>
      </c>
      <c r="I195" t="s">
        <v>806</v>
      </c>
      <c r="J195" t="s">
        <v>129</v>
      </c>
      <c r="K195">
        <v>874032</v>
      </c>
      <c r="L195" t="s">
        <v>546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168</v>
      </c>
      <c r="B196" t="s">
        <v>402</v>
      </c>
      <c r="C196" s="152">
        <v>5807</v>
      </c>
      <c r="D196" s="152">
        <v>7853</v>
      </c>
      <c r="E196" s="152">
        <v>13660</v>
      </c>
      <c r="F196" s="152">
        <v>120047069.34845001</v>
      </c>
      <c r="G196" s="152">
        <v>201158146.807726</v>
      </c>
      <c r="H196" s="152">
        <v>321205216.15617597</v>
      </c>
      <c r="I196" t="s">
        <v>806</v>
      </c>
      <c r="J196" t="s">
        <v>127</v>
      </c>
      <c r="K196">
        <v>285825</v>
      </c>
      <c r="L196" t="s">
        <v>925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660</v>
      </c>
      <c r="B197" t="s">
        <v>663</v>
      </c>
      <c r="C197" s="152">
        <v>6854</v>
      </c>
      <c r="D197" s="152">
        <v>6669</v>
      </c>
      <c r="E197" s="152">
        <v>13523</v>
      </c>
      <c r="F197" s="152">
        <v>188576728.15244401</v>
      </c>
      <c r="G197" s="152">
        <v>234666956.01312199</v>
      </c>
      <c r="H197" s="152">
        <v>423243684.16556603</v>
      </c>
      <c r="I197" t="s">
        <v>806</v>
      </c>
      <c r="J197" t="s">
        <v>128</v>
      </c>
      <c r="K197">
        <v>469817</v>
      </c>
      <c r="L197" t="s">
        <v>732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800</v>
      </c>
      <c r="B198" t="s">
        <v>47</v>
      </c>
      <c r="C198" s="152">
        <v>6485</v>
      </c>
      <c r="D198" s="152">
        <v>6987</v>
      </c>
      <c r="E198" s="152">
        <v>13472</v>
      </c>
      <c r="F198" s="152">
        <v>122419232.845577</v>
      </c>
      <c r="G198" s="152">
        <v>157216103.027134</v>
      </c>
      <c r="H198" s="152">
        <v>279635335.872711</v>
      </c>
      <c r="I198" t="s">
        <v>685</v>
      </c>
      <c r="J198" t="s">
        <v>127</v>
      </c>
      <c r="K198">
        <v>598557</v>
      </c>
      <c r="L198" t="s">
        <v>759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723</v>
      </c>
      <c r="B199" t="s">
        <v>773</v>
      </c>
      <c r="C199" s="152">
        <v>7571</v>
      </c>
      <c r="D199" s="152">
        <v>5736</v>
      </c>
      <c r="E199" s="152">
        <v>13307</v>
      </c>
      <c r="F199" s="152">
        <v>232441525.50135601</v>
      </c>
      <c r="G199" s="152">
        <v>200072510.95079699</v>
      </c>
      <c r="H199" s="152">
        <v>432514036.45215303</v>
      </c>
      <c r="I199" t="s">
        <v>806</v>
      </c>
      <c r="J199" t="s">
        <v>127</v>
      </c>
      <c r="K199">
        <v>833608</v>
      </c>
      <c r="L199" t="s">
        <v>832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152</v>
      </c>
      <c r="B200" t="s">
        <v>862</v>
      </c>
      <c r="C200" s="152">
        <v>5805</v>
      </c>
      <c r="D200" s="152">
        <v>7322</v>
      </c>
      <c r="E200" s="152">
        <v>13127</v>
      </c>
      <c r="F200" s="152">
        <v>140896672.6925</v>
      </c>
      <c r="G200" s="152">
        <v>210181750.55206999</v>
      </c>
      <c r="H200" s="152">
        <v>351078423.24457002</v>
      </c>
      <c r="I200" t="s">
        <v>806</v>
      </c>
      <c r="J200" t="s">
        <v>127</v>
      </c>
      <c r="K200">
        <v>252411</v>
      </c>
      <c r="L200" t="s">
        <v>462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381</v>
      </c>
      <c r="B201" t="s">
        <v>151</v>
      </c>
      <c r="C201" s="152">
        <v>5107</v>
      </c>
      <c r="D201" s="152">
        <v>7991</v>
      </c>
      <c r="E201" s="152">
        <v>13098</v>
      </c>
      <c r="F201" s="152">
        <v>106045614.32531101</v>
      </c>
      <c r="G201" s="152">
        <v>214152907.68814301</v>
      </c>
      <c r="H201" s="152">
        <v>320198522.01345402</v>
      </c>
      <c r="I201" t="s">
        <v>685</v>
      </c>
      <c r="J201" t="s">
        <v>127</v>
      </c>
      <c r="K201">
        <v>233585</v>
      </c>
      <c r="L201" t="s">
        <v>838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48</v>
      </c>
      <c r="B202" t="s">
        <v>64</v>
      </c>
      <c r="C202" s="152">
        <v>5876</v>
      </c>
      <c r="D202" s="152">
        <v>7181</v>
      </c>
      <c r="E202" s="152">
        <v>13057</v>
      </c>
      <c r="F202" s="152">
        <v>123445949.461147</v>
      </c>
      <c r="G202" s="152">
        <v>182499644.99457601</v>
      </c>
      <c r="H202" s="152">
        <v>305945594.455724</v>
      </c>
      <c r="I202" t="s">
        <v>685</v>
      </c>
      <c r="J202" t="s">
        <v>127</v>
      </c>
      <c r="K202">
        <v>336826</v>
      </c>
      <c r="L202" t="s">
        <v>63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678</v>
      </c>
      <c r="B203" t="s">
        <v>596</v>
      </c>
      <c r="C203" s="152">
        <v>6420</v>
      </c>
      <c r="D203" s="152">
        <v>6516</v>
      </c>
      <c r="E203" s="152">
        <v>12936</v>
      </c>
      <c r="F203" s="152">
        <v>145042314.63987601</v>
      </c>
      <c r="G203" s="152">
        <v>186096655.59789699</v>
      </c>
      <c r="H203" s="152">
        <v>331138970.237773</v>
      </c>
      <c r="I203" t="s">
        <v>806</v>
      </c>
      <c r="J203" t="s">
        <v>128</v>
      </c>
      <c r="K203">
        <v>104786</v>
      </c>
      <c r="L203" t="s">
        <v>736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250</v>
      </c>
      <c r="B204" t="s">
        <v>253</v>
      </c>
      <c r="C204" s="152">
        <v>5057</v>
      </c>
      <c r="D204" s="152">
        <v>7857</v>
      </c>
      <c r="E204" s="152">
        <v>12914</v>
      </c>
      <c r="F204" s="152">
        <v>113979489.04544701</v>
      </c>
      <c r="G204" s="152">
        <v>235833917.53945899</v>
      </c>
      <c r="H204" s="152">
        <v>349813406.584907</v>
      </c>
      <c r="I204" t="s">
        <v>806</v>
      </c>
      <c r="J204" t="s">
        <v>127</v>
      </c>
      <c r="K204">
        <v>333690</v>
      </c>
      <c r="L204" t="s">
        <v>223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594</v>
      </c>
      <c r="B205" t="s">
        <v>658</v>
      </c>
      <c r="C205" s="152">
        <v>6821</v>
      </c>
      <c r="D205" s="152">
        <v>5981</v>
      </c>
      <c r="E205" s="152">
        <v>12802</v>
      </c>
      <c r="F205" s="152">
        <v>215019658.08521399</v>
      </c>
      <c r="G205" s="152">
        <v>218506227.883259</v>
      </c>
      <c r="H205" s="152">
        <v>433525885.96847302</v>
      </c>
      <c r="I205" t="s">
        <v>806</v>
      </c>
      <c r="J205" t="s">
        <v>128</v>
      </c>
      <c r="K205">
        <v>648964</v>
      </c>
      <c r="L205" t="s">
        <v>755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383</v>
      </c>
      <c r="B206" t="s">
        <v>617</v>
      </c>
      <c r="C206" s="152">
        <v>5102</v>
      </c>
      <c r="D206" s="152">
        <v>7294</v>
      </c>
      <c r="E206" s="152">
        <v>12396</v>
      </c>
      <c r="F206" s="152">
        <v>97241556.699698597</v>
      </c>
      <c r="G206" s="152">
        <v>174774961.51956099</v>
      </c>
      <c r="H206" s="152">
        <v>272016518.21925998</v>
      </c>
      <c r="I206" t="s">
        <v>685</v>
      </c>
      <c r="J206" t="s">
        <v>127</v>
      </c>
      <c r="K206">
        <v>661066</v>
      </c>
      <c r="L206" t="s">
        <v>813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273</v>
      </c>
      <c r="B207" t="s">
        <v>179</v>
      </c>
      <c r="C207" s="152">
        <v>5632</v>
      </c>
      <c r="D207" s="152">
        <v>6741</v>
      </c>
      <c r="E207" s="152">
        <v>12373</v>
      </c>
      <c r="F207" s="152">
        <v>82688083.373821005</v>
      </c>
      <c r="G207" s="152">
        <v>124025505.450661</v>
      </c>
      <c r="H207" s="152">
        <v>206713588.82448199</v>
      </c>
      <c r="I207" t="s">
        <v>806</v>
      </c>
      <c r="J207" t="s">
        <v>127</v>
      </c>
      <c r="K207">
        <v>399865</v>
      </c>
      <c r="L207" t="s">
        <v>729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152</v>
      </c>
      <c r="B208" t="s">
        <v>158</v>
      </c>
      <c r="C208" s="152">
        <v>6415</v>
      </c>
      <c r="D208" s="152">
        <v>5925</v>
      </c>
      <c r="E208" s="152">
        <v>12340</v>
      </c>
      <c r="F208" s="152">
        <v>132298567.319442</v>
      </c>
      <c r="G208" s="152">
        <v>146893033.409251</v>
      </c>
      <c r="H208" s="152">
        <v>279191600.72869301</v>
      </c>
      <c r="I208" t="s">
        <v>685</v>
      </c>
      <c r="J208" t="s">
        <v>127</v>
      </c>
      <c r="K208">
        <v>479550</v>
      </c>
      <c r="L208" t="s">
        <v>106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779</v>
      </c>
      <c r="B209" t="s">
        <v>721</v>
      </c>
      <c r="C209" s="152">
        <v>7021</v>
      </c>
      <c r="D209" s="152">
        <v>5301</v>
      </c>
      <c r="E209" s="152">
        <v>12322</v>
      </c>
      <c r="F209" s="152">
        <v>174150780.194098</v>
      </c>
      <c r="G209" s="152">
        <v>162277141.46238801</v>
      </c>
      <c r="H209" s="152">
        <v>336427921.65648597</v>
      </c>
      <c r="I209" t="s">
        <v>806</v>
      </c>
      <c r="J209" t="s">
        <v>127</v>
      </c>
      <c r="K209">
        <v>838441</v>
      </c>
      <c r="L209" t="s">
        <v>727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218</v>
      </c>
      <c r="B210" t="s">
        <v>219</v>
      </c>
      <c r="C210" s="152">
        <v>4852</v>
      </c>
      <c r="D210" s="152">
        <v>7452</v>
      </c>
      <c r="E210" s="152">
        <v>12304</v>
      </c>
      <c r="F210" s="152">
        <v>102449376.270257</v>
      </c>
      <c r="G210" s="152">
        <v>205421081.87259701</v>
      </c>
      <c r="H210" s="152">
        <v>307870458.14285398</v>
      </c>
      <c r="I210" t="s">
        <v>685</v>
      </c>
      <c r="J210" t="s">
        <v>127</v>
      </c>
      <c r="K210">
        <v>983593</v>
      </c>
      <c r="L210" t="s">
        <v>368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723</v>
      </c>
      <c r="B211" t="s">
        <v>762</v>
      </c>
      <c r="C211" s="152">
        <v>5740</v>
      </c>
      <c r="D211" s="152">
        <v>6425</v>
      </c>
      <c r="E211" s="152">
        <v>12165</v>
      </c>
      <c r="F211" s="152">
        <v>158253115.24671</v>
      </c>
      <c r="G211" s="152">
        <v>223972906.0176</v>
      </c>
      <c r="H211" s="152">
        <v>382226021.26431</v>
      </c>
      <c r="I211" t="s">
        <v>806</v>
      </c>
      <c r="J211" t="s">
        <v>127</v>
      </c>
      <c r="K211">
        <v>905265</v>
      </c>
      <c r="L211" t="s">
        <v>831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800</v>
      </c>
      <c r="B212" t="s">
        <v>930</v>
      </c>
      <c r="C212" s="152">
        <v>6105</v>
      </c>
      <c r="D212" s="152">
        <v>6043</v>
      </c>
      <c r="E212" s="152">
        <v>12148</v>
      </c>
      <c r="F212" s="152">
        <v>105517278.986359</v>
      </c>
      <c r="G212" s="152">
        <v>123604594.962311</v>
      </c>
      <c r="H212" s="152">
        <v>229121873.94866899</v>
      </c>
      <c r="I212" t="s">
        <v>685</v>
      </c>
      <c r="J212" t="s">
        <v>127</v>
      </c>
      <c r="K212">
        <v>348987</v>
      </c>
      <c r="L212" t="s">
        <v>817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314</v>
      </c>
      <c r="B213" t="s">
        <v>583</v>
      </c>
      <c r="C213" s="152">
        <v>6861</v>
      </c>
      <c r="D213" s="152">
        <v>5235</v>
      </c>
      <c r="E213" s="152">
        <v>12096</v>
      </c>
      <c r="F213" s="152">
        <v>554981212.28039598</v>
      </c>
      <c r="G213" s="152">
        <v>480725389.10334897</v>
      </c>
      <c r="H213" s="152">
        <v>1035706601.3837399</v>
      </c>
      <c r="I213" t="s">
        <v>806</v>
      </c>
      <c r="J213" t="s">
        <v>129</v>
      </c>
      <c r="K213">
        <v>322008</v>
      </c>
      <c r="L213" t="s">
        <v>870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509</v>
      </c>
      <c r="B214" t="s">
        <v>520</v>
      </c>
      <c r="C214" s="152">
        <v>6560</v>
      </c>
      <c r="D214" s="152">
        <v>5421</v>
      </c>
      <c r="E214" s="152">
        <v>11981</v>
      </c>
      <c r="F214" s="152">
        <v>227184495.73425499</v>
      </c>
      <c r="G214" s="152">
        <v>237234833.49687201</v>
      </c>
      <c r="H214" s="152">
        <v>464419329.23112702</v>
      </c>
      <c r="I214" t="s">
        <v>806</v>
      </c>
      <c r="J214" t="s">
        <v>131</v>
      </c>
      <c r="K214">
        <v>635623</v>
      </c>
      <c r="L214" t="s">
        <v>751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782</v>
      </c>
      <c r="B215" t="s">
        <v>909</v>
      </c>
      <c r="C215" s="152">
        <v>5995</v>
      </c>
      <c r="D215" s="152">
        <v>5810</v>
      </c>
      <c r="E215" s="152">
        <v>11805</v>
      </c>
      <c r="F215" s="152">
        <v>134506248.422793</v>
      </c>
      <c r="G215" s="152">
        <v>162094767.449186</v>
      </c>
      <c r="H215" s="152">
        <v>296601015.871979</v>
      </c>
      <c r="I215" t="s">
        <v>806</v>
      </c>
      <c r="J215" t="s">
        <v>127</v>
      </c>
      <c r="K215">
        <v>367813</v>
      </c>
      <c r="L215" t="s">
        <v>732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306</v>
      </c>
      <c r="B216" t="s">
        <v>1073</v>
      </c>
      <c r="C216" s="152">
        <v>5730</v>
      </c>
      <c r="D216" s="152">
        <v>5852</v>
      </c>
      <c r="E216" s="152">
        <v>11582</v>
      </c>
      <c r="F216" s="152">
        <v>162213434.326803</v>
      </c>
      <c r="G216" s="152">
        <v>195314584.58645901</v>
      </c>
      <c r="H216" s="152">
        <v>357528018.91326201</v>
      </c>
      <c r="I216" t="s">
        <v>806</v>
      </c>
      <c r="J216" t="s">
        <v>129</v>
      </c>
      <c r="K216">
        <v>878520</v>
      </c>
      <c r="L216" t="s">
        <v>753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138</v>
      </c>
      <c r="B217" t="s">
        <v>405</v>
      </c>
      <c r="C217" s="152">
        <v>4754</v>
      </c>
      <c r="D217" s="152">
        <v>6827</v>
      </c>
      <c r="E217" s="152">
        <v>11581</v>
      </c>
      <c r="F217" s="152">
        <v>83946923.098643303</v>
      </c>
      <c r="G217" s="152">
        <v>148089840.338402</v>
      </c>
      <c r="H217" s="152">
        <v>232036763.43704501</v>
      </c>
      <c r="I217" t="s">
        <v>806</v>
      </c>
      <c r="J217" t="s">
        <v>127</v>
      </c>
      <c r="K217">
        <v>618629</v>
      </c>
      <c r="L217" t="s">
        <v>732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218</v>
      </c>
      <c r="B218" t="s">
        <v>549</v>
      </c>
      <c r="C218" s="152">
        <v>5295</v>
      </c>
      <c r="D218" s="152">
        <v>6167</v>
      </c>
      <c r="E218" s="152">
        <v>11462</v>
      </c>
      <c r="F218" s="152">
        <v>99886832.842114896</v>
      </c>
      <c r="G218" s="152">
        <v>148079632.935561</v>
      </c>
      <c r="H218" s="152">
        <v>247966465.77767599</v>
      </c>
      <c r="I218" t="s">
        <v>806</v>
      </c>
      <c r="J218" t="s">
        <v>127</v>
      </c>
      <c r="K218">
        <v>201293</v>
      </c>
      <c r="L218" t="s">
        <v>182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152</v>
      </c>
      <c r="B219" t="s">
        <v>165</v>
      </c>
      <c r="C219" s="152">
        <v>7392</v>
      </c>
      <c r="D219" s="152">
        <v>3957</v>
      </c>
      <c r="E219" s="152">
        <v>11349</v>
      </c>
      <c r="F219" s="152">
        <v>126183950.80983999</v>
      </c>
      <c r="G219" s="152">
        <v>81217066.533333093</v>
      </c>
      <c r="H219" s="152">
        <v>207401017.343173</v>
      </c>
      <c r="I219" t="s">
        <v>806</v>
      </c>
      <c r="J219" t="s">
        <v>127</v>
      </c>
      <c r="K219">
        <v>399394</v>
      </c>
      <c r="L219" t="s">
        <v>832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273</v>
      </c>
      <c r="B220" t="s">
        <v>1041</v>
      </c>
      <c r="C220" s="152">
        <v>4323</v>
      </c>
      <c r="D220" s="152">
        <v>6925</v>
      </c>
      <c r="E220" s="152">
        <v>11248</v>
      </c>
      <c r="F220" s="152">
        <v>72615042.630492494</v>
      </c>
      <c r="G220" s="152">
        <v>140593188.42084599</v>
      </c>
      <c r="H220" s="152">
        <v>213208231.05133799</v>
      </c>
      <c r="I220" t="s">
        <v>685</v>
      </c>
      <c r="J220" t="s">
        <v>127</v>
      </c>
      <c r="K220">
        <v>848069</v>
      </c>
      <c r="L220" t="s">
        <v>805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291</v>
      </c>
      <c r="B221" t="s">
        <v>612</v>
      </c>
      <c r="C221" s="152">
        <v>4208</v>
      </c>
      <c r="D221" s="152">
        <v>6830</v>
      </c>
      <c r="E221" s="152">
        <v>11038</v>
      </c>
      <c r="F221" s="152">
        <v>68854979.931335494</v>
      </c>
      <c r="G221" s="152">
        <v>138694770.48054099</v>
      </c>
      <c r="H221" s="152">
        <v>207549750.41187701</v>
      </c>
      <c r="I221" t="s">
        <v>685</v>
      </c>
      <c r="J221" t="s">
        <v>127</v>
      </c>
      <c r="K221">
        <v>481911</v>
      </c>
      <c r="L221" t="s">
        <v>813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138</v>
      </c>
      <c r="B222" t="s">
        <v>141</v>
      </c>
      <c r="C222" s="152">
        <v>5430</v>
      </c>
      <c r="D222" s="152">
        <v>5474</v>
      </c>
      <c r="E222" s="152">
        <v>10904</v>
      </c>
      <c r="F222" s="152">
        <v>85828623.177169502</v>
      </c>
      <c r="G222" s="152">
        <v>112873230.08067399</v>
      </c>
      <c r="H222" s="152">
        <v>198701853.25784299</v>
      </c>
      <c r="I222" t="s">
        <v>806</v>
      </c>
      <c r="J222" t="s">
        <v>127</v>
      </c>
      <c r="K222">
        <v>720623</v>
      </c>
      <c r="L222" t="s">
        <v>755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306</v>
      </c>
      <c r="B223" t="s">
        <v>310</v>
      </c>
      <c r="C223" s="152">
        <v>5871</v>
      </c>
      <c r="D223" s="152">
        <v>4674</v>
      </c>
      <c r="E223" s="152">
        <v>10545</v>
      </c>
      <c r="F223" s="152">
        <v>168814820.825746</v>
      </c>
      <c r="G223" s="152">
        <v>155749111.94618401</v>
      </c>
      <c r="H223" s="152">
        <v>324563932.77192998</v>
      </c>
      <c r="I223" t="s">
        <v>806</v>
      </c>
      <c r="J223" t="s">
        <v>129</v>
      </c>
      <c r="K223">
        <v>879114</v>
      </c>
      <c r="L223" t="s">
        <v>846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237</v>
      </c>
      <c r="B224" t="s">
        <v>550</v>
      </c>
      <c r="C224" s="152">
        <v>4475</v>
      </c>
      <c r="D224" s="152">
        <v>6068</v>
      </c>
      <c r="E224" s="152">
        <v>10543</v>
      </c>
      <c r="F224" s="152">
        <v>48298479.346010797</v>
      </c>
      <c r="G224" s="152">
        <v>87786768.932866305</v>
      </c>
      <c r="H224" s="152">
        <v>136085248.27887699</v>
      </c>
      <c r="I224" t="s">
        <v>806</v>
      </c>
      <c r="J224" t="s">
        <v>127</v>
      </c>
      <c r="K224">
        <v>211748</v>
      </c>
      <c r="L224" t="s">
        <v>182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48</v>
      </c>
      <c r="B225" t="s">
        <v>50</v>
      </c>
      <c r="C225" s="152">
        <v>5315</v>
      </c>
      <c r="D225" s="152">
        <v>5225</v>
      </c>
      <c r="E225" s="152">
        <v>10540</v>
      </c>
      <c r="F225" s="152">
        <v>87727708.503280997</v>
      </c>
      <c r="G225" s="152">
        <v>107623056.51897</v>
      </c>
      <c r="H225" s="152">
        <v>195350765.02225101</v>
      </c>
      <c r="I225" t="s">
        <v>806</v>
      </c>
      <c r="J225" t="s">
        <v>127</v>
      </c>
      <c r="K225">
        <v>577304</v>
      </c>
      <c r="L225" t="s">
        <v>755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800</v>
      </c>
      <c r="B226" t="s">
        <v>177</v>
      </c>
      <c r="C226" s="152">
        <v>5408</v>
      </c>
      <c r="D226" s="152">
        <v>5102</v>
      </c>
      <c r="E226" s="152">
        <v>10510</v>
      </c>
      <c r="F226" s="152">
        <v>116199285.735585</v>
      </c>
      <c r="G226" s="152">
        <v>133993717.077823</v>
      </c>
      <c r="H226" s="152">
        <v>250193002.81340799</v>
      </c>
      <c r="I226" t="s">
        <v>806</v>
      </c>
      <c r="J226" t="s">
        <v>127</v>
      </c>
      <c r="K226">
        <v>751495</v>
      </c>
      <c r="L226" t="s">
        <v>729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594</v>
      </c>
      <c r="B227" t="s">
        <v>32</v>
      </c>
      <c r="C227" s="152">
        <v>5287</v>
      </c>
      <c r="D227" s="152">
        <v>5154</v>
      </c>
      <c r="E227" s="152">
        <v>10441</v>
      </c>
      <c r="F227" s="152">
        <v>133823473.71039701</v>
      </c>
      <c r="G227" s="152">
        <v>158301819.591833</v>
      </c>
      <c r="H227" s="152">
        <v>292125293.30223</v>
      </c>
      <c r="I227" t="s">
        <v>806</v>
      </c>
      <c r="J227" t="s">
        <v>128</v>
      </c>
      <c r="K227">
        <v>325902</v>
      </c>
      <c r="L227" t="s">
        <v>901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782</v>
      </c>
      <c r="B228" t="s">
        <v>796</v>
      </c>
      <c r="C228" s="152">
        <v>5310</v>
      </c>
      <c r="D228" s="152">
        <v>5017</v>
      </c>
      <c r="E228" s="152">
        <v>10327</v>
      </c>
      <c r="F228" s="152">
        <v>169634153.94905099</v>
      </c>
      <c r="G228" s="152">
        <v>189738376.33902201</v>
      </c>
      <c r="H228" s="152">
        <v>359372530.288073</v>
      </c>
      <c r="I228" t="s">
        <v>806</v>
      </c>
      <c r="J228" t="s">
        <v>127</v>
      </c>
      <c r="K228">
        <v>301580</v>
      </c>
      <c r="L228" t="s">
        <v>846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218</v>
      </c>
      <c r="B229" t="s">
        <v>235</v>
      </c>
      <c r="C229" s="152">
        <v>4545</v>
      </c>
      <c r="D229" s="152">
        <v>5759</v>
      </c>
      <c r="E229" s="152">
        <v>10304</v>
      </c>
      <c r="F229" s="152">
        <v>52919868.797613598</v>
      </c>
      <c r="G229" s="152">
        <v>84460979.191021502</v>
      </c>
      <c r="H229" s="152">
        <v>137380847.988635</v>
      </c>
      <c r="I229" t="s">
        <v>806</v>
      </c>
      <c r="J229" t="s">
        <v>127</v>
      </c>
      <c r="K229">
        <v>872382</v>
      </c>
      <c r="L229" t="s">
        <v>223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383</v>
      </c>
      <c r="B230" t="s">
        <v>616</v>
      </c>
      <c r="C230" s="152">
        <v>4472</v>
      </c>
      <c r="D230" s="152">
        <v>5698</v>
      </c>
      <c r="E230" s="152">
        <v>10170</v>
      </c>
      <c r="F230" s="152">
        <v>68164486.061037496</v>
      </c>
      <c r="G230" s="152">
        <v>111313905.65932301</v>
      </c>
      <c r="H230" s="152">
        <v>179478391.72036099</v>
      </c>
      <c r="I230" t="s">
        <v>806</v>
      </c>
      <c r="J230" t="s">
        <v>127</v>
      </c>
      <c r="K230">
        <v>588699</v>
      </c>
      <c r="L230" t="s">
        <v>755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152</v>
      </c>
      <c r="B231" t="s">
        <v>878</v>
      </c>
      <c r="C231" s="152">
        <v>5108</v>
      </c>
      <c r="D231" s="152">
        <v>5020</v>
      </c>
      <c r="E231" s="152">
        <v>10128</v>
      </c>
      <c r="F231" s="152">
        <v>143692557.593371</v>
      </c>
      <c r="G231" s="152">
        <v>168438588.21732801</v>
      </c>
      <c r="H231" s="152">
        <v>312131145.81069899</v>
      </c>
      <c r="I231" t="s">
        <v>806</v>
      </c>
      <c r="J231" t="s">
        <v>127</v>
      </c>
      <c r="K231">
        <v>908277</v>
      </c>
      <c r="L231" t="s">
        <v>865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291</v>
      </c>
      <c r="B232" t="s">
        <v>551</v>
      </c>
      <c r="C232" s="152">
        <v>4779</v>
      </c>
      <c r="D232" s="152">
        <v>5320</v>
      </c>
      <c r="E232" s="152">
        <v>10099</v>
      </c>
      <c r="F232" s="152">
        <v>45154365.004110597</v>
      </c>
      <c r="G232" s="152">
        <v>65199269.770802997</v>
      </c>
      <c r="H232" s="152">
        <v>110353634.774914</v>
      </c>
      <c r="I232" t="s">
        <v>806</v>
      </c>
      <c r="J232" t="s">
        <v>127</v>
      </c>
      <c r="K232">
        <v>247577</v>
      </c>
      <c r="L232" t="s">
        <v>182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138</v>
      </c>
      <c r="B233" t="s">
        <v>1049</v>
      </c>
      <c r="C233" s="152">
        <v>4351</v>
      </c>
      <c r="D233" s="152">
        <v>5608</v>
      </c>
      <c r="E233" s="152">
        <v>9959</v>
      </c>
      <c r="F233" s="152">
        <v>88704915.086571604</v>
      </c>
      <c r="G233" s="152">
        <v>144094198.35850599</v>
      </c>
      <c r="H233" s="152">
        <v>232799113.445077</v>
      </c>
      <c r="I233" t="s">
        <v>806</v>
      </c>
      <c r="J233" t="s">
        <v>127</v>
      </c>
      <c r="K233">
        <v>914945</v>
      </c>
      <c r="L233" t="s">
        <v>846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250</v>
      </c>
      <c r="B234" t="s">
        <v>251</v>
      </c>
      <c r="C234" s="152">
        <v>3910</v>
      </c>
      <c r="D234" s="152">
        <v>6019</v>
      </c>
      <c r="E234" s="152">
        <v>9929</v>
      </c>
      <c r="F234" s="152">
        <v>63933077.958409101</v>
      </c>
      <c r="G234" s="152">
        <v>126543606.643997</v>
      </c>
      <c r="H234" s="152">
        <v>190476684.602406</v>
      </c>
      <c r="I234" t="s">
        <v>685</v>
      </c>
      <c r="J234" t="s">
        <v>127</v>
      </c>
      <c r="K234">
        <v>135129</v>
      </c>
      <c r="L234" t="s">
        <v>480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108</v>
      </c>
      <c r="B235" t="s">
        <v>400</v>
      </c>
      <c r="C235" s="152">
        <v>4205</v>
      </c>
      <c r="D235" s="152">
        <v>5513</v>
      </c>
      <c r="E235" s="152">
        <v>9718</v>
      </c>
      <c r="F235" s="152">
        <v>77163093.133363798</v>
      </c>
      <c r="G235" s="152">
        <v>123702112.950756</v>
      </c>
      <c r="H235" s="152">
        <v>200865206.08412001</v>
      </c>
      <c r="I235" t="s">
        <v>806</v>
      </c>
      <c r="J235" t="s">
        <v>127</v>
      </c>
      <c r="K235">
        <v>840033</v>
      </c>
      <c r="L235" t="s">
        <v>729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98</v>
      </c>
      <c r="B236" t="s">
        <v>497</v>
      </c>
      <c r="C236" s="152">
        <v>3874</v>
      </c>
      <c r="D236" s="152">
        <v>5753</v>
      </c>
      <c r="E236" s="152">
        <v>9627</v>
      </c>
      <c r="F236" s="152">
        <v>68201906.626452997</v>
      </c>
      <c r="G236" s="152">
        <v>119930797.939492</v>
      </c>
      <c r="H236" s="152">
        <v>188132704.565945</v>
      </c>
      <c r="I236" t="s">
        <v>685</v>
      </c>
      <c r="J236" t="s">
        <v>127</v>
      </c>
      <c r="K236">
        <v>891036</v>
      </c>
      <c r="L236" t="s">
        <v>464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594</v>
      </c>
      <c r="B237" t="s">
        <v>560</v>
      </c>
      <c r="C237" s="152">
        <v>5342</v>
      </c>
      <c r="D237" s="152">
        <v>4265</v>
      </c>
      <c r="E237" s="152">
        <v>9607</v>
      </c>
      <c r="F237" s="152">
        <v>162547491.36943799</v>
      </c>
      <c r="G237" s="152">
        <v>162352332.020879</v>
      </c>
      <c r="H237" s="152">
        <v>324899823.39031702</v>
      </c>
      <c r="I237" t="s">
        <v>806</v>
      </c>
      <c r="J237" t="s">
        <v>128</v>
      </c>
      <c r="K237">
        <v>680546</v>
      </c>
      <c r="L237" t="s">
        <v>182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381</v>
      </c>
      <c r="B238" t="s">
        <v>116</v>
      </c>
      <c r="C238" s="152">
        <v>4198</v>
      </c>
      <c r="D238" s="152">
        <v>5388</v>
      </c>
      <c r="E238" s="152">
        <v>9586</v>
      </c>
      <c r="F238" s="152">
        <v>53802448.398643903</v>
      </c>
      <c r="G238" s="152">
        <v>95412666.260219395</v>
      </c>
      <c r="H238" s="152">
        <v>149215114.65886301</v>
      </c>
      <c r="I238" t="s">
        <v>685</v>
      </c>
      <c r="J238" t="s">
        <v>127</v>
      </c>
      <c r="K238">
        <v>653097</v>
      </c>
      <c r="L238" t="s">
        <v>553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536</v>
      </c>
      <c r="B239" t="s">
        <v>592</v>
      </c>
      <c r="C239" s="152">
        <v>4963</v>
      </c>
      <c r="D239" s="152">
        <v>4581</v>
      </c>
      <c r="E239" s="152">
        <v>9544</v>
      </c>
      <c r="F239" s="152">
        <v>165284151.75046101</v>
      </c>
      <c r="G239" s="152">
        <v>192999855.708886</v>
      </c>
      <c r="H239" s="152">
        <v>358284007.45934802</v>
      </c>
      <c r="I239" t="s">
        <v>806</v>
      </c>
      <c r="J239" t="s">
        <v>128</v>
      </c>
      <c r="K239">
        <v>478313</v>
      </c>
      <c r="L239" t="s">
        <v>753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382</v>
      </c>
      <c r="B240" t="s">
        <v>948</v>
      </c>
      <c r="C240" s="152">
        <v>3960</v>
      </c>
      <c r="D240" s="152">
        <v>5572</v>
      </c>
      <c r="E240" s="152">
        <v>9532</v>
      </c>
      <c r="F240" s="152">
        <v>89069286.8833386</v>
      </c>
      <c r="G240" s="152">
        <v>163493215.450847</v>
      </c>
      <c r="H240" s="152">
        <v>252562502.33418599</v>
      </c>
      <c r="I240" t="s">
        <v>685</v>
      </c>
      <c r="J240" t="s">
        <v>127</v>
      </c>
      <c r="K240">
        <v>390062</v>
      </c>
      <c r="L240" t="s">
        <v>729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723</v>
      </c>
      <c r="B241" t="s">
        <v>586</v>
      </c>
      <c r="C241" s="152">
        <v>5746</v>
      </c>
      <c r="D241" s="152">
        <v>3764</v>
      </c>
      <c r="E241" s="152">
        <v>9510</v>
      </c>
      <c r="F241" s="152">
        <v>139759569.31260499</v>
      </c>
      <c r="G241" s="152">
        <v>106244526.116997</v>
      </c>
      <c r="H241" s="152">
        <v>246004095.429602</v>
      </c>
      <c r="I241" t="s">
        <v>806</v>
      </c>
      <c r="J241" t="s">
        <v>127</v>
      </c>
      <c r="K241">
        <v>902783</v>
      </c>
      <c r="L241" t="s">
        <v>182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108</v>
      </c>
      <c r="B242" t="s">
        <v>111</v>
      </c>
      <c r="C242" s="152">
        <v>4438</v>
      </c>
      <c r="D242" s="152">
        <v>4816</v>
      </c>
      <c r="E242" s="152">
        <v>9254</v>
      </c>
      <c r="F242" s="152">
        <v>91162492.339525104</v>
      </c>
      <c r="G242" s="152">
        <v>120429316.909104</v>
      </c>
      <c r="H242" s="152">
        <v>211591809.248629</v>
      </c>
      <c r="I242" t="s">
        <v>806</v>
      </c>
      <c r="J242" t="s">
        <v>127</v>
      </c>
      <c r="K242">
        <v>684795</v>
      </c>
      <c r="L242" t="s">
        <v>755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314</v>
      </c>
      <c r="B243" t="s">
        <v>1072</v>
      </c>
      <c r="C243" s="152">
        <v>3193</v>
      </c>
      <c r="D243" s="152">
        <v>5991</v>
      </c>
      <c r="E243" s="152">
        <v>9184</v>
      </c>
      <c r="F243" s="152">
        <v>302062642.61159098</v>
      </c>
      <c r="G243" s="152">
        <v>686151252.80212402</v>
      </c>
      <c r="H243" s="152">
        <v>988213895.41371596</v>
      </c>
      <c r="I243" t="s">
        <v>685</v>
      </c>
      <c r="J243" t="s">
        <v>129</v>
      </c>
      <c r="K243">
        <v>946285</v>
      </c>
      <c r="L243" t="s">
        <v>1070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218</v>
      </c>
      <c r="B244" t="s">
        <v>236</v>
      </c>
      <c r="C244" s="152">
        <v>4092</v>
      </c>
      <c r="D244" s="152">
        <v>5010</v>
      </c>
      <c r="E244" s="152">
        <v>9102</v>
      </c>
      <c r="F244" s="152">
        <v>69388130.681650102</v>
      </c>
      <c r="G244" s="152">
        <v>108981814.47827999</v>
      </c>
      <c r="H244" s="152">
        <v>178369945.15992999</v>
      </c>
      <c r="I244" t="s">
        <v>806</v>
      </c>
      <c r="J244" t="s">
        <v>127</v>
      </c>
      <c r="K244">
        <v>449090</v>
      </c>
      <c r="L244" t="s">
        <v>846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218</v>
      </c>
      <c r="B245" t="s">
        <v>873</v>
      </c>
      <c r="C245" s="152">
        <v>4040</v>
      </c>
      <c r="D245" s="152">
        <v>5037</v>
      </c>
      <c r="E245" s="152">
        <v>9077</v>
      </c>
      <c r="F245" s="152">
        <v>53497019.006397799</v>
      </c>
      <c r="G245" s="152">
        <v>80178054.662152097</v>
      </c>
      <c r="H245" s="152">
        <v>133675073.66855</v>
      </c>
      <c r="I245" t="s">
        <v>806</v>
      </c>
      <c r="J245" t="s">
        <v>127</v>
      </c>
      <c r="K245">
        <v>534156</v>
      </c>
      <c r="L245" t="s">
        <v>870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660</v>
      </c>
      <c r="B246" t="s">
        <v>1006</v>
      </c>
      <c r="C246" s="152">
        <v>4131</v>
      </c>
      <c r="D246" s="152">
        <v>4946</v>
      </c>
      <c r="E246" s="152">
        <v>9077</v>
      </c>
      <c r="F246" s="152">
        <v>70619484.626522005</v>
      </c>
      <c r="G246" s="152">
        <v>103012530.501073</v>
      </c>
      <c r="H246" s="152">
        <v>173632015.12759501</v>
      </c>
      <c r="I246" t="s">
        <v>806</v>
      </c>
      <c r="J246" t="s">
        <v>128</v>
      </c>
      <c r="K246">
        <v>189662</v>
      </c>
      <c r="L246" t="s">
        <v>816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314</v>
      </c>
      <c r="B247" t="s">
        <v>1057</v>
      </c>
      <c r="C247" s="152">
        <v>3898</v>
      </c>
      <c r="D247" s="152">
        <v>5132</v>
      </c>
      <c r="E247" s="152">
        <v>9030</v>
      </c>
      <c r="F247" s="152">
        <v>372936818.62813902</v>
      </c>
      <c r="G247" s="152">
        <v>570157722.12376595</v>
      </c>
      <c r="H247" s="152">
        <v>943094540.75190401</v>
      </c>
      <c r="I247" t="s">
        <v>806</v>
      </c>
      <c r="J247" t="s">
        <v>129</v>
      </c>
      <c r="K247">
        <v>651141</v>
      </c>
      <c r="L247" t="s">
        <v>786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314</v>
      </c>
      <c r="B248" t="s">
        <v>963</v>
      </c>
      <c r="C248" s="152">
        <v>3052</v>
      </c>
      <c r="D248" s="152">
        <v>5934</v>
      </c>
      <c r="E248" s="152">
        <v>8986</v>
      </c>
      <c r="F248" s="152">
        <v>123351818.098628</v>
      </c>
      <c r="G248" s="152">
        <v>274423539.83515602</v>
      </c>
      <c r="H248" s="152">
        <v>397775357.93378401</v>
      </c>
      <c r="I248" t="s">
        <v>685</v>
      </c>
      <c r="J248" t="s">
        <v>129</v>
      </c>
      <c r="K248">
        <v>575290</v>
      </c>
      <c r="L248" t="s">
        <v>956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800</v>
      </c>
      <c r="B249" t="s">
        <v>367</v>
      </c>
      <c r="C249" s="152">
        <v>4679</v>
      </c>
      <c r="D249" s="152">
        <v>4165</v>
      </c>
      <c r="E249" s="152">
        <v>8844</v>
      </c>
      <c r="F249" s="152">
        <v>105176378.898387</v>
      </c>
      <c r="G249" s="152">
        <v>111500804.76994801</v>
      </c>
      <c r="H249" s="152">
        <v>216677183.66833499</v>
      </c>
      <c r="I249" t="s">
        <v>806</v>
      </c>
      <c r="J249" t="s">
        <v>127</v>
      </c>
      <c r="K249">
        <v>811117</v>
      </c>
      <c r="L249" t="s">
        <v>729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381</v>
      </c>
      <c r="B250" t="s">
        <v>404</v>
      </c>
      <c r="C250" s="152">
        <v>3411</v>
      </c>
      <c r="D250" s="152">
        <v>5401</v>
      </c>
      <c r="E250" s="152">
        <v>8812</v>
      </c>
      <c r="F250" s="152">
        <v>62865402.385225803</v>
      </c>
      <c r="G250" s="152">
        <v>128320664.917008</v>
      </c>
      <c r="H250" s="152">
        <v>191186067.30223399</v>
      </c>
      <c r="I250" t="s">
        <v>806</v>
      </c>
      <c r="J250" t="s">
        <v>127</v>
      </c>
      <c r="K250">
        <v>838383</v>
      </c>
      <c r="L250" t="s">
        <v>925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723</v>
      </c>
      <c r="B251" t="s">
        <v>758</v>
      </c>
      <c r="C251" s="152">
        <v>4371</v>
      </c>
      <c r="D251" s="152">
        <v>4429</v>
      </c>
      <c r="E251" s="152">
        <v>8800</v>
      </c>
      <c r="F251" s="152">
        <v>83932862.288836196</v>
      </c>
      <c r="G251" s="152">
        <v>108073250.72056</v>
      </c>
      <c r="H251" s="152">
        <v>192006113.00939599</v>
      </c>
      <c r="I251" t="s">
        <v>806</v>
      </c>
      <c r="J251" t="s">
        <v>127</v>
      </c>
      <c r="K251">
        <v>254185</v>
      </c>
      <c r="L251" t="s">
        <v>755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382</v>
      </c>
      <c r="B252" t="s">
        <v>225</v>
      </c>
      <c r="C252" s="152">
        <v>3253</v>
      </c>
      <c r="D252" s="152">
        <v>5205</v>
      </c>
      <c r="E252" s="152">
        <v>8458</v>
      </c>
      <c r="F252" s="152">
        <v>65791042.690521501</v>
      </c>
      <c r="G252" s="152">
        <v>127759434.77264801</v>
      </c>
      <c r="H252" s="152">
        <v>193550477.46316999</v>
      </c>
      <c r="I252" t="s">
        <v>685</v>
      </c>
      <c r="J252" t="s">
        <v>127</v>
      </c>
      <c r="K252">
        <v>396325</v>
      </c>
      <c r="L252" t="s">
        <v>480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108</v>
      </c>
      <c r="B253" t="s">
        <v>122</v>
      </c>
      <c r="C253" s="152">
        <v>3772</v>
      </c>
      <c r="D253" s="152">
        <v>4634</v>
      </c>
      <c r="E253" s="152">
        <v>8406</v>
      </c>
      <c r="F253" s="152">
        <v>61074834.813378997</v>
      </c>
      <c r="G253" s="152">
        <v>90605062.797479093</v>
      </c>
      <c r="H253" s="152">
        <v>151679897.61085799</v>
      </c>
      <c r="I253" t="s">
        <v>806</v>
      </c>
      <c r="J253" t="s">
        <v>127</v>
      </c>
      <c r="K253">
        <v>456475</v>
      </c>
      <c r="L253" t="s">
        <v>751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152</v>
      </c>
      <c r="B254" t="s">
        <v>561</v>
      </c>
      <c r="C254" s="152">
        <v>5344</v>
      </c>
      <c r="D254" s="152">
        <v>3038</v>
      </c>
      <c r="E254" s="152">
        <v>8382</v>
      </c>
      <c r="F254" s="152">
        <v>272520126.63628501</v>
      </c>
      <c r="G254" s="152">
        <v>192407958.54700601</v>
      </c>
      <c r="H254" s="152">
        <v>464928085.18329102</v>
      </c>
      <c r="I254" t="s">
        <v>806</v>
      </c>
      <c r="J254" t="s">
        <v>127</v>
      </c>
      <c r="K254">
        <v>702381</v>
      </c>
      <c r="L254" t="s">
        <v>182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776</v>
      </c>
      <c r="B255" t="s">
        <v>1013</v>
      </c>
      <c r="C255" s="152">
        <v>3951</v>
      </c>
      <c r="D255" s="152">
        <v>4390</v>
      </c>
      <c r="E255" s="152">
        <v>8341</v>
      </c>
      <c r="F255" s="152">
        <v>101091694.82250001</v>
      </c>
      <c r="G255" s="152">
        <v>137222300.01092401</v>
      </c>
      <c r="H255" s="152">
        <v>238313994.833424</v>
      </c>
      <c r="I255" t="s">
        <v>806</v>
      </c>
      <c r="J255" t="s">
        <v>127</v>
      </c>
      <c r="K255">
        <v>694539</v>
      </c>
      <c r="L255" t="s">
        <v>816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314</v>
      </c>
      <c r="B256" t="s">
        <v>1000</v>
      </c>
      <c r="C256" s="152">
        <v>3635</v>
      </c>
      <c r="D256" s="152">
        <v>4701</v>
      </c>
      <c r="E256" s="152">
        <v>8336</v>
      </c>
      <c r="F256" s="152">
        <v>35011315.916841999</v>
      </c>
      <c r="G256" s="152">
        <v>55324059.527008601</v>
      </c>
      <c r="H256" s="152">
        <v>90335375.443850607</v>
      </c>
      <c r="I256" t="s">
        <v>806</v>
      </c>
      <c r="J256" t="s">
        <v>129</v>
      </c>
      <c r="K256">
        <v>817544</v>
      </c>
      <c r="L256" t="s">
        <v>989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237</v>
      </c>
      <c r="B257" t="s">
        <v>645</v>
      </c>
      <c r="C257" s="152">
        <v>3552</v>
      </c>
      <c r="D257" s="152">
        <v>4633</v>
      </c>
      <c r="E257" s="152">
        <v>8185</v>
      </c>
      <c r="F257" s="152">
        <v>33834261.941809297</v>
      </c>
      <c r="G257" s="152">
        <v>57609308.817172401</v>
      </c>
      <c r="H257" s="152">
        <v>91443570.758981705</v>
      </c>
      <c r="I257" t="s">
        <v>685</v>
      </c>
      <c r="J257" t="s">
        <v>127</v>
      </c>
      <c r="K257">
        <v>174490</v>
      </c>
      <c r="L257" t="s">
        <v>868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273</v>
      </c>
      <c r="B258" t="s">
        <v>1014</v>
      </c>
      <c r="C258" s="152">
        <v>3290</v>
      </c>
      <c r="D258" s="152">
        <v>4869</v>
      </c>
      <c r="E258" s="152">
        <v>8159</v>
      </c>
      <c r="F258" s="152">
        <v>70380506.820758805</v>
      </c>
      <c r="G258" s="152">
        <v>125867724.009988</v>
      </c>
      <c r="H258" s="152">
        <v>196248230.83074701</v>
      </c>
      <c r="I258" t="s">
        <v>685</v>
      </c>
      <c r="J258" t="s">
        <v>127</v>
      </c>
      <c r="K258">
        <v>191676</v>
      </c>
      <c r="L258" t="s">
        <v>1015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168</v>
      </c>
      <c r="B259" t="s">
        <v>604</v>
      </c>
      <c r="C259" s="152">
        <v>3543</v>
      </c>
      <c r="D259" s="152">
        <v>4570</v>
      </c>
      <c r="E259" s="152">
        <v>8113</v>
      </c>
      <c r="F259" s="152">
        <v>55392641.089289203</v>
      </c>
      <c r="G259" s="152">
        <v>89454839.471618295</v>
      </c>
      <c r="H259" s="152">
        <v>144847480.56090701</v>
      </c>
      <c r="I259" t="s">
        <v>685</v>
      </c>
      <c r="J259" t="s">
        <v>127</v>
      </c>
      <c r="K259">
        <v>167239</v>
      </c>
      <c r="L259" t="s">
        <v>553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152</v>
      </c>
      <c r="B260" t="s">
        <v>344</v>
      </c>
      <c r="C260" s="152">
        <v>3850</v>
      </c>
      <c r="D260" s="152">
        <v>4132</v>
      </c>
      <c r="E260" s="152">
        <v>7982</v>
      </c>
      <c r="F260" s="152">
        <v>54364557.8211575</v>
      </c>
      <c r="G260" s="152">
        <v>65541425.247271903</v>
      </c>
      <c r="H260" s="152">
        <v>119905983.06842899</v>
      </c>
      <c r="I260" t="s">
        <v>685</v>
      </c>
      <c r="J260" t="s">
        <v>127</v>
      </c>
      <c r="K260">
        <v>340836</v>
      </c>
      <c r="L260" t="s">
        <v>868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509</v>
      </c>
      <c r="B261" t="s">
        <v>529</v>
      </c>
      <c r="C261" s="152">
        <v>4118</v>
      </c>
      <c r="D261" s="152">
        <v>3858</v>
      </c>
      <c r="E261" s="152">
        <v>7976</v>
      </c>
      <c r="F261" s="152">
        <v>67526366.107005894</v>
      </c>
      <c r="G261" s="152">
        <v>83057513.059238106</v>
      </c>
      <c r="H261" s="152">
        <v>150583879.166244</v>
      </c>
      <c r="I261" t="s">
        <v>806</v>
      </c>
      <c r="J261" t="s">
        <v>131</v>
      </c>
      <c r="K261">
        <v>167296</v>
      </c>
      <c r="L261" t="s">
        <v>755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291</v>
      </c>
      <c r="B262" t="s">
        <v>14</v>
      </c>
      <c r="C262" s="152">
        <v>3527</v>
      </c>
      <c r="D262" s="152">
        <v>4354</v>
      </c>
      <c r="E262" s="152">
        <v>7881</v>
      </c>
      <c r="F262" s="152">
        <v>65361384.127617598</v>
      </c>
      <c r="G262" s="152">
        <v>104842415.87370799</v>
      </c>
      <c r="H262" s="152">
        <v>170203800.00132501</v>
      </c>
      <c r="I262" t="s">
        <v>806</v>
      </c>
      <c r="J262" t="s">
        <v>127</v>
      </c>
      <c r="K262">
        <v>110098</v>
      </c>
      <c r="L262" t="s">
        <v>729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48</v>
      </c>
      <c r="B263" t="s">
        <v>55</v>
      </c>
      <c r="C263" s="152">
        <v>3618</v>
      </c>
      <c r="D263" s="152">
        <v>4129</v>
      </c>
      <c r="E263" s="152">
        <v>7747</v>
      </c>
      <c r="F263" s="152">
        <v>58072883.275603198</v>
      </c>
      <c r="G263" s="152">
        <v>79064103.769674197</v>
      </c>
      <c r="H263" s="152">
        <v>137136987.045277</v>
      </c>
      <c r="I263" t="s">
        <v>806</v>
      </c>
      <c r="J263" t="s">
        <v>127</v>
      </c>
      <c r="K263">
        <v>654459</v>
      </c>
      <c r="L263" t="s">
        <v>732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678</v>
      </c>
      <c r="B264" t="s">
        <v>983</v>
      </c>
      <c r="C264" s="152">
        <v>4279</v>
      </c>
      <c r="D264" s="152">
        <v>3415</v>
      </c>
      <c r="E264" s="152">
        <v>7694</v>
      </c>
      <c r="F264" s="152">
        <v>94380028.516978398</v>
      </c>
      <c r="G264" s="152">
        <v>91901014.130529001</v>
      </c>
      <c r="H264" s="152">
        <v>186281042.64750701</v>
      </c>
      <c r="I264" t="s">
        <v>685</v>
      </c>
      <c r="J264" t="s">
        <v>128</v>
      </c>
      <c r="K264">
        <v>191437</v>
      </c>
      <c r="L264" t="s">
        <v>411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250</v>
      </c>
      <c r="B265" t="s">
        <v>265</v>
      </c>
      <c r="C265" s="152">
        <v>3506</v>
      </c>
      <c r="D265" s="152">
        <v>4187</v>
      </c>
      <c r="E265" s="152">
        <v>7693</v>
      </c>
      <c r="F265" s="152">
        <v>67364558.852118507</v>
      </c>
      <c r="G265" s="152">
        <v>96050115.188354999</v>
      </c>
      <c r="H265" s="152">
        <v>163414674.040474</v>
      </c>
      <c r="I265" t="s">
        <v>685</v>
      </c>
      <c r="J265" t="s">
        <v>127</v>
      </c>
      <c r="K265">
        <v>562728</v>
      </c>
      <c r="L265" t="s">
        <v>759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314</v>
      </c>
      <c r="B266" t="s">
        <v>270</v>
      </c>
      <c r="C266" s="152">
        <v>3432</v>
      </c>
      <c r="D266" s="152">
        <v>4197</v>
      </c>
      <c r="E266" s="152">
        <v>7629</v>
      </c>
      <c r="F266" s="152">
        <v>62065679.4629144</v>
      </c>
      <c r="G266" s="152">
        <v>94162582.930135295</v>
      </c>
      <c r="H266" s="152">
        <v>156228262.39304999</v>
      </c>
      <c r="I266" t="s">
        <v>685</v>
      </c>
      <c r="J266" t="s">
        <v>129</v>
      </c>
      <c r="K266">
        <v>999359</v>
      </c>
      <c r="L266" t="s">
        <v>809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660</v>
      </c>
      <c r="B267" t="s">
        <v>843</v>
      </c>
      <c r="C267" s="152">
        <v>3908</v>
      </c>
      <c r="D267" s="152">
        <v>3655</v>
      </c>
      <c r="E267" s="152">
        <v>7563</v>
      </c>
      <c r="F267" s="152">
        <v>132143063.07892101</v>
      </c>
      <c r="G267" s="152">
        <v>150637762.05837899</v>
      </c>
      <c r="H267" s="152">
        <v>282780825.13730103</v>
      </c>
      <c r="I267" t="s">
        <v>685</v>
      </c>
      <c r="J267" t="s">
        <v>128</v>
      </c>
      <c r="K267">
        <v>131409</v>
      </c>
      <c r="L267" t="s">
        <v>553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536</v>
      </c>
      <c r="B268" t="s">
        <v>540</v>
      </c>
      <c r="C268" s="152">
        <v>4222</v>
      </c>
      <c r="D268" s="152">
        <v>3306</v>
      </c>
      <c r="E268" s="152">
        <v>7528</v>
      </c>
      <c r="F268" s="152">
        <v>155840896.58365399</v>
      </c>
      <c r="G268" s="152">
        <v>143958315.666567</v>
      </c>
      <c r="H268" s="152">
        <v>299799212.25022101</v>
      </c>
      <c r="I268" t="s">
        <v>806</v>
      </c>
      <c r="J268" t="s">
        <v>128</v>
      </c>
      <c r="K268">
        <v>613133</v>
      </c>
      <c r="L268" t="s">
        <v>755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678</v>
      </c>
      <c r="B269" t="s">
        <v>684</v>
      </c>
      <c r="C269" s="152">
        <v>3427</v>
      </c>
      <c r="D269" s="152">
        <v>4069</v>
      </c>
      <c r="E269" s="152">
        <v>7496</v>
      </c>
      <c r="F269" s="152">
        <v>74973319.965198293</v>
      </c>
      <c r="G269" s="152">
        <v>119595524.665879</v>
      </c>
      <c r="H269" s="152">
        <v>194568844.63107699</v>
      </c>
      <c r="I269" t="s">
        <v>685</v>
      </c>
      <c r="J269" t="s">
        <v>128</v>
      </c>
      <c r="K269">
        <v>551804</v>
      </c>
      <c r="L269" t="s">
        <v>63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152</v>
      </c>
      <c r="B270" t="s">
        <v>784</v>
      </c>
      <c r="C270" s="152">
        <v>2968</v>
      </c>
      <c r="D270" s="152">
        <v>4441</v>
      </c>
      <c r="E270" s="152">
        <v>7409</v>
      </c>
      <c r="F270" s="152">
        <v>80826890.585999995</v>
      </c>
      <c r="G270" s="152">
        <v>131542281.96043999</v>
      </c>
      <c r="H270" s="152">
        <v>212369172.54644001</v>
      </c>
      <c r="I270" t="s">
        <v>806</v>
      </c>
      <c r="J270" t="s">
        <v>127</v>
      </c>
      <c r="K270">
        <v>581371</v>
      </c>
      <c r="L270" t="s">
        <v>845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723</v>
      </c>
      <c r="B271" t="s">
        <v>725</v>
      </c>
      <c r="C271" s="152">
        <v>4048</v>
      </c>
      <c r="D271" s="152">
        <v>3264</v>
      </c>
      <c r="E271" s="152">
        <v>7312</v>
      </c>
      <c r="F271" s="152">
        <v>91809459.906588405</v>
      </c>
      <c r="G271" s="152">
        <v>89279538.017721996</v>
      </c>
      <c r="H271" s="152">
        <v>181088997.92431</v>
      </c>
      <c r="I271" t="s">
        <v>806</v>
      </c>
      <c r="J271" t="s">
        <v>127</v>
      </c>
      <c r="K271">
        <v>344739</v>
      </c>
      <c r="L271" t="s">
        <v>724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782</v>
      </c>
      <c r="B272" t="s">
        <v>860</v>
      </c>
      <c r="C272" s="152">
        <v>3682</v>
      </c>
      <c r="D272" s="152">
        <v>3570</v>
      </c>
      <c r="E272" s="152">
        <v>7252</v>
      </c>
      <c r="F272" s="152">
        <v>109221902.78697</v>
      </c>
      <c r="G272" s="152">
        <v>127614938.656749</v>
      </c>
      <c r="H272" s="152">
        <v>236836841.443719</v>
      </c>
      <c r="I272" t="s">
        <v>806</v>
      </c>
      <c r="J272" t="s">
        <v>127</v>
      </c>
      <c r="K272">
        <v>937433</v>
      </c>
      <c r="L272" t="s">
        <v>462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108</v>
      </c>
      <c r="B273" t="s">
        <v>621</v>
      </c>
      <c r="C273" s="152">
        <v>3581</v>
      </c>
      <c r="D273" s="152">
        <v>3670</v>
      </c>
      <c r="E273" s="152">
        <v>7251</v>
      </c>
      <c r="F273" s="152">
        <v>45377988.675343402</v>
      </c>
      <c r="G273" s="152">
        <v>59249866.244233899</v>
      </c>
      <c r="H273" s="152">
        <v>104627854.919577</v>
      </c>
      <c r="I273" t="s">
        <v>685</v>
      </c>
      <c r="J273" t="s">
        <v>127</v>
      </c>
      <c r="K273">
        <v>768556</v>
      </c>
      <c r="L273" t="s">
        <v>813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536</v>
      </c>
      <c r="B274" t="s">
        <v>118</v>
      </c>
      <c r="C274" s="152">
        <v>4000</v>
      </c>
      <c r="D274" s="152">
        <v>3230</v>
      </c>
      <c r="E274" s="152">
        <v>7230</v>
      </c>
      <c r="F274" s="152">
        <v>132300632.052231</v>
      </c>
      <c r="G274" s="152">
        <v>140688078.76213399</v>
      </c>
      <c r="H274" s="152">
        <v>272988710.81436503</v>
      </c>
      <c r="I274" t="s">
        <v>685</v>
      </c>
      <c r="J274" t="s">
        <v>128</v>
      </c>
      <c r="K274">
        <v>718205</v>
      </c>
      <c r="L274" t="s">
        <v>729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138</v>
      </c>
      <c r="B275" t="s">
        <v>446</v>
      </c>
      <c r="C275" s="152">
        <v>3363</v>
      </c>
      <c r="D275" s="152">
        <v>3820</v>
      </c>
      <c r="E275" s="152">
        <v>7183</v>
      </c>
      <c r="F275" s="152">
        <v>132872218.683414</v>
      </c>
      <c r="G275" s="152">
        <v>182483143.127417</v>
      </c>
      <c r="H275" s="152">
        <v>315355361.81083101</v>
      </c>
      <c r="I275" t="s">
        <v>806</v>
      </c>
      <c r="J275" t="s">
        <v>127</v>
      </c>
      <c r="K275">
        <v>357830</v>
      </c>
      <c r="L275" t="s">
        <v>17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152</v>
      </c>
      <c r="B276" t="s">
        <v>160</v>
      </c>
      <c r="C276" s="152">
        <v>3134</v>
      </c>
      <c r="D276" s="152">
        <v>4041</v>
      </c>
      <c r="E276" s="152">
        <v>7175</v>
      </c>
      <c r="F276" s="152">
        <v>63938132.1873779</v>
      </c>
      <c r="G276" s="152">
        <v>100292347.53459901</v>
      </c>
      <c r="H276" s="152">
        <v>164230479.721977</v>
      </c>
      <c r="I276" t="s">
        <v>685</v>
      </c>
      <c r="J276" t="s">
        <v>127</v>
      </c>
      <c r="K276">
        <v>120014</v>
      </c>
      <c r="L276" t="s">
        <v>851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152</v>
      </c>
      <c r="B277" t="s">
        <v>1101</v>
      </c>
      <c r="C277" s="152">
        <v>3016</v>
      </c>
      <c r="D277" s="152">
        <v>4090</v>
      </c>
      <c r="E277" s="152">
        <v>7106</v>
      </c>
      <c r="F277" s="152">
        <v>262733187.15375701</v>
      </c>
      <c r="G277" s="152">
        <v>427357893.80187899</v>
      </c>
      <c r="H277" s="152">
        <v>690091080.95563602</v>
      </c>
      <c r="I277" t="s">
        <v>685</v>
      </c>
      <c r="J277" t="s">
        <v>127</v>
      </c>
      <c r="K277">
        <v>237008</v>
      </c>
      <c r="L277" t="s">
        <v>486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383</v>
      </c>
      <c r="B278" t="s">
        <v>174</v>
      </c>
      <c r="C278" s="152">
        <v>2564</v>
      </c>
      <c r="D278" s="152">
        <v>4494</v>
      </c>
      <c r="E278" s="152">
        <v>7058</v>
      </c>
      <c r="F278" s="152">
        <v>60053018.598944597</v>
      </c>
      <c r="G278" s="152">
        <v>130009870.44507401</v>
      </c>
      <c r="H278" s="152">
        <v>190062889.044018</v>
      </c>
      <c r="I278" t="s">
        <v>685</v>
      </c>
      <c r="J278" t="s">
        <v>127</v>
      </c>
      <c r="K278">
        <v>956268</v>
      </c>
      <c r="L278" t="s">
        <v>132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168</v>
      </c>
      <c r="B279" t="s">
        <v>410</v>
      </c>
      <c r="C279" s="152">
        <v>2358</v>
      </c>
      <c r="D279" s="152">
        <v>4629</v>
      </c>
      <c r="E279" s="152">
        <v>6987</v>
      </c>
      <c r="F279" s="152">
        <v>42991959.925630704</v>
      </c>
      <c r="G279" s="152">
        <v>115009196.565428</v>
      </c>
      <c r="H279" s="152">
        <v>158001156.49105901</v>
      </c>
      <c r="I279" t="s">
        <v>806</v>
      </c>
      <c r="J279" t="s">
        <v>127</v>
      </c>
      <c r="K279">
        <v>184291</v>
      </c>
      <c r="L279" t="s">
        <v>925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314</v>
      </c>
      <c r="B280" t="s">
        <v>987</v>
      </c>
      <c r="C280" s="152">
        <v>3982</v>
      </c>
      <c r="D280" s="152">
        <v>2992</v>
      </c>
      <c r="E280" s="152">
        <v>6974</v>
      </c>
      <c r="F280" s="152">
        <v>294916727.72473502</v>
      </c>
      <c r="G280" s="152">
        <v>257364187.35047299</v>
      </c>
      <c r="H280" s="152">
        <v>552280915.07520795</v>
      </c>
      <c r="I280" t="s">
        <v>685</v>
      </c>
      <c r="J280" t="s">
        <v>129</v>
      </c>
      <c r="K280">
        <v>155606</v>
      </c>
      <c r="L280" t="s">
        <v>411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108</v>
      </c>
      <c r="B281" t="s">
        <v>112</v>
      </c>
      <c r="C281" s="152">
        <v>3027</v>
      </c>
      <c r="D281" s="152">
        <v>3877</v>
      </c>
      <c r="E281" s="152">
        <v>6904</v>
      </c>
      <c r="F281" s="152">
        <v>58038351.008769497</v>
      </c>
      <c r="G281" s="152">
        <v>87834170.339587793</v>
      </c>
      <c r="H281" s="152">
        <v>145872521.34835699</v>
      </c>
      <c r="I281" t="s">
        <v>685</v>
      </c>
      <c r="J281" t="s">
        <v>127</v>
      </c>
      <c r="K281">
        <v>300996</v>
      </c>
      <c r="L281" t="s">
        <v>63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108</v>
      </c>
      <c r="B282" t="s">
        <v>137</v>
      </c>
      <c r="C282" s="152">
        <v>2833</v>
      </c>
      <c r="D282" s="152">
        <v>4037</v>
      </c>
      <c r="E282" s="152">
        <v>6870</v>
      </c>
      <c r="F282" s="152">
        <v>41082021.1915491</v>
      </c>
      <c r="G282" s="152">
        <v>70689121.926978901</v>
      </c>
      <c r="H282" s="152">
        <v>111771143.11852799</v>
      </c>
      <c r="I282" t="s">
        <v>685</v>
      </c>
      <c r="J282" t="s">
        <v>127</v>
      </c>
      <c r="K282">
        <v>441899</v>
      </c>
      <c r="L282" t="s">
        <v>368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152</v>
      </c>
      <c r="B283" t="s">
        <v>164</v>
      </c>
      <c r="C283" s="152">
        <v>2684</v>
      </c>
      <c r="D283" s="152">
        <v>4174</v>
      </c>
      <c r="E283" s="152">
        <v>6858</v>
      </c>
      <c r="F283" s="152">
        <v>43622492.961682498</v>
      </c>
      <c r="G283" s="152">
        <v>84269536.774850294</v>
      </c>
      <c r="H283" s="152">
        <v>127892029.736533</v>
      </c>
      <c r="I283" t="s">
        <v>685</v>
      </c>
      <c r="J283" t="s">
        <v>127</v>
      </c>
      <c r="K283">
        <v>717496</v>
      </c>
      <c r="L283" t="s">
        <v>833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776</v>
      </c>
      <c r="B284" t="s">
        <v>938</v>
      </c>
      <c r="C284" s="152">
        <v>2860</v>
      </c>
      <c r="D284" s="152">
        <v>3925</v>
      </c>
      <c r="E284" s="152">
        <v>6785</v>
      </c>
      <c r="F284" s="152">
        <v>51531585.541994996</v>
      </c>
      <c r="G284" s="152">
        <v>85761433.945359305</v>
      </c>
      <c r="H284" s="152">
        <v>137293019.48735401</v>
      </c>
      <c r="I284" t="s">
        <v>806</v>
      </c>
      <c r="J284" t="s">
        <v>127</v>
      </c>
      <c r="K284">
        <v>903435</v>
      </c>
      <c r="L284" t="s">
        <v>899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536</v>
      </c>
      <c r="B285" t="s">
        <v>541</v>
      </c>
      <c r="C285" s="152">
        <v>4704</v>
      </c>
      <c r="D285" s="152">
        <v>2080</v>
      </c>
      <c r="E285" s="152">
        <v>6784</v>
      </c>
      <c r="F285" s="152">
        <v>104728977.60097601</v>
      </c>
      <c r="G285" s="152">
        <v>63477711.616157703</v>
      </c>
      <c r="H285" s="152">
        <v>168206689.21713299</v>
      </c>
      <c r="I285" t="s">
        <v>806</v>
      </c>
      <c r="J285" t="s">
        <v>128</v>
      </c>
      <c r="K285">
        <v>188664</v>
      </c>
      <c r="L285" t="s">
        <v>832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250</v>
      </c>
      <c r="B286" t="s">
        <v>261</v>
      </c>
      <c r="C286" s="152">
        <v>3050</v>
      </c>
      <c r="D286" s="152">
        <v>3658</v>
      </c>
      <c r="E286" s="152">
        <v>6708</v>
      </c>
      <c r="F286" s="152">
        <v>74066140.533495396</v>
      </c>
      <c r="G286" s="152">
        <v>106509205.20798901</v>
      </c>
      <c r="H286" s="152">
        <v>180575345.74148399</v>
      </c>
      <c r="I286" t="s">
        <v>685</v>
      </c>
      <c r="J286" t="s">
        <v>127</v>
      </c>
      <c r="K286">
        <v>183178</v>
      </c>
      <c r="L286" t="s">
        <v>807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678</v>
      </c>
      <c r="B287" t="s">
        <v>264</v>
      </c>
      <c r="C287" s="152">
        <v>3377</v>
      </c>
      <c r="D287" s="152">
        <v>3291</v>
      </c>
      <c r="E287" s="152">
        <v>6668</v>
      </c>
      <c r="F287" s="152">
        <v>85475126.098248407</v>
      </c>
      <c r="G287" s="152">
        <v>105031994.221817</v>
      </c>
      <c r="H287" s="152">
        <v>190507120.32006499</v>
      </c>
      <c r="I287" t="s">
        <v>685</v>
      </c>
      <c r="J287" t="s">
        <v>128</v>
      </c>
      <c r="K287">
        <v>111518</v>
      </c>
      <c r="L287" t="s">
        <v>807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306</v>
      </c>
      <c r="B288" t="s">
        <v>905</v>
      </c>
      <c r="C288" s="152">
        <v>3978</v>
      </c>
      <c r="D288" s="152">
        <v>2675</v>
      </c>
      <c r="E288" s="152">
        <v>6653</v>
      </c>
      <c r="F288" s="152">
        <v>81702360.905878797</v>
      </c>
      <c r="G288" s="152">
        <v>67017898.994021498</v>
      </c>
      <c r="H288" s="152">
        <v>148720259.89989999</v>
      </c>
      <c r="I288" t="s">
        <v>806</v>
      </c>
      <c r="J288" t="s">
        <v>129</v>
      </c>
      <c r="K288">
        <v>403642</v>
      </c>
      <c r="L288" t="s">
        <v>732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168</v>
      </c>
      <c r="B289" t="s">
        <v>850</v>
      </c>
      <c r="C289" s="152">
        <v>2441</v>
      </c>
      <c r="D289" s="152">
        <v>4200</v>
      </c>
      <c r="E289" s="152">
        <v>6641</v>
      </c>
      <c r="F289" s="152">
        <v>37808620.192655399</v>
      </c>
      <c r="G289" s="152">
        <v>93822034.474119902</v>
      </c>
      <c r="H289" s="152">
        <v>131630654.666775</v>
      </c>
      <c r="I289" t="s">
        <v>806</v>
      </c>
      <c r="J289" t="s">
        <v>127</v>
      </c>
      <c r="K289">
        <v>534099</v>
      </c>
      <c r="L289" t="s">
        <v>36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305</v>
      </c>
      <c r="B290" t="s">
        <v>9</v>
      </c>
      <c r="C290" s="152">
        <v>3507</v>
      </c>
      <c r="D290" s="152">
        <v>3132</v>
      </c>
      <c r="E290" s="152">
        <v>6639</v>
      </c>
      <c r="F290" s="152">
        <v>99111099.868664503</v>
      </c>
      <c r="G290" s="152">
        <v>103886826.48129199</v>
      </c>
      <c r="H290" s="152">
        <v>202997926.34995601</v>
      </c>
      <c r="I290" t="s">
        <v>806</v>
      </c>
      <c r="J290" t="s">
        <v>129</v>
      </c>
      <c r="K290">
        <v>829945</v>
      </c>
      <c r="L290" t="s">
        <v>462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138</v>
      </c>
      <c r="B291" t="s">
        <v>119</v>
      </c>
      <c r="C291" s="152">
        <v>2763</v>
      </c>
      <c r="D291" s="152">
        <v>3849</v>
      </c>
      <c r="E291" s="152">
        <v>6612</v>
      </c>
      <c r="F291" s="152">
        <v>37753626.899007298</v>
      </c>
      <c r="G291" s="152">
        <v>66146797.277329698</v>
      </c>
      <c r="H291" s="152">
        <v>103900424.176337</v>
      </c>
      <c r="I291" t="s">
        <v>685</v>
      </c>
      <c r="J291" t="s">
        <v>127</v>
      </c>
      <c r="K291">
        <v>919787</v>
      </c>
      <c r="L291" t="s">
        <v>729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536</v>
      </c>
      <c r="B292" t="s">
        <v>537</v>
      </c>
      <c r="C292" s="152">
        <v>3518</v>
      </c>
      <c r="D292" s="152">
        <v>3091</v>
      </c>
      <c r="E292" s="152">
        <v>6609</v>
      </c>
      <c r="F292" s="152">
        <v>113471668.858964</v>
      </c>
      <c r="G292" s="152">
        <v>129110104.707809</v>
      </c>
      <c r="H292" s="152">
        <v>242581773.56677201</v>
      </c>
      <c r="I292" t="s">
        <v>806</v>
      </c>
      <c r="J292" t="s">
        <v>128</v>
      </c>
      <c r="K292">
        <v>843284</v>
      </c>
      <c r="L292" t="s">
        <v>846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291</v>
      </c>
      <c r="B293" t="s">
        <v>233</v>
      </c>
      <c r="C293" s="152">
        <v>2757</v>
      </c>
      <c r="D293" s="152">
        <v>3810</v>
      </c>
      <c r="E293" s="152">
        <v>6567</v>
      </c>
      <c r="F293" s="152">
        <v>57012233.018651202</v>
      </c>
      <c r="G293" s="152">
        <v>97560811.689458102</v>
      </c>
      <c r="H293" s="152">
        <v>154573044.70810899</v>
      </c>
      <c r="I293" t="s">
        <v>685</v>
      </c>
      <c r="J293" t="s">
        <v>127</v>
      </c>
      <c r="K293">
        <v>938498</v>
      </c>
      <c r="L293" t="s">
        <v>838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314</v>
      </c>
      <c r="B294" t="s">
        <v>447</v>
      </c>
      <c r="C294" s="152">
        <v>2563</v>
      </c>
      <c r="D294" s="152">
        <v>3930</v>
      </c>
      <c r="E294" s="152">
        <v>6493</v>
      </c>
      <c r="F294" s="152">
        <v>166478472.415396</v>
      </c>
      <c r="G294" s="152">
        <v>287612911.14114702</v>
      </c>
      <c r="H294" s="152">
        <v>454091383.55654299</v>
      </c>
      <c r="I294" t="s">
        <v>806</v>
      </c>
      <c r="J294" t="s">
        <v>129</v>
      </c>
      <c r="K294">
        <v>250340</v>
      </c>
      <c r="L294" t="s">
        <v>870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594</v>
      </c>
      <c r="B295" t="s">
        <v>659</v>
      </c>
      <c r="C295" s="152">
        <v>3468</v>
      </c>
      <c r="D295" s="152">
        <v>2995</v>
      </c>
      <c r="E295" s="152">
        <v>6463</v>
      </c>
      <c r="F295" s="152">
        <v>92261462.204487696</v>
      </c>
      <c r="G295" s="152">
        <v>103564591.31628799</v>
      </c>
      <c r="H295" s="152">
        <v>195826053.52077499</v>
      </c>
      <c r="I295" t="s">
        <v>806</v>
      </c>
      <c r="J295" t="s">
        <v>128</v>
      </c>
      <c r="K295">
        <v>242081</v>
      </c>
      <c r="L295" t="s">
        <v>751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306</v>
      </c>
      <c r="B296" t="s">
        <v>194</v>
      </c>
      <c r="C296" s="152">
        <v>4359</v>
      </c>
      <c r="D296" s="152">
        <v>2058</v>
      </c>
      <c r="E296" s="152">
        <v>6417</v>
      </c>
      <c r="F296" s="152">
        <v>280870164.59043199</v>
      </c>
      <c r="G296" s="152">
        <v>146223194.04910299</v>
      </c>
      <c r="H296" s="152">
        <v>427093358.63953501</v>
      </c>
      <c r="I296" t="s">
        <v>806</v>
      </c>
      <c r="J296" t="s">
        <v>129</v>
      </c>
      <c r="K296">
        <v>985952</v>
      </c>
      <c r="L296" t="s">
        <v>182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138</v>
      </c>
      <c r="B297" t="s">
        <v>939</v>
      </c>
      <c r="C297" s="152">
        <v>2409</v>
      </c>
      <c r="D297" s="152">
        <v>3901</v>
      </c>
      <c r="E297" s="152">
        <v>6310</v>
      </c>
      <c r="F297" s="152">
        <v>50568414.803118303</v>
      </c>
      <c r="G297" s="152">
        <v>105694256.823048</v>
      </c>
      <c r="H297" s="152">
        <v>156262671.62616599</v>
      </c>
      <c r="I297" t="s">
        <v>685</v>
      </c>
      <c r="J297" t="s">
        <v>127</v>
      </c>
      <c r="K297">
        <v>354233</v>
      </c>
      <c r="L297" t="s">
        <v>729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800</v>
      </c>
      <c r="B298" t="s">
        <v>842</v>
      </c>
      <c r="C298" s="152">
        <v>3145</v>
      </c>
      <c r="D298" s="152">
        <v>3116</v>
      </c>
      <c r="E298" s="152">
        <v>6261</v>
      </c>
      <c r="F298" s="152">
        <v>57424536.570672497</v>
      </c>
      <c r="G298" s="152">
        <v>70084124.022569597</v>
      </c>
      <c r="H298" s="152">
        <v>127508660.593242</v>
      </c>
      <c r="I298" t="s">
        <v>806</v>
      </c>
      <c r="J298" t="s">
        <v>127</v>
      </c>
      <c r="K298">
        <v>552869</v>
      </c>
      <c r="L298" t="s">
        <v>755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273</v>
      </c>
      <c r="B299" t="s">
        <v>351</v>
      </c>
      <c r="C299" s="152">
        <v>2771</v>
      </c>
      <c r="D299" s="152">
        <v>3444</v>
      </c>
      <c r="E299" s="152">
        <v>6215</v>
      </c>
      <c r="F299" s="152">
        <v>39107218.582583398</v>
      </c>
      <c r="G299" s="152">
        <v>60503803.038076803</v>
      </c>
      <c r="H299" s="152">
        <v>99611021.620660201</v>
      </c>
      <c r="I299" t="s">
        <v>685</v>
      </c>
      <c r="J299" t="s">
        <v>127</v>
      </c>
      <c r="K299">
        <v>914358</v>
      </c>
      <c r="L299" t="s">
        <v>925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273</v>
      </c>
      <c r="B300" t="s">
        <v>958</v>
      </c>
      <c r="C300" s="152">
        <v>2434</v>
      </c>
      <c r="D300" s="152">
        <v>3765</v>
      </c>
      <c r="E300" s="152">
        <v>6199</v>
      </c>
      <c r="F300" s="152">
        <v>37722515.856935501</v>
      </c>
      <c r="G300" s="152">
        <v>70241421.548046201</v>
      </c>
      <c r="H300" s="152">
        <v>107963937.404982</v>
      </c>
      <c r="I300" t="s">
        <v>685</v>
      </c>
      <c r="J300" t="s">
        <v>127</v>
      </c>
      <c r="K300">
        <v>614966</v>
      </c>
      <c r="L300" t="s">
        <v>94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536</v>
      </c>
      <c r="B301" t="s">
        <v>12</v>
      </c>
      <c r="C301" s="152">
        <v>3032</v>
      </c>
      <c r="D301" s="152">
        <v>3113</v>
      </c>
      <c r="E301" s="152">
        <v>6145</v>
      </c>
      <c r="F301" s="152">
        <v>84430879.530520499</v>
      </c>
      <c r="G301" s="152">
        <v>113532427.22503801</v>
      </c>
      <c r="H301" s="152">
        <v>197963306.755559</v>
      </c>
      <c r="I301" t="s">
        <v>806</v>
      </c>
      <c r="J301" t="s">
        <v>128</v>
      </c>
      <c r="K301">
        <v>865774</v>
      </c>
      <c r="L301" t="s">
        <v>462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678</v>
      </c>
      <c r="B302" t="s">
        <v>1039</v>
      </c>
      <c r="C302" s="152">
        <v>2667</v>
      </c>
      <c r="D302" s="152">
        <v>3472</v>
      </c>
      <c r="E302" s="152">
        <v>6139</v>
      </c>
      <c r="F302" s="152">
        <v>67404277.931912094</v>
      </c>
      <c r="G302" s="152">
        <v>108560987.469477</v>
      </c>
      <c r="H302" s="152">
        <v>175965265.40138999</v>
      </c>
      <c r="I302" t="s">
        <v>685</v>
      </c>
      <c r="J302" t="s">
        <v>128</v>
      </c>
      <c r="K302">
        <v>721746</v>
      </c>
      <c r="L302" t="s">
        <v>805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536</v>
      </c>
      <c r="B303" t="s">
        <v>545</v>
      </c>
      <c r="C303" s="152">
        <v>3610</v>
      </c>
      <c r="D303" s="152">
        <v>2522</v>
      </c>
      <c r="E303" s="152">
        <v>6132</v>
      </c>
      <c r="F303" s="152">
        <v>72358653.233132705</v>
      </c>
      <c r="G303" s="152">
        <v>65854441.192295298</v>
      </c>
      <c r="H303" s="152">
        <v>138213094.425428</v>
      </c>
      <c r="I303" t="s">
        <v>806</v>
      </c>
      <c r="J303" t="s">
        <v>128</v>
      </c>
      <c r="K303">
        <v>331983</v>
      </c>
      <c r="L303" t="s">
        <v>732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237</v>
      </c>
      <c r="B304" t="s">
        <v>244</v>
      </c>
      <c r="C304" s="152">
        <v>2938</v>
      </c>
      <c r="D304" s="152">
        <v>3169</v>
      </c>
      <c r="E304" s="152">
        <v>6107</v>
      </c>
      <c r="F304" s="152">
        <v>31604248.8533273</v>
      </c>
      <c r="G304" s="152">
        <v>44323539.602836996</v>
      </c>
      <c r="H304" s="152">
        <v>75927788.4561643</v>
      </c>
      <c r="I304" t="s">
        <v>806</v>
      </c>
      <c r="J304" t="s">
        <v>127</v>
      </c>
      <c r="K304">
        <v>506881</v>
      </c>
      <c r="L304" t="s">
        <v>832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594</v>
      </c>
      <c r="B305" t="s">
        <v>656</v>
      </c>
      <c r="C305" s="152">
        <v>3582</v>
      </c>
      <c r="D305" s="152">
        <v>2493</v>
      </c>
      <c r="E305" s="152">
        <v>6075</v>
      </c>
      <c r="F305" s="152">
        <v>91590504.747555897</v>
      </c>
      <c r="G305" s="152">
        <v>70156682.993690506</v>
      </c>
      <c r="H305" s="152">
        <v>161747187.74124601</v>
      </c>
      <c r="I305" t="s">
        <v>806</v>
      </c>
      <c r="J305" t="s">
        <v>128</v>
      </c>
      <c r="K305">
        <v>761940</v>
      </c>
      <c r="L305" t="s">
        <v>832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282</v>
      </c>
      <c r="B306" t="s">
        <v>288</v>
      </c>
      <c r="C306" s="152">
        <v>2856</v>
      </c>
      <c r="D306" s="152">
        <v>2986</v>
      </c>
      <c r="E306" s="152">
        <v>5842</v>
      </c>
      <c r="F306" s="152">
        <v>55362580.0760132</v>
      </c>
      <c r="G306" s="152">
        <v>72628121.694886699</v>
      </c>
      <c r="H306" s="152">
        <v>127990701.7709</v>
      </c>
      <c r="I306" t="s">
        <v>685</v>
      </c>
      <c r="J306" t="s">
        <v>127</v>
      </c>
      <c r="K306">
        <v>416982</v>
      </c>
      <c r="L306" t="s">
        <v>106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800</v>
      </c>
      <c r="B307" t="s">
        <v>453</v>
      </c>
      <c r="C307" s="152">
        <v>2448</v>
      </c>
      <c r="D307" s="152">
        <v>3351</v>
      </c>
      <c r="E307" s="152">
        <v>5799</v>
      </c>
      <c r="F307" s="152">
        <v>28070336.279642601</v>
      </c>
      <c r="G307" s="152">
        <v>50047600.144602798</v>
      </c>
      <c r="H307" s="152">
        <v>78117936.424245402</v>
      </c>
      <c r="I307" t="s">
        <v>685</v>
      </c>
      <c r="J307" t="s">
        <v>127</v>
      </c>
      <c r="K307">
        <v>668269</v>
      </c>
      <c r="L307" t="s">
        <v>819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98</v>
      </c>
      <c r="B308" t="s">
        <v>100</v>
      </c>
      <c r="C308" s="152">
        <v>2677</v>
      </c>
      <c r="D308" s="152">
        <v>3076</v>
      </c>
      <c r="E308" s="152">
        <v>5753</v>
      </c>
      <c r="F308" s="152">
        <v>47001410.620353699</v>
      </c>
      <c r="G308" s="152">
        <v>66175731.634360999</v>
      </c>
      <c r="H308" s="152">
        <v>113177142.254715</v>
      </c>
      <c r="I308" t="s">
        <v>685</v>
      </c>
      <c r="J308" t="s">
        <v>127</v>
      </c>
      <c r="K308">
        <v>316695</v>
      </c>
      <c r="L308" t="s">
        <v>759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594</v>
      </c>
      <c r="B309" t="s">
        <v>117</v>
      </c>
      <c r="C309" s="152">
        <v>2939</v>
      </c>
      <c r="D309" s="152">
        <v>2763</v>
      </c>
      <c r="E309" s="152">
        <v>5702</v>
      </c>
      <c r="F309" s="152">
        <v>88835367.680304095</v>
      </c>
      <c r="G309" s="152">
        <v>101123373.335214</v>
      </c>
      <c r="H309" s="152">
        <v>189958741.01551801</v>
      </c>
      <c r="I309" t="s">
        <v>685</v>
      </c>
      <c r="J309" t="s">
        <v>128</v>
      </c>
      <c r="K309">
        <v>682377</v>
      </c>
      <c r="L309" t="s">
        <v>729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536</v>
      </c>
      <c r="B310" t="s">
        <v>439</v>
      </c>
      <c r="C310" s="152">
        <v>2822</v>
      </c>
      <c r="D310" s="152">
        <v>2824</v>
      </c>
      <c r="E310" s="152">
        <v>5646</v>
      </c>
      <c r="F310" s="152">
        <v>105983635.189732</v>
      </c>
      <c r="G310" s="152">
        <v>139883844.95565501</v>
      </c>
      <c r="H310" s="152">
        <v>245867480.14538801</v>
      </c>
      <c r="I310" t="s">
        <v>806</v>
      </c>
      <c r="J310" t="s">
        <v>128</v>
      </c>
      <c r="K310">
        <v>418699</v>
      </c>
      <c r="L310" t="s">
        <v>36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383</v>
      </c>
      <c r="B311" t="s">
        <v>673</v>
      </c>
      <c r="C311" s="152">
        <v>2244</v>
      </c>
      <c r="D311" s="152">
        <v>3373</v>
      </c>
      <c r="E311" s="152">
        <v>5617</v>
      </c>
      <c r="F311" s="152">
        <v>39731387.492943197</v>
      </c>
      <c r="G311" s="152">
        <v>77698504.024657905</v>
      </c>
      <c r="H311" s="152">
        <v>117429891.517601</v>
      </c>
      <c r="I311" t="s">
        <v>685</v>
      </c>
      <c r="J311" t="s">
        <v>127</v>
      </c>
      <c r="K311">
        <v>235291</v>
      </c>
      <c r="L311" t="s">
        <v>368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250</v>
      </c>
      <c r="B312" t="s">
        <v>252</v>
      </c>
      <c r="C312" s="152">
        <v>2497</v>
      </c>
      <c r="D312" s="152">
        <v>3089</v>
      </c>
      <c r="E312" s="152">
        <v>5586</v>
      </c>
      <c r="F312" s="152">
        <v>40999645.620608799</v>
      </c>
      <c r="G312" s="152">
        <v>59908449.885306202</v>
      </c>
      <c r="H312" s="152">
        <v>100908095.505915</v>
      </c>
      <c r="I312" t="s">
        <v>685</v>
      </c>
      <c r="J312" t="s">
        <v>127</v>
      </c>
      <c r="K312">
        <v>570044</v>
      </c>
      <c r="L312" t="s">
        <v>819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108</v>
      </c>
      <c r="B313" t="s">
        <v>892</v>
      </c>
      <c r="C313" s="152">
        <v>2637</v>
      </c>
      <c r="D313" s="152">
        <v>2946</v>
      </c>
      <c r="E313" s="152">
        <v>5583</v>
      </c>
      <c r="F313" s="152">
        <v>43025958.296786197</v>
      </c>
      <c r="G313" s="152">
        <v>62590247.852357201</v>
      </c>
      <c r="H313" s="152">
        <v>105616206.149143</v>
      </c>
      <c r="I313" t="s">
        <v>806</v>
      </c>
      <c r="J313" t="s">
        <v>127</v>
      </c>
      <c r="K313">
        <v>986604</v>
      </c>
      <c r="L313" t="s">
        <v>846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314</v>
      </c>
      <c r="B314" t="s">
        <v>1053</v>
      </c>
      <c r="C314" s="152">
        <v>2309</v>
      </c>
      <c r="D314" s="152">
        <v>3180</v>
      </c>
      <c r="E314" s="152">
        <v>5489</v>
      </c>
      <c r="F314" s="152">
        <v>200862789.99467999</v>
      </c>
      <c r="G314" s="152">
        <v>329099246.44520199</v>
      </c>
      <c r="H314" s="152">
        <v>529962036.43988198</v>
      </c>
      <c r="I314" t="s">
        <v>806</v>
      </c>
      <c r="J314" t="s">
        <v>129</v>
      </c>
      <c r="K314">
        <v>727057</v>
      </c>
      <c r="L314" t="s">
        <v>1054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291</v>
      </c>
      <c r="B315" t="s">
        <v>343</v>
      </c>
      <c r="C315" s="152">
        <v>2163</v>
      </c>
      <c r="D315" s="152">
        <v>3286</v>
      </c>
      <c r="E315" s="152">
        <v>5449</v>
      </c>
      <c r="F315" s="152">
        <v>56677795.727114998</v>
      </c>
      <c r="G315" s="152">
        <v>115204620.536382</v>
      </c>
      <c r="H315" s="152">
        <v>171882416.26349699</v>
      </c>
      <c r="I315" t="s">
        <v>685</v>
      </c>
      <c r="J315" t="s">
        <v>127</v>
      </c>
      <c r="K315">
        <v>305003</v>
      </c>
      <c r="L315" t="s">
        <v>868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383</v>
      </c>
      <c r="B316" t="s">
        <v>648</v>
      </c>
      <c r="C316" s="152">
        <v>2003</v>
      </c>
      <c r="D316" s="152">
        <v>3408</v>
      </c>
      <c r="E316" s="152">
        <v>5411</v>
      </c>
      <c r="F316" s="152">
        <v>35772597.911737099</v>
      </c>
      <c r="G316" s="152">
        <v>74533408.183389306</v>
      </c>
      <c r="H316" s="152">
        <v>110306006.095126</v>
      </c>
      <c r="I316" t="s">
        <v>685</v>
      </c>
      <c r="J316" t="s">
        <v>127</v>
      </c>
      <c r="K316">
        <v>204891</v>
      </c>
      <c r="L316" t="s">
        <v>868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314</v>
      </c>
      <c r="B317" t="s">
        <v>992</v>
      </c>
      <c r="C317" s="152">
        <v>1850</v>
      </c>
      <c r="D317" s="152">
        <v>3458</v>
      </c>
      <c r="E317" s="152">
        <v>5308</v>
      </c>
      <c r="F317" s="152">
        <v>128030029.57378</v>
      </c>
      <c r="G317" s="152">
        <v>307614602.610313</v>
      </c>
      <c r="H317" s="152">
        <v>435644632.184093</v>
      </c>
      <c r="I317" t="s">
        <v>685</v>
      </c>
      <c r="J317" t="s">
        <v>129</v>
      </c>
      <c r="K317">
        <v>948117</v>
      </c>
      <c r="L317" t="s">
        <v>411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250</v>
      </c>
      <c r="B318" t="s">
        <v>266</v>
      </c>
      <c r="C318" s="152">
        <v>2578</v>
      </c>
      <c r="D318" s="152">
        <v>2677</v>
      </c>
      <c r="E318" s="152">
        <v>5255</v>
      </c>
      <c r="F318" s="152">
        <v>51637429.644118398</v>
      </c>
      <c r="G318" s="152">
        <v>60772355.573064297</v>
      </c>
      <c r="H318" s="152">
        <v>112409785.21718299</v>
      </c>
      <c r="I318" t="s">
        <v>685</v>
      </c>
      <c r="J318" t="s">
        <v>127</v>
      </c>
      <c r="K318">
        <v>634386</v>
      </c>
      <c r="L318" t="s">
        <v>759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152</v>
      </c>
      <c r="B319" t="s">
        <v>1031</v>
      </c>
      <c r="C319" s="152">
        <v>1650</v>
      </c>
      <c r="D319" s="152">
        <v>3601</v>
      </c>
      <c r="E319" s="152">
        <v>5251</v>
      </c>
      <c r="F319" s="152">
        <v>181398032.74768901</v>
      </c>
      <c r="G319" s="152">
        <v>447372803.72742099</v>
      </c>
      <c r="H319" s="152">
        <v>628770836.47511005</v>
      </c>
      <c r="I319" t="s">
        <v>806</v>
      </c>
      <c r="J319" t="s">
        <v>127</v>
      </c>
      <c r="K319">
        <v>374835</v>
      </c>
      <c r="L319" t="s">
        <v>846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314</v>
      </c>
      <c r="B320" t="s">
        <v>315</v>
      </c>
      <c r="C320" s="152">
        <v>2868</v>
      </c>
      <c r="D320" s="152">
        <v>2319</v>
      </c>
      <c r="E320" s="152">
        <v>5187</v>
      </c>
      <c r="F320" s="152">
        <v>46584305.424437404</v>
      </c>
      <c r="G320" s="152">
        <v>44590160.409772404</v>
      </c>
      <c r="H320" s="152">
        <v>91174465.8342098</v>
      </c>
      <c r="I320" t="s">
        <v>806</v>
      </c>
      <c r="J320" t="s">
        <v>129</v>
      </c>
      <c r="K320">
        <v>319822</v>
      </c>
      <c r="L320" t="s">
        <v>852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218</v>
      </c>
      <c r="B321" t="s">
        <v>40</v>
      </c>
      <c r="C321" s="152">
        <v>1929</v>
      </c>
      <c r="D321" s="152">
        <v>3196</v>
      </c>
      <c r="E321" s="152">
        <v>5125</v>
      </c>
      <c r="F321" s="152">
        <v>41745487.352839299</v>
      </c>
      <c r="G321" s="152">
        <v>87057398.973260999</v>
      </c>
      <c r="H321" s="152">
        <v>128802886.32610001</v>
      </c>
      <c r="I321" t="s">
        <v>685</v>
      </c>
      <c r="J321" t="s">
        <v>127</v>
      </c>
      <c r="K321">
        <v>376319</v>
      </c>
      <c r="L321" t="s">
        <v>464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291</v>
      </c>
      <c r="B322" t="s">
        <v>298</v>
      </c>
      <c r="C322" s="152">
        <v>1980</v>
      </c>
      <c r="D322" s="152">
        <v>3132</v>
      </c>
      <c r="E322" s="152">
        <v>5112</v>
      </c>
      <c r="F322" s="152">
        <v>29260632.879627202</v>
      </c>
      <c r="G322" s="152">
        <v>57859725.362183496</v>
      </c>
      <c r="H322" s="152">
        <v>87120358.241810694</v>
      </c>
      <c r="I322" t="s">
        <v>685</v>
      </c>
      <c r="J322" t="s">
        <v>127</v>
      </c>
      <c r="K322">
        <v>899120</v>
      </c>
      <c r="L322" t="s">
        <v>375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138</v>
      </c>
      <c r="B323" t="s">
        <v>142</v>
      </c>
      <c r="C323" s="152">
        <v>2826</v>
      </c>
      <c r="D323" s="152">
        <v>2261</v>
      </c>
      <c r="E323" s="152">
        <v>5087</v>
      </c>
      <c r="F323" s="152">
        <v>54772016.894546203</v>
      </c>
      <c r="G323" s="152">
        <v>52680804.729271702</v>
      </c>
      <c r="H323" s="152">
        <v>107452821.623818</v>
      </c>
      <c r="I323" t="s">
        <v>806</v>
      </c>
      <c r="J323" t="s">
        <v>127</v>
      </c>
      <c r="K323">
        <v>642298</v>
      </c>
      <c r="L323" t="s">
        <v>736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138</v>
      </c>
      <c r="B324" t="s">
        <v>183</v>
      </c>
      <c r="C324" s="152">
        <v>1869</v>
      </c>
      <c r="D324" s="152">
        <v>3212</v>
      </c>
      <c r="E324" s="152">
        <v>5081</v>
      </c>
      <c r="F324" s="152">
        <v>28681894.081431702</v>
      </c>
      <c r="G324" s="152">
        <v>68601567.288731396</v>
      </c>
      <c r="H324" s="152">
        <v>97283461.370163098</v>
      </c>
      <c r="I324" t="s">
        <v>685</v>
      </c>
      <c r="J324" t="s">
        <v>127</v>
      </c>
      <c r="K324">
        <v>170894</v>
      </c>
      <c r="L324" t="s">
        <v>833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382</v>
      </c>
      <c r="B325" t="s">
        <v>221</v>
      </c>
      <c r="C325" s="152">
        <v>1938</v>
      </c>
      <c r="D325" s="152">
        <v>3139</v>
      </c>
      <c r="E325" s="152">
        <v>5077</v>
      </c>
      <c r="F325" s="152">
        <v>37318202.698803</v>
      </c>
      <c r="G325" s="152">
        <v>82048506.057653606</v>
      </c>
      <c r="H325" s="152">
        <v>119366708.756457</v>
      </c>
      <c r="I325" t="s">
        <v>685</v>
      </c>
      <c r="J325" t="s">
        <v>127</v>
      </c>
      <c r="K325">
        <v>889386</v>
      </c>
      <c r="L325" t="s">
        <v>819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779</v>
      </c>
      <c r="B326" t="s">
        <v>898</v>
      </c>
      <c r="C326" s="152">
        <v>2633</v>
      </c>
      <c r="D326" s="152">
        <v>2420</v>
      </c>
      <c r="E326" s="152">
        <v>5053</v>
      </c>
      <c r="F326" s="152">
        <v>59851644.152750999</v>
      </c>
      <c r="G326" s="152">
        <v>67901790.928371295</v>
      </c>
      <c r="H326" s="152">
        <v>127753435.081122</v>
      </c>
      <c r="I326" t="s">
        <v>806</v>
      </c>
      <c r="J326" t="s">
        <v>127</v>
      </c>
      <c r="K326">
        <v>760116</v>
      </c>
      <c r="L326" t="s">
        <v>899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108</v>
      </c>
      <c r="B327" t="s">
        <v>363</v>
      </c>
      <c r="C327" s="152">
        <v>1959</v>
      </c>
      <c r="D327" s="152">
        <v>3043</v>
      </c>
      <c r="E327" s="152">
        <v>5002</v>
      </c>
      <c r="F327" s="152">
        <v>35714914.9939209</v>
      </c>
      <c r="G327" s="152">
        <v>66605903.919390798</v>
      </c>
      <c r="H327" s="152">
        <v>102320818.913312</v>
      </c>
      <c r="I327" t="s">
        <v>685</v>
      </c>
      <c r="J327" t="s">
        <v>127</v>
      </c>
      <c r="K327">
        <v>174086</v>
      </c>
      <c r="L327" t="s">
        <v>372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282</v>
      </c>
      <c r="B328" t="s">
        <v>284</v>
      </c>
      <c r="C328" s="152">
        <v>2306</v>
      </c>
      <c r="D328" s="152">
        <v>2664</v>
      </c>
      <c r="E328" s="152">
        <v>4970</v>
      </c>
      <c r="F328" s="152">
        <v>38781329.8429773</v>
      </c>
      <c r="G328" s="152">
        <v>54063530.740788497</v>
      </c>
      <c r="H328" s="152">
        <v>92844860.5837657</v>
      </c>
      <c r="I328" t="s">
        <v>685</v>
      </c>
      <c r="J328" t="s">
        <v>127</v>
      </c>
      <c r="K328">
        <v>579136</v>
      </c>
      <c r="L328" t="s">
        <v>94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800</v>
      </c>
      <c r="B329" t="s">
        <v>42</v>
      </c>
      <c r="C329" s="152">
        <v>2846</v>
      </c>
      <c r="D329" s="152">
        <v>2115</v>
      </c>
      <c r="E329" s="152">
        <v>4961</v>
      </c>
      <c r="F329" s="152">
        <v>60761785.950216003</v>
      </c>
      <c r="G329" s="152">
        <v>55046654.136372</v>
      </c>
      <c r="H329" s="152">
        <v>115808440.086588</v>
      </c>
      <c r="I329" t="s">
        <v>806</v>
      </c>
      <c r="J329" t="s">
        <v>127</v>
      </c>
      <c r="K329">
        <v>857276</v>
      </c>
      <c r="L329" t="s">
        <v>736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594</v>
      </c>
      <c r="B330" t="s">
        <v>982</v>
      </c>
      <c r="C330" s="152">
        <v>2704</v>
      </c>
      <c r="D330" s="152">
        <v>2253</v>
      </c>
      <c r="E330" s="152">
        <v>4957</v>
      </c>
      <c r="F330" s="152">
        <v>58859135.647573598</v>
      </c>
      <c r="G330" s="152">
        <v>62328481.651112303</v>
      </c>
      <c r="H330" s="152">
        <v>121187617.298686</v>
      </c>
      <c r="I330" t="s">
        <v>685</v>
      </c>
      <c r="J330" t="s">
        <v>128</v>
      </c>
      <c r="K330">
        <v>513556</v>
      </c>
      <c r="L330" t="s">
        <v>411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776</v>
      </c>
      <c r="B331" t="s">
        <v>1012</v>
      </c>
      <c r="C331" s="152">
        <v>2013</v>
      </c>
      <c r="D331" s="152">
        <v>2935</v>
      </c>
      <c r="E331" s="152">
        <v>4948</v>
      </c>
      <c r="F331" s="152">
        <v>45383852.040495902</v>
      </c>
      <c r="G331" s="152">
        <v>81700258.883064196</v>
      </c>
      <c r="H331" s="152">
        <v>127084110.92355999</v>
      </c>
      <c r="I331" t="s">
        <v>806</v>
      </c>
      <c r="J331" t="s">
        <v>127</v>
      </c>
      <c r="K331">
        <v>416867</v>
      </c>
      <c r="L331" t="s">
        <v>816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273</v>
      </c>
      <c r="B332" t="s">
        <v>281</v>
      </c>
      <c r="C332" s="152">
        <v>2147</v>
      </c>
      <c r="D332" s="152">
        <v>2703</v>
      </c>
      <c r="E332" s="152">
        <v>4850</v>
      </c>
      <c r="F332" s="152">
        <v>33349896.807671499</v>
      </c>
      <c r="G332" s="152">
        <v>53293722.128041402</v>
      </c>
      <c r="H332" s="152">
        <v>86643618.935712904</v>
      </c>
      <c r="I332" t="s">
        <v>806</v>
      </c>
      <c r="J332" t="s">
        <v>127</v>
      </c>
      <c r="K332">
        <v>126094</v>
      </c>
      <c r="L332" t="s">
        <v>751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306</v>
      </c>
      <c r="B333" t="s">
        <v>307</v>
      </c>
      <c r="C333" s="152">
        <v>3201</v>
      </c>
      <c r="D333" s="152">
        <v>1613</v>
      </c>
      <c r="E333" s="152">
        <v>4814</v>
      </c>
      <c r="F333" s="152">
        <v>55746548.356138602</v>
      </c>
      <c r="G333" s="152">
        <v>30700361.222304199</v>
      </c>
      <c r="H333" s="152">
        <v>86446909.578442693</v>
      </c>
      <c r="I333" t="s">
        <v>806</v>
      </c>
      <c r="J333" t="s">
        <v>129</v>
      </c>
      <c r="K333">
        <v>981175</v>
      </c>
      <c r="L333" t="s">
        <v>798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536</v>
      </c>
      <c r="B334" t="s">
        <v>981</v>
      </c>
      <c r="C334" s="152">
        <v>2520</v>
      </c>
      <c r="D334" s="152">
        <v>2222</v>
      </c>
      <c r="E334" s="152">
        <v>4742</v>
      </c>
      <c r="F334" s="152">
        <v>43514057.915509999</v>
      </c>
      <c r="G334" s="152">
        <v>49538997.006050996</v>
      </c>
      <c r="H334" s="152">
        <v>93053054.921561003</v>
      </c>
      <c r="I334" t="s">
        <v>685</v>
      </c>
      <c r="J334" t="s">
        <v>128</v>
      </c>
      <c r="K334">
        <v>549386</v>
      </c>
      <c r="L334" t="s">
        <v>411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660</v>
      </c>
      <c r="B335" t="s">
        <v>450</v>
      </c>
      <c r="C335" s="152">
        <v>2268</v>
      </c>
      <c r="D335" s="152">
        <v>2443</v>
      </c>
      <c r="E335" s="152">
        <v>4711</v>
      </c>
      <c r="F335" s="152">
        <v>76137114.678371206</v>
      </c>
      <c r="G335" s="152">
        <v>98853586.970716193</v>
      </c>
      <c r="H335" s="152">
        <v>174990701.64908701</v>
      </c>
      <c r="I335" t="s">
        <v>685</v>
      </c>
      <c r="J335" t="s">
        <v>128</v>
      </c>
      <c r="K335">
        <v>496497</v>
      </c>
      <c r="L335" t="s">
        <v>848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291</v>
      </c>
      <c r="B336" t="s">
        <v>297</v>
      </c>
      <c r="C336" s="152">
        <v>1873</v>
      </c>
      <c r="D336" s="152">
        <v>2778</v>
      </c>
      <c r="E336" s="152">
        <v>4651</v>
      </c>
      <c r="F336" s="152">
        <v>27895667.601220299</v>
      </c>
      <c r="G336" s="152">
        <v>52580093.932620503</v>
      </c>
      <c r="H336" s="152">
        <v>80475761.533840701</v>
      </c>
      <c r="I336" t="s">
        <v>685</v>
      </c>
      <c r="J336" t="s">
        <v>127</v>
      </c>
      <c r="K336">
        <v>262741</v>
      </c>
      <c r="L336" t="s">
        <v>368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800</v>
      </c>
      <c r="B337" t="s">
        <v>44</v>
      </c>
      <c r="C337" s="152">
        <v>2426</v>
      </c>
      <c r="D337" s="152">
        <v>2213</v>
      </c>
      <c r="E337" s="152">
        <v>4639</v>
      </c>
      <c r="F337" s="152">
        <v>46534255.984228604</v>
      </c>
      <c r="G337" s="152">
        <v>52759809.692726001</v>
      </c>
      <c r="H337" s="152">
        <v>99294065.676954597</v>
      </c>
      <c r="I337" t="s">
        <v>806</v>
      </c>
      <c r="J337" t="s">
        <v>127</v>
      </c>
      <c r="K337">
        <v>484923</v>
      </c>
      <c r="L337" t="s">
        <v>846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314</v>
      </c>
      <c r="B338" t="s">
        <v>1055</v>
      </c>
      <c r="C338" s="152">
        <v>2384</v>
      </c>
      <c r="D338" s="152">
        <v>2245</v>
      </c>
      <c r="E338" s="152">
        <v>4629</v>
      </c>
      <c r="F338" s="152">
        <v>204758953.68463299</v>
      </c>
      <c r="G338" s="152">
        <v>223917186.936717</v>
      </c>
      <c r="H338" s="152">
        <v>428676140.62134898</v>
      </c>
      <c r="I338" t="s">
        <v>806</v>
      </c>
      <c r="J338" t="s">
        <v>129</v>
      </c>
      <c r="K338">
        <v>615310</v>
      </c>
      <c r="L338" t="s">
        <v>1054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723</v>
      </c>
      <c r="B339" t="s">
        <v>672</v>
      </c>
      <c r="C339" s="152">
        <v>1868</v>
      </c>
      <c r="D339" s="152">
        <v>2731</v>
      </c>
      <c r="E339" s="152">
        <v>4599</v>
      </c>
      <c r="F339" s="152">
        <v>62933902.989044398</v>
      </c>
      <c r="G339" s="152">
        <v>104372966.026357</v>
      </c>
      <c r="H339" s="152">
        <v>167306869.01540101</v>
      </c>
      <c r="I339" t="s">
        <v>806</v>
      </c>
      <c r="J339" t="s">
        <v>127</v>
      </c>
      <c r="K339">
        <v>152181</v>
      </c>
      <c r="L339" t="s">
        <v>671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536</v>
      </c>
      <c r="B340" t="s">
        <v>455</v>
      </c>
      <c r="C340" s="152">
        <v>2244</v>
      </c>
      <c r="D340" s="152">
        <v>2338</v>
      </c>
      <c r="E340" s="152">
        <v>4582</v>
      </c>
      <c r="F340" s="152">
        <v>95963460.325264797</v>
      </c>
      <c r="G340" s="152">
        <v>122462087.43291099</v>
      </c>
      <c r="H340" s="152">
        <v>218425547.758176</v>
      </c>
      <c r="I340" t="s">
        <v>685</v>
      </c>
      <c r="J340" t="s">
        <v>128</v>
      </c>
      <c r="K340">
        <v>870493</v>
      </c>
      <c r="L340" t="s">
        <v>851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168</v>
      </c>
      <c r="B341" t="s">
        <v>1021</v>
      </c>
      <c r="C341" s="152">
        <v>1844</v>
      </c>
      <c r="D341" s="152">
        <v>2730</v>
      </c>
      <c r="E341" s="152">
        <v>4574</v>
      </c>
      <c r="F341" s="152">
        <v>35367164.239506401</v>
      </c>
      <c r="G341" s="152">
        <v>65627486.741567999</v>
      </c>
      <c r="H341" s="152">
        <v>100994650.98107401</v>
      </c>
      <c r="I341" t="s">
        <v>685</v>
      </c>
      <c r="J341" t="s">
        <v>127</v>
      </c>
      <c r="K341">
        <v>819029</v>
      </c>
      <c r="L341" t="s">
        <v>1004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291</v>
      </c>
      <c r="B342" t="s">
        <v>613</v>
      </c>
      <c r="C342" s="152">
        <v>1808</v>
      </c>
      <c r="D342" s="152">
        <v>2760</v>
      </c>
      <c r="E342" s="152">
        <v>4568</v>
      </c>
      <c r="F342" s="152">
        <v>26995772.5347942</v>
      </c>
      <c r="G342" s="152">
        <v>54082479.250179201</v>
      </c>
      <c r="H342" s="152">
        <v>81078251.784973398</v>
      </c>
      <c r="I342" t="s">
        <v>685</v>
      </c>
      <c r="J342" t="s">
        <v>127</v>
      </c>
      <c r="K342">
        <v>517748</v>
      </c>
      <c r="L342" t="s">
        <v>813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841</v>
      </c>
      <c r="B343" t="s">
        <v>125</v>
      </c>
      <c r="C343" s="152">
        <v>2100</v>
      </c>
      <c r="D343" s="152">
        <v>2463</v>
      </c>
      <c r="E343" s="152">
        <v>4563</v>
      </c>
      <c r="F343" s="152">
        <v>175915186.84426641</v>
      </c>
      <c r="G343" s="152">
        <v>217947145.97094399</v>
      </c>
      <c r="H343" s="152">
        <v>393862332.81520998</v>
      </c>
      <c r="I343" t="s">
        <v>806</v>
      </c>
      <c r="J343" t="s">
        <v>129</v>
      </c>
      <c r="K343">
        <v>3</v>
      </c>
      <c r="L343" t="s">
        <v>748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841</v>
      </c>
      <c r="B344" t="s">
        <v>126</v>
      </c>
      <c r="C344" s="152">
        <v>1572</v>
      </c>
      <c r="D344" s="152">
        <v>2972</v>
      </c>
      <c r="E344" s="152">
        <v>4544</v>
      </c>
      <c r="F344" s="152">
        <v>114574039.5233639</v>
      </c>
      <c r="G344" s="152">
        <v>227776664.91626951</v>
      </c>
      <c r="H344" s="152">
        <v>342350704.43963337</v>
      </c>
      <c r="I344" t="s">
        <v>806</v>
      </c>
      <c r="J344" t="s">
        <v>129</v>
      </c>
      <c r="K344">
        <v>4</v>
      </c>
      <c r="L344" t="s">
        <v>748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723</v>
      </c>
      <c r="B345" t="s">
        <v>859</v>
      </c>
      <c r="C345" s="152">
        <v>2100</v>
      </c>
      <c r="D345" s="152">
        <v>2440</v>
      </c>
      <c r="E345" s="152">
        <v>4540</v>
      </c>
      <c r="F345" s="152">
        <v>44187590.619536102</v>
      </c>
      <c r="G345" s="152">
        <v>63293001.347785801</v>
      </c>
      <c r="H345" s="152">
        <v>107480591.96732201</v>
      </c>
      <c r="I345" t="s">
        <v>806</v>
      </c>
      <c r="J345" t="s">
        <v>127</v>
      </c>
      <c r="K345">
        <v>832899</v>
      </c>
      <c r="L345" t="s">
        <v>462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723</v>
      </c>
      <c r="B346" t="s">
        <v>737</v>
      </c>
      <c r="C346" s="152">
        <v>2281</v>
      </c>
      <c r="D346" s="152">
        <v>2243</v>
      </c>
      <c r="E346" s="152">
        <v>4524</v>
      </c>
      <c r="F346" s="152">
        <v>55551499.003159299</v>
      </c>
      <c r="G346" s="152">
        <v>63006354.633024402</v>
      </c>
      <c r="H346" s="152">
        <v>118557853.63618401</v>
      </c>
      <c r="I346" t="s">
        <v>806</v>
      </c>
      <c r="J346" t="s">
        <v>127</v>
      </c>
      <c r="K346">
        <v>928937</v>
      </c>
      <c r="L346" t="s">
        <v>736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108</v>
      </c>
      <c r="B347" t="s">
        <v>880</v>
      </c>
      <c r="C347" s="152">
        <v>1832</v>
      </c>
      <c r="D347" s="152">
        <v>2690</v>
      </c>
      <c r="E347" s="152">
        <v>4522</v>
      </c>
      <c r="F347" s="152">
        <v>43806807.632938199</v>
      </c>
      <c r="G347" s="152">
        <v>81497404.616872296</v>
      </c>
      <c r="H347" s="152">
        <v>125304212.24981099</v>
      </c>
      <c r="I347" t="s">
        <v>806</v>
      </c>
      <c r="J347" t="s">
        <v>127</v>
      </c>
      <c r="K347">
        <v>520692</v>
      </c>
      <c r="L347" t="s">
        <v>865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138</v>
      </c>
      <c r="B348" t="s">
        <v>1082</v>
      </c>
      <c r="C348" s="152">
        <v>1723</v>
      </c>
      <c r="D348" s="152">
        <v>2755</v>
      </c>
      <c r="E348" s="152">
        <v>4478</v>
      </c>
      <c r="F348" s="152">
        <v>36540957.631190903</v>
      </c>
      <c r="G348" s="152">
        <v>71558417.208406404</v>
      </c>
      <c r="H348" s="152">
        <v>108099374.839597</v>
      </c>
      <c r="I348" t="s">
        <v>685</v>
      </c>
      <c r="J348" t="s">
        <v>127</v>
      </c>
      <c r="K348">
        <v>218297</v>
      </c>
      <c r="L348" t="s">
        <v>411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723</v>
      </c>
      <c r="B349" t="s">
        <v>869</v>
      </c>
      <c r="C349" s="152">
        <v>2122</v>
      </c>
      <c r="D349" s="152">
        <v>2350</v>
      </c>
      <c r="E349" s="152">
        <v>4472</v>
      </c>
      <c r="F349" s="152">
        <v>50114188.801011801</v>
      </c>
      <c r="G349" s="152">
        <v>66604982.898634598</v>
      </c>
      <c r="H349" s="152">
        <v>116719171.699646</v>
      </c>
      <c r="I349" t="s">
        <v>806</v>
      </c>
      <c r="J349" t="s">
        <v>127</v>
      </c>
      <c r="K349">
        <v>569988</v>
      </c>
      <c r="L349" t="s">
        <v>870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594</v>
      </c>
      <c r="B350" t="s">
        <v>597</v>
      </c>
      <c r="C350" s="152">
        <v>2307</v>
      </c>
      <c r="D350" s="152">
        <v>2121</v>
      </c>
      <c r="E350" s="152">
        <v>4428</v>
      </c>
      <c r="F350" s="152">
        <v>60652076.085675001</v>
      </c>
      <c r="G350" s="152">
        <v>73373386.215148106</v>
      </c>
      <c r="H350" s="152">
        <v>134025462.300823</v>
      </c>
      <c r="I350" t="s">
        <v>806</v>
      </c>
      <c r="J350" t="s">
        <v>128</v>
      </c>
      <c r="K350">
        <v>807453</v>
      </c>
      <c r="L350" t="s">
        <v>846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314</v>
      </c>
      <c r="B351" t="s">
        <v>1002</v>
      </c>
      <c r="C351" s="152">
        <v>2383</v>
      </c>
      <c r="D351" s="152">
        <v>2039</v>
      </c>
      <c r="E351" s="152">
        <v>4422</v>
      </c>
      <c r="F351" s="152">
        <v>107151312.76056901</v>
      </c>
      <c r="G351" s="152">
        <v>108351655.745193</v>
      </c>
      <c r="H351" s="152">
        <v>215502968.50576201</v>
      </c>
      <c r="I351" t="s">
        <v>806</v>
      </c>
      <c r="J351" t="s">
        <v>129</v>
      </c>
      <c r="K351">
        <v>853374</v>
      </c>
      <c r="L351" t="s">
        <v>989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152</v>
      </c>
      <c r="B352" t="s">
        <v>418</v>
      </c>
      <c r="C352" s="152">
        <v>2124</v>
      </c>
      <c r="D352" s="152">
        <v>2272</v>
      </c>
      <c r="E352" s="152">
        <v>4396</v>
      </c>
      <c r="F352" s="152">
        <v>147815005.65581399</v>
      </c>
      <c r="G352" s="152">
        <v>189498021.41510701</v>
      </c>
      <c r="H352" s="152">
        <v>337313027.07092202</v>
      </c>
      <c r="I352" t="s">
        <v>685</v>
      </c>
      <c r="J352" t="s">
        <v>127</v>
      </c>
      <c r="K352">
        <v>987602</v>
      </c>
      <c r="L352" t="s">
        <v>411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237</v>
      </c>
      <c r="B353" t="s">
        <v>248</v>
      </c>
      <c r="C353" s="152">
        <v>1892</v>
      </c>
      <c r="D353" s="152">
        <v>2488</v>
      </c>
      <c r="E353" s="152">
        <v>4380</v>
      </c>
      <c r="F353" s="152">
        <v>22362397.644424401</v>
      </c>
      <c r="G353" s="152">
        <v>37029688.237197302</v>
      </c>
      <c r="H353" s="152">
        <v>59392085.881621704</v>
      </c>
      <c r="I353" t="s">
        <v>806</v>
      </c>
      <c r="J353" t="s">
        <v>127</v>
      </c>
      <c r="K353">
        <v>582791</v>
      </c>
      <c r="L353" t="s">
        <v>732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152</v>
      </c>
      <c r="B354" t="s">
        <v>155</v>
      </c>
      <c r="C354" s="152">
        <v>2230</v>
      </c>
      <c r="D354" s="152">
        <v>2101</v>
      </c>
      <c r="E354" s="152">
        <v>4331</v>
      </c>
      <c r="F354" s="152">
        <v>44988499.6068317</v>
      </c>
      <c r="G354" s="152">
        <v>49744355.796554603</v>
      </c>
      <c r="H354" s="152">
        <v>94732855.403386205</v>
      </c>
      <c r="I354" t="s">
        <v>806</v>
      </c>
      <c r="J354" t="s">
        <v>127</v>
      </c>
      <c r="K354">
        <v>964767</v>
      </c>
      <c r="L354" t="s">
        <v>736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723</v>
      </c>
      <c r="B355" t="s">
        <v>858</v>
      </c>
      <c r="C355" s="152">
        <v>2044</v>
      </c>
      <c r="D355" s="152">
        <v>2262</v>
      </c>
      <c r="E355" s="152">
        <v>4306</v>
      </c>
      <c r="F355" s="152">
        <v>52209474.5230406</v>
      </c>
      <c r="G355" s="152">
        <v>71537750.1926485</v>
      </c>
      <c r="H355" s="152">
        <v>123747224.715689</v>
      </c>
      <c r="I355" t="s">
        <v>806</v>
      </c>
      <c r="J355" t="s">
        <v>127</v>
      </c>
      <c r="K355">
        <v>973263</v>
      </c>
      <c r="L355" t="s">
        <v>462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314</v>
      </c>
      <c r="B356" t="s">
        <v>354</v>
      </c>
      <c r="C356" s="152">
        <v>2090</v>
      </c>
      <c r="D356" s="152">
        <v>2195</v>
      </c>
      <c r="E356" s="152">
        <v>4285</v>
      </c>
      <c r="F356" s="152">
        <v>62921864.028354898</v>
      </c>
      <c r="G356" s="152">
        <v>80335540.753838897</v>
      </c>
      <c r="H356" s="152">
        <v>143257404.78219399</v>
      </c>
      <c r="I356" t="s">
        <v>806</v>
      </c>
      <c r="J356" t="s">
        <v>129</v>
      </c>
      <c r="K356">
        <v>855973</v>
      </c>
      <c r="L356" t="s">
        <v>726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314</v>
      </c>
      <c r="B357" t="s">
        <v>356</v>
      </c>
      <c r="C357" s="152">
        <v>2229</v>
      </c>
      <c r="D357" s="152">
        <v>2041</v>
      </c>
      <c r="E357" s="152">
        <v>4270</v>
      </c>
      <c r="F357" s="152">
        <v>41171320.995127998</v>
      </c>
      <c r="G357" s="152">
        <v>44727826.868557997</v>
      </c>
      <c r="H357" s="152">
        <v>85899147.8636861</v>
      </c>
      <c r="I357" t="s">
        <v>685</v>
      </c>
      <c r="J357" t="s">
        <v>129</v>
      </c>
      <c r="K357">
        <v>408484</v>
      </c>
      <c r="L357" t="s">
        <v>63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291</v>
      </c>
      <c r="B358" t="s">
        <v>615</v>
      </c>
      <c r="C358" s="152">
        <v>1664</v>
      </c>
      <c r="D358" s="152">
        <v>2561</v>
      </c>
      <c r="E358" s="152">
        <v>4225</v>
      </c>
      <c r="F358" s="152">
        <v>18698758.752992101</v>
      </c>
      <c r="G358" s="152">
        <v>38111799.988707803</v>
      </c>
      <c r="H358" s="152">
        <v>56810558.741699897</v>
      </c>
      <c r="I358" t="s">
        <v>685</v>
      </c>
      <c r="J358" t="s">
        <v>127</v>
      </c>
      <c r="K358">
        <v>553578</v>
      </c>
      <c r="L358" t="s">
        <v>813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152</v>
      </c>
      <c r="B359" t="s">
        <v>8</v>
      </c>
      <c r="C359" s="152">
        <v>2078</v>
      </c>
      <c r="D359" s="152">
        <v>2044</v>
      </c>
      <c r="E359" s="152">
        <v>4122</v>
      </c>
      <c r="F359" s="152">
        <v>120865956.036641</v>
      </c>
      <c r="G359" s="152">
        <v>128647643.902529</v>
      </c>
      <c r="H359" s="152">
        <v>249513599.93917</v>
      </c>
      <c r="I359" t="s">
        <v>806</v>
      </c>
      <c r="J359" t="s">
        <v>127</v>
      </c>
      <c r="K359">
        <v>891804</v>
      </c>
      <c r="L359" t="s">
        <v>462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723</v>
      </c>
      <c r="B360" t="s">
        <v>345</v>
      </c>
      <c r="C360" s="152">
        <v>1962</v>
      </c>
      <c r="D360" s="152">
        <v>2155</v>
      </c>
      <c r="E360" s="152">
        <v>4117</v>
      </c>
      <c r="F360" s="152">
        <v>39540622.3047802</v>
      </c>
      <c r="G360" s="152">
        <v>55352154.141829401</v>
      </c>
      <c r="H360" s="152">
        <v>94892776.446609601</v>
      </c>
      <c r="I360" t="s">
        <v>806</v>
      </c>
      <c r="J360" t="s">
        <v>127</v>
      </c>
      <c r="K360">
        <v>386581</v>
      </c>
      <c r="L360" t="s">
        <v>925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723</v>
      </c>
      <c r="B361" t="s">
        <v>387</v>
      </c>
      <c r="C361" s="152">
        <v>1736</v>
      </c>
      <c r="D361" s="152">
        <v>2375</v>
      </c>
      <c r="E361" s="152">
        <v>4111</v>
      </c>
      <c r="F361" s="152">
        <v>46175366.177280001</v>
      </c>
      <c r="G361" s="152">
        <v>74095128.391424</v>
      </c>
      <c r="H361" s="152">
        <v>120270494.56870399</v>
      </c>
      <c r="I361" t="s">
        <v>806</v>
      </c>
      <c r="J361" t="s">
        <v>127</v>
      </c>
      <c r="K361">
        <v>339184</v>
      </c>
      <c r="L361" t="s">
        <v>671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48</v>
      </c>
      <c r="B362" t="s">
        <v>929</v>
      </c>
      <c r="C362" s="152">
        <v>1940</v>
      </c>
      <c r="D362" s="152">
        <v>2128</v>
      </c>
      <c r="E362" s="152">
        <v>4068</v>
      </c>
      <c r="F362" s="152">
        <v>36058236.9272082</v>
      </c>
      <c r="G362" s="152">
        <v>47662199.686490603</v>
      </c>
      <c r="H362" s="152">
        <v>83720436.613698795</v>
      </c>
      <c r="I362" t="s">
        <v>685</v>
      </c>
      <c r="J362" t="s">
        <v>127</v>
      </c>
      <c r="K362">
        <v>241497</v>
      </c>
      <c r="L362" t="s">
        <v>817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138</v>
      </c>
      <c r="B363" t="s">
        <v>620</v>
      </c>
      <c r="C363" s="152">
        <v>1454</v>
      </c>
      <c r="D363" s="152">
        <v>2580</v>
      </c>
      <c r="E363" s="152">
        <v>4034</v>
      </c>
      <c r="F363" s="152">
        <v>25232136.354216799</v>
      </c>
      <c r="G363" s="152">
        <v>55479846.280227199</v>
      </c>
      <c r="H363" s="152">
        <v>80711982.634444103</v>
      </c>
      <c r="I363" t="s">
        <v>685</v>
      </c>
      <c r="J363" t="s">
        <v>127</v>
      </c>
      <c r="K363">
        <v>768499</v>
      </c>
      <c r="L363" t="s">
        <v>813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237</v>
      </c>
      <c r="B364" t="s">
        <v>243</v>
      </c>
      <c r="C364" s="152">
        <v>1829</v>
      </c>
      <c r="D364" s="152">
        <v>2162</v>
      </c>
      <c r="E364" s="152">
        <v>3991</v>
      </c>
      <c r="F364" s="152">
        <v>18869930.226539299</v>
      </c>
      <c r="G364" s="152">
        <v>28600530.920160901</v>
      </c>
      <c r="H364" s="152">
        <v>47470461.146700203</v>
      </c>
      <c r="I364" t="s">
        <v>685</v>
      </c>
      <c r="J364" t="s">
        <v>127</v>
      </c>
      <c r="K364">
        <v>275495</v>
      </c>
      <c r="L364" t="s">
        <v>838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314</v>
      </c>
      <c r="B365" t="s">
        <v>394</v>
      </c>
      <c r="C365" s="152">
        <v>2080</v>
      </c>
      <c r="D365" s="152">
        <v>1893</v>
      </c>
      <c r="E365" s="152">
        <v>3973</v>
      </c>
      <c r="F365" s="152">
        <v>41666537.371317796</v>
      </c>
      <c r="G365" s="152">
        <v>49020570.430548802</v>
      </c>
      <c r="H365" s="152">
        <v>90687107.801866606</v>
      </c>
      <c r="I365" t="s">
        <v>685</v>
      </c>
      <c r="J365" t="s">
        <v>129</v>
      </c>
      <c r="K365">
        <v>639633</v>
      </c>
      <c r="L365" t="s">
        <v>848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168</v>
      </c>
      <c r="B366" t="s">
        <v>830</v>
      </c>
      <c r="C366" s="152">
        <v>1653</v>
      </c>
      <c r="D366" s="152">
        <v>2249</v>
      </c>
      <c r="E366" s="152">
        <v>3902</v>
      </c>
      <c r="F366" s="152">
        <v>23684262.9204694</v>
      </c>
      <c r="G366" s="152">
        <v>41491979.635413297</v>
      </c>
      <c r="H366" s="152">
        <v>65176242.5558827</v>
      </c>
      <c r="I366" t="s">
        <v>685</v>
      </c>
      <c r="J366" t="s">
        <v>127</v>
      </c>
      <c r="K366">
        <v>670091</v>
      </c>
      <c r="L366" t="s">
        <v>480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594</v>
      </c>
      <c r="B367" t="s">
        <v>598</v>
      </c>
      <c r="C367" s="152">
        <v>2378</v>
      </c>
      <c r="D367" s="152">
        <v>1504</v>
      </c>
      <c r="E367" s="152">
        <v>3882</v>
      </c>
      <c r="F367" s="152">
        <v>78427736.073848397</v>
      </c>
      <c r="G367" s="152">
        <v>58324091.754483901</v>
      </c>
      <c r="H367" s="152">
        <v>136751827.82833201</v>
      </c>
      <c r="I367" t="s">
        <v>806</v>
      </c>
      <c r="J367" t="s">
        <v>128</v>
      </c>
      <c r="K367">
        <v>413260</v>
      </c>
      <c r="L367" t="s">
        <v>846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594</v>
      </c>
      <c r="B368" t="s">
        <v>391</v>
      </c>
      <c r="C368" s="152">
        <v>1900</v>
      </c>
      <c r="D368" s="152">
        <v>1936</v>
      </c>
      <c r="E368" s="152">
        <v>3836</v>
      </c>
      <c r="F368" s="152">
        <v>48039854.374132797</v>
      </c>
      <c r="G368" s="152">
        <v>60732451.403570399</v>
      </c>
      <c r="H368" s="152">
        <v>108772305.777703</v>
      </c>
      <c r="I368" t="s">
        <v>806</v>
      </c>
      <c r="J368" t="s">
        <v>128</v>
      </c>
      <c r="K368">
        <v>178335</v>
      </c>
      <c r="L368" t="s">
        <v>925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138</v>
      </c>
      <c r="B369" t="s">
        <v>215</v>
      </c>
      <c r="C369" s="152">
        <v>1487</v>
      </c>
      <c r="D369" s="152">
        <v>2341</v>
      </c>
      <c r="E369" s="152">
        <v>3828</v>
      </c>
      <c r="F369" s="152">
        <v>24604254.967315398</v>
      </c>
      <c r="G369" s="152">
        <v>52295457.207800202</v>
      </c>
      <c r="H369" s="152">
        <v>76899712.1751156</v>
      </c>
      <c r="I369" t="s">
        <v>685</v>
      </c>
      <c r="J369" t="s">
        <v>127</v>
      </c>
      <c r="K369">
        <v>874271</v>
      </c>
      <c r="L369" t="s">
        <v>451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678</v>
      </c>
      <c r="B370" t="s">
        <v>346</v>
      </c>
      <c r="C370" s="152">
        <v>1619</v>
      </c>
      <c r="D370" s="152">
        <v>2187</v>
      </c>
      <c r="E370" s="152">
        <v>3806</v>
      </c>
      <c r="F370" s="152">
        <v>52600953.872571297</v>
      </c>
      <c r="G370" s="152">
        <v>87719845.518111393</v>
      </c>
      <c r="H370" s="152">
        <v>140320799.390683</v>
      </c>
      <c r="I370" t="s">
        <v>685</v>
      </c>
      <c r="J370" t="s">
        <v>128</v>
      </c>
      <c r="K370">
        <v>537639</v>
      </c>
      <c r="L370" t="s">
        <v>925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536</v>
      </c>
      <c r="B371" t="s">
        <v>30</v>
      </c>
      <c r="C371" s="152">
        <v>2045</v>
      </c>
      <c r="D371" s="152">
        <v>1754</v>
      </c>
      <c r="E371" s="152">
        <v>3799</v>
      </c>
      <c r="F371" s="152">
        <v>44818278.614065297</v>
      </c>
      <c r="G371" s="152">
        <v>54719907.853996798</v>
      </c>
      <c r="H371" s="152">
        <v>99538186.468062207</v>
      </c>
      <c r="I371" t="s">
        <v>806</v>
      </c>
      <c r="J371" t="s">
        <v>128</v>
      </c>
      <c r="K371">
        <v>361733</v>
      </c>
      <c r="L371" t="s">
        <v>901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282</v>
      </c>
      <c r="B372" t="s">
        <v>476</v>
      </c>
      <c r="C372" s="152">
        <v>1690</v>
      </c>
      <c r="D372" s="152">
        <v>2105</v>
      </c>
      <c r="E372" s="152">
        <v>3795</v>
      </c>
      <c r="F372" s="152">
        <v>32349778.661683701</v>
      </c>
      <c r="G372" s="152">
        <v>56237882.737620801</v>
      </c>
      <c r="H372" s="152">
        <v>88587661.399304494</v>
      </c>
      <c r="I372" t="s">
        <v>806</v>
      </c>
      <c r="J372" t="s">
        <v>127</v>
      </c>
      <c r="K372">
        <v>255836</v>
      </c>
      <c r="L372" t="s">
        <v>477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250</v>
      </c>
      <c r="B373" t="s">
        <v>260</v>
      </c>
      <c r="C373" s="152">
        <v>1548</v>
      </c>
      <c r="D373" s="152">
        <v>2214</v>
      </c>
      <c r="E373" s="152">
        <v>3762</v>
      </c>
      <c r="F373" s="152">
        <v>33914423.942381904</v>
      </c>
      <c r="G373" s="152">
        <v>60456665.817013599</v>
      </c>
      <c r="H373" s="152">
        <v>94371089.759395495</v>
      </c>
      <c r="I373" t="s">
        <v>685</v>
      </c>
      <c r="J373" t="s">
        <v>127</v>
      </c>
      <c r="K373">
        <v>147348</v>
      </c>
      <c r="L373" t="s">
        <v>807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291</v>
      </c>
      <c r="B374" t="s">
        <v>263</v>
      </c>
      <c r="C374" s="152">
        <v>1488</v>
      </c>
      <c r="D374" s="152">
        <v>2270</v>
      </c>
      <c r="E374" s="152">
        <v>3758</v>
      </c>
      <c r="F374" s="152">
        <v>19642922.5899725</v>
      </c>
      <c r="G374" s="152">
        <v>36810414.853232697</v>
      </c>
      <c r="H374" s="152">
        <v>56453337.443205297</v>
      </c>
      <c r="I374" t="s">
        <v>685</v>
      </c>
      <c r="J374" t="s">
        <v>127</v>
      </c>
      <c r="K374">
        <v>734434</v>
      </c>
      <c r="L374" t="s">
        <v>94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291</v>
      </c>
      <c r="B375" t="s">
        <v>292</v>
      </c>
      <c r="C375" s="152">
        <v>1655</v>
      </c>
      <c r="D375" s="152">
        <v>2069</v>
      </c>
      <c r="E375" s="152">
        <v>3724</v>
      </c>
      <c r="F375" s="152">
        <v>23726810.743716601</v>
      </c>
      <c r="G375" s="152">
        <v>37286252.213433698</v>
      </c>
      <c r="H375" s="152">
        <v>61013062.957150303</v>
      </c>
      <c r="I375" t="s">
        <v>685</v>
      </c>
      <c r="J375" t="s">
        <v>127</v>
      </c>
      <c r="K375">
        <v>543306</v>
      </c>
      <c r="L375" t="s">
        <v>94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314</v>
      </c>
      <c r="B376" t="s">
        <v>1023</v>
      </c>
      <c r="C376" s="152">
        <v>1682</v>
      </c>
      <c r="D376" s="152">
        <v>2038</v>
      </c>
      <c r="E376" s="152">
        <v>3720</v>
      </c>
      <c r="F376" s="152">
        <v>170429145.25809601</v>
      </c>
      <c r="G376" s="152">
        <v>233546212.20024201</v>
      </c>
      <c r="H376" s="152">
        <v>403975357.45833802</v>
      </c>
      <c r="I376" t="s">
        <v>806</v>
      </c>
      <c r="J376" t="s">
        <v>129</v>
      </c>
      <c r="K376">
        <v>558239</v>
      </c>
      <c r="L376" t="s">
        <v>726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138</v>
      </c>
      <c r="B377" t="s">
        <v>23</v>
      </c>
      <c r="C377" s="152">
        <v>1461</v>
      </c>
      <c r="D377" s="152">
        <v>2187</v>
      </c>
      <c r="E377" s="152">
        <v>3648</v>
      </c>
      <c r="F377" s="152">
        <v>14416300.228811201</v>
      </c>
      <c r="G377" s="152">
        <v>37218882.792442299</v>
      </c>
      <c r="H377" s="152">
        <v>51635183.021253496</v>
      </c>
      <c r="I377" t="s">
        <v>806</v>
      </c>
      <c r="J377" t="s">
        <v>127</v>
      </c>
      <c r="K377">
        <v>293498</v>
      </c>
      <c r="L377" t="s">
        <v>870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660</v>
      </c>
      <c r="B378" t="s">
        <v>662</v>
      </c>
      <c r="C378" s="152">
        <v>1804</v>
      </c>
      <c r="D378" s="152">
        <v>1844</v>
      </c>
      <c r="E378" s="152">
        <v>3648</v>
      </c>
      <c r="F378" s="152">
        <v>43143345.368813299</v>
      </c>
      <c r="G378" s="152">
        <v>57469098.149392098</v>
      </c>
      <c r="H378" s="152">
        <v>100612443.518205</v>
      </c>
      <c r="I378" t="s">
        <v>806</v>
      </c>
      <c r="J378" t="s">
        <v>128</v>
      </c>
      <c r="K378">
        <v>787382</v>
      </c>
      <c r="L378" t="s">
        <v>736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138</v>
      </c>
      <c r="B379" t="s">
        <v>143</v>
      </c>
      <c r="C379" s="152">
        <v>1402</v>
      </c>
      <c r="D379" s="152">
        <v>2199</v>
      </c>
      <c r="E379" s="152">
        <v>3601</v>
      </c>
      <c r="F379" s="152">
        <v>24668966.912279502</v>
      </c>
      <c r="G379" s="152">
        <v>49028588.489565</v>
      </c>
      <c r="H379" s="152">
        <v>73697555.401844501</v>
      </c>
      <c r="I379" t="s">
        <v>685</v>
      </c>
      <c r="J379" t="s">
        <v>127</v>
      </c>
      <c r="K379">
        <v>220186</v>
      </c>
      <c r="L379" t="s">
        <v>480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218</v>
      </c>
      <c r="B380" t="s">
        <v>933</v>
      </c>
      <c r="C380" s="152">
        <v>1126</v>
      </c>
      <c r="D380" s="152">
        <v>2459</v>
      </c>
      <c r="E380" s="152">
        <v>3585</v>
      </c>
      <c r="F380" s="152">
        <v>15053524.4314314</v>
      </c>
      <c r="G380" s="152">
        <v>35420610.698465399</v>
      </c>
      <c r="H380" s="152">
        <v>50474135.129896797</v>
      </c>
      <c r="I380" t="s">
        <v>685</v>
      </c>
      <c r="J380" t="s">
        <v>127</v>
      </c>
      <c r="K380">
        <v>851725</v>
      </c>
      <c r="L380" t="s">
        <v>817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381</v>
      </c>
      <c r="B381" t="s">
        <v>651</v>
      </c>
      <c r="C381" s="152">
        <v>1286</v>
      </c>
      <c r="D381" s="152">
        <v>2289</v>
      </c>
      <c r="E381" s="152">
        <v>3575</v>
      </c>
      <c r="F381" s="152">
        <v>23635971.6161368</v>
      </c>
      <c r="G381" s="152">
        <v>53776119.286409698</v>
      </c>
      <c r="H381" s="152">
        <v>77412090.902546406</v>
      </c>
      <c r="I381" t="s">
        <v>685</v>
      </c>
      <c r="J381" t="s">
        <v>127</v>
      </c>
      <c r="K381">
        <v>197632</v>
      </c>
      <c r="L381" t="s">
        <v>868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48</v>
      </c>
      <c r="B382" t="s">
        <v>75</v>
      </c>
      <c r="C382" s="152">
        <v>1921</v>
      </c>
      <c r="D382" s="152">
        <v>1648</v>
      </c>
      <c r="E382" s="152">
        <v>3569</v>
      </c>
      <c r="F382" s="152">
        <v>29216676.640907001</v>
      </c>
      <c r="G382" s="152">
        <v>29848434.063138701</v>
      </c>
      <c r="H382" s="152">
        <v>59065110.704045698</v>
      </c>
      <c r="I382" t="s">
        <v>806</v>
      </c>
      <c r="J382" t="s">
        <v>127</v>
      </c>
      <c r="K382">
        <v>914291</v>
      </c>
      <c r="L382" t="s">
        <v>182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98</v>
      </c>
      <c r="B383" t="s">
        <v>101</v>
      </c>
      <c r="C383" s="152">
        <v>1722</v>
      </c>
      <c r="D383" s="152">
        <v>1847</v>
      </c>
      <c r="E383" s="152">
        <v>3569</v>
      </c>
      <c r="F383" s="152">
        <v>33938219.332479</v>
      </c>
      <c r="G383" s="152">
        <v>43584486.163586304</v>
      </c>
      <c r="H383" s="152">
        <v>77522705.496065304</v>
      </c>
      <c r="I383" t="s">
        <v>806</v>
      </c>
      <c r="J383" t="s">
        <v>127</v>
      </c>
      <c r="K383">
        <v>556589</v>
      </c>
      <c r="L383" t="s">
        <v>846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841</v>
      </c>
      <c r="B384" t="s">
        <v>124</v>
      </c>
      <c r="C384" s="152">
        <v>1642</v>
      </c>
      <c r="D384" s="152">
        <v>1917</v>
      </c>
      <c r="E384" s="152">
        <v>3559</v>
      </c>
      <c r="F384" s="152">
        <v>126520858.0228029</v>
      </c>
      <c r="G384" s="152">
        <v>170054740.351767</v>
      </c>
      <c r="H384" s="152">
        <v>296575598.37457001</v>
      </c>
      <c r="I384" t="s">
        <v>806</v>
      </c>
      <c r="J384" t="s">
        <v>129</v>
      </c>
      <c r="K384">
        <v>2</v>
      </c>
      <c r="L384" t="s">
        <v>748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152</v>
      </c>
      <c r="B385" t="s">
        <v>1032</v>
      </c>
      <c r="C385" s="152">
        <v>1256</v>
      </c>
      <c r="D385" s="152">
        <v>2228</v>
      </c>
      <c r="E385" s="152">
        <v>3484</v>
      </c>
      <c r="F385" s="152">
        <v>143331706.02924401</v>
      </c>
      <c r="G385" s="152">
        <v>278059249.45383197</v>
      </c>
      <c r="H385" s="152">
        <v>421390955.48307598</v>
      </c>
      <c r="I385" t="s">
        <v>806</v>
      </c>
      <c r="J385" t="s">
        <v>127</v>
      </c>
      <c r="K385">
        <v>339002</v>
      </c>
      <c r="L385" t="s">
        <v>846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152</v>
      </c>
      <c r="B386" t="s">
        <v>399</v>
      </c>
      <c r="C386" s="152">
        <v>2090</v>
      </c>
      <c r="D386" s="152">
        <v>1380</v>
      </c>
      <c r="E386" s="152">
        <v>3470</v>
      </c>
      <c r="F386" s="152">
        <v>33487577.584632199</v>
      </c>
      <c r="G386" s="152">
        <v>26959251.069217201</v>
      </c>
      <c r="H386" s="152">
        <v>60446828.653849401</v>
      </c>
      <c r="I386" t="s">
        <v>806</v>
      </c>
      <c r="J386" t="s">
        <v>127</v>
      </c>
      <c r="K386">
        <v>520759</v>
      </c>
      <c r="L386" t="s">
        <v>846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800</v>
      </c>
      <c r="B387" t="s">
        <v>37</v>
      </c>
      <c r="C387" s="152">
        <v>1566</v>
      </c>
      <c r="D387" s="152">
        <v>1835</v>
      </c>
      <c r="E387" s="152">
        <v>3401</v>
      </c>
      <c r="F387" s="152">
        <v>34011975.9993622</v>
      </c>
      <c r="G387" s="152">
        <v>51120670.082790703</v>
      </c>
      <c r="H387" s="152">
        <v>85132646.082153007</v>
      </c>
      <c r="I387" t="s">
        <v>806</v>
      </c>
      <c r="J387" t="s">
        <v>127</v>
      </c>
      <c r="K387">
        <v>484980</v>
      </c>
      <c r="L387" t="s">
        <v>36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314</v>
      </c>
      <c r="B388" t="s">
        <v>608</v>
      </c>
      <c r="C388" s="152">
        <v>1735</v>
      </c>
      <c r="D388" s="152">
        <v>1623</v>
      </c>
      <c r="E388" s="152">
        <v>3358</v>
      </c>
      <c r="F388" s="152">
        <v>29348369.109335501</v>
      </c>
      <c r="G388" s="152">
        <v>33586897.676911503</v>
      </c>
      <c r="H388" s="152">
        <v>62935266.786247</v>
      </c>
      <c r="I388" t="s">
        <v>685</v>
      </c>
      <c r="J388" t="s">
        <v>129</v>
      </c>
      <c r="K388">
        <v>302760</v>
      </c>
      <c r="L388" t="s">
        <v>813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306</v>
      </c>
      <c r="B389" t="s">
        <v>130</v>
      </c>
      <c r="C389" s="152">
        <v>2206</v>
      </c>
      <c r="D389" s="152">
        <v>1108</v>
      </c>
      <c r="E389" s="152">
        <v>3314</v>
      </c>
      <c r="F389" s="152">
        <v>122089257.959782</v>
      </c>
      <c r="G389" s="152">
        <v>59361771.8831525</v>
      </c>
      <c r="H389" s="152">
        <v>181451029.84293401</v>
      </c>
      <c r="I389" t="s">
        <v>806</v>
      </c>
      <c r="J389" t="s">
        <v>129</v>
      </c>
      <c r="K389">
        <v>121780</v>
      </c>
      <c r="L389" t="s">
        <v>182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678</v>
      </c>
      <c r="B390" t="s">
        <v>674</v>
      </c>
      <c r="C390" s="152">
        <v>1571</v>
      </c>
      <c r="D390" s="152">
        <v>1629</v>
      </c>
      <c r="E390" s="152">
        <v>3200</v>
      </c>
      <c r="F390" s="152">
        <v>34928700.958527103</v>
      </c>
      <c r="G390" s="152">
        <v>45126989.064478502</v>
      </c>
      <c r="H390" s="152">
        <v>80055690.023005605</v>
      </c>
      <c r="I390" t="s">
        <v>685</v>
      </c>
      <c r="J390" t="s">
        <v>128</v>
      </c>
      <c r="K390">
        <v>252296</v>
      </c>
      <c r="L390" t="s">
        <v>851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168</v>
      </c>
      <c r="B391" t="s">
        <v>644</v>
      </c>
      <c r="C391" s="152">
        <v>1243</v>
      </c>
      <c r="D391" s="152">
        <v>1943</v>
      </c>
      <c r="E391" s="152">
        <v>3186</v>
      </c>
      <c r="F391" s="152">
        <v>21958715.089883499</v>
      </c>
      <c r="G391" s="152">
        <v>41247182.651106797</v>
      </c>
      <c r="H391" s="152">
        <v>63205897.740990303</v>
      </c>
      <c r="I391" t="s">
        <v>685</v>
      </c>
      <c r="J391" t="s">
        <v>127</v>
      </c>
      <c r="K391">
        <v>232991</v>
      </c>
      <c r="L391" t="s">
        <v>464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594</v>
      </c>
      <c r="B392" t="s">
        <v>602</v>
      </c>
      <c r="C392" s="152">
        <v>1558</v>
      </c>
      <c r="D392" s="152">
        <v>1618</v>
      </c>
      <c r="E392" s="152">
        <v>3176</v>
      </c>
      <c r="F392" s="152">
        <v>47443189.882894099</v>
      </c>
      <c r="G392" s="152">
        <v>68435917.569581896</v>
      </c>
      <c r="H392" s="152">
        <v>115879107.45247599</v>
      </c>
      <c r="I392" t="s">
        <v>806</v>
      </c>
      <c r="J392" t="s">
        <v>128</v>
      </c>
      <c r="K392">
        <v>112755</v>
      </c>
      <c r="L392" t="s">
        <v>727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138</v>
      </c>
      <c r="B393" t="s">
        <v>150</v>
      </c>
      <c r="C393" s="152">
        <v>1348</v>
      </c>
      <c r="D393" s="152">
        <v>1808</v>
      </c>
      <c r="E393" s="152">
        <v>3156</v>
      </c>
      <c r="F393" s="152">
        <v>24402488.120073099</v>
      </c>
      <c r="G393" s="152">
        <v>42856485.519645497</v>
      </c>
      <c r="H393" s="152">
        <v>67258973.639718503</v>
      </c>
      <c r="I393" t="s">
        <v>806</v>
      </c>
      <c r="J393" t="s">
        <v>127</v>
      </c>
      <c r="K393">
        <v>385401</v>
      </c>
      <c r="L393" t="s">
        <v>751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536</v>
      </c>
      <c r="B394" t="s">
        <v>389</v>
      </c>
      <c r="C394" s="152">
        <v>1675</v>
      </c>
      <c r="D394" s="152">
        <v>1464</v>
      </c>
      <c r="E394" s="152">
        <v>3139</v>
      </c>
      <c r="F394" s="152">
        <v>36678809.291500002</v>
      </c>
      <c r="G394" s="152">
        <v>43670803.731912002</v>
      </c>
      <c r="H394" s="152">
        <v>80349613.023412004</v>
      </c>
      <c r="I394" t="s">
        <v>806</v>
      </c>
      <c r="J394" t="s">
        <v>128</v>
      </c>
      <c r="K394">
        <v>308908</v>
      </c>
      <c r="L394" t="s">
        <v>724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152</v>
      </c>
      <c r="B395" t="s">
        <v>293</v>
      </c>
      <c r="C395" s="152">
        <v>1688</v>
      </c>
      <c r="D395" s="152">
        <v>1450</v>
      </c>
      <c r="E395" s="152">
        <v>3138</v>
      </c>
      <c r="F395" s="152">
        <v>23811539.789962798</v>
      </c>
      <c r="G395" s="152">
        <v>25966373.899264202</v>
      </c>
      <c r="H395" s="152">
        <v>49777913.689227097</v>
      </c>
      <c r="I395" t="s">
        <v>685</v>
      </c>
      <c r="J395" t="s">
        <v>127</v>
      </c>
      <c r="K395">
        <v>435818</v>
      </c>
      <c r="L395" t="s">
        <v>94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237</v>
      </c>
      <c r="B396" t="s">
        <v>445</v>
      </c>
      <c r="C396" s="152">
        <v>1480</v>
      </c>
      <c r="D396" s="152">
        <v>1630</v>
      </c>
      <c r="E396" s="152">
        <v>3110</v>
      </c>
      <c r="F396" s="152">
        <v>10697196.0189141</v>
      </c>
      <c r="G396" s="152">
        <v>16207243.964410899</v>
      </c>
      <c r="H396" s="152">
        <v>26904439.983325001</v>
      </c>
      <c r="I396" t="s">
        <v>685</v>
      </c>
      <c r="J396" t="s">
        <v>127</v>
      </c>
      <c r="K396">
        <v>908038</v>
      </c>
      <c r="L396" t="s">
        <v>19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250</v>
      </c>
      <c r="B397" t="s">
        <v>272</v>
      </c>
      <c r="C397" s="152">
        <v>1450</v>
      </c>
      <c r="D397" s="152">
        <v>1649</v>
      </c>
      <c r="E397" s="152">
        <v>3099</v>
      </c>
      <c r="F397" s="152">
        <v>30791332.694022302</v>
      </c>
      <c r="G397" s="152">
        <v>39890025.0107513</v>
      </c>
      <c r="H397" s="152">
        <v>70681357.704773694</v>
      </c>
      <c r="I397" t="s">
        <v>685</v>
      </c>
      <c r="J397" t="s">
        <v>127</v>
      </c>
      <c r="K397">
        <v>182584</v>
      </c>
      <c r="L397" t="s">
        <v>271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314</v>
      </c>
      <c r="B398" t="s">
        <v>1095</v>
      </c>
      <c r="C398" s="152">
        <v>1362</v>
      </c>
      <c r="D398" s="152">
        <v>1729</v>
      </c>
      <c r="E398" s="152">
        <v>3091</v>
      </c>
      <c r="F398" s="152">
        <v>127018934.84709699</v>
      </c>
      <c r="G398" s="152">
        <v>194202186.841048</v>
      </c>
      <c r="H398" s="152">
        <v>321221121.68814498</v>
      </c>
      <c r="I398" t="s">
        <v>685</v>
      </c>
      <c r="J398" t="s">
        <v>129</v>
      </c>
      <c r="K398">
        <v>999110</v>
      </c>
      <c r="L398" t="s">
        <v>411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306</v>
      </c>
      <c r="B399" t="s">
        <v>338</v>
      </c>
      <c r="C399" s="152">
        <v>1528</v>
      </c>
      <c r="D399" s="152">
        <v>1516</v>
      </c>
      <c r="E399" s="152">
        <v>3044</v>
      </c>
      <c r="F399" s="152">
        <v>37127273.937089503</v>
      </c>
      <c r="G399" s="152">
        <v>46063506.882631399</v>
      </c>
      <c r="H399" s="152">
        <v>83190780.819720894</v>
      </c>
      <c r="I399" t="s">
        <v>685</v>
      </c>
      <c r="J399" t="s">
        <v>129</v>
      </c>
      <c r="K399">
        <v>159509</v>
      </c>
      <c r="L399" t="s">
        <v>925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382</v>
      </c>
      <c r="B400" t="s">
        <v>414</v>
      </c>
      <c r="C400" s="152">
        <v>1312</v>
      </c>
      <c r="D400" s="152">
        <v>1697</v>
      </c>
      <c r="E400" s="152">
        <v>3009</v>
      </c>
      <c r="F400" s="152">
        <v>21048808.507022399</v>
      </c>
      <c r="G400" s="152">
        <v>38250776.289963797</v>
      </c>
      <c r="H400" s="152">
        <v>59299584.7969862</v>
      </c>
      <c r="I400" t="s">
        <v>685</v>
      </c>
      <c r="J400" t="s">
        <v>127</v>
      </c>
      <c r="K400">
        <v>473231</v>
      </c>
      <c r="L400" t="s">
        <v>848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594</v>
      </c>
      <c r="B401" t="s">
        <v>192</v>
      </c>
      <c r="C401" s="152">
        <v>1663</v>
      </c>
      <c r="D401" s="152">
        <v>1314</v>
      </c>
      <c r="E401" s="152">
        <v>2977</v>
      </c>
      <c r="F401" s="152">
        <v>35773488.815736704</v>
      </c>
      <c r="G401" s="152">
        <v>36888947.522826202</v>
      </c>
      <c r="H401" s="152">
        <v>72662436.338562801</v>
      </c>
      <c r="I401" t="s">
        <v>806</v>
      </c>
      <c r="J401" t="s">
        <v>128</v>
      </c>
      <c r="K401">
        <v>804443</v>
      </c>
      <c r="L401" t="s">
        <v>191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382</v>
      </c>
      <c r="B402" t="s">
        <v>872</v>
      </c>
      <c r="C402" s="152">
        <v>1052</v>
      </c>
      <c r="D402" s="152">
        <v>1809</v>
      </c>
      <c r="E402" s="152">
        <v>2861</v>
      </c>
      <c r="F402" s="152">
        <v>17557118.034309</v>
      </c>
      <c r="G402" s="152">
        <v>39463012.522251502</v>
      </c>
      <c r="H402" s="152">
        <v>57020130.556560501</v>
      </c>
      <c r="I402" t="s">
        <v>806</v>
      </c>
      <c r="J402" t="s">
        <v>127</v>
      </c>
      <c r="K402">
        <v>649491</v>
      </c>
      <c r="L402" t="s">
        <v>870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314</v>
      </c>
      <c r="B403" t="s">
        <v>951</v>
      </c>
      <c r="C403" s="152">
        <v>1395</v>
      </c>
      <c r="D403" s="152">
        <v>1465</v>
      </c>
      <c r="E403" s="152">
        <v>2860</v>
      </c>
      <c r="F403" s="152">
        <v>114601053.44207899</v>
      </c>
      <c r="G403" s="152">
        <v>144442854.093674</v>
      </c>
      <c r="H403" s="152">
        <v>259043907.535754</v>
      </c>
      <c r="I403" t="s">
        <v>685</v>
      </c>
      <c r="J403" t="s">
        <v>129</v>
      </c>
      <c r="K403">
        <v>539460</v>
      </c>
      <c r="L403" t="s">
        <v>952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152</v>
      </c>
      <c r="B404" t="s">
        <v>401</v>
      </c>
      <c r="C404" s="152">
        <v>720</v>
      </c>
      <c r="D404" s="152">
        <v>2135</v>
      </c>
      <c r="E404" s="152">
        <v>2855</v>
      </c>
      <c r="F404" s="152">
        <v>7858141.8510042196</v>
      </c>
      <c r="G404" s="152">
        <v>25810219.383997899</v>
      </c>
      <c r="H404" s="152">
        <v>33668361.2350021</v>
      </c>
      <c r="I404" t="s">
        <v>685</v>
      </c>
      <c r="J404" t="s">
        <v>127</v>
      </c>
      <c r="K404">
        <v>118000</v>
      </c>
      <c r="L404" t="s">
        <v>63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381</v>
      </c>
      <c r="B405" t="s">
        <v>149</v>
      </c>
      <c r="C405" s="152">
        <v>1144</v>
      </c>
      <c r="D405" s="152">
        <v>1705</v>
      </c>
      <c r="E405" s="152">
        <v>2849</v>
      </c>
      <c r="F405" s="152">
        <v>18329526.867420699</v>
      </c>
      <c r="G405" s="152">
        <v>35518123.937655702</v>
      </c>
      <c r="H405" s="152">
        <v>53847650.805076398</v>
      </c>
      <c r="I405" t="s">
        <v>685</v>
      </c>
      <c r="J405" t="s">
        <v>127</v>
      </c>
      <c r="K405">
        <v>908806</v>
      </c>
      <c r="L405" t="s">
        <v>94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168</v>
      </c>
      <c r="B406" t="s">
        <v>187</v>
      </c>
      <c r="C406" s="152">
        <v>1239</v>
      </c>
      <c r="D406" s="152">
        <v>1609</v>
      </c>
      <c r="E406" s="152">
        <v>2848</v>
      </c>
      <c r="F406" s="152">
        <v>24159709.1690065</v>
      </c>
      <c r="G406" s="152">
        <v>38218957.0875865</v>
      </c>
      <c r="H406" s="152">
        <v>62378666.256592996</v>
      </c>
      <c r="I406" t="s">
        <v>806</v>
      </c>
      <c r="J406" t="s">
        <v>127</v>
      </c>
      <c r="K406">
        <v>206250</v>
      </c>
      <c r="L406" t="s">
        <v>751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102</v>
      </c>
      <c r="B407" t="s">
        <v>107</v>
      </c>
      <c r="C407" s="152">
        <v>1247</v>
      </c>
      <c r="D407" s="152">
        <v>1573</v>
      </c>
      <c r="E407" s="152">
        <v>2820</v>
      </c>
      <c r="F407" s="152">
        <v>16349797.1670726</v>
      </c>
      <c r="G407" s="152">
        <v>24836769.560750201</v>
      </c>
      <c r="H407" s="152">
        <v>41186566.727822803</v>
      </c>
      <c r="I407" t="s">
        <v>685</v>
      </c>
      <c r="J407" t="s">
        <v>127</v>
      </c>
      <c r="K407">
        <v>507475</v>
      </c>
      <c r="L407" t="s">
        <v>94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664</v>
      </c>
      <c r="B408" t="s">
        <v>677</v>
      </c>
      <c r="C408" s="152">
        <v>1387</v>
      </c>
      <c r="D408" s="152">
        <v>1424</v>
      </c>
      <c r="E408" s="152">
        <v>2811</v>
      </c>
      <c r="F408" s="152">
        <v>24858598.408615101</v>
      </c>
      <c r="G408" s="152">
        <v>30738953.708038401</v>
      </c>
      <c r="H408" s="152">
        <v>55597552.116653502</v>
      </c>
      <c r="I408" t="s">
        <v>685</v>
      </c>
      <c r="J408" t="s">
        <v>128</v>
      </c>
      <c r="K408">
        <v>587634</v>
      </c>
      <c r="L408" t="s">
        <v>63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776</v>
      </c>
      <c r="B409" t="s">
        <v>778</v>
      </c>
      <c r="C409" s="152">
        <v>1120</v>
      </c>
      <c r="D409" s="152">
        <v>1578</v>
      </c>
      <c r="E409" s="152">
        <v>2698</v>
      </c>
      <c r="F409" s="152">
        <v>27743511.5777083</v>
      </c>
      <c r="G409" s="152">
        <v>47862112.937363602</v>
      </c>
      <c r="H409" s="152">
        <v>75605624.515071899</v>
      </c>
      <c r="I409" t="s">
        <v>806</v>
      </c>
      <c r="J409" t="s">
        <v>127</v>
      </c>
      <c r="K409">
        <v>103606</v>
      </c>
      <c r="L409" t="s">
        <v>732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138</v>
      </c>
      <c r="B410" t="s">
        <v>649</v>
      </c>
      <c r="C410" s="152">
        <v>975</v>
      </c>
      <c r="D410" s="152">
        <v>1692</v>
      </c>
      <c r="E410" s="152">
        <v>2667</v>
      </c>
      <c r="F410" s="152">
        <v>18337734.755654</v>
      </c>
      <c r="G410" s="152">
        <v>40942177.955770999</v>
      </c>
      <c r="H410" s="152">
        <v>59279912.711424999</v>
      </c>
      <c r="I410" t="s">
        <v>685</v>
      </c>
      <c r="J410" t="s">
        <v>127</v>
      </c>
      <c r="K410">
        <v>233460</v>
      </c>
      <c r="L410" t="s">
        <v>868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723</v>
      </c>
      <c r="B411" t="s">
        <v>902</v>
      </c>
      <c r="C411" s="152">
        <v>1381</v>
      </c>
      <c r="D411" s="152">
        <v>1261</v>
      </c>
      <c r="E411" s="152">
        <v>2642</v>
      </c>
      <c r="F411" s="152">
        <v>33349338.7421006</v>
      </c>
      <c r="G411" s="152">
        <v>38541115.353316002</v>
      </c>
      <c r="H411" s="152">
        <v>71890454.095416605</v>
      </c>
      <c r="I411" t="s">
        <v>806</v>
      </c>
      <c r="J411" t="s">
        <v>127</v>
      </c>
      <c r="K411">
        <v>184416</v>
      </c>
      <c r="L411" t="s">
        <v>727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381</v>
      </c>
      <c r="B412" t="s">
        <v>912</v>
      </c>
      <c r="C412" s="152">
        <v>1004</v>
      </c>
      <c r="D412" s="152">
        <v>1627</v>
      </c>
      <c r="E412" s="152">
        <v>2631</v>
      </c>
      <c r="F412" s="152">
        <v>18853468.0688367</v>
      </c>
      <c r="G412" s="152">
        <v>42076925.914579697</v>
      </c>
      <c r="H412" s="152">
        <v>60930393.983416401</v>
      </c>
      <c r="I412" t="s">
        <v>685</v>
      </c>
      <c r="J412" t="s">
        <v>127</v>
      </c>
      <c r="K412">
        <v>425892</v>
      </c>
      <c r="L412" t="s">
        <v>729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362</v>
      </c>
      <c r="B413" t="s">
        <v>882</v>
      </c>
      <c r="C413" s="152">
        <v>1458</v>
      </c>
      <c r="D413" s="152">
        <v>1162</v>
      </c>
      <c r="E413" s="152">
        <v>2620</v>
      </c>
      <c r="F413" s="152">
        <v>77003030.093291298</v>
      </c>
      <c r="G413" s="152">
        <v>66987067.843874</v>
      </c>
      <c r="H413" s="152">
        <v>143990097.93716499</v>
      </c>
      <c r="I413" t="s">
        <v>685</v>
      </c>
      <c r="J413" t="s">
        <v>131</v>
      </c>
      <c r="K413">
        <v>819433</v>
      </c>
      <c r="L413" t="s">
        <v>729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723</v>
      </c>
      <c r="B414" t="s">
        <v>757</v>
      </c>
      <c r="C414" s="152">
        <v>1108</v>
      </c>
      <c r="D414" s="152">
        <v>1467</v>
      </c>
      <c r="E414" s="152">
        <v>2575</v>
      </c>
      <c r="F414" s="152">
        <v>25153595.806510899</v>
      </c>
      <c r="G414" s="152">
        <v>41061458.398157299</v>
      </c>
      <c r="H414" s="152">
        <v>66215054.204668202</v>
      </c>
      <c r="I414" t="s">
        <v>806</v>
      </c>
      <c r="J414" t="s">
        <v>127</v>
      </c>
      <c r="K414">
        <v>170423</v>
      </c>
      <c r="L414" t="s">
        <v>756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138</v>
      </c>
      <c r="B415" t="s">
        <v>140</v>
      </c>
      <c r="C415" s="152">
        <v>1090</v>
      </c>
      <c r="D415" s="152">
        <v>1484</v>
      </c>
      <c r="E415" s="152">
        <v>2574</v>
      </c>
      <c r="F415" s="152">
        <v>19859490.998826101</v>
      </c>
      <c r="G415" s="152">
        <v>35396228.509187602</v>
      </c>
      <c r="H415" s="152">
        <v>55255719.508013703</v>
      </c>
      <c r="I415" t="s">
        <v>685</v>
      </c>
      <c r="J415" t="s">
        <v>127</v>
      </c>
      <c r="K415">
        <v>477729</v>
      </c>
      <c r="L415" t="s">
        <v>368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250</v>
      </c>
      <c r="B416" t="s">
        <v>262</v>
      </c>
      <c r="C416" s="152">
        <v>1033</v>
      </c>
      <c r="D416" s="152">
        <v>1490</v>
      </c>
      <c r="E416" s="152">
        <v>2523</v>
      </c>
      <c r="F416" s="152">
        <v>22208931.1470998</v>
      </c>
      <c r="G416" s="152">
        <v>38029958.8143325</v>
      </c>
      <c r="H416" s="152">
        <v>60238889.961432301</v>
      </c>
      <c r="I416" t="s">
        <v>685</v>
      </c>
      <c r="J416" t="s">
        <v>127</v>
      </c>
      <c r="K416">
        <v>821389</v>
      </c>
      <c r="L416" t="s">
        <v>807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92</v>
      </c>
      <c r="B417" t="s">
        <v>337</v>
      </c>
      <c r="C417" s="152">
        <v>903</v>
      </c>
      <c r="D417" s="152">
        <v>1563</v>
      </c>
      <c r="E417" s="152">
        <v>2466</v>
      </c>
      <c r="F417" s="152">
        <v>10911311.683797801</v>
      </c>
      <c r="G417" s="152">
        <v>23954097.829231001</v>
      </c>
      <c r="H417" s="152">
        <v>34865409.5130288</v>
      </c>
      <c r="I417" t="s">
        <v>685</v>
      </c>
      <c r="J417" t="s">
        <v>127</v>
      </c>
      <c r="K417">
        <v>125856</v>
      </c>
      <c r="L417" t="s">
        <v>868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536</v>
      </c>
      <c r="B418" t="s">
        <v>539</v>
      </c>
      <c r="C418" s="152">
        <v>958</v>
      </c>
      <c r="D418" s="152">
        <v>1492</v>
      </c>
      <c r="E418" s="152">
        <v>2450</v>
      </c>
      <c r="F418" s="152">
        <v>36145082.335071102</v>
      </c>
      <c r="G418" s="152">
        <v>80195361.443266094</v>
      </c>
      <c r="H418" s="152">
        <v>116340443.778337</v>
      </c>
      <c r="I418" t="s">
        <v>806</v>
      </c>
      <c r="J418" t="s">
        <v>128</v>
      </c>
      <c r="K418">
        <v>294918</v>
      </c>
      <c r="L418" t="s">
        <v>736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314</v>
      </c>
      <c r="B419" t="s">
        <v>839</v>
      </c>
      <c r="C419" s="152">
        <v>1274</v>
      </c>
      <c r="D419" s="152">
        <v>1171</v>
      </c>
      <c r="E419" s="152">
        <v>2445</v>
      </c>
      <c r="F419" s="152">
        <v>20472305.476982102</v>
      </c>
      <c r="G419" s="152">
        <v>22376724.197022501</v>
      </c>
      <c r="H419" s="152">
        <v>42849029.674004599</v>
      </c>
      <c r="I419" t="s">
        <v>685</v>
      </c>
      <c r="J419" t="s">
        <v>129</v>
      </c>
      <c r="K419">
        <v>996348</v>
      </c>
      <c r="L419" t="s">
        <v>838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152</v>
      </c>
      <c r="B420" t="s">
        <v>1010</v>
      </c>
      <c r="C420" s="152">
        <v>1043</v>
      </c>
      <c r="D420" s="152">
        <v>1390</v>
      </c>
      <c r="E420" s="152">
        <v>2433</v>
      </c>
      <c r="F420" s="152">
        <v>14932680.0524655</v>
      </c>
      <c r="G420" s="152">
        <v>25740428.943688001</v>
      </c>
      <c r="H420" s="152">
        <v>40673108.996153504</v>
      </c>
      <c r="I420" t="s">
        <v>685</v>
      </c>
      <c r="J420" t="s">
        <v>127</v>
      </c>
      <c r="K420">
        <v>503573</v>
      </c>
      <c r="L420" t="s">
        <v>1004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536</v>
      </c>
      <c r="B421" t="s">
        <v>390</v>
      </c>
      <c r="C421" s="152">
        <v>1173</v>
      </c>
      <c r="D421" s="152">
        <v>1243</v>
      </c>
      <c r="E421" s="152">
        <v>2416</v>
      </c>
      <c r="F421" s="152">
        <v>42653684.665633</v>
      </c>
      <c r="G421" s="152">
        <v>59225609.1251771</v>
      </c>
      <c r="H421" s="152">
        <v>101879293.79081</v>
      </c>
      <c r="I421" t="s">
        <v>806</v>
      </c>
      <c r="J421" t="s">
        <v>128</v>
      </c>
      <c r="K421">
        <v>214163</v>
      </c>
      <c r="L421" t="s">
        <v>925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152</v>
      </c>
      <c r="B422" t="s">
        <v>156</v>
      </c>
      <c r="C422" s="152">
        <v>1368</v>
      </c>
      <c r="D422" s="152">
        <v>1033</v>
      </c>
      <c r="E422" s="152">
        <v>2401</v>
      </c>
      <c r="F422" s="152">
        <v>20880583.736509498</v>
      </c>
      <c r="G422" s="152">
        <v>20654885.987870801</v>
      </c>
      <c r="H422" s="152">
        <v>41535469.724380396</v>
      </c>
      <c r="I422" t="s">
        <v>806</v>
      </c>
      <c r="J422" t="s">
        <v>127</v>
      </c>
      <c r="K422">
        <v>522581</v>
      </c>
      <c r="L422" t="s">
        <v>751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362</v>
      </c>
      <c r="B423" t="s">
        <v>883</v>
      </c>
      <c r="C423" s="152">
        <v>1440</v>
      </c>
      <c r="D423" s="152">
        <v>933</v>
      </c>
      <c r="E423" s="152">
        <v>2373</v>
      </c>
      <c r="F423" s="152">
        <v>79881995.710819498</v>
      </c>
      <c r="G423" s="152">
        <v>57083989.884421498</v>
      </c>
      <c r="H423" s="152">
        <v>136965985.59524101</v>
      </c>
      <c r="I423" t="s">
        <v>685</v>
      </c>
      <c r="J423" t="s">
        <v>131</v>
      </c>
      <c r="K423">
        <v>855262</v>
      </c>
      <c r="L423" t="s">
        <v>729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678</v>
      </c>
      <c r="B424" t="s">
        <v>463</v>
      </c>
      <c r="C424" s="152">
        <v>1042</v>
      </c>
      <c r="D424" s="152">
        <v>1316</v>
      </c>
      <c r="E424" s="152">
        <v>2358</v>
      </c>
      <c r="F424" s="152">
        <v>27082884.042225901</v>
      </c>
      <c r="G424" s="152">
        <v>38851280.3670054</v>
      </c>
      <c r="H424" s="152">
        <v>65934164.409231298</v>
      </c>
      <c r="I424" t="s">
        <v>685</v>
      </c>
      <c r="J424" t="s">
        <v>128</v>
      </c>
      <c r="K424">
        <v>959098</v>
      </c>
      <c r="L424" t="s">
        <v>819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48</v>
      </c>
      <c r="B425" t="s">
        <v>957</v>
      </c>
      <c r="C425" s="152">
        <v>1266</v>
      </c>
      <c r="D425" s="152">
        <v>1084</v>
      </c>
      <c r="E425" s="152">
        <v>2350</v>
      </c>
      <c r="F425" s="152">
        <v>16204652.2639855</v>
      </c>
      <c r="G425" s="152">
        <v>17429028.752338398</v>
      </c>
      <c r="H425" s="152">
        <v>33633681.016323797</v>
      </c>
      <c r="I425" t="s">
        <v>685</v>
      </c>
      <c r="J425" t="s">
        <v>127</v>
      </c>
      <c r="K425">
        <v>571695</v>
      </c>
      <c r="L425" t="s">
        <v>907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509</v>
      </c>
      <c r="B426" t="s">
        <v>881</v>
      </c>
      <c r="C426" s="152">
        <v>1239</v>
      </c>
      <c r="D426" s="152">
        <v>1107</v>
      </c>
      <c r="E426" s="152">
        <v>2346</v>
      </c>
      <c r="F426" s="152">
        <v>54802655.249730803</v>
      </c>
      <c r="G426" s="152">
        <v>55335091.031396002</v>
      </c>
      <c r="H426" s="152">
        <v>110137746.28112701</v>
      </c>
      <c r="I426" t="s">
        <v>685</v>
      </c>
      <c r="J426" t="s">
        <v>131</v>
      </c>
      <c r="K426">
        <v>783605</v>
      </c>
      <c r="L426" t="s">
        <v>729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152</v>
      </c>
      <c r="B427" t="s">
        <v>812</v>
      </c>
      <c r="C427" s="152">
        <v>1049</v>
      </c>
      <c r="D427" s="152">
        <v>1258</v>
      </c>
      <c r="E427" s="152">
        <v>2307</v>
      </c>
      <c r="F427" s="152">
        <v>18173345.033891</v>
      </c>
      <c r="G427" s="152">
        <v>26150562.937132102</v>
      </c>
      <c r="H427" s="152">
        <v>44323907.971023098</v>
      </c>
      <c r="I427" t="s">
        <v>685</v>
      </c>
      <c r="J427" t="s">
        <v>127</v>
      </c>
      <c r="K427">
        <v>985895</v>
      </c>
      <c r="L427" t="s">
        <v>63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152</v>
      </c>
      <c r="B428" t="s">
        <v>768</v>
      </c>
      <c r="C428" s="152">
        <v>1098</v>
      </c>
      <c r="D428" s="152">
        <v>1203</v>
      </c>
      <c r="E428" s="152">
        <v>2301</v>
      </c>
      <c r="F428" s="152">
        <v>17343197.264605202</v>
      </c>
      <c r="G428" s="152">
        <v>23148981.510287698</v>
      </c>
      <c r="H428" s="152">
        <v>40492178.774892896</v>
      </c>
      <c r="I428" t="s">
        <v>685</v>
      </c>
      <c r="J428" t="s">
        <v>127</v>
      </c>
      <c r="K428">
        <v>532325</v>
      </c>
      <c r="L428" t="s">
        <v>856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218</v>
      </c>
      <c r="B429" t="s">
        <v>234</v>
      </c>
      <c r="C429" s="152">
        <v>1012</v>
      </c>
      <c r="D429" s="152">
        <v>1262</v>
      </c>
      <c r="E429" s="152">
        <v>2274</v>
      </c>
      <c r="F429" s="152">
        <v>14318098.6842569</v>
      </c>
      <c r="G429" s="152">
        <v>22828104.053766798</v>
      </c>
      <c r="H429" s="152">
        <v>37146202.738023803</v>
      </c>
      <c r="I429" t="s">
        <v>806</v>
      </c>
      <c r="J429" t="s">
        <v>127</v>
      </c>
      <c r="K429">
        <v>286948</v>
      </c>
      <c r="L429" t="s">
        <v>36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138</v>
      </c>
      <c r="B430" t="s">
        <v>145</v>
      </c>
      <c r="C430" s="152">
        <v>923</v>
      </c>
      <c r="D430" s="152">
        <v>1338</v>
      </c>
      <c r="E430" s="152">
        <v>2261</v>
      </c>
      <c r="F430" s="152">
        <v>20990353.553705901</v>
      </c>
      <c r="G430" s="152">
        <v>38143246.193216398</v>
      </c>
      <c r="H430" s="152">
        <v>59133599.746922299</v>
      </c>
      <c r="I430" t="s">
        <v>685</v>
      </c>
      <c r="J430" t="s">
        <v>127</v>
      </c>
      <c r="K430">
        <v>401810</v>
      </c>
      <c r="L430" t="s">
        <v>811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152</v>
      </c>
      <c r="B431" t="s">
        <v>334</v>
      </c>
      <c r="C431" s="152">
        <v>978</v>
      </c>
      <c r="D431" s="152">
        <v>1280</v>
      </c>
      <c r="E431" s="152">
        <v>2258</v>
      </c>
      <c r="F431" s="152">
        <v>14248215.742900399</v>
      </c>
      <c r="G431" s="152">
        <v>21680679.724117599</v>
      </c>
      <c r="H431" s="152">
        <v>35928895.467017896</v>
      </c>
      <c r="I431" t="s">
        <v>685</v>
      </c>
      <c r="J431" t="s">
        <v>127</v>
      </c>
      <c r="K431">
        <v>467985</v>
      </c>
      <c r="L431" t="s">
        <v>480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138</v>
      </c>
      <c r="B432" t="s">
        <v>886</v>
      </c>
      <c r="C432" s="152">
        <v>873</v>
      </c>
      <c r="D432" s="152">
        <v>1319</v>
      </c>
      <c r="E432" s="152">
        <v>2192</v>
      </c>
      <c r="F432" s="152">
        <v>17115876.0920984</v>
      </c>
      <c r="G432" s="152">
        <v>32662349.221617699</v>
      </c>
      <c r="H432" s="152">
        <v>49778225.313716099</v>
      </c>
      <c r="I432" t="s">
        <v>806</v>
      </c>
      <c r="J432" t="s">
        <v>127</v>
      </c>
      <c r="K432">
        <v>823096</v>
      </c>
      <c r="L432" t="s">
        <v>865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168</v>
      </c>
      <c r="B433" t="s">
        <v>406</v>
      </c>
      <c r="C433" s="152">
        <v>653</v>
      </c>
      <c r="D433" s="152">
        <v>1528</v>
      </c>
      <c r="E433" s="152">
        <v>2181</v>
      </c>
      <c r="F433" s="152">
        <v>10649222.7888781</v>
      </c>
      <c r="G433" s="152">
        <v>22978525.280976798</v>
      </c>
      <c r="H433" s="152">
        <v>33627748.069854997</v>
      </c>
      <c r="I433" t="s">
        <v>685</v>
      </c>
      <c r="J433" t="s">
        <v>127</v>
      </c>
      <c r="K433">
        <v>153833</v>
      </c>
      <c r="L433" t="s">
        <v>63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664</v>
      </c>
      <c r="B434" t="s">
        <v>888</v>
      </c>
      <c r="C434" s="152">
        <v>1111</v>
      </c>
      <c r="D434" s="152">
        <v>1058</v>
      </c>
      <c r="E434" s="152">
        <v>2169</v>
      </c>
      <c r="F434" s="152">
        <v>23141123.792326201</v>
      </c>
      <c r="G434" s="152">
        <v>26147386.596093498</v>
      </c>
      <c r="H434" s="152">
        <v>49288510.388419703</v>
      </c>
      <c r="I434" t="s">
        <v>685</v>
      </c>
      <c r="J434" t="s">
        <v>128</v>
      </c>
      <c r="K434">
        <v>443721</v>
      </c>
      <c r="L434" t="s">
        <v>106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678</v>
      </c>
      <c r="B435" t="s">
        <v>681</v>
      </c>
      <c r="C435" s="152">
        <v>882</v>
      </c>
      <c r="D435" s="152">
        <v>1271</v>
      </c>
      <c r="E435" s="152">
        <v>2153</v>
      </c>
      <c r="F435" s="152">
        <v>19388152.347525399</v>
      </c>
      <c r="G435" s="152">
        <v>35195175.463785902</v>
      </c>
      <c r="H435" s="152">
        <v>54583327.811311297</v>
      </c>
      <c r="I435" t="s">
        <v>685</v>
      </c>
      <c r="J435" t="s">
        <v>128</v>
      </c>
      <c r="K435">
        <v>298570</v>
      </c>
      <c r="L435" t="s">
        <v>368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152</v>
      </c>
      <c r="B436" t="s">
        <v>994</v>
      </c>
      <c r="C436" s="152">
        <v>1063</v>
      </c>
      <c r="D436" s="152">
        <v>1029</v>
      </c>
      <c r="E436" s="152">
        <v>2092</v>
      </c>
      <c r="F436" s="152">
        <v>19248197.111962698</v>
      </c>
      <c r="G436" s="152">
        <v>22594541.8206136</v>
      </c>
      <c r="H436" s="152">
        <v>41842738.932576299</v>
      </c>
      <c r="I436" t="s">
        <v>685</v>
      </c>
      <c r="J436" t="s">
        <v>127</v>
      </c>
      <c r="K436">
        <v>872200</v>
      </c>
      <c r="L436" t="s">
        <v>19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314</v>
      </c>
      <c r="B437" t="s">
        <v>335</v>
      </c>
      <c r="C437" s="152">
        <v>1016</v>
      </c>
      <c r="D437" s="152">
        <v>1069</v>
      </c>
      <c r="E437" s="152">
        <v>2085</v>
      </c>
      <c r="F437" s="152">
        <v>16565363.682993</v>
      </c>
      <c r="G437" s="152">
        <v>20916393.2346006</v>
      </c>
      <c r="H437" s="152">
        <v>37481756.917593598</v>
      </c>
      <c r="I437" t="s">
        <v>685</v>
      </c>
      <c r="J437" t="s">
        <v>129</v>
      </c>
      <c r="K437">
        <v>794115</v>
      </c>
      <c r="L437" t="s">
        <v>94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138</v>
      </c>
      <c r="B438" t="s">
        <v>647</v>
      </c>
      <c r="C438" s="152">
        <v>842</v>
      </c>
      <c r="D438" s="152">
        <v>1239</v>
      </c>
      <c r="E438" s="152">
        <v>2081</v>
      </c>
      <c r="F438" s="152">
        <v>16814970.2684539</v>
      </c>
      <c r="G438" s="152">
        <v>33697973.251205899</v>
      </c>
      <c r="H438" s="152">
        <v>50512943.519659698</v>
      </c>
      <c r="I438" t="s">
        <v>685</v>
      </c>
      <c r="J438" t="s">
        <v>127</v>
      </c>
      <c r="K438">
        <v>169060</v>
      </c>
      <c r="L438" t="s">
        <v>868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273</v>
      </c>
      <c r="B439" t="s">
        <v>180</v>
      </c>
      <c r="C439" s="152">
        <v>673</v>
      </c>
      <c r="D439" s="152">
        <v>1404</v>
      </c>
      <c r="E439" s="152">
        <v>2077</v>
      </c>
      <c r="F439" s="152">
        <v>10761840.412701599</v>
      </c>
      <c r="G439" s="152">
        <v>26685570.6727819</v>
      </c>
      <c r="H439" s="152">
        <v>37447411.085483603</v>
      </c>
      <c r="I439" t="s">
        <v>685</v>
      </c>
      <c r="J439" t="s">
        <v>127</v>
      </c>
      <c r="K439">
        <v>650796</v>
      </c>
      <c r="L439" t="s">
        <v>94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381</v>
      </c>
      <c r="B440" t="s">
        <v>1080</v>
      </c>
      <c r="C440" s="152">
        <v>755</v>
      </c>
      <c r="D440" s="152">
        <v>1312</v>
      </c>
      <c r="E440" s="152">
        <v>2067</v>
      </c>
      <c r="F440" s="152">
        <v>15265317.310504301</v>
      </c>
      <c r="G440" s="152">
        <v>34100879.906557202</v>
      </c>
      <c r="H440" s="152">
        <v>49366197.217061497</v>
      </c>
      <c r="I440" t="s">
        <v>685</v>
      </c>
      <c r="J440" t="s">
        <v>127</v>
      </c>
      <c r="K440">
        <v>123497</v>
      </c>
      <c r="L440" t="s">
        <v>411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594</v>
      </c>
      <c r="B441" t="s">
        <v>13</v>
      </c>
      <c r="C441" s="152">
        <v>1062</v>
      </c>
      <c r="D441" s="152">
        <v>1002</v>
      </c>
      <c r="E441" s="152">
        <v>2064</v>
      </c>
      <c r="F441" s="152">
        <v>25544536.427027799</v>
      </c>
      <c r="G441" s="152">
        <v>29039824.167647999</v>
      </c>
      <c r="H441" s="152">
        <v>54584360.594675802</v>
      </c>
      <c r="I441" t="s">
        <v>806</v>
      </c>
      <c r="J441" t="s">
        <v>128</v>
      </c>
      <c r="K441">
        <v>901603</v>
      </c>
      <c r="L441" t="s">
        <v>462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800</v>
      </c>
      <c r="B442" t="s">
        <v>954</v>
      </c>
      <c r="C442" s="152">
        <v>1014</v>
      </c>
      <c r="D442" s="152">
        <v>1040</v>
      </c>
      <c r="E442" s="152">
        <v>2054</v>
      </c>
      <c r="F442" s="152">
        <v>21881637.591369499</v>
      </c>
      <c r="G442" s="152">
        <v>26100564.790047798</v>
      </c>
      <c r="H442" s="152">
        <v>47982202.381417297</v>
      </c>
      <c r="I442" t="s">
        <v>685</v>
      </c>
      <c r="J442" t="s">
        <v>127</v>
      </c>
      <c r="K442">
        <v>388298</v>
      </c>
      <c r="L442" t="s">
        <v>907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678</v>
      </c>
      <c r="B443" t="s">
        <v>822</v>
      </c>
      <c r="C443" s="152">
        <v>794</v>
      </c>
      <c r="D443" s="152">
        <v>1256</v>
      </c>
      <c r="E443" s="152">
        <v>2050</v>
      </c>
      <c r="F443" s="152">
        <v>20815900.682824001</v>
      </c>
      <c r="G443" s="152">
        <v>40367360.767697103</v>
      </c>
      <c r="H443" s="152">
        <v>61183261.450521201</v>
      </c>
      <c r="I443" t="s">
        <v>685</v>
      </c>
      <c r="J443" t="s">
        <v>128</v>
      </c>
      <c r="K443">
        <v>909333</v>
      </c>
      <c r="L443" t="s">
        <v>821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509</v>
      </c>
      <c r="B444" t="s">
        <v>519</v>
      </c>
      <c r="C444" s="152">
        <v>1106</v>
      </c>
      <c r="D444" s="152">
        <v>916</v>
      </c>
      <c r="E444" s="152">
        <v>2022</v>
      </c>
      <c r="F444" s="152">
        <v>23058495.974306401</v>
      </c>
      <c r="G444" s="152">
        <v>24388972.399768598</v>
      </c>
      <c r="H444" s="152">
        <v>47447468.374075003</v>
      </c>
      <c r="I444" t="s">
        <v>806</v>
      </c>
      <c r="J444" t="s">
        <v>131</v>
      </c>
      <c r="K444">
        <v>832360</v>
      </c>
      <c r="L444" t="s">
        <v>751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102</v>
      </c>
      <c r="B445" t="s">
        <v>105</v>
      </c>
      <c r="C445" s="152">
        <v>1253</v>
      </c>
      <c r="D445" s="152">
        <v>755</v>
      </c>
      <c r="E445" s="152">
        <v>2008</v>
      </c>
      <c r="F445" s="152">
        <v>18399896.359307799</v>
      </c>
      <c r="G445" s="152">
        <v>13592263.027637299</v>
      </c>
      <c r="H445" s="152">
        <v>31992159.386945199</v>
      </c>
      <c r="I445" t="s">
        <v>806</v>
      </c>
      <c r="J445" t="s">
        <v>127</v>
      </c>
      <c r="K445">
        <v>570630</v>
      </c>
      <c r="L445" t="s">
        <v>736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664</v>
      </c>
      <c r="B446" t="s">
        <v>687</v>
      </c>
      <c r="C446" s="152">
        <v>891</v>
      </c>
      <c r="D446" s="152">
        <v>1113</v>
      </c>
      <c r="E446" s="152">
        <v>2004</v>
      </c>
      <c r="F446" s="152">
        <v>22843185.105912998</v>
      </c>
      <c r="G446" s="152">
        <v>33806660.899278603</v>
      </c>
      <c r="H446" s="152">
        <v>56649846.005191498</v>
      </c>
      <c r="I446" t="s">
        <v>685</v>
      </c>
      <c r="J446" t="s">
        <v>128</v>
      </c>
      <c r="K446">
        <v>917898</v>
      </c>
      <c r="L446" t="s">
        <v>376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594</v>
      </c>
      <c r="B447" t="s">
        <v>31</v>
      </c>
      <c r="C447" s="152">
        <v>941</v>
      </c>
      <c r="D447" s="152">
        <v>1056</v>
      </c>
      <c r="E447" s="152">
        <v>1997</v>
      </c>
      <c r="F447" s="152">
        <v>26798941.208953202</v>
      </c>
      <c r="G447" s="152">
        <v>37350267.033924803</v>
      </c>
      <c r="H447" s="152">
        <v>64149208.242877997</v>
      </c>
      <c r="I447" t="s">
        <v>806</v>
      </c>
      <c r="J447" t="s">
        <v>128</v>
      </c>
      <c r="K447">
        <v>554691</v>
      </c>
      <c r="L447" t="s">
        <v>901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678</v>
      </c>
      <c r="B448" t="s">
        <v>201</v>
      </c>
      <c r="C448" s="152">
        <v>885</v>
      </c>
      <c r="D448" s="152">
        <v>1106</v>
      </c>
      <c r="E448" s="152">
        <v>1991</v>
      </c>
      <c r="F448" s="152">
        <v>19448149.339141201</v>
      </c>
      <c r="G448" s="152">
        <v>31292391.3122986</v>
      </c>
      <c r="H448" s="152">
        <v>50740540.651439801</v>
      </c>
      <c r="I448" t="s">
        <v>685</v>
      </c>
      <c r="J448" t="s">
        <v>128</v>
      </c>
      <c r="K448">
        <v>173435</v>
      </c>
      <c r="L448" t="s">
        <v>451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536</v>
      </c>
      <c r="B449" t="s">
        <v>1003</v>
      </c>
      <c r="C449" s="152">
        <v>902</v>
      </c>
      <c r="D449" s="152">
        <v>1084</v>
      </c>
      <c r="E449" s="152">
        <v>1986</v>
      </c>
      <c r="F449" s="152">
        <v>36828720.3018867</v>
      </c>
      <c r="G449" s="152">
        <v>49814819.985901304</v>
      </c>
      <c r="H449" s="152">
        <v>86643540.287787899</v>
      </c>
      <c r="I449" t="s">
        <v>685</v>
      </c>
      <c r="J449" t="s">
        <v>128</v>
      </c>
      <c r="K449">
        <v>770388</v>
      </c>
      <c r="L449" t="s">
        <v>1004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218</v>
      </c>
      <c r="B450" t="s">
        <v>639</v>
      </c>
      <c r="C450" s="152">
        <v>829</v>
      </c>
      <c r="D450" s="152">
        <v>1150</v>
      </c>
      <c r="E450" s="152">
        <v>1979</v>
      </c>
      <c r="F450" s="152">
        <v>14242239.903389599</v>
      </c>
      <c r="G450" s="152">
        <v>25286174.247436799</v>
      </c>
      <c r="H450" s="152">
        <v>39528414.150826402</v>
      </c>
      <c r="I450" t="s">
        <v>685</v>
      </c>
      <c r="J450" t="s">
        <v>127</v>
      </c>
      <c r="K450">
        <v>987784</v>
      </c>
      <c r="L450" t="s">
        <v>813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594</v>
      </c>
      <c r="B451" t="s">
        <v>601</v>
      </c>
      <c r="C451" s="152">
        <v>870</v>
      </c>
      <c r="D451" s="152">
        <v>1097</v>
      </c>
      <c r="E451" s="152">
        <v>1967</v>
      </c>
      <c r="F451" s="152">
        <v>23252478.511227801</v>
      </c>
      <c r="G451" s="152">
        <v>37603409.061857499</v>
      </c>
      <c r="H451" s="152">
        <v>60855887.573085301</v>
      </c>
      <c r="I451" t="s">
        <v>806</v>
      </c>
      <c r="J451" t="s">
        <v>128</v>
      </c>
      <c r="K451">
        <v>483099</v>
      </c>
      <c r="L451" t="s">
        <v>756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594</v>
      </c>
      <c r="B452" t="s">
        <v>595</v>
      </c>
      <c r="C452" s="152">
        <v>1002</v>
      </c>
      <c r="D452" s="152">
        <v>962</v>
      </c>
      <c r="E452" s="152">
        <v>1964</v>
      </c>
      <c r="F452" s="152">
        <v>24924999.4896417</v>
      </c>
      <c r="G452" s="152">
        <v>30667923.174575899</v>
      </c>
      <c r="H452" s="152">
        <v>55592922.664217599</v>
      </c>
      <c r="I452" t="s">
        <v>806</v>
      </c>
      <c r="J452" t="s">
        <v>128</v>
      </c>
      <c r="K452">
        <v>330746</v>
      </c>
      <c r="L452" t="s">
        <v>736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314</v>
      </c>
      <c r="B453" t="s">
        <v>1069</v>
      </c>
      <c r="C453" s="152">
        <v>766</v>
      </c>
      <c r="D453" s="152">
        <v>1187</v>
      </c>
      <c r="E453" s="152">
        <v>1953</v>
      </c>
      <c r="F453" s="152">
        <v>78336905.711434707</v>
      </c>
      <c r="G453" s="152">
        <v>154154344.37029499</v>
      </c>
      <c r="H453" s="152">
        <v>232491250.08173001</v>
      </c>
      <c r="I453" t="s">
        <v>685</v>
      </c>
      <c r="J453" t="s">
        <v>129</v>
      </c>
      <c r="K453">
        <v>910455</v>
      </c>
      <c r="L453" t="s">
        <v>1070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98</v>
      </c>
      <c r="B454" t="s">
        <v>747</v>
      </c>
      <c r="C454" s="152">
        <v>862</v>
      </c>
      <c r="D454" s="152">
        <v>1085</v>
      </c>
      <c r="E454" s="152">
        <v>1947</v>
      </c>
      <c r="F454" s="152">
        <v>14654593.6062571</v>
      </c>
      <c r="G454" s="152">
        <v>22110655.880104899</v>
      </c>
      <c r="H454" s="152">
        <v>36765249.486362003</v>
      </c>
      <c r="I454" t="s">
        <v>685</v>
      </c>
      <c r="J454" t="s">
        <v>127</v>
      </c>
      <c r="K454">
        <v>904490</v>
      </c>
      <c r="L454" t="s">
        <v>1114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48</v>
      </c>
      <c r="B455" t="s">
        <v>59</v>
      </c>
      <c r="C455" s="152">
        <v>891</v>
      </c>
      <c r="D455" s="152">
        <v>1048</v>
      </c>
      <c r="E455" s="152">
        <v>1939</v>
      </c>
      <c r="F455" s="152">
        <v>13525019.7919195</v>
      </c>
      <c r="G455" s="152">
        <v>19695179.3609007</v>
      </c>
      <c r="H455" s="152">
        <v>33220199.1528202</v>
      </c>
      <c r="I455" t="s">
        <v>685</v>
      </c>
      <c r="J455" t="s">
        <v>127</v>
      </c>
      <c r="K455">
        <v>764951</v>
      </c>
      <c r="L455" t="s">
        <v>819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108</v>
      </c>
      <c r="B456" t="s">
        <v>255</v>
      </c>
      <c r="C456" s="152">
        <v>791</v>
      </c>
      <c r="D456" s="152">
        <v>1140</v>
      </c>
      <c r="E456" s="152">
        <v>1931</v>
      </c>
      <c r="F456" s="152">
        <v>17042550.4379397</v>
      </c>
      <c r="G456" s="152">
        <v>30329746.547860399</v>
      </c>
      <c r="H456" s="152">
        <v>47372296.985800102</v>
      </c>
      <c r="I456" t="s">
        <v>685</v>
      </c>
      <c r="J456" t="s">
        <v>127</v>
      </c>
      <c r="K456">
        <v>626945</v>
      </c>
      <c r="L456" t="s">
        <v>94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384</v>
      </c>
      <c r="B457" t="s">
        <v>349</v>
      </c>
      <c r="C457" s="152">
        <v>702</v>
      </c>
      <c r="D457" s="152">
        <v>1189</v>
      </c>
      <c r="E457" s="152">
        <v>1891</v>
      </c>
      <c r="F457" s="152">
        <v>9939696.7222458608</v>
      </c>
      <c r="G457" s="152">
        <v>20846810.265429199</v>
      </c>
      <c r="H457" s="152">
        <v>30786506.987675101</v>
      </c>
      <c r="I457" t="s">
        <v>685</v>
      </c>
      <c r="J457" t="s">
        <v>127</v>
      </c>
      <c r="K457">
        <v>882530</v>
      </c>
      <c r="L457" t="s">
        <v>868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138</v>
      </c>
      <c r="B458" t="s">
        <v>1099</v>
      </c>
      <c r="C458" s="152">
        <v>785</v>
      </c>
      <c r="D458" s="152">
        <v>1095</v>
      </c>
      <c r="E458" s="152">
        <v>1880</v>
      </c>
      <c r="F458" s="152">
        <v>16245643.8411601</v>
      </c>
      <c r="G458" s="152">
        <v>28382806.133448601</v>
      </c>
      <c r="H458" s="152">
        <v>44628449.974608697</v>
      </c>
      <c r="I458" t="s">
        <v>685</v>
      </c>
      <c r="J458" t="s">
        <v>127</v>
      </c>
      <c r="K458">
        <v>992099</v>
      </c>
      <c r="L458" t="s">
        <v>132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218</v>
      </c>
      <c r="B459" t="s">
        <v>220</v>
      </c>
      <c r="C459" s="152">
        <v>796</v>
      </c>
      <c r="D459" s="152">
        <v>1082</v>
      </c>
      <c r="E459" s="152">
        <v>1878</v>
      </c>
      <c r="F459" s="152">
        <v>14772837.741360599</v>
      </c>
      <c r="G459" s="152">
        <v>24886589.752229098</v>
      </c>
      <c r="H459" s="152">
        <v>39659427.493589699</v>
      </c>
      <c r="I459" t="s">
        <v>685</v>
      </c>
      <c r="J459" t="s">
        <v>127</v>
      </c>
      <c r="K459">
        <v>779538</v>
      </c>
      <c r="L459" t="s">
        <v>94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218</v>
      </c>
      <c r="B460" t="s">
        <v>743</v>
      </c>
      <c r="C460" s="152">
        <v>805</v>
      </c>
      <c r="D460" s="152">
        <v>1061</v>
      </c>
      <c r="E460" s="152">
        <v>1866</v>
      </c>
      <c r="F460" s="152">
        <v>11030481.019453799</v>
      </c>
      <c r="G460" s="152">
        <v>18468419.8076366</v>
      </c>
      <c r="H460" s="152">
        <v>29498900.827090401</v>
      </c>
      <c r="I460" t="s">
        <v>685</v>
      </c>
      <c r="J460" t="s">
        <v>127</v>
      </c>
      <c r="K460">
        <v>539585</v>
      </c>
      <c r="L460" t="s">
        <v>742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152</v>
      </c>
      <c r="B461" t="s">
        <v>417</v>
      </c>
      <c r="C461" s="152">
        <v>951</v>
      </c>
      <c r="D461" s="152">
        <v>906</v>
      </c>
      <c r="E461" s="152">
        <v>1857</v>
      </c>
      <c r="F461" s="152">
        <v>62635204.230554603</v>
      </c>
      <c r="G461" s="152">
        <v>59436055.890491903</v>
      </c>
      <c r="H461" s="152">
        <v>122071260.12104601</v>
      </c>
      <c r="I461" t="s">
        <v>685</v>
      </c>
      <c r="J461" t="s">
        <v>127</v>
      </c>
      <c r="K461">
        <v>123430</v>
      </c>
      <c r="L461" t="s">
        <v>411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218</v>
      </c>
      <c r="B462" t="s">
        <v>268</v>
      </c>
      <c r="C462" s="152">
        <v>789</v>
      </c>
      <c r="D462" s="152">
        <v>1054</v>
      </c>
      <c r="E462" s="152">
        <v>1843</v>
      </c>
      <c r="F462" s="152">
        <v>11574998.1019716</v>
      </c>
      <c r="G462" s="152">
        <v>19076293.888008799</v>
      </c>
      <c r="H462" s="152">
        <v>30651291.9899805</v>
      </c>
      <c r="I462" t="s">
        <v>685</v>
      </c>
      <c r="J462" t="s">
        <v>127</v>
      </c>
      <c r="K462">
        <v>288183</v>
      </c>
      <c r="L462" t="s">
        <v>809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168</v>
      </c>
      <c r="B463" t="s">
        <v>1052</v>
      </c>
      <c r="C463" s="152">
        <v>678</v>
      </c>
      <c r="D463" s="152">
        <v>1146</v>
      </c>
      <c r="E463" s="152">
        <v>1824</v>
      </c>
      <c r="F463" s="152">
        <v>13010164.451419</v>
      </c>
      <c r="G463" s="152">
        <v>26838170.889500301</v>
      </c>
      <c r="H463" s="152">
        <v>39848335.340919301</v>
      </c>
      <c r="I463" t="s">
        <v>685</v>
      </c>
      <c r="J463" t="s">
        <v>127</v>
      </c>
      <c r="K463">
        <v>798710</v>
      </c>
      <c r="L463" t="s">
        <v>411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48</v>
      </c>
      <c r="B464" t="s">
        <v>52</v>
      </c>
      <c r="C464" s="152">
        <v>924</v>
      </c>
      <c r="D464" s="152">
        <v>898</v>
      </c>
      <c r="E464" s="152">
        <v>1822</v>
      </c>
      <c r="F464" s="152">
        <v>12694200.281365899</v>
      </c>
      <c r="G464" s="152">
        <v>15159329.877795801</v>
      </c>
      <c r="H464" s="152">
        <v>27853530.159161702</v>
      </c>
      <c r="I464" t="s">
        <v>806</v>
      </c>
      <c r="J464" t="s">
        <v>127</v>
      </c>
      <c r="K464">
        <v>148585</v>
      </c>
      <c r="L464" t="s">
        <v>727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800</v>
      </c>
      <c r="B465" t="s">
        <v>46</v>
      </c>
      <c r="C465" s="152">
        <v>806</v>
      </c>
      <c r="D465" s="152">
        <v>997</v>
      </c>
      <c r="E465" s="152">
        <v>1803</v>
      </c>
      <c r="F465" s="152">
        <v>17141204.844306301</v>
      </c>
      <c r="G465" s="152">
        <v>27090762.492230799</v>
      </c>
      <c r="H465" s="152">
        <v>44231967.336537197</v>
      </c>
      <c r="I465" t="s">
        <v>685</v>
      </c>
      <c r="J465" t="s">
        <v>127</v>
      </c>
      <c r="K465">
        <v>237834</v>
      </c>
      <c r="L465" t="s">
        <v>45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108</v>
      </c>
      <c r="B466" t="s">
        <v>340</v>
      </c>
      <c r="C466" s="152">
        <v>897</v>
      </c>
      <c r="D466" s="152">
        <v>900</v>
      </c>
      <c r="E466" s="152">
        <v>1797</v>
      </c>
      <c r="F466" s="152">
        <v>18757132.041165799</v>
      </c>
      <c r="G466" s="152">
        <v>22800425.967730101</v>
      </c>
      <c r="H466" s="152">
        <v>41557558.008895896</v>
      </c>
      <c r="I466" t="s">
        <v>685</v>
      </c>
      <c r="J466" t="s">
        <v>127</v>
      </c>
      <c r="K466">
        <v>197517</v>
      </c>
      <c r="L466" t="s">
        <v>868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536</v>
      </c>
      <c r="B467" t="s">
        <v>190</v>
      </c>
      <c r="C467" s="152">
        <v>930</v>
      </c>
      <c r="D467" s="152">
        <v>850</v>
      </c>
      <c r="E467" s="152">
        <v>1780</v>
      </c>
      <c r="F467" s="152">
        <v>19332443.462227199</v>
      </c>
      <c r="G467" s="152">
        <v>23908502.096352</v>
      </c>
      <c r="H467" s="152">
        <v>43240945.558579199</v>
      </c>
      <c r="I467" t="s">
        <v>806</v>
      </c>
      <c r="J467" t="s">
        <v>128</v>
      </c>
      <c r="K467">
        <v>768614</v>
      </c>
      <c r="L467" t="s">
        <v>191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138</v>
      </c>
      <c r="B468" t="s">
        <v>1011</v>
      </c>
      <c r="C468" s="152">
        <v>726</v>
      </c>
      <c r="D468" s="152">
        <v>1036</v>
      </c>
      <c r="E468" s="152">
        <v>1762</v>
      </c>
      <c r="F468" s="152">
        <v>14305876.554405799</v>
      </c>
      <c r="G468" s="152">
        <v>25075482.293472201</v>
      </c>
      <c r="H468" s="152">
        <v>39381358.847878002</v>
      </c>
      <c r="I468" t="s">
        <v>685</v>
      </c>
      <c r="J468" t="s">
        <v>127</v>
      </c>
      <c r="K468">
        <v>586982</v>
      </c>
      <c r="L468" t="s">
        <v>1004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664</v>
      </c>
      <c r="B469" t="s">
        <v>326</v>
      </c>
      <c r="C469" s="152">
        <v>781</v>
      </c>
      <c r="D469" s="152">
        <v>965</v>
      </c>
      <c r="E469" s="152">
        <v>1746</v>
      </c>
      <c r="F469" s="152">
        <v>20183041.690694701</v>
      </c>
      <c r="G469" s="152">
        <v>30228067.725878101</v>
      </c>
      <c r="H469" s="152">
        <v>50411109.416572899</v>
      </c>
      <c r="I469" t="s">
        <v>685</v>
      </c>
      <c r="J469" t="s">
        <v>128</v>
      </c>
      <c r="K469">
        <v>955435</v>
      </c>
      <c r="L469" t="s">
        <v>316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314</v>
      </c>
      <c r="B470" t="s">
        <v>336</v>
      </c>
      <c r="C470" s="152">
        <v>893</v>
      </c>
      <c r="D470" s="152">
        <v>850</v>
      </c>
      <c r="E470" s="152">
        <v>1743</v>
      </c>
      <c r="F470" s="152">
        <v>13738386.2372573</v>
      </c>
      <c r="G470" s="152">
        <v>15816675.793473899</v>
      </c>
      <c r="H470" s="152">
        <v>29555062.030731201</v>
      </c>
      <c r="I470" t="s">
        <v>685</v>
      </c>
      <c r="J470" t="s">
        <v>129</v>
      </c>
      <c r="K470">
        <v>722454</v>
      </c>
      <c r="L470" t="s">
        <v>94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678</v>
      </c>
      <c r="B471" t="s">
        <v>680</v>
      </c>
      <c r="C471" s="152">
        <v>840</v>
      </c>
      <c r="D471" s="152">
        <v>888</v>
      </c>
      <c r="E471" s="152">
        <v>1728</v>
      </c>
      <c r="F471" s="152">
        <v>16971579.350099601</v>
      </c>
      <c r="G471" s="152">
        <v>21350129.980878599</v>
      </c>
      <c r="H471" s="152">
        <v>38321709.330978103</v>
      </c>
      <c r="I471" t="s">
        <v>685</v>
      </c>
      <c r="J471" t="s">
        <v>128</v>
      </c>
      <c r="K471">
        <v>370239</v>
      </c>
      <c r="L471" t="s">
        <v>368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776</v>
      </c>
      <c r="B472" t="s">
        <v>944</v>
      </c>
      <c r="C472" s="152">
        <v>681</v>
      </c>
      <c r="D472" s="152">
        <v>1046</v>
      </c>
      <c r="E472" s="152">
        <v>1727</v>
      </c>
      <c r="F472" s="152">
        <v>15839030.6578048</v>
      </c>
      <c r="G472" s="152">
        <v>30984070.891174499</v>
      </c>
      <c r="H472" s="152">
        <v>46823101.548979402</v>
      </c>
      <c r="I472" t="s">
        <v>806</v>
      </c>
      <c r="J472" t="s">
        <v>127</v>
      </c>
      <c r="K472">
        <v>741694</v>
      </c>
      <c r="L472" t="s">
        <v>901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594</v>
      </c>
      <c r="B473" t="s">
        <v>783</v>
      </c>
      <c r="C473" s="152">
        <v>711</v>
      </c>
      <c r="D473" s="152">
        <v>1010</v>
      </c>
      <c r="E473" s="152">
        <v>1721</v>
      </c>
      <c r="F473" s="152">
        <v>26558468.859071501</v>
      </c>
      <c r="G473" s="152">
        <v>43662654.439861201</v>
      </c>
      <c r="H473" s="152">
        <v>70221123.298932701</v>
      </c>
      <c r="I473" t="s">
        <v>806</v>
      </c>
      <c r="J473" t="s">
        <v>128</v>
      </c>
      <c r="K473">
        <v>545541</v>
      </c>
      <c r="L473" t="s">
        <v>845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291</v>
      </c>
      <c r="B474" t="s">
        <v>1016</v>
      </c>
      <c r="C474" s="152">
        <v>618</v>
      </c>
      <c r="D474" s="152">
        <v>1084</v>
      </c>
      <c r="E474" s="152">
        <v>1702</v>
      </c>
      <c r="F474" s="152">
        <v>12234957.9557971</v>
      </c>
      <c r="G474" s="152">
        <v>28259869.712790899</v>
      </c>
      <c r="H474" s="152">
        <v>40494827.668587998</v>
      </c>
      <c r="I474" t="s">
        <v>685</v>
      </c>
      <c r="J474" t="s">
        <v>127</v>
      </c>
      <c r="K474">
        <v>225490</v>
      </c>
      <c r="L474" t="s">
        <v>1004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678</v>
      </c>
      <c r="B475" t="s">
        <v>682</v>
      </c>
      <c r="C475" s="152">
        <v>879</v>
      </c>
      <c r="D475" s="152">
        <v>817</v>
      </c>
      <c r="E475" s="152">
        <v>1696</v>
      </c>
      <c r="F475" s="152">
        <v>16919434.177319001</v>
      </c>
      <c r="G475" s="152">
        <v>18578576.1418855</v>
      </c>
      <c r="H475" s="152">
        <v>35498010.319204502</v>
      </c>
      <c r="I475" t="s">
        <v>685</v>
      </c>
      <c r="J475" t="s">
        <v>128</v>
      </c>
      <c r="K475">
        <v>515973</v>
      </c>
      <c r="L475" t="s">
        <v>63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152</v>
      </c>
      <c r="B476" t="s">
        <v>906</v>
      </c>
      <c r="C476" s="152">
        <v>815</v>
      </c>
      <c r="D476" s="152">
        <v>878</v>
      </c>
      <c r="E476" s="152">
        <v>1693</v>
      </c>
      <c r="F476" s="152">
        <v>14113937.308954701</v>
      </c>
      <c r="G476" s="152">
        <v>17732643.914930198</v>
      </c>
      <c r="H476" s="152">
        <v>31846581.223884899</v>
      </c>
      <c r="I476" t="s">
        <v>685</v>
      </c>
      <c r="J476" t="s">
        <v>127</v>
      </c>
      <c r="K476">
        <v>352468</v>
      </c>
      <c r="L476" t="s">
        <v>907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509</v>
      </c>
      <c r="B477" t="s">
        <v>885</v>
      </c>
      <c r="C477" s="152">
        <v>909</v>
      </c>
      <c r="D477" s="152">
        <v>783</v>
      </c>
      <c r="E477" s="152">
        <v>1692</v>
      </c>
      <c r="F477" s="152">
        <v>21263827.577974699</v>
      </c>
      <c r="G477" s="152">
        <v>21996649.8980464</v>
      </c>
      <c r="H477" s="152">
        <v>43260477.476021104</v>
      </c>
      <c r="I477" t="s">
        <v>685</v>
      </c>
      <c r="J477" t="s">
        <v>131</v>
      </c>
      <c r="K477">
        <v>747774</v>
      </c>
      <c r="L477" t="s">
        <v>729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237</v>
      </c>
      <c r="B478" t="s">
        <v>245</v>
      </c>
      <c r="C478" s="152">
        <v>795</v>
      </c>
      <c r="D478" s="152">
        <v>884</v>
      </c>
      <c r="E478" s="152">
        <v>1679</v>
      </c>
      <c r="F478" s="152">
        <v>9459014.5004780199</v>
      </c>
      <c r="G478" s="152">
        <v>13995990.1946085</v>
      </c>
      <c r="H478" s="152">
        <v>23455004.695086502</v>
      </c>
      <c r="I478" t="s">
        <v>806</v>
      </c>
      <c r="J478" t="s">
        <v>127</v>
      </c>
      <c r="K478">
        <v>756452</v>
      </c>
      <c r="L478" t="s">
        <v>755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664</v>
      </c>
      <c r="B479" t="s">
        <v>1047</v>
      </c>
      <c r="C479" s="152">
        <v>751</v>
      </c>
      <c r="D479" s="152">
        <v>923</v>
      </c>
      <c r="E479" s="152">
        <v>1674</v>
      </c>
      <c r="F479" s="152">
        <v>18547009.3925814</v>
      </c>
      <c r="G479" s="152">
        <v>25872520.346634399</v>
      </c>
      <c r="H479" s="152">
        <v>44419529.739215799</v>
      </c>
      <c r="I479" t="s">
        <v>685</v>
      </c>
      <c r="J479" t="s">
        <v>128</v>
      </c>
      <c r="K479">
        <v>900894</v>
      </c>
      <c r="L479" t="s">
        <v>805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108</v>
      </c>
      <c r="B480" t="s">
        <v>947</v>
      </c>
      <c r="C480" s="152">
        <v>762</v>
      </c>
      <c r="D480" s="152">
        <v>911</v>
      </c>
      <c r="E480" s="152">
        <v>1673</v>
      </c>
      <c r="F480" s="152">
        <v>8281014.7112408802</v>
      </c>
      <c r="G480" s="152">
        <v>13623277.6331685</v>
      </c>
      <c r="H480" s="152">
        <v>21904292.344409399</v>
      </c>
      <c r="I480" t="s">
        <v>685</v>
      </c>
      <c r="J480" t="s">
        <v>127</v>
      </c>
      <c r="K480">
        <v>889261</v>
      </c>
      <c r="L480" t="s">
        <v>94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218</v>
      </c>
      <c r="B481" t="s">
        <v>217</v>
      </c>
      <c r="C481" s="152">
        <v>694</v>
      </c>
      <c r="D481" s="152">
        <v>976</v>
      </c>
      <c r="E481" s="152">
        <v>1670</v>
      </c>
      <c r="F481" s="152">
        <v>13393828.488613499</v>
      </c>
      <c r="G481" s="152">
        <v>22521093.726615701</v>
      </c>
      <c r="H481" s="152">
        <v>35914922.215229198</v>
      </c>
      <c r="I481" t="s">
        <v>685</v>
      </c>
      <c r="J481" t="s">
        <v>127</v>
      </c>
      <c r="K481">
        <v>368407</v>
      </c>
      <c r="L481" t="s">
        <v>451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152</v>
      </c>
      <c r="B482" t="s">
        <v>369</v>
      </c>
      <c r="C482" s="152">
        <v>747</v>
      </c>
      <c r="D482" s="152">
        <v>923</v>
      </c>
      <c r="E482" s="152">
        <v>1670</v>
      </c>
      <c r="F482" s="152">
        <v>14125973.7990738</v>
      </c>
      <c r="G482" s="152">
        <v>20974972.647805899</v>
      </c>
      <c r="H482" s="152">
        <v>35100946.446879603</v>
      </c>
      <c r="I482" t="s">
        <v>685</v>
      </c>
      <c r="J482" t="s">
        <v>127</v>
      </c>
      <c r="K482">
        <v>800664</v>
      </c>
      <c r="L482" t="s">
        <v>375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664</v>
      </c>
      <c r="B483" t="s">
        <v>665</v>
      </c>
      <c r="C483" s="152">
        <v>836</v>
      </c>
      <c r="D483" s="152">
        <v>833</v>
      </c>
      <c r="E483" s="152">
        <v>1669</v>
      </c>
      <c r="F483" s="152">
        <v>15481239.6745592</v>
      </c>
      <c r="G483" s="152">
        <v>17001622.612647101</v>
      </c>
      <c r="H483" s="152">
        <v>32482862.2872063</v>
      </c>
      <c r="I483" t="s">
        <v>685</v>
      </c>
      <c r="J483" t="s">
        <v>128</v>
      </c>
      <c r="K483">
        <v>426726</v>
      </c>
      <c r="L483" t="s">
        <v>819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723</v>
      </c>
      <c r="B484" t="s">
        <v>818</v>
      </c>
      <c r="C484" s="152">
        <v>815</v>
      </c>
      <c r="D484" s="152">
        <v>850</v>
      </c>
      <c r="E484" s="152">
        <v>1665</v>
      </c>
      <c r="F484" s="152">
        <v>12973802.416795</v>
      </c>
      <c r="G484" s="152">
        <v>16877800.621729098</v>
      </c>
      <c r="H484" s="152">
        <v>29851603.038524002</v>
      </c>
      <c r="I484" t="s">
        <v>806</v>
      </c>
      <c r="J484" t="s">
        <v>127</v>
      </c>
      <c r="K484">
        <v>739458</v>
      </c>
      <c r="L484" t="s">
        <v>726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102</v>
      </c>
      <c r="B485" t="s">
        <v>985</v>
      </c>
      <c r="C485" s="152">
        <v>785</v>
      </c>
      <c r="D485" s="152">
        <v>852</v>
      </c>
      <c r="E485" s="152">
        <v>1637</v>
      </c>
      <c r="F485" s="152">
        <v>7213123.44418127</v>
      </c>
      <c r="G485" s="152">
        <v>10330780.4559716</v>
      </c>
      <c r="H485" s="152">
        <v>17543903.900152899</v>
      </c>
      <c r="I485" t="s">
        <v>685</v>
      </c>
      <c r="J485" t="s">
        <v>127</v>
      </c>
      <c r="K485">
        <v>844464</v>
      </c>
      <c r="L485" t="s">
        <v>411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664</v>
      </c>
      <c r="B486" t="s">
        <v>667</v>
      </c>
      <c r="C486" s="152">
        <v>719</v>
      </c>
      <c r="D486" s="152">
        <v>902</v>
      </c>
      <c r="E486" s="152">
        <v>1621</v>
      </c>
      <c r="F486" s="152">
        <v>16550139.0855862</v>
      </c>
      <c r="G486" s="152">
        <v>26811035.1127556</v>
      </c>
      <c r="H486" s="152">
        <v>43361174.198341802</v>
      </c>
      <c r="I486" t="s">
        <v>685</v>
      </c>
      <c r="J486" t="s">
        <v>128</v>
      </c>
      <c r="K486">
        <v>390898</v>
      </c>
      <c r="L486" t="s">
        <v>819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152</v>
      </c>
      <c r="B487" t="s">
        <v>795</v>
      </c>
      <c r="C487" s="152">
        <v>825</v>
      </c>
      <c r="D487" s="152">
        <v>789</v>
      </c>
      <c r="E487" s="152">
        <v>1614</v>
      </c>
      <c r="F487" s="152">
        <v>36020051.075243101</v>
      </c>
      <c r="G487" s="152">
        <v>40621039.2767426</v>
      </c>
      <c r="H487" s="152">
        <v>76641090.351985693</v>
      </c>
      <c r="I487" t="s">
        <v>806</v>
      </c>
      <c r="J487" t="s">
        <v>127</v>
      </c>
      <c r="K487">
        <v>993097</v>
      </c>
      <c r="L487" t="s">
        <v>870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237</v>
      </c>
      <c r="B488" t="s">
        <v>763</v>
      </c>
      <c r="C488" s="152">
        <v>505</v>
      </c>
      <c r="D488" s="152">
        <v>1069</v>
      </c>
      <c r="E488" s="152">
        <v>1574</v>
      </c>
      <c r="F488" s="152">
        <v>9718682.8165531904</v>
      </c>
      <c r="G488" s="152">
        <v>24493866.3319076</v>
      </c>
      <c r="H488" s="152">
        <v>34212549.148460798</v>
      </c>
      <c r="I488" t="s">
        <v>685</v>
      </c>
      <c r="J488" t="s">
        <v>127</v>
      </c>
      <c r="K488">
        <v>192146</v>
      </c>
      <c r="L488" t="s">
        <v>805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108</v>
      </c>
      <c r="B489" t="s">
        <v>110</v>
      </c>
      <c r="C489" s="152">
        <v>880</v>
      </c>
      <c r="D489" s="152">
        <v>692</v>
      </c>
      <c r="E489" s="152">
        <v>1572</v>
      </c>
      <c r="F489" s="152">
        <v>16171277.449369401</v>
      </c>
      <c r="G489" s="152">
        <v>15761669.6287589</v>
      </c>
      <c r="H489" s="152">
        <v>31932947.0781282</v>
      </c>
      <c r="I489" t="s">
        <v>806</v>
      </c>
      <c r="J489" t="s">
        <v>127</v>
      </c>
      <c r="K489">
        <v>678128</v>
      </c>
      <c r="L489" t="s">
        <v>736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314</v>
      </c>
      <c r="B490" t="s">
        <v>1029</v>
      </c>
      <c r="C490" s="152">
        <v>599</v>
      </c>
      <c r="D490" s="152">
        <v>963</v>
      </c>
      <c r="E490" s="152">
        <v>1562</v>
      </c>
      <c r="F490" s="152">
        <v>70279492.836023495</v>
      </c>
      <c r="G490" s="152">
        <v>125892814.464588</v>
      </c>
      <c r="H490" s="152">
        <v>196172307.300612</v>
      </c>
      <c r="I490" t="s">
        <v>806</v>
      </c>
      <c r="J490" t="s">
        <v>129</v>
      </c>
      <c r="K490">
        <v>172601</v>
      </c>
      <c r="L490" t="s">
        <v>846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291</v>
      </c>
      <c r="B491" t="s">
        <v>29</v>
      </c>
      <c r="C491" s="152">
        <v>637</v>
      </c>
      <c r="D491" s="152">
        <v>909</v>
      </c>
      <c r="E491" s="152">
        <v>1546</v>
      </c>
      <c r="F491" s="152">
        <v>10111505.010789299</v>
      </c>
      <c r="G491" s="152">
        <v>18323245.625987001</v>
      </c>
      <c r="H491" s="152">
        <v>28434750.636776298</v>
      </c>
      <c r="I491" t="s">
        <v>685</v>
      </c>
      <c r="J491" t="s">
        <v>127</v>
      </c>
      <c r="K491">
        <v>353235</v>
      </c>
      <c r="L491" t="s">
        <v>372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678</v>
      </c>
      <c r="B492" t="s">
        <v>15</v>
      </c>
      <c r="C492" s="152">
        <v>667</v>
      </c>
      <c r="D492" s="152">
        <v>873</v>
      </c>
      <c r="E492" s="152">
        <v>1540</v>
      </c>
      <c r="F492" s="152">
        <v>14119374.356698999</v>
      </c>
      <c r="G492" s="152">
        <v>21972659.926672101</v>
      </c>
      <c r="H492" s="152">
        <v>36092034.283371098</v>
      </c>
      <c r="I492" t="s">
        <v>685</v>
      </c>
      <c r="J492" t="s">
        <v>128</v>
      </c>
      <c r="K492">
        <v>316752</v>
      </c>
      <c r="L492" t="s">
        <v>451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48</v>
      </c>
      <c r="B493" t="s">
        <v>49</v>
      </c>
      <c r="C493" s="152">
        <v>726</v>
      </c>
      <c r="D493" s="152">
        <v>813</v>
      </c>
      <c r="E493" s="152">
        <v>1539</v>
      </c>
      <c r="F493" s="152">
        <v>13540050.705998899</v>
      </c>
      <c r="G493" s="152">
        <v>17209136.678447999</v>
      </c>
      <c r="H493" s="152">
        <v>30749187.384447001</v>
      </c>
      <c r="I493" t="s">
        <v>685</v>
      </c>
      <c r="J493" t="s">
        <v>127</v>
      </c>
      <c r="K493">
        <v>280867</v>
      </c>
      <c r="L493" t="s">
        <v>759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594</v>
      </c>
      <c r="B494" t="s">
        <v>1005</v>
      </c>
      <c r="C494" s="152">
        <v>779</v>
      </c>
      <c r="D494" s="152">
        <v>741</v>
      </c>
      <c r="E494" s="152">
        <v>1520</v>
      </c>
      <c r="F494" s="152">
        <v>16530398.3637802</v>
      </c>
      <c r="G494" s="152">
        <v>20436483.992085502</v>
      </c>
      <c r="H494" s="152">
        <v>36966882.355865799</v>
      </c>
      <c r="I494" t="s">
        <v>685</v>
      </c>
      <c r="J494" t="s">
        <v>128</v>
      </c>
      <c r="K494">
        <v>734558</v>
      </c>
      <c r="L494" t="s">
        <v>1004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384</v>
      </c>
      <c r="B495" t="s">
        <v>487</v>
      </c>
      <c r="C495" s="152">
        <v>568</v>
      </c>
      <c r="D495" s="152">
        <v>925</v>
      </c>
      <c r="E495" s="152">
        <v>1493</v>
      </c>
      <c r="F495" s="152">
        <v>8784776.3584381994</v>
      </c>
      <c r="G495" s="152">
        <v>19795892.602887101</v>
      </c>
      <c r="H495" s="152">
        <v>28580668.961325299</v>
      </c>
      <c r="I495" t="s">
        <v>685</v>
      </c>
      <c r="J495" t="s">
        <v>127</v>
      </c>
      <c r="K495">
        <v>625236</v>
      </c>
      <c r="L495" t="s">
        <v>813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138</v>
      </c>
      <c r="B496" t="s">
        <v>228</v>
      </c>
      <c r="C496" s="152">
        <v>579</v>
      </c>
      <c r="D496" s="152">
        <v>910</v>
      </c>
      <c r="E496" s="152">
        <v>1489</v>
      </c>
      <c r="F496" s="152">
        <v>9405163.6559594497</v>
      </c>
      <c r="G496" s="152">
        <v>19761624.4320288</v>
      </c>
      <c r="H496" s="152">
        <v>29166788.087988298</v>
      </c>
      <c r="I496" t="s">
        <v>685</v>
      </c>
      <c r="J496" t="s">
        <v>127</v>
      </c>
      <c r="K496">
        <v>333633</v>
      </c>
      <c r="L496" t="s">
        <v>838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678</v>
      </c>
      <c r="B497" t="s">
        <v>840</v>
      </c>
      <c r="C497" s="152">
        <v>761</v>
      </c>
      <c r="D497" s="152">
        <v>726</v>
      </c>
      <c r="E497" s="152">
        <v>1487</v>
      </c>
      <c r="F497" s="152">
        <v>11069850.510063</v>
      </c>
      <c r="G497" s="152">
        <v>12691989.921516201</v>
      </c>
      <c r="H497" s="152">
        <v>23761840.431579199</v>
      </c>
      <c r="I497" t="s">
        <v>685</v>
      </c>
      <c r="J497" t="s">
        <v>128</v>
      </c>
      <c r="K497">
        <v>132175</v>
      </c>
      <c r="L497" t="s">
        <v>838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237</v>
      </c>
      <c r="B498" t="s">
        <v>238</v>
      </c>
      <c r="C498" s="152">
        <v>605</v>
      </c>
      <c r="D498" s="152">
        <v>879</v>
      </c>
      <c r="E498" s="152">
        <v>1484</v>
      </c>
      <c r="F498" s="152">
        <v>9583137.5285528209</v>
      </c>
      <c r="G498" s="152">
        <v>18295688.727548499</v>
      </c>
      <c r="H498" s="152">
        <v>27878826.256101299</v>
      </c>
      <c r="I498" t="s">
        <v>685</v>
      </c>
      <c r="J498" t="s">
        <v>127</v>
      </c>
      <c r="K498">
        <v>652628</v>
      </c>
      <c r="L498" t="s">
        <v>811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218</v>
      </c>
      <c r="B499" t="s">
        <v>1067</v>
      </c>
      <c r="C499" s="152">
        <v>621</v>
      </c>
      <c r="D499" s="152">
        <v>845</v>
      </c>
      <c r="E499" s="152">
        <v>1466</v>
      </c>
      <c r="F499" s="152">
        <v>10712535.6386752</v>
      </c>
      <c r="G499" s="152">
        <v>18093134.545032501</v>
      </c>
      <c r="H499" s="152">
        <v>28805670.183707699</v>
      </c>
      <c r="I499" t="s">
        <v>685</v>
      </c>
      <c r="J499" t="s">
        <v>127</v>
      </c>
      <c r="K499">
        <v>990028</v>
      </c>
      <c r="L499" t="s">
        <v>868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314</v>
      </c>
      <c r="B500" t="s">
        <v>91</v>
      </c>
      <c r="C500" s="152">
        <v>681</v>
      </c>
      <c r="D500" s="152">
        <v>774</v>
      </c>
      <c r="E500" s="152">
        <v>1455</v>
      </c>
      <c r="F500" s="152">
        <v>3577053.3307699398</v>
      </c>
      <c r="G500" s="152">
        <v>5709354.8822427103</v>
      </c>
      <c r="H500" s="152">
        <v>9286408.2130126506</v>
      </c>
      <c r="I500" t="s">
        <v>685</v>
      </c>
      <c r="J500" t="s">
        <v>129</v>
      </c>
      <c r="K500">
        <v>749606</v>
      </c>
      <c r="L500" t="s">
        <v>89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152</v>
      </c>
      <c r="B501" t="s">
        <v>1098</v>
      </c>
      <c r="C501" s="152">
        <v>765</v>
      </c>
      <c r="D501" s="152">
        <v>670</v>
      </c>
      <c r="E501" s="152">
        <v>1435</v>
      </c>
      <c r="F501" s="152">
        <v>64125444.045549601</v>
      </c>
      <c r="G501" s="152">
        <v>61639131.200825401</v>
      </c>
      <c r="H501" s="152">
        <v>125764575.24637499</v>
      </c>
      <c r="I501" t="s">
        <v>685</v>
      </c>
      <c r="J501" t="s">
        <v>127</v>
      </c>
      <c r="K501">
        <v>272831</v>
      </c>
      <c r="L501" t="s">
        <v>486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314</v>
      </c>
      <c r="B502" t="s">
        <v>1056</v>
      </c>
      <c r="C502" s="152">
        <v>479</v>
      </c>
      <c r="D502" s="152">
        <v>954</v>
      </c>
      <c r="E502" s="152">
        <v>1433</v>
      </c>
      <c r="F502" s="152">
        <v>36982737.5178013</v>
      </c>
      <c r="G502" s="152">
        <v>89385737.2671296</v>
      </c>
      <c r="H502" s="152">
        <v>126368474.784931</v>
      </c>
      <c r="I502" t="s">
        <v>806</v>
      </c>
      <c r="J502" t="s">
        <v>129</v>
      </c>
      <c r="K502">
        <v>691220</v>
      </c>
      <c r="L502" t="s">
        <v>1054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250</v>
      </c>
      <c r="B503" t="s">
        <v>941</v>
      </c>
      <c r="C503" s="152">
        <v>671</v>
      </c>
      <c r="D503" s="152">
        <v>756</v>
      </c>
      <c r="E503" s="152">
        <v>1427</v>
      </c>
      <c r="F503" s="152">
        <v>13654812.3901115</v>
      </c>
      <c r="G503" s="152">
        <v>18442415.846882001</v>
      </c>
      <c r="H503" s="152">
        <v>32097228.236993499</v>
      </c>
      <c r="I503" t="s">
        <v>685</v>
      </c>
      <c r="J503" t="s">
        <v>127</v>
      </c>
      <c r="K503">
        <v>373183</v>
      </c>
      <c r="L503" t="s">
        <v>807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776</v>
      </c>
      <c r="B504" t="s">
        <v>820</v>
      </c>
      <c r="C504" s="152">
        <v>659</v>
      </c>
      <c r="D504" s="152">
        <v>765</v>
      </c>
      <c r="E504" s="152">
        <v>1424</v>
      </c>
      <c r="F504" s="152">
        <v>14712855.236248299</v>
      </c>
      <c r="G504" s="152">
        <v>21331585.4884363</v>
      </c>
      <c r="H504" s="152">
        <v>36044440.7246847</v>
      </c>
      <c r="I504" t="s">
        <v>685</v>
      </c>
      <c r="J504" t="s">
        <v>127</v>
      </c>
      <c r="K504">
        <v>420463</v>
      </c>
      <c r="L504" t="s">
        <v>819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800</v>
      </c>
      <c r="B505" t="s">
        <v>676</v>
      </c>
      <c r="C505" s="152">
        <v>627</v>
      </c>
      <c r="D505" s="152">
        <v>785</v>
      </c>
      <c r="E505" s="152">
        <v>1412</v>
      </c>
      <c r="F505" s="152">
        <v>11838137.383088799</v>
      </c>
      <c r="G505" s="152">
        <v>18441240.1068957</v>
      </c>
      <c r="H505" s="152">
        <v>30279377.489984602</v>
      </c>
      <c r="I505" t="s">
        <v>685</v>
      </c>
      <c r="J505" t="s">
        <v>127</v>
      </c>
      <c r="K505">
        <v>785493</v>
      </c>
      <c r="L505" t="s">
        <v>45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306</v>
      </c>
      <c r="B506" t="s">
        <v>11</v>
      </c>
      <c r="C506" s="152">
        <v>758</v>
      </c>
      <c r="D506" s="152">
        <v>646</v>
      </c>
      <c r="E506" s="152">
        <v>1404</v>
      </c>
      <c r="F506" s="152">
        <v>33547405.836854901</v>
      </c>
      <c r="G506" s="152">
        <v>30469521.851241801</v>
      </c>
      <c r="H506" s="152">
        <v>64016927.688096702</v>
      </c>
      <c r="I506" t="s">
        <v>806</v>
      </c>
      <c r="J506" t="s">
        <v>129</v>
      </c>
      <c r="K506">
        <v>927632</v>
      </c>
      <c r="L506" t="s">
        <v>462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305</v>
      </c>
      <c r="B507" t="s">
        <v>955</v>
      </c>
      <c r="C507" s="152">
        <v>736</v>
      </c>
      <c r="D507" s="152">
        <v>664</v>
      </c>
      <c r="E507" s="152">
        <v>1400</v>
      </c>
      <c r="F507" s="152">
        <v>17966236.701251999</v>
      </c>
      <c r="G507" s="152">
        <v>22284441.695533901</v>
      </c>
      <c r="H507" s="152">
        <v>40250678.3967859</v>
      </c>
      <c r="I507" t="s">
        <v>806</v>
      </c>
      <c r="J507" t="s">
        <v>129</v>
      </c>
      <c r="K507">
        <v>592295</v>
      </c>
      <c r="L507" t="s">
        <v>756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723</v>
      </c>
      <c r="B508" t="s">
        <v>1081</v>
      </c>
      <c r="C508" s="152">
        <v>893</v>
      </c>
      <c r="D508" s="152">
        <v>505</v>
      </c>
      <c r="E508" s="152">
        <v>1398</v>
      </c>
      <c r="F508" s="152">
        <v>18117174.012667999</v>
      </c>
      <c r="G508" s="152">
        <v>11314155.976422001</v>
      </c>
      <c r="H508" s="152">
        <v>29431329.989089999</v>
      </c>
      <c r="I508" t="s">
        <v>806</v>
      </c>
      <c r="J508" t="s">
        <v>127</v>
      </c>
      <c r="K508">
        <v>203067</v>
      </c>
      <c r="L508" t="s">
        <v>755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138</v>
      </c>
      <c r="B509" t="s">
        <v>962</v>
      </c>
      <c r="C509" s="152">
        <v>597</v>
      </c>
      <c r="D509" s="152">
        <v>781</v>
      </c>
      <c r="E509" s="152">
        <v>1378</v>
      </c>
      <c r="F509" s="152">
        <v>6495268.1088539297</v>
      </c>
      <c r="G509" s="152">
        <v>9617559.7271162197</v>
      </c>
      <c r="H509" s="152">
        <v>16112827.8359701</v>
      </c>
      <c r="I509" t="s">
        <v>685</v>
      </c>
      <c r="J509" t="s">
        <v>127</v>
      </c>
      <c r="K509">
        <v>817601</v>
      </c>
      <c r="L509" t="s">
        <v>94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723</v>
      </c>
      <c r="B510" t="s">
        <v>661</v>
      </c>
      <c r="C510" s="152">
        <v>549</v>
      </c>
      <c r="D510" s="152">
        <v>814</v>
      </c>
      <c r="E510" s="152">
        <v>1363</v>
      </c>
      <c r="F510" s="152">
        <v>13264947.734174101</v>
      </c>
      <c r="G510" s="152">
        <v>22640783.051437099</v>
      </c>
      <c r="H510" s="152">
        <v>35905730.785611197</v>
      </c>
      <c r="I510" t="s">
        <v>806</v>
      </c>
      <c r="J510" t="s">
        <v>127</v>
      </c>
      <c r="K510">
        <v>272898</v>
      </c>
      <c r="L510" t="s">
        <v>671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536</v>
      </c>
      <c r="B511" t="s">
        <v>900</v>
      </c>
      <c r="C511" s="152">
        <v>706</v>
      </c>
      <c r="D511" s="152">
        <v>653</v>
      </c>
      <c r="E511" s="152">
        <v>1359</v>
      </c>
      <c r="F511" s="152">
        <v>11457660.229715999</v>
      </c>
      <c r="G511" s="152">
        <v>13041100.3976532</v>
      </c>
      <c r="H511" s="152">
        <v>24498760.627369199</v>
      </c>
      <c r="I511" t="s">
        <v>806</v>
      </c>
      <c r="J511" t="s">
        <v>128</v>
      </c>
      <c r="K511">
        <v>867606</v>
      </c>
      <c r="L511" t="s">
        <v>899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678</v>
      </c>
      <c r="B512" t="s">
        <v>38</v>
      </c>
      <c r="C512" s="152">
        <v>634</v>
      </c>
      <c r="D512" s="152">
        <v>725</v>
      </c>
      <c r="E512" s="152">
        <v>1359</v>
      </c>
      <c r="F512" s="152">
        <v>11449954.418018799</v>
      </c>
      <c r="G512" s="152">
        <v>17336273.968214702</v>
      </c>
      <c r="H512" s="152">
        <v>28786228.386233501</v>
      </c>
      <c r="I512" t="s">
        <v>685</v>
      </c>
      <c r="J512" t="s">
        <v>128</v>
      </c>
      <c r="K512">
        <v>483800</v>
      </c>
      <c r="L512" t="s">
        <v>464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152</v>
      </c>
      <c r="B513" t="s">
        <v>580</v>
      </c>
      <c r="C513" s="152">
        <v>547</v>
      </c>
      <c r="D513" s="152">
        <v>795</v>
      </c>
      <c r="E513" s="152">
        <v>1342</v>
      </c>
      <c r="F513" s="152">
        <v>12714935.6514822</v>
      </c>
      <c r="G513" s="152">
        <v>24327677.636913199</v>
      </c>
      <c r="H513" s="152">
        <v>37042613.288395397</v>
      </c>
      <c r="I513" t="s">
        <v>685</v>
      </c>
      <c r="J513" t="s">
        <v>127</v>
      </c>
      <c r="K513">
        <v>303230</v>
      </c>
      <c r="L513" t="s">
        <v>868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723</v>
      </c>
      <c r="B514" t="s">
        <v>413</v>
      </c>
      <c r="C514" s="152">
        <v>491</v>
      </c>
      <c r="D514" s="152">
        <v>842</v>
      </c>
      <c r="E514" s="152">
        <v>1333</v>
      </c>
      <c r="F514" s="152">
        <v>10464859.827129301</v>
      </c>
      <c r="G514" s="152">
        <v>22332088.885849599</v>
      </c>
      <c r="H514" s="152">
        <v>32796948.712978899</v>
      </c>
      <c r="I514" t="s">
        <v>685</v>
      </c>
      <c r="J514" t="s">
        <v>127</v>
      </c>
      <c r="K514">
        <v>524470</v>
      </c>
      <c r="L514" t="s">
        <v>1113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250</v>
      </c>
      <c r="B515" t="s">
        <v>772</v>
      </c>
      <c r="C515" s="152">
        <v>424</v>
      </c>
      <c r="D515" s="152">
        <v>907</v>
      </c>
      <c r="E515" s="152">
        <v>1331</v>
      </c>
      <c r="F515" s="152">
        <v>6357976.29688235</v>
      </c>
      <c r="G515" s="152">
        <v>18607707.045516599</v>
      </c>
      <c r="H515" s="152">
        <v>24965683.342398901</v>
      </c>
      <c r="I515" t="s">
        <v>685</v>
      </c>
      <c r="J515" t="s">
        <v>127</v>
      </c>
      <c r="K515">
        <v>806091</v>
      </c>
      <c r="L515" t="s">
        <v>94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314</v>
      </c>
      <c r="B516" t="s">
        <v>355</v>
      </c>
      <c r="C516" s="152">
        <v>716</v>
      </c>
      <c r="D516" s="152">
        <v>615</v>
      </c>
      <c r="E516" s="152">
        <v>1331</v>
      </c>
      <c r="F516" s="152">
        <v>11895262.9515181</v>
      </c>
      <c r="G516" s="152">
        <v>12108135.1651427</v>
      </c>
      <c r="H516" s="152">
        <v>24003398.1166608</v>
      </c>
      <c r="I516" t="s">
        <v>685</v>
      </c>
      <c r="J516" t="s">
        <v>129</v>
      </c>
      <c r="K516">
        <v>480145</v>
      </c>
      <c r="L516" t="s">
        <v>63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723</v>
      </c>
      <c r="B517" t="s">
        <v>419</v>
      </c>
      <c r="C517" s="152">
        <v>755</v>
      </c>
      <c r="D517" s="152">
        <v>570</v>
      </c>
      <c r="E517" s="152">
        <v>1325</v>
      </c>
      <c r="F517" s="152">
        <v>9012462.0753464792</v>
      </c>
      <c r="G517" s="152">
        <v>8787604.8669200204</v>
      </c>
      <c r="H517" s="152">
        <v>17800066.942266501</v>
      </c>
      <c r="I517" t="s">
        <v>806</v>
      </c>
      <c r="J517" t="s">
        <v>127</v>
      </c>
      <c r="K517">
        <v>584979</v>
      </c>
      <c r="L517" t="s">
        <v>420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273</v>
      </c>
      <c r="B518" t="s">
        <v>1084</v>
      </c>
      <c r="C518" s="152">
        <v>543</v>
      </c>
      <c r="D518" s="152">
        <v>778</v>
      </c>
      <c r="E518" s="152">
        <v>1321</v>
      </c>
      <c r="F518" s="152">
        <v>8480320.1131371409</v>
      </c>
      <c r="G518" s="152">
        <v>15168407.7507089</v>
      </c>
      <c r="H518" s="152">
        <v>23648727.863846</v>
      </c>
      <c r="I518" t="s">
        <v>685</v>
      </c>
      <c r="J518" t="s">
        <v>127</v>
      </c>
      <c r="K518">
        <v>401695</v>
      </c>
      <c r="L518" t="s">
        <v>132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314</v>
      </c>
      <c r="B519" t="s">
        <v>357</v>
      </c>
      <c r="C519" s="152">
        <v>745</v>
      </c>
      <c r="D519" s="152">
        <v>572</v>
      </c>
      <c r="E519" s="152">
        <v>1317</v>
      </c>
      <c r="F519" s="152">
        <v>13080588.415638199</v>
      </c>
      <c r="G519" s="152">
        <v>12430466.746740401</v>
      </c>
      <c r="H519" s="152">
        <v>25511055.162378699</v>
      </c>
      <c r="I519" t="s">
        <v>685</v>
      </c>
      <c r="J519" t="s">
        <v>129</v>
      </c>
      <c r="K519">
        <v>444315</v>
      </c>
      <c r="L519" t="s">
        <v>63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250</v>
      </c>
      <c r="B520" t="s">
        <v>267</v>
      </c>
      <c r="C520" s="152">
        <v>536</v>
      </c>
      <c r="D520" s="152">
        <v>753</v>
      </c>
      <c r="E520" s="152">
        <v>1289</v>
      </c>
      <c r="F520" s="152">
        <v>10889388.0929804</v>
      </c>
      <c r="G520" s="152">
        <v>18979001.1817834</v>
      </c>
      <c r="H520" s="152">
        <v>29868389.2747638</v>
      </c>
      <c r="I520" t="s">
        <v>685</v>
      </c>
      <c r="J520" t="s">
        <v>127</v>
      </c>
      <c r="K520">
        <v>273664</v>
      </c>
      <c r="L520" t="s">
        <v>45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291</v>
      </c>
      <c r="B521" t="s">
        <v>209</v>
      </c>
      <c r="C521" s="152">
        <v>599</v>
      </c>
      <c r="D521" s="152">
        <v>685</v>
      </c>
      <c r="E521" s="152">
        <v>1284</v>
      </c>
      <c r="F521" s="152">
        <v>9853325.5985136703</v>
      </c>
      <c r="G521" s="152">
        <v>14190133.4413267</v>
      </c>
      <c r="H521" s="152">
        <v>24043459.0398404</v>
      </c>
      <c r="I521" t="s">
        <v>685</v>
      </c>
      <c r="J521" t="s">
        <v>127</v>
      </c>
      <c r="K521">
        <v>189258</v>
      </c>
      <c r="L521" t="s">
        <v>451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383</v>
      </c>
      <c r="B522" t="s">
        <v>750</v>
      </c>
      <c r="C522" s="152">
        <v>508</v>
      </c>
      <c r="D522" s="152">
        <v>771</v>
      </c>
      <c r="E522" s="152">
        <v>1279</v>
      </c>
      <c r="F522" s="152">
        <v>10616215.342712799</v>
      </c>
      <c r="G522" s="152">
        <v>19286167.1070848</v>
      </c>
      <c r="H522" s="152">
        <v>29902382.449797601</v>
      </c>
      <c r="I522" t="s">
        <v>685</v>
      </c>
      <c r="J522" t="s">
        <v>127</v>
      </c>
      <c r="K522">
        <v>174672</v>
      </c>
      <c r="L522" t="s">
        <v>372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282</v>
      </c>
      <c r="B523" t="s">
        <v>181</v>
      </c>
      <c r="C523" s="152">
        <v>544</v>
      </c>
      <c r="D523" s="152">
        <v>734</v>
      </c>
      <c r="E523" s="152">
        <v>1278</v>
      </c>
      <c r="F523" s="152">
        <v>12810890.7304608</v>
      </c>
      <c r="G523" s="152">
        <v>21223950.021660998</v>
      </c>
      <c r="H523" s="152">
        <v>34034840.752121799</v>
      </c>
      <c r="I523" t="s">
        <v>806</v>
      </c>
      <c r="J523" t="s">
        <v>127</v>
      </c>
      <c r="K523">
        <v>644005</v>
      </c>
      <c r="L523" t="s">
        <v>729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168</v>
      </c>
      <c r="B524" t="s">
        <v>606</v>
      </c>
      <c r="C524" s="152">
        <v>499</v>
      </c>
      <c r="D524" s="152">
        <v>763</v>
      </c>
      <c r="E524" s="152">
        <v>1262</v>
      </c>
      <c r="F524" s="152">
        <v>8352418.5806744099</v>
      </c>
      <c r="G524" s="152">
        <v>16466061.7334782</v>
      </c>
      <c r="H524" s="152">
        <v>24818480.314152598</v>
      </c>
      <c r="I524" t="s">
        <v>685</v>
      </c>
      <c r="J524" t="s">
        <v>127</v>
      </c>
      <c r="K524">
        <v>231100</v>
      </c>
      <c r="L524" t="s">
        <v>813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282</v>
      </c>
      <c r="B525" t="s">
        <v>207</v>
      </c>
      <c r="C525" s="152">
        <v>569</v>
      </c>
      <c r="D525" s="152">
        <v>684</v>
      </c>
      <c r="E525" s="152">
        <v>1253</v>
      </c>
      <c r="F525" s="152">
        <v>8504019.9065932706</v>
      </c>
      <c r="G525" s="152">
        <v>12176081.8831755</v>
      </c>
      <c r="H525" s="152">
        <v>20680101.7897688</v>
      </c>
      <c r="I525" t="s">
        <v>685</v>
      </c>
      <c r="J525" t="s">
        <v>127</v>
      </c>
      <c r="K525">
        <v>688986</v>
      </c>
      <c r="L525" t="s">
        <v>451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282</v>
      </c>
      <c r="B526" t="s">
        <v>610</v>
      </c>
      <c r="C526" s="152">
        <v>529</v>
      </c>
      <c r="D526" s="152">
        <v>677</v>
      </c>
      <c r="E526" s="152">
        <v>1206</v>
      </c>
      <c r="F526" s="152">
        <v>11316469.7596489</v>
      </c>
      <c r="G526" s="152">
        <v>17554756.741280898</v>
      </c>
      <c r="H526" s="152">
        <v>28871226.500929799</v>
      </c>
      <c r="I526" t="s">
        <v>685</v>
      </c>
      <c r="J526" t="s">
        <v>127</v>
      </c>
      <c r="K526">
        <v>374421</v>
      </c>
      <c r="L526" t="s">
        <v>813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779</v>
      </c>
      <c r="B527" t="s">
        <v>879</v>
      </c>
      <c r="C527" s="152">
        <v>364</v>
      </c>
      <c r="D527" s="152">
        <v>832</v>
      </c>
      <c r="E527" s="152">
        <v>1196</v>
      </c>
      <c r="F527" s="152">
        <v>8492872.7335113008</v>
      </c>
      <c r="G527" s="152">
        <v>20949101.721089602</v>
      </c>
      <c r="H527" s="152">
        <v>29441974.4546009</v>
      </c>
      <c r="I527" t="s">
        <v>806</v>
      </c>
      <c r="J527" t="s">
        <v>127</v>
      </c>
      <c r="K527">
        <v>653030</v>
      </c>
      <c r="L527" t="s">
        <v>736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678</v>
      </c>
      <c r="B528" t="s">
        <v>1040</v>
      </c>
      <c r="C528" s="152">
        <v>513</v>
      </c>
      <c r="D528" s="152">
        <v>670</v>
      </c>
      <c r="E528" s="152">
        <v>1183</v>
      </c>
      <c r="F528" s="152">
        <v>13269492.6391649</v>
      </c>
      <c r="G528" s="152">
        <v>20781880.076494299</v>
      </c>
      <c r="H528" s="152">
        <v>34051372.715659201</v>
      </c>
      <c r="I528" t="s">
        <v>685</v>
      </c>
      <c r="J528" t="s">
        <v>128</v>
      </c>
      <c r="K528">
        <v>793406</v>
      </c>
      <c r="L528" t="s">
        <v>805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358</v>
      </c>
      <c r="B529" t="s">
        <v>884</v>
      </c>
      <c r="C529" s="152">
        <v>704</v>
      </c>
      <c r="D529" s="152">
        <v>458</v>
      </c>
      <c r="E529" s="152">
        <v>1162</v>
      </c>
      <c r="F529" s="152">
        <v>34797654.506402202</v>
      </c>
      <c r="G529" s="152">
        <v>23934598.813777499</v>
      </c>
      <c r="H529" s="152">
        <v>58732253.320179701</v>
      </c>
      <c r="I529" t="s">
        <v>685</v>
      </c>
      <c r="J529" t="s">
        <v>131</v>
      </c>
      <c r="K529">
        <v>891093</v>
      </c>
      <c r="L529" t="s">
        <v>729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48</v>
      </c>
      <c r="B530" t="s">
        <v>74</v>
      </c>
      <c r="C530" s="152">
        <v>661</v>
      </c>
      <c r="D530" s="152">
        <v>500</v>
      </c>
      <c r="E530" s="152">
        <v>1161</v>
      </c>
      <c r="F530" s="152">
        <v>11512061.9786362</v>
      </c>
      <c r="G530" s="152">
        <v>10696364.657622</v>
      </c>
      <c r="H530" s="152">
        <v>22208426.6362582</v>
      </c>
      <c r="I530" t="s">
        <v>806</v>
      </c>
      <c r="J530" t="s">
        <v>127</v>
      </c>
      <c r="K530">
        <v>273078</v>
      </c>
      <c r="L530" t="s">
        <v>724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138</v>
      </c>
      <c r="B531" t="s">
        <v>449</v>
      </c>
      <c r="C531" s="152">
        <v>471</v>
      </c>
      <c r="D531" s="152">
        <v>682</v>
      </c>
      <c r="E531" s="152">
        <v>1153</v>
      </c>
      <c r="F531" s="152">
        <v>7905581.74708544</v>
      </c>
      <c r="G531" s="152">
        <v>14395378.985622101</v>
      </c>
      <c r="H531" s="152">
        <v>22300960.7327075</v>
      </c>
      <c r="I531" t="s">
        <v>806</v>
      </c>
      <c r="J531" t="s">
        <v>127</v>
      </c>
      <c r="K531">
        <v>602094</v>
      </c>
      <c r="L531" t="s">
        <v>36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381</v>
      </c>
      <c r="B532" t="s">
        <v>943</v>
      </c>
      <c r="C532" s="152">
        <v>383</v>
      </c>
      <c r="D532" s="152">
        <v>770</v>
      </c>
      <c r="E532" s="152">
        <v>1153</v>
      </c>
      <c r="F532" s="152">
        <v>7605467.1741796099</v>
      </c>
      <c r="G532" s="152">
        <v>18479574.549135</v>
      </c>
      <c r="H532" s="152">
        <v>26085041.723314598</v>
      </c>
      <c r="I532" t="s">
        <v>685</v>
      </c>
      <c r="J532" t="s">
        <v>127</v>
      </c>
      <c r="K532">
        <v>391896</v>
      </c>
      <c r="L532" t="s">
        <v>813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382</v>
      </c>
      <c r="B533" t="s">
        <v>214</v>
      </c>
      <c r="C533" s="152">
        <v>415</v>
      </c>
      <c r="D533" s="152">
        <v>735</v>
      </c>
      <c r="E533" s="152">
        <v>1150</v>
      </c>
      <c r="F533" s="152">
        <v>9977242.50253563</v>
      </c>
      <c r="G533" s="152">
        <v>22480880.408635199</v>
      </c>
      <c r="H533" s="152">
        <v>32458122.9111709</v>
      </c>
      <c r="I533" t="s">
        <v>685</v>
      </c>
      <c r="J533" t="s">
        <v>127</v>
      </c>
      <c r="K533">
        <v>925099</v>
      </c>
      <c r="L533" t="s">
        <v>451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664</v>
      </c>
      <c r="B534" t="s">
        <v>670</v>
      </c>
      <c r="C534" s="152">
        <v>584</v>
      </c>
      <c r="D534" s="152">
        <v>566</v>
      </c>
      <c r="E534" s="152">
        <v>1150</v>
      </c>
      <c r="F534" s="152">
        <v>8357252.7182834204</v>
      </c>
      <c r="G534" s="152">
        <v>9632063.7879325394</v>
      </c>
      <c r="H534" s="152">
        <v>17989316.506216001</v>
      </c>
      <c r="I534" t="s">
        <v>685</v>
      </c>
      <c r="J534" t="s">
        <v>128</v>
      </c>
      <c r="K534">
        <v>203836</v>
      </c>
      <c r="L534" t="s">
        <v>838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678</v>
      </c>
      <c r="B535" t="s">
        <v>34</v>
      </c>
      <c r="C535" s="152">
        <v>482</v>
      </c>
      <c r="D535" s="152">
        <v>663</v>
      </c>
      <c r="E535" s="152">
        <v>1145</v>
      </c>
      <c r="F535" s="152">
        <v>11257616.198574301</v>
      </c>
      <c r="G535" s="152">
        <v>17657289.617378499</v>
      </c>
      <c r="H535" s="152">
        <v>28914905.8159528</v>
      </c>
      <c r="I535" t="s">
        <v>685</v>
      </c>
      <c r="J535" t="s">
        <v>128</v>
      </c>
      <c r="K535">
        <v>103010</v>
      </c>
      <c r="L535" t="s">
        <v>372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237</v>
      </c>
      <c r="B536" t="s">
        <v>769</v>
      </c>
      <c r="C536" s="152">
        <v>585</v>
      </c>
      <c r="D536" s="152">
        <v>557</v>
      </c>
      <c r="E536" s="152">
        <v>1142</v>
      </c>
      <c r="F536" s="152">
        <v>7440433.9916401999</v>
      </c>
      <c r="G536" s="152">
        <v>10091651.047317401</v>
      </c>
      <c r="H536" s="152">
        <v>17532085.0389576</v>
      </c>
      <c r="I536" t="s">
        <v>685</v>
      </c>
      <c r="J536" t="s">
        <v>127</v>
      </c>
      <c r="K536">
        <v>603985</v>
      </c>
      <c r="L536" t="s">
        <v>856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678</v>
      </c>
      <c r="B537" t="s">
        <v>1037</v>
      </c>
      <c r="C537" s="152">
        <v>529</v>
      </c>
      <c r="D537" s="152">
        <v>609</v>
      </c>
      <c r="E537" s="152">
        <v>1138</v>
      </c>
      <c r="F537" s="152">
        <v>11544314.953773599</v>
      </c>
      <c r="G537" s="152">
        <v>18319696.928002499</v>
      </c>
      <c r="H537" s="152">
        <v>29864011.881776001</v>
      </c>
      <c r="I537" t="s">
        <v>685</v>
      </c>
      <c r="J537" t="s">
        <v>128</v>
      </c>
      <c r="K537">
        <v>479436</v>
      </c>
      <c r="L537" t="s">
        <v>805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678</v>
      </c>
      <c r="B538" t="s">
        <v>785</v>
      </c>
      <c r="C538" s="152">
        <v>534</v>
      </c>
      <c r="D538" s="152">
        <v>596</v>
      </c>
      <c r="E538" s="152">
        <v>1130</v>
      </c>
      <c r="F538" s="152">
        <v>17576781.019735601</v>
      </c>
      <c r="G538" s="152">
        <v>23647367.0648099</v>
      </c>
      <c r="H538" s="152">
        <v>41224148.084545404</v>
      </c>
      <c r="I538" t="s">
        <v>685</v>
      </c>
      <c r="J538" t="s">
        <v>128</v>
      </c>
      <c r="K538">
        <v>408898</v>
      </c>
      <c r="L538" t="s">
        <v>742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381</v>
      </c>
      <c r="B539" t="s">
        <v>421</v>
      </c>
      <c r="C539" s="152">
        <v>618</v>
      </c>
      <c r="D539" s="152">
        <v>503</v>
      </c>
      <c r="E539" s="152">
        <v>1121</v>
      </c>
      <c r="F539" s="152">
        <v>3729982.0394854001</v>
      </c>
      <c r="G539" s="152">
        <v>4880236.6790190497</v>
      </c>
      <c r="H539" s="152">
        <v>8610218.7185044605</v>
      </c>
      <c r="I539" t="s">
        <v>806</v>
      </c>
      <c r="J539" t="s">
        <v>127</v>
      </c>
      <c r="K539">
        <v>620807</v>
      </c>
      <c r="L539" t="s">
        <v>420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108</v>
      </c>
      <c r="B540" t="s">
        <v>364</v>
      </c>
      <c r="C540" s="152">
        <v>460</v>
      </c>
      <c r="D540" s="152">
        <v>658</v>
      </c>
      <c r="E540" s="152">
        <v>1118</v>
      </c>
      <c r="F540" s="152">
        <v>9919973.86170776</v>
      </c>
      <c r="G540" s="152">
        <v>18376620.180375699</v>
      </c>
      <c r="H540" s="152">
        <v>28296594.042083502</v>
      </c>
      <c r="I540" t="s">
        <v>685</v>
      </c>
      <c r="J540" t="s">
        <v>127</v>
      </c>
      <c r="K540">
        <v>815837</v>
      </c>
      <c r="L540" t="s">
        <v>372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536</v>
      </c>
      <c r="B541" t="s">
        <v>188</v>
      </c>
      <c r="C541" s="152">
        <v>515</v>
      </c>
      <c r="D541" s="152">
        <v>584</v>
      </c>
      <c r="E541" s="152">
        <v>1099</v>
      </c>
      <c r="F541" s="152">
        <v>20047288.353377201</v>
      </c>
      <c r="G541" s="152">
        <v>30083092.9743733</v>
      </c>
      <c r="H541" s="152">
        <v>50130381.3277504</v>
      </c>
      <c r="I541" t="s">
        <v>806</v>
      </c>
      <c r="J541" t="s">
        <v>128</v>
      </c>
      <c r="K541">
        <v>442897</v>
      </c>
      <c r="L541" t="s">
        <v>852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800</v>
      </c>
      <c r="B542" t="s">
        <v>1009</v>
      </c>
      <c r="C542" s="152">
        <v>456</v>
      </c>
      <c r="D542" s="152">
        <v>639</v>
      </c>
      <c r="E542" s="152">
        <v>1095</v>
      </c>
      <c r="F542" s="152">
        <v>8427109.4068414792</v>
      </c>
      <c r="G542" s="152">
        <v>13724844.566821899</v>
      </c>
      <c r="H542" s="152">
        <v>22151953.973663401</v>
      </c>
      <c r="I542" t="s">
        <v>685</v>
      </c>
      <c r="J542" t="s">
        <v>127</v>
      </c>
      <c r="K542">
        <v>242495</v>
      </c>
      <c r="L542" t="s">
        <v>1004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664</v>
      </c>
      <c r="B543" t="s">
        <v>668</v>
      </c>
      <c r="C543" s="152">
        <v>466</v>
      </c>
      <c r="D543" s="152">
        <v>598</v>
      </c>
      <c r="E543" s="152">
        <v>1064</v>
      </c>
      <c r="F543" s="152">
        <v>12004271.073522501</v>
      </c>
      <c r="G543" s="152">
        <v>17472353.448825698</v>
      </c>
      <c r="H543" s="152">
        <v>29476624.522348199</v>
      </c>
      <c r="I543" t="s">
        <v>685</v>
      </c>
      <c r="J543" t="s">
        <v>128</v>
      </c>
      <c r="K543">
        <v>549972</v>
      </c>
      <c r="L543" t="s">
        <v>819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800</v>
      </c>
      <c r="B544" t="s">
        <v>986</v>
      </c>
      <c r="C544" s="152">
        <v>528</v>
      </c>
      <c r="D544" s="152">
        <v>534</v>
      </c>
      <c r="E544" s="152">
        <v>1062</v>
      </c>
      <c r="F544" s="152">
        <v>5560372.3202841002</v>
      </c>
      <c r="G544" s="152">
        <v>8502322.2837498002</v>
      </c>
      <c r="H544" s="152">
        <v>14062694.6040339</v>
      </c>
      <c r="I544" t="s">
        <v>685</v>
      </c>
      <c r="J544" t="s">
        <v>127</v>
      </c>
      <c r="K544">
        <v>908095</v>
      </c>
      <c r="L544" t="s">
        <v>411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237</v>
      </c>
      <c r="B545" t="s">
        <v>379</v>
      </c>
      <c r="C545" s="152">
        <v>468</v>
      </c>
      <c r="D545" s="152">
        <v>583</v>
      </c>
      <c r="E545" s="152">
        <v>1051</v>
      </c>
      <c r="F545" s="152">
        <v>7061035.5201349696</v>
      </c>
      <c r="G545" s="152">
        <v>12819258.1898733</v>
      </c>
      <c r="H545" s="152">
        <v>19880293.7100082</v>
      </c>
      <c r="I545" t="s">
        <v>806</v>
      </c>
      <c r="J545" t="s">
        <v>127</v>
      </c>
      <c r="K545">
        <v>203182</v>
      </c>
      <c r="L545" t="s">
        <v>729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382</v>
      </c>
      <c r="B546" t="s">
        <v>854</v>
      </c>
      <c r="C546" s="152">
        <v>421</v>
      </c>
      <c r="D546" s="152">
        <v>616</v>
      </c>
      <c r="E546" s="152">
        <v>1037</v>
      </c>
      <c r="F546" s="152">
        <v>7956032.2082375903</v>
      </c>
      <c r="G546" s="152">
        <v>14154588.4935624</v>
      </c>
      <c r="H546" s="152">
        <v>22110620.7018</v>
      </c>
      <c r="I546" t="s">
        <v>685</v>
      </c>
      <c r="J546" t="s">
        <v>127</v>
      </c>
      <c r="K546">
        <v>770263</v>
      </c>
      <c r="L546" t="s">
        <v>94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152</v>
      </c>
      <c r="B547" t="s">
        <v>153</v>
      </c>
      <c r="C547" s="152">
        <v>493</v>
      </c>
      <c r="D547" s="152">
        <v>510</v>
      </c>
      <c r="E547" s="152">
        <v>1003</v>
      </c>
      <c r="F547" s="152">
        <v>7025954.1066778302</v>
      </c>
      <c r="G547" s="152">
        <v>9466298.6900965497</v>
      </c>
      <c r="H547" s="152">
        <v>16492252.7967744</v>
      </c>
      <c r="I547" t="s">
        <v>685</v>
      </c>
      <c r="J547" t="s">
        <v>127</v>
      </c>
      <c r="K547">
        <v>294322</v>
      </c>
      <c r="L547" t="s">
        <v>811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594</v>
      </c>
      <c r="B548" t="s">
        <v>641</v>
      </c>
      <c r="C548" s="152">
        <v>441</v>
      </c>
      <c r="D548" s="152">
        <v>554</v>
      </c>
      <c r="E548" s="152">
        <v>995</v>
      </c>
      <c r="F548" s="152">
        <v>14172593.180596201</v>
      </c>
      <c r="G548" s="152">
        <v>21500108.029206701</v>
      </c>
      <c r="H548" s="152">
        <v>35672701.209802903</v>
      </c>
      <c r="I548" t="s">
        <v>806</v>
      </c>
      <c r="J548" t="s">
        <v>128</v>
      </c>
      <c r="K548">
        <v>384750</v>
      </c>
      <c r="L548" t="s">
        <v>726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250</v>
      </c>
      <c r="B549" t="s">
        <v>502</v>
      </c>
      <c r="C549" s="152">
        <v>367</v>
      </c>
      <c r="D549" s="152">
        <v>623</v>
      </c>
      <c r="E549" s="152">
        <v>990</v>
      </c>
      <c r="F549" s="152">
        <v>9816542.1179922707</v>
      </c>
      <c r="G549" s="152">
        <v>21578590.967685401</v>
      </c>
      <c r="H549" s="152">
        <v>31395133.085677698</v>
      </c>
      <c r="I549" t="s">
        <v>685</v>
      </c>
      <c r="J549" t="s">
        <v>127</v>
      </c>
      <c r="K549">
        <v>121608</v>
      </c>
      <c r="L549" t="s">
        <v>499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48</v>
      </c>
      <c r="B550" t="s">
        <v>347</v>
      </c>
      <c r="C550" s="152">
        <v>481</v>
      </c>
      <c r="D550" s="152">
        <v>492</v>
      </c>
      <c r="E550" s="152">
        <v>973</v>
      </c>
      <c r="F550" s="152">
        <v>6131264.8671523798</v>
      </c>
      <c r="G550" s="152">
        <v>7176912.8137335796</v>
      </c>
      <c r="H550" s="152">
        <v>13308177.680886</v>
      </c>
      <c r="I550" t="s">
        <v>685</v>
      </c>
      <c r="J550" t="s">
        <v>127</v>
      </c>
      <c r="K550">
        <v>707638</v>
      </c>
      <c r="L550" t="s">
        <v>868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314</v>
      </c>
      <c r="B551" t="s">
        <v>999</v>
      </c>
      <c r="C551" s="152">
        <v>545</v>
      </c>
      <c r="D551" s="152">
        <v>419</v>
      </c>
      <c r="E551" s="152">
        <v>964</v>
      </c>
      <c r="F551" s="152">
        <v>21917932.273089498</v>
      </c>
      <c r="G551" s="152">
        <v>19830057.092021901</v>
      </c>
      <c r="H551" s="152">
        <v>41747989.365111403</v>
      </c>
      <c r="I551" t="s">
        <v>806</v>
      </c>
      <c r="J551" t="s">
        <v>129</v>
      </c>
      <c r="K551">
        <v>781716</v>
      </c>
      <c r="L551" t="s">
        <v>989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48</v>
      </c>
      <c r="B552" t="s">
        <v>62</v>
      </c>
      <c r="C552" s="152">
        <v>422</v>
      </c>
      <c r="D552" s="152">
        <v>540</v>
      </c>
      <c r="E552" s="152">
        <v>962</v>
      </c>
      <c r="F552" s="152">
        <v>6328874.9346118402</v>
      </c>
      <c r="G552" s="152">
        <v>9311405.7589836605</v>
      </c>
      <c r="H552" s="152">
        <v>15640280.693595501</v>
      </c>
      <c r="I552" t="s">
        <v>685</v>
      </c>
      <c r="J552" t="s">
        <v>127</v>
      </c>
      <c r="K552">
        <v>155259</v>
      </c>
      <c r="L552" t="s">
        <v>368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678</v>
      </c>
      <c r="B553" t="s">
        <v>894</v>
      </c>
      <c r="C553" s="152">
        <v>399</v>
      </c>
      <c r="D553" s="152">
        <v>559</v>
      </c>
      <c r="E553" s="152">
        <v>958</v>
      </c>
      <c r="F553" s="152">
        <v>8079780.4545580596</v>
      </c>
      <c r="G553" s="152">
        <v>14981989.990177</v>
      </c>
      <c r="H553" s="152">
        <v>23061770.444735002</v>
      </c>
      <c r="I553" t="s">
        <v>685</v>
      </c>
      <c r="J553" t="s">
        <v>128</v>
      </c>
      <c r="K553">
        <v>336115</v>
      </c>
      <c r="L553" t="s">
        <v>805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108</v>
      </c>
      <c r="B554" t="s">
        <v>622</v>
      </c>
      <c r="C554" s="152">
        <v>388</v>
      </c>
      <c r="D554" s="152">
        <v>567</v>
      </c>
      <c r="E554" s="152">
        <v>955</v>
      </c>
      <c r="F554" s="152">
        <v>6189363.6105325604</v>
      </c>
      <c r="G554" s="152">
        <v>11657463.361674501</v>
      </c>
      <c r="H554" s="152">
        <v>17846826.972207099</v>
      </c>
      <c r="I554" t="s">
        <v>685</v>
      </c>
      <c r="J554" t="s">
        <v>127</v>
      </c>
      <c r="K554">
        <v>804385</v>
      </c>
      <c r="L554" t="s">
        <v>813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800</v>
      </c>
      <c r="B555" t="s">
        <v>835</v>
      </c>
      <c r="C555" s="152">
        <v>456</v>
      </c>
      <c r="D555" s="152">
        <v>492</v>
      </c>
      <c r="E555" s="152">
        <v>948</v>
      </c>
      <c r="F555" s="152">
        <v>7399783.6325379703</v>
      </c>
      <c r="G555" s="152">
        <v>9640752.7203534096</v>
      </c>
      <c r="H555" s="152">
        <v>17040536.3528914</v>
      </c>
      <c r="I555" t="s">
        <v>685</v>
      </c>
      <c r="J555" t="s">
        <v>127</v>
      </c>
      <c r="K555">
        <v>435693</v>
      </c>
      <c r="L555" t="s">
        <v>56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776</v>
      </c>
      <c r="B556" t="s">
        <v>422</v>
      </c>
      <c r="C556" s="152">
        <v>526</v>
      </c>
      <c r="D556" s="152">
        <v>420</v>
      </c>
      <c r="E556" s="152">
        <v>946</v>
      </c>
      <c r="F556" s="152">
        <v>2825142.7908002902</v>
      </c>
      <c r="G556" s="152">
        <v>3830073.0477735102</v>
      </c>
      <c r="H556" s="152">
        <v>6655215.8385738004</v>
      </c>
      <c r="I556" t="s">
        <v>806</v>
      </c>
      <c r="J556" t="s">
        <v>127</v>
      </c>
      <c r="K556">
        <v>656637</v>
      </c>
      <c r="L556" t="s">
        <v>420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776</v>
      </c>
      <c r="B557" t="s">
        <v>474</v>
      </c>
      <c r="C557" s="152">
        <v>333</v>
      </c>
      <c r="D557" s="152">
        <v>605</v>
      </c>
      <c r="E557" s="152">
        <v>938</v>
      </c>
      <c r="F557" s="152">
        <v>8020155.5489635998</v>
      </c>
      <c r="G557" s="152">
        <v>17614795.425569002</v>
      </c>
      <c r="H557" s="152">
        <v>25634950.9745326</v>
      </c>
      <c r="I557" t="s">
        <v>685</v>
      </c>
      <c r="J557" t="s">
        <v>127</v>
      </c>
      <c r="K557">
        <v>721035</v>
      </c>
      <c r="L557" t="s">
        <v>817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48</v>
      </c>
      <c r="B558" t="s">
        <v>964</v>
      </c>
      <c r="C558" s="152">
        <v>497</v>
      </c>
      <c r="D558" s="152">
        <v>427</v>
      </c>
      <c r="E558" s="152">
        <v>924</v>
      </c>
      <c r="F558" s="152">
        <v>7403297.89279602</v>
      </c>
      <c r="G558" s="152">
        <v>7782276.58205989</v>
      </c>
      <c r="H558" s="152">
        <v>15185574.4748559</v>
      </c>
      <c r="I558" t="s">
        <v>685</v>
      </c>
      <c r="J558" t="s">
        <v>127</v>
      </c>
      <c r="K558">
        <v>317404</v>
      </c>
      <c r="L558" t="s">
        <v>372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381</v>
      </c>
      <c r="B559" t="s">
        <v>144</v>
      </c>
      <c r="C559" s="152">
        <v>332</v>
      </c>
      <c r="D559" s="152">
        <v>591</v>
      </c>
      <c r="E559" s="152">
        <v>923</v>
      </c>
      <c r="F559" s="152">
        <v>4640996.9547125604</v>
      </c>
      <c r="G559" s="152">
        <v>10641316.5459427</v>
      </c>
      <c r="H559" s="152">
        <v>15282313.5006552</v>
      </c>
      <c r="I559" t="s">
        <v>685</v>
      </c>
      <c r="J559" t="s">
        <v>127</v>
      </c>
      <c r="K559">
        <v>118182</v>
      </c>
      <c r="L559" t="s">
        <v>480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152</v>
      </c>
      <c r="B560" t="s">
        <v>443</v>
      </c>
      <c r="C560" s="152">
        <v>375</v>
      </c>
      <c r="D560" s="152">
        <v>540</v>
      </c>
      <c r="E560" s="152">
        <v>915</v>
      </c>
      <c r="F560" s="152">
        <v>9111674.4967034794</v>
      </c>
      <c r="G560" s="152">
        <v>15944564.1942621</v>
      </c>
      <c r="H560" s="152">
        <v>25056238.6909656</v>
      </c>
      <c r="I560" t="s">
        <v>806</v>
      </c>
      <c r="J560" t="s">
        <v>127</v>
      </c>
      <c r="K560">
        <v>541235</v>
      </c>
      <c r="L560" t="s">
        <v>734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218</v>
      </c>
      <c r="B561" t="s">
        <v>967</v>
      </c>
      <c r="C561" s="152">
        <v>337</v>
      </c>
      <c r="D561" s="152">
        <v>568</v>
      </c>
      <c r="E561" s="152">
        <v>905</v>
      </c>
      <c r="F561" s="152">
        <v>5059414.5385922296</v>
      </c>
      <c r="G561" s="152">
        <v>10502350.6561023</v>
      </c>
      <c r="H561" s="152">
        <v>15561765.1946945</v>
      </c>
      <c r="I561" t="s">
        <v>685</v>
      </c>
      <c r="J561" t="s">
        <v>127</v>
      </c>
      <c r="K561">
        <v>353821</v>
      </c>
      <c r="L561" t="s">
        <v>372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800</v>
      </c>
      <c r="B562" t="s">
        <v>43</v>
      </c>
      <c r="C562" s="152">
        <v>392</v>
      </c>
      <c r="D562" s="152">
        <v>513</v>
      </c>
      <c r="E562" s="152">
        <v>905</v>
      </c>
      <c r="F562" s="152">
        <v>7341931.6792144002</v>
      </c>
      <c r="G562" s="152">
        <v>13440396.4502702</v>
      </c>
      <c r="H562" s="152">
        <v>20782328.129484601</v>
      </c>
      <c r="I562" t="s">
        <v>685</v>
      </c>
      <c r="J562" t="s">
        <v>127</v>
      </c>
      <c r="K562">
        <v>390187</v>
      </c>
      <c r="L562" t="s">
        <v>480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237</v>
      </c>
      <c r="B563" t="s">
        <v>249</v>
      </c>
      <c r="C563" s="152">
        <v>475</v>
      </c>
      <c r="D563" s="152">
        <v>429</v>
      </c>
      <c r="E563" s="152">
        <v>904</v>
      </c>
      <c r="F563" s="152">
        <v>5579130.5356761599</v>
      </c>
      <c r="G563" s="152">
        <v>6319248.2055445798</v>
      </c>
      <c r="H563" s="152">
        <v>11898378.7412207</v>
      </c>
      <c r="I563" t="s">
        <v>806</v>
      </c>
      <c r="J563" t="s">
        <v>127</v>
      </c>
      <c r="K563">
        <v>606467</v>
      </c>
      <c r="L563" t="s">
        <v>736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98</v>
      </c>
      <c r="B564" t="s">
        <v>212</v>
      </c>
      <c r="C564" s="152">
        <v>382</v>
      </c>
      <c r="D564" s="152">
        <v>505</v>
      </c>
      <c r="E564" s="152">
        <v>887</v>
      </c>
      <c r="F564" s="152">
        <v>7134299.8289348399</v>
      </c>
      <c r="G564" s="152">
        <v>10761326.474197701</v>
      </c>
      <c r="H564" s="152">
        <v>17895626.303132601</v>
      </c>
      <c r="I564" t="s">
        <v>685</v>
      </c>
      <c r="J564" t="s">
        <v>127</v>
      </c>
      <c r="K564">
        <v>440065</v>
      </c>
      <c r="L564" t="s">
        <v>451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678</v>
      </c>
      <c r="B565" t="s">
        <v>396</v>
      </c>
      <c r="C565" s="152">
        <v>437</v>
      </c>
      <c r="D565" s="152">
        <v>441</v>
      </c>
      <c r="E565" s="152">
        <v>878</v>
      </c>
      <c r="F565" s="152">
        <v>7748204.2695261901</v>
      </c>
      <c r="G565" s="152">
        <v>10150627.726510899</v>
      </c>
      <c r="H565" s="152">
        <v>17898831.996036999</v>
      </c>
      <c r="I565" t="s">
        <v>685</v>
      </c>
      <c r="J565" t="s">
        <v>128</v>
      </c>
      <c r="K565">
        <v>259499</v>
      </c>
      <c r="L565" t="s">
        <v>94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48</v>
      </c>
      <c r="B566" t="s">
        <v>861</v>
      </c>
      <c r="C566" s="152">
        <v>411</v>
      </c>
      <c r="D566" s="152">
        <v>463</v>
      </c>
      <c r="E566" s="152">
        <v>874</v>
      </c>
      <c r="F566" s="152">
        <v>8196954.3575392198</v>
      </c>
      <c r="G566" s="152">
        <v>11191454.3145665</v>
      </c>
      <c r="H566" s="152">
        <v>19388408.6721058</v>
      </c>
      <c r="I566" t="s">
        <v>806</v>
      </c>
      <c r="J566" t="s">
        <v>127</v>
      </c>
      <c r="K566">
        <v>144923</v>
      </c>
      <c r="L566" t="s">
        <v>462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800</v>
      </c>
      <c r="B567" t="s">
        <v>573</v>
      </c>
      <c r="C567" s="152">
        <v>393</v>
      </c>
      <c r="D567" s="152">
        <v>468</v>
      </c>
      <c r="E567" s="152">
        <v>861</v>
      </c>
      <c r="F567" s="152">
        <v>6879151.6735193804</v>
      </c>
      <c r="G567" s="152">
        <v>9316700.4301195703</v>
      </c>
      <c r="H567" s="152">
        <v>16195852.103638999</v>
      </c>
      <c r="I567" t="s">
        <v>685</v>
      </c>
      <c r="J567" t="s">
        <v>127</v>
      </c>
      <c r="K567">
        <v>354290</v>
      </c>
      <c r="L567" t="s">
        <v>570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237</v>
      </c>
      <c r="B568" t="s">
        <v>246</v>
      </c>
      <c r="C568" s="152">
        <v>365</v>
      </c>
      <c r="D568" s="152">
        <v>491</v>
      </c>
      <c r="E568" s="152">
        <v>856</v>
      </c>
      <c r="F568" s="152">
        <v>3835923.3431575</v>
      </c>
      <c r="G568" s="152">
        <v>6920573.7350445604</v>
      </c>
      <c r="H568" s="152">
        <v>10756497.0782021</v>
      </c>
      <c r="I568" t="s">
        <v>685</v>
      </c>
      <c r="J568" t="s">
        <v>127</v>
      </c>
      <c r="K568">
        <v>920439</v>
      </c>
      <c r="L568" t="s">
        <v>132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98</v>
      </c>
      <c r="B569" t="s">
        <v>953</v>
      </c>
      <c r="C569" s="152">
        <v>387</v>
      </c>
      <c r="D569" s="152">
        <v>466</v>
      </c>
      <c r="E569" s="152">
        <v>853</v>
      </c>
      <c r="F569" s="152">
        <v>6735136.6282159602</v>
      </c>
      <c r="G569" s="152">
        <v>10414855.540821601</v>
      </c>
      <c r="H569" s="152">
        <v>17149992.169037599</v>
      </c>
      <c r="I569" t="s">
        <v>685</v>
      </c>
      <c r="J569" t="s">
        <v>127</v>
      </c>
      <c r="K569">
        <v>356063</v>
      </c>
      <c r="L569" t="s">
        <v>45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152</v>
      </c>
      <c r="B570" t="s">
        <v>605</v>
      </c>
      <c r="C570" s="152">
        <v>409</v>
      </c>
      <c r="D570" s="152">
        <v>442</v>
      </c>
      <c r="E570" s="152">
        <v>851</v>
      </c>
      <c r="F570" s="152">
        <v>6544971.4618265703</v>
      </c>
      <c r="G570" s="152">
        <v>8455558.8883584291</v>
      </c>
      <c r="H570" s="152">
        <v>15000530.350184999</v>
      </c>
      <c r="I570" t="s">
        <v>685</v>
      </c>
      <c r="J570" t="s">
        <v>127</v>
      </c>
      <c r="K570">
        <v>195271</v>
      </c>
      <c r="L570" t="s">
        <v>813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291</v>
      </c>
      <c r="B571" t="s">
        <v>482</v>
      </c>
      <c r="C571" s="152">
        <v>328</v>
      </c>
      <c r="D571" s="152">
        <v>514</v>
      </c>
      <c r="E571" s="152">
        <v>842</v>
      </c>
      <c r="F571" s="152">
        <v>6047484.0862754202</v>
      </c>
      <c r="G571" s="152">
        <v>11265935.005251801</v>
      </c>
      <c r="H571" s="152">
        <v>17313419.091527201</v>
      </c>
      <c r="I571" t="s">
        <v>685</v>
      </c>
      <c r="J571" t="s">
        <v>127</v>
      </c>
      <c r="K571">
        <v>843698</v>
      </c>
      <c r="L571" t="s">
        <v>94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48</v>
      </c>
      <c r="B572" t="s">
        <v>353</v>
      </c>
      <c r="C572" s="152">
        <v>401</v>
      </c>
      <c r="D572" s="152">
        <v>421</v>
      </c>
      <c r="E572" s="152">
        <v>822</v>
      </c>
      <c r="F572" s="152">
        <v>3982053.9056601999</v>
      </c>
      <c r="G572" s="152">
        <v>5256278.8027838003</v>
      </c>
      <c r="H572" s="152">
        <v>9238332.7084439993</v>
      </c>
      <c r="I572" t="s">
        <v>685</v>
      </c>
      <c r="J572" t="s">
        <v>127</v>
      </c>
      <c r="K572">
        <v>954198</v>
      </c>
      <c r="L572" t="s">
        <v>868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237</v>
      </c>
      <c r="B573" t="s">
        <v>378</v>
      </c>
      <c r="C573" s="152">
        <v>301</v>
      </c>
      <c r="D573" s="152">
        <v>509</v>
      </c>
      <c r="E573" s="152">
        <v>810</v>
      </c>
      <c r="F573" s="152">
        <v>5825689.6953514302</v>
      </c>
      <c r="G573" s="152">
        <v>12609052.7566978</v>
      </c>
      <c r="H573" s="152">
        <v>18434742.452049199</v>
      </c>
      <c r="I573" t="s">
        <v>685</v>
      </c>
      <c r="J573" t="s">
        <v>127</v>
      </c>
      <c r="K573">
        <v>944637</v>
      </c>
      <c r="L573" t="s">
        <v>94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678</v>
      </c>
      <c r="B574" t="s">
        <v>683</v>
      </c>
      <c r="C574" s="152">
        <v>328</v>
      </c>
      <c r="D574" s="152">
        <v>481</v>
      </c>
      <c r="E574" s="152">
        <v>809</v>
      </c>
      <c r="F574" s="152">
        <v>7794173.2515577702</v>
      </c>
      <c r="G574" s="152">
        <v>14527644.170951299</v>
      </c>
      <c r="H574" s="152">
        <v>22321817.4225091</v>
      </c>
      <c r="I574" t="s">
        <v>685</v>
      </c>
      <c r="J574" t="s">
        <v>128</v>
      </c>
      <c r="K574">
        <v>753384</v>
      </c>
      <c r="L574" t="s">
        <v>368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108</v>
      </c>
      <c r="B575" t="s">
        <v>39</v>
      </c>
      <c r="C575" s="152">
        <v>305</v>
      </c>
      <c r="D575" s="152">
        <v>490</v>
      </c>
      <c r="E575" s="152">
        <v>795</v>
      </c>
      <c r="F575" s="152">
        <v>5188550.9608123396</v>
      </c>
      <c r="G575" s="152">
        <v>10672647.037186</v>
      </c>
      <c r="H575" s="152">
        <v>15861197.9979984</v>
      </c>
      <c r="I575" t="s">
        <v>685</v>
      </c>
      <c r="J575" t="s">
        <v>127</v>
      </c>
      <c r="K575">
        <v>304659</v>
      </c>
      <c r="L575" t="s">
        <v>464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800</v>
      </c>
      <c r="B576" t="s">
        <v>113</v>
      </c>
      <c r="C576" s="152">
        <v>356</v>
      </c>
      <c r="D576" s="152">
        <v>422</v>
      </c>
      <c r="E576" s="152">
        <v>778</v>
      </c>
      <c r="F576" s="152">
        <v>5872162.7006480498</v>
      </c>
      <c r="G576" s="152">
        <v>8591103.6116914004</v>
      </c>
      <c r="H576" s="152">
        <v>14463266.3123395</v>
      </c>
      <c r="I576" t="s">
        <v>685</v>
      </c>
      <c r="J576" t="s">
        <v>127</v>
      </c>
      <c r="K576">
        <v>219006</v>
      </c>
      <c r="L576" t="s">
        <v>807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152</v>
      </c>
      <c r="B577" t="s">
        <v>259</v>
      </c>
      <c r="C577" s="152">
        <v>358</v>
      </c>
      <c r="D577" s="152">
        <v>417</v>
      </c>
      <c r="E577" s="152">
        <v>775</v>
      </c>
      <c r="F577" s="152">
        <v>5543599.6054756204</v>
      </c>
      <c r="G577" s="152">
        <v>7589671.6367784003</v>
      </c>
      <c r="H577" s="152">
        <v>13133271.242254</v>
      </c>
      <c r="I577" t="s">
        <v>685</v>
      </c>
      <c r="J577" t="s">
        <v>127</v>
      </c>
      <c r="K577">
        <v>290668</v>
      </c>
      <c r="L577" t="s">
        <v>807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678</v>
      </c>
      <c r="B578" t="s">
        <v>452</v>
      </c>
      <c r="C578" s="152">
        <v>330</v>
      </c>
      <c r="D578" s="152">
        <v>442</v>
      </c>
      <c r="E578" s="152">
        <v>772</v>
      </c>
      <c r="F578" s="152">
        <v>7962014.2757871803</v>
      </c>
      <c r="G578" s="152">
        <v>12936093.128970301</v>
      </c>
      <c r="H578" s="152">
        <v>20898107.4047575</v>
      </c>
      <c r="I578" t="s">
        <v>685</v>
      </c>
      <c r="J578" t="s">
        <v>128</v>
      </c>
      <c r="K578">
        <v>632430</v>
      </c>
      <c r="L578" t="s">
        <v>819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382</v>
      </c>
      <c r="B579" t="s">
        <v>1026</v>
      </c>
      <c r="C579" s="152">
        <v>282</v>
      </c>
      <c r="D579" s="152">
        <v>481</v>
      </c>
      <c r="E579" s="152">
        <v>763</v>
      </c>
      <c r="F579" s="152">
        <v>6576671.7872048402</v>
      </c>
      <c r="G579" s="152">
        <v>15081976.437365901</v>
      </c>
      <c r="H579" s="152">
        <v>21658648.224570699</v>
      </c>
      <c r="I579" t="s">
        <v>806</v>
      </c>
      <c r="J579" t="s">
        <v>127</v>
      </c>
      <c r="K579">
        <v>741637</v>
      </c>
      <c r="L579" t="s">
        <v>1025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384</v>
      </c>
      <c r="B580" t="s">
        <v>829</v>
      </c>
      <c r="C580" s="152">
        <v>301</v>
      </c>
      <c r="D580" s="152">
        <v>460</v>
      </c>
      <c r="E580" s="152">
        <v>761</v>
      </c>
      <c r="F580" s="152">
        <v>6687879.9734285399</v>
      </c>
      <c r="G580" s="152">
        <v>13270458.5069746</v>
      </c>
      <c r="H580" s="152">
        <v>19958338.4804032</v>
      </c>
      <c r="I580" t="s">
        <v>685</v>
      </c>
      <c r="J580" t="s">
        <v>127</v>
      </c>
      <c r="K580">
        <v>116822</v>
      </c>
      <c r="L580" t="s">
        <v>821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383</v>
      </c>
      <c r="B581" t="s">
        <v>229</v>
      </c>
      <c r="C581" s="152">
        <v>331</v>
      </c>
      <c r="D581" s="152">
        <v>426</v>
      </c>
      <c r="E581" s="152">
        <v>757</v>
      </c>
      <c r="F581" s="152">
        <v>5656745.0856366605</v>
      </c>
      <c r="G581" s="152">
        <v>9480678.5013896301</v>
      </c>
      <c r="H581" s="152">
        <v>15137423.5870263</v>
      </c>
      <c r="I581" t="s">
        <v>685</v>
      </c>
      <c r="J581" t="s">
        <v>127</v>
      </c>
      <c r="K581">
        <v>369462</v>
      </c>
      <c r="L581" t="s">
        <v>838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678</v>
      </c>
      <c r="B582" t="s">
        <v>966</v>
      </c>
      <c r="C582" s="152">
        <v>388</v>
      </c>
      <c r="D582" s="152">
        <v>360</v>
      </c>
      <c r="E582" s="152">
        <v>748</v>
      </c>
      <c r="F582" s="152">
        <v>5818396.3705288405</v>
      </c>
      <c r="G582" s="152">
        <v>6923779.6541003203</v>
      </c>
      <c r="H582" s="152">
        <v>12742176.0246292</v>
      </c>
      <c r="I582" t="s">
        <v>685</v>
      </c>
      <c r="J582" t="s">
        <v>128</v>
      </c>
      <c r="K582">
        <v>874099</v>
      </c>
      <c r="L582" t="s">
        <v>372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291</v>
      </c>
      <c r="B583" t="s">
        <v>28</v>
      </c>
      <c r="C583" s="152">
        <v>338</v>
      </c>
      <c r="D583" s="152">
        <v>408</v>
      </c>
      <c r="E583" s="152">
        <v>746</v>
      </c>
      <c r="F583" s="152">
        <v>5221038.9734567897</v>
      </c>
      <c r="G583" s="152">
        <v>8226372.08940225</v>
      </c>
      <c r="H583" s="152">
        <v>13447411.062859001</v>
      </c>
      <c r="I583" t="s">
        <v>685</v>
      </c>
      <c r="J583" t="s">
        <v>127</v>
      </c>
      <c r="K583">
        <v>136895</v>
      </c>
      <c r="L583" t="s">
        <v>372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314</v>
      </c>
      <c r="B584" t="s">
        <v>889</v>
      </c>
      <c r="C584" s="152">
        <v>412</v>
      </c>
      <c r="D584" s="152">
        <v>317</v>
      </c>
      <c r="E584" s="152">
        <v>729</v>
      </c>
      <c r="F584" s="152">
        <v>6175128.4190534698</v>
      </c>
      <c r="G584" s="152">
        <v>5514000.4426486799</v>
      </c>
      <c r="H584" s="152">
        <v>11689128.861702099</v>
      </c>
      <c r="I584" t="s">
        <v>685</v>
      </c>
      <c r="J584" t="s">
        <v>129</v>
      </c>
      <c r="K584">
        <v>857037</v>
      </c>
      <c r="L584" t="s">
        <v>132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273</v>
      </c>
      <c r="B585" t="s">
        <v>208</v>
      </c>
      <c r="C585" s="152">
        <v>292</v>
      </c>
      <c r="D585" s="152">
        <v>421</v>
      </c>
      <c r="E585" s="152">
        <v>713</v>
      </c>
      <c r="F585" s="152">
        <v>4780666.1880731899</v>
      </c>
      <c r="G585" s="152">
        <v>8384230.2508796696</v>
      </c>
      <c r="H585" s="152">
        <v>13164896.4389529</v>
      </c>
      <c r="I585" t="s">
        <v>685</v>
      </c>
      <c r="J585" t="s">
        <v>127</v>
      </c>
      <c r="K585">
        <v>296749</v>
      </c>
      <c r="L585" t="s">
        <v>451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250</v>
      </c>
      <c r="B586" t="s">
        <v>572</v>
      </c>
      <c r="C586" s="152">
        <v>288</v>
      </c>
      <c r="D586" s="152">
        <v>425</v>
      </c>
      <c r="E586" s="152">
        <v>713</v>
      </c>
      <c r="F586" s="152">
        <v>4879260.52728773</v>
      </c>
      <c r="G586" s="152">
        <v>9422367.8703565598</v>
      </c>
      <c r="H586" s="152">
        <v>14301628.3976443</v>
      </c>
      <c r="I586" t="s">
        <v>685</v>
      </c>
      <c r="J586" t="s">
        <v>127</v>
      </c>
      <c r="K586">
        <v>318469</v>
      </c>
      <c r="L586" t="s">
        <v>570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218</v>
      </c>
      <c r="B587" t="s">
        <v>454</v>
      </c>
      <c r="C587" s="152">
        <v>235</v>
      </c>
      <c r="D587" s="152">
        <v>469</v>
      </c>
      <c r="E587" s="152">
        <v>704</v>
      </c>
      <c r="F587" s="152">
        <v>3431164.91654946</v>
      </c>
      <c r="G587" s="152">
        <v>8393062.8906508498</v>
      </c>
      <c r="H587" s="152">
        <v>11824227.8072003</v>
      </c>
      <c r="I587" t="s">
        <v>685</v>
      </c>
      <c r="J587" t="s">
        <v>127</v>
      </c>
      <c r="K587">
        <v>704098</v>
      </c>
      <c r="L587" t="s">
        <v>819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800</v>
      </c>
      <c r="B588" t="s">
        <v>415</v>
      </c>
      <c r="C588" s="152">
        <v>333</v>
      </c>
      <c r="D588" s="152">
        <v>367</v>
      </c>
      <c r="E588" s="152">
        <v>700</v>
      </c>
      <c r="F588" s="152">
        <v>4445476.36288404</v>
      </c>
      <c r="G588" s="152">
        <v>6607617.0226607798</v>
      </c>
      <c r="H588" s="152">
        <v>11053093.385544799</v>
      </c>
      <c r="I588" t="s">
        <v>685</v>
      </c>
      <c r="J588" t="s">
        <v>127</v>
      </c>
      <c r="K588">
        <v>170951</v>
      </c>
      <c r="L588" t="s">
        <v>1113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48</v>
      </c>
      <c r="B589" t="s">
        <v>202</v>
      </c>
      <c r="C589" s="152">
        <v>313</v>
      </c>
      <c r="D589" s="152">
        <v>382</v>
      </c>
      <c r="E589" s="152">
        <v>695</v>
      </c>
      <c r="F589" s="152">
        <v>3705389.5979720098</v>
      </c>
      <c r="G589" s="152">
        <v>5901211.9356785398</v>
      </c>
      <c r="H589" s="152">
        <v>9606601.5336505491</v>
      </c>
      <c r="I589" t="s">
        <v>685</v>
      </c>
      <c r="J589" t="s">
        <v>127</v>
      </c>
      <c r="K589">
        <v>475897</v>
      </c>
      <c r="L589" t="s">
        <v>451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152</v>
      </c>
      <c r="B590" t="s">
        <v>204</v>
      </c>
      <c r="C590" s="152">
        <v>275</v>
      </c>
      <c r="D590" s="152">
        <v>404</v>
      </c>
      <c r="E590" s="152">
        <v>679</v>
      </c>
      <c r="F590" s="152">
        <v>5685284.3344843602</v>
      </c>
      <c r="G590" s="152">
        <v>10240950.491016001</v>
      </c>
      <c r="H590" s="152">
        <v>15926234.825500401</v>
      </c>
      <c r="I590" t="s">
        <v>685</v>
      </c>
      <c r="J590" t="s">
        <v>127</v>
      </c>
      <c r="K590">
        <v>923383</v>
      </c>
      <c r="L590" t="s">
        <v>451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291</v>
      </c>
      <c r="B591" t="s">
        <v>352</v>
      </c>
      <c r="C591" s="152">
        <v>267</v>
      </c>
      <c r="D591" s="152">
        <v>411</v>
      </c>
      <c r="E591" s="152">
        <v>678</v>
      </c>
      <c r="F591" s="152">
        <v>3949171.60555657</v>
      </c>
      <c r="G591" s="152">
        <v>7840704.0752389198</v>
      </c>
      <c r="H591" s="152">
        <v>11789875.6807955</v>
      </c>
      <c r="I591" t="s">
        <v>685</v>
      </c>
      <c r="J591" t="s">
        <v>127</v>
      </c>
      <c r="K591">
        <v>918367</v>
      </c>
      <c r="L591" t="s">
        <v>868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314</v>
      </c>
      <c r="B592" t="s">
        <v>1058</v>
      </c>
      <c r="C592" s="152">
        <v>225</v>
      </c>
      <c r="D592" s="152">
        <v>445</v>
      </c>
      <c r="E592" s="152">
        <v>670</v>
      </c>
      <c r="F592" s="152">
        <v>18931008.7802522</v>
      </c>
      <c r="G592" s="152">
        <v>46143210.838460997</v>
      </c>
      <c r="H592" s="152">
        <v>65074219.6187132</v>
      </c>
      <c r="I592" t="s">
        <v>806</v>
      </c>
      <c r="J592" t="s">
        <v>129</v>
      </c>
      <c r="K592">
        <v>686972</v>
      </c>
      <c r="L592" t="s">
        <v>786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314</v>
      </c>
      <c r="B593" t="s">
        <v>333</v>
      </c>
      <c r="C593" s="152">
        <v>342</v>
      </c>
      <c r="D593" s="152">
        <v>325</v>
      </c>
      <c r="E593" s="152">
        <v>667</v>
      </c>
      <c r="F593" s="152">
        <v>5366249.4279855499</v>
      </c>
      <c r="G593" s="152">
        <v>6373727.76405509</v>
      </c>
      <c r="H593" s="152">
        <v>11739977.1920406</v>
      </c>
      <c r="I593" t="s">
        <v>685</v>
      </c>
      <c r="J593" t="s">
        <v>129</v>
      </c>
      <c r="K593">
        <v>657460</v>
      </c>
      <c r="L593" t="s">
        <v>819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306</v>
      </c>
      <c r="B594" t="s">
        <v>10</v>
      </c>
      <c r="C594" s="152">
        <v>313</v>
      </c>
      <c r="D594" s="152">
        <v>353</v>
      </c>
      <c r="E594" s="152">
        <v>666</v>
      </c>
      <c r="F594" s="152">
        <v>11541812.366335001</v>
      </c>
      <c r="G594" s="152">
        <v>14230266.2346386</v>
      </c>
      <c r="H594" s="152">
        <v>25772078.600973502</v>
      </c>
      <c r="I594" t="s">
        <v>806</v>
      </c>
      <c r="J594" t="s">
        <v>129</v>
      </c>
      <c r="K594">
        <v>963462</v>
      </c>
      <c r="L594" t="s">
        <v>462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168</v>
      </c>
      <c r="B595" t="s">
        <v>484</v>
      </c>
      <c r="C595" s="152">
        <v>434</v>
      </c>
      <c r="D595" s="152">
        <v>230</v>
      </c>
      <c r="E595" s="152">
        <v>664</v>
      </c>
      <c r="F595" s="152">
        <v>4292769.9950257298</v>
      </c>
      <c r="G595" s="152">
        <v>2745483.0527516599</v>
      </c>
      <c r="H595" s="152">
        <v>7038253.0477773901</v>
      </c>
      <c r="I595" t="s">
        <v>685</v>
      </c>
      <c r="J595" t="s">
        <v>127</v>
      </c>
      <c r="K595">
        <v>807867</v>
      </c>
      <c r="L595" t="s">
        <v>94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779</v>
      </c>
      <c r="B596" t="s">
        <v>780</v>
      </c>
      <c r="C596" s="152">
        <v>339</v>
      </c>
      <c r="D596" s="152">
        <v>325</v>
      </c>
      <c r="E596" s="152">
        <v>664</v>
      </c>
      <c r="F596" s="152">
        <v>6839712.7181819798</v>
      </c>
      <c r="G596" s="152">
        <v>8454823.6678609606</v>
      </c>
      <c r="H596" s="152">
        <v>15294536.3860429</v>
      </c>
      <c r="I596" t="s">
        <v>806</v>
      </c>
      <c r="J596" t="s">
        <v>127</v>
      </c>
      <c r="K596">
        <v>577833</v>
      </c>
      <c r="L596" t="s">
        <v>736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138</v>
      </c>
      <c r="B597" t="s">
        <v>650</v>
      </c>
      <c r="C597" s="152">
        <v>251</v>
      </c>
      <c r="D597" s="152">
        <v>404</v>
      </c>
      <c r="E597" s="152">
        <v>655</v>
      </c>
      <c r="F597" s="152">
        <v>4501812.59469222</v>
      </c>
      <c r="G597" s="152">
        <v>9218483.8339797091</v>
      </c>
      <c r="H597" s="152">
        <v>13720296.4286719</v>
      </c>
      <c r="I597" t="s">
        <v>685</v>
      </c>
      <c r="J597" t="s">
        <v>127</v>
      </c>
      <c r="K597">
        <v>166173</v>
      </c>
      <c r="L597" t="s">
        <v>868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108</v>
      </c>
      <c r="B598" t="s">
        <v>18</v>
      </c>
      <c r="C598" s="152">
        <v>256</v>
      </c>
      <c r="D598" s="152">
        <v>394</v>
      </c>
      <c r="E598" s="152">
        <v>650</v>
      </c>
      <c r="F598" s="152">
        <v>3941981.3449789002</v>
      </c>
      <c r="G598" s="152">
        <v>8144076.5468048202</v>
      </c>
      <c r="H598" s="152">
        <v>12086057.891783699</v>
      </c>
      <c r="I598" t="s">
        <v>685</v>
      </c>
      <c r="J598" t="s">
        <v>127</v>
      </c>
      <c r="K598">
        <v>836379</v>
      </c>
      <c r="L598" t="s">
        <v>19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382</v>
      </c>
      <c r="B599" t="s">
        <v>626</v>
      </c>
      <c r="C599" s="152">
        <v>250</v>
      </c>
      <c r="D599" s="152">
        <v>397</v>
      </c>
      <c r="E599" s="152">
        <v>647</v>
      </c>
      <c r="F599" s="152">
        <v>5845383.2067443198</v>
      </c>
      <c r="G599" s="152">
        <v>12624932.040048599</v>
      </c>
      <c r="H599" s="152">
        <v>18470315.246792901</v>
      </c>
      <c r="I599" t="s">
        <v>685</v>
      </c>
      <c r="J599" t="s">
        <v>127</v>
      </c>
      <c r="K599">
        <v>622639</v>
      </c>
      <c r="L599" t="s">
        <v>959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108</v>
      </c>
      <c r="B600" t="s">
        <v>109</v>
      </c>
      <c r="C600" s="152">
        <v>219</v>
      </c>
      <c r="D600" s="152">
        <v>423</v>
      </c>
      <c r="E600" s="152">
        <v>642</v>
      </c>
      <c r="F600" s="152">
        <v>4882968.0987019399</v>
      </c>
      <c r="G600" s="152">
        <v>12085416.3810209</v>
      </c>
      <c r="H600" s="152">
        <v>16968384.479722898</v>
      </c>
      <c r="I600" t="s">
        <v>685</v>
      </c>
      <c r="J600" t="s">
        <v>127</v>
      </c>
      <c r="K600">
        <v>107201</v>
      </c>
      <c r="L600" t="s">
        <v>1079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594</v>
      </c>
      <c r="B601" t="s">
        <v>392</v>
      </c>
      <c r="C601" s="152">
        <v>286</v>
      </c>
      <c r="D601" s="152">
        <v>349</v>
      </c>
      <c r="E601" s="152">
        <v>635</v>
      </c>
      <c r="F601" s="152">
        <v>8309202.7704555001</v>
      </c>
      <c r="G601" s="152">
        <v>12479760.1263588</v>
      </c>
      <c r="H601" s="152">
        <v>20788962.896814302</v>
      </c>
      <c r="I601" t="s">
        <v>685</v>
      </c>
      <c r="J601" t="s">
        <v>128</v>
      </c>
      <c r="K601">
        <v>756866</v>
      </c>
      <c r="L601" t="s">
        <v>817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237</v>
      </c>
      <c r="B602" t="s">
        <v>373</v>
      </c>
      <c r="C602" s="152">
        <v>268</v>
      </c>
      <c r="D602" s="152">
        <v>362</v>
      </c>
      <c r="E602" s="152">
        <v>630</v>
      </c>
      <c r="F602" s="152">
        <v>3286830.76055378</v>
      </c>
      <c r="G602" s="152">
        <v>6534850.3968413305</v>
      </c>
      <c r="H602" s="152">
        <v>9821681.1573951207</v>
      </c>
      <c r="I602" t="s">
        <v>806</v>
      </c>
      <c r="J602" t="s">
        <v>127</v>
      </c>
      <c r="K602">
        <v>377432</v>
      </c>
      <c r="L602" t="s">
        <v>846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108</v>
      </c>
      <c r="B603" t="s">
        <v>120</v>
      </c>
      <c r="C603" s="152">
        <v>285</v>
      </c>
      <c r="D603" s="152">
        <v>343</v>
      </c>
      <c r="E603" s="152">
        <v>628</v>
      </c>
      <c r="F603" s="152">
        <v>5695630.0566200102</v>
      </c>
      <c r="G603" s="152">
        <v>8385216.9548828499</v>
      </c>
      <c r="H603" s="152">
        <v>14080847.011502899</v>
      </c>
      <c r="I603" t="s">
        <v>685</v>
      </c>
      <c r="J603" t="s">
        <v>127</v>
      </c>
      <c r="K603">
        <v>616797</v>
      </c>
      <c r="L603" t="s">
        <v>811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108</v>
      </c>
      <c r="B604" t="s">
        <v>348</v>
      </c>
      <c r="C604" s="152">
        <v>247</v>
      </c>
      <c r="D604" s="152">
        <v>380</v>
      </c>
      <c r="E604" s="152">
        <v>627</v>
      </c>
      <c r="F604" s="152">
        <v>3909736.3611783702</v>
      </c>
      <c r="G604" s="152">
        <v>7853739.8496804899</v>
      </c>
      <c r="H604" s="152">
        <v>11763476.2108589</v>
      </c>
      <c r="I604" t="s">
        <v>685</v>
      </c>
      <c r="J604" t="s">
        <v>127</v>
      </c>
      <c r="K604">
        <v>846709</v>
      </c>
      <c r="L604" t="s">
        <v>868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250</v>
      </c>
      <c r="B605" t="s">
        <v>254</v>
      </c>
      <c r="C605" s="152">
        <v>298</v>
      </c>
      <c r="D605" s="152">
        <v>326</v>
      </c>
      <c r="E605" s="152">
        <v>624</v>
      </c>
      <c r="F605" s="152">
        <v>4810666.1050394</v>
      </c>
      <c r="G605" s="152">
        <v>6283547.7370277904</v>
      </c>
      <c r="H605" s="152">
        <v>11094213.842067201</v>
      </c>
      <c r="I605" t="s">
        <v>685</v>
      </c>
      <c r="J605" t="s">
        <v>127</v>
      </c>
      <c r="K605">
        <v>324665</v>
      </c>
      <c r="L605" t="s">
        <v>480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152</v>
      </c>
      <c r="B606" t="s">
        <v>239</v>
      </c>
      <c r="C606" s="152">
        <v>292</v>
      </c>
      <c r="D606" s="152">
        <v>330</v>
      </c>
      <c r="E606" s="152">
        <v>622</v>
      </c>
      <c r="F606" s="152">
        <v>4485823.5499535101</v>
      </c>
      <c r="G606" s="152">
        <v>5946550.7457153099</v>
      </c>
      <c r="H606" s="152">
        <v>10432374.295668799</v>
      </c>
      <c r="I606" t="s">
        <v>685</v>
      </c>
      <c r="J606" t="s">
        <v>127</v>
      </c>
      <c r="K606">
        <v>118067</v>
      </c>
      <c r="L606" t="s">
        <v>94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138</v>
      </c>
      <c r="B607" t="s">
        <v>804</v>
      </c>
      <c r="C607" s="152">
        <v>242</v>
      </c>
      <c r="D607" s="152">
        <v>378</v>
      </c>
      <c r="E607" s="152">
        <v>620</v>
      </c>
      <c r="F607" s="152">
        <v>4173489.2730459902</v>
      </c>
      <c r="G607" s="152">
        <v>8045127.1824190598</v>
      </c>
      <c r="H607" s="152">
        <v>12218616.455465101</v>
      </c>
      <c r="I607" t="s">
        <v>685</v>
      </c>
      <c r="J607" t="s">
        <v>127</v>
      </c>
      <c r="K607">
        <v>780007</v>
      </c>
      <c r="L607" t="s">
        <v>372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381</v>
      </c>
      <c r="B608" t="s">
        <v>213</v>
      </c>
      <c r="C608" s="152">
        <v>215</v>
      </c>
      <c r="D608" s="152">
        <v>403</v>
      </c>
      <c r="E608" s="152">
        <v>618</v>
      </c>
      <c r="F608" s="152">
        <v>4495994.6278158398</v>
      </c>
      <c r="G608" s="152">
        <v>10890093.068225</v>
      </c>
      <c r="H608" s="152">
        <v>15386087.6960408</v>
      </c>
      <c r="I608" t="s">
        <v>685</v>
      </c>
      <c r="J608" t="s">
        <v>127</v>
      </c>
      <c r="K608">
        <v>882126</v>
      </c>
      <c r="L608" t="s">
        <v>451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536</v>
      </c>
      <c r="B609" t="s">
        <v>926</v>
      </c>
      <c r="C609" s="152">
        <v>309</v>
      </c>
      <c r="D609" s="152">
        <v>304</v>
      </c>
      <c r="E609" s="152">
        <v>613</v>
      </c>
      <c r="F609" s="152">
        <v>9709808.1374083199</v>
      </c>
      <c r="G609" s="152">
        <v>11252394.5324926</v>
      </c>
      <c r="H609" s="152">
        <v>20962202.669900998</v>
      </c>
      <c r="I609" t="s">
        <v>685</v>
      </c>
      <c r="J609" t="s">
        <v>128</v>
      </c>
      <c r="K609">
        <v>815894</v>
      </c>
      <c r="L609" t="s">
        <v>817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108</v>
      </c>
      <c r="B610" t="s">
        <v>147</v>
      </c>
      <c r="C610" s="152">
        <v>250</v>
      </c>
      <c r="D610" s="152">
        <v>345</v>
      </c>
      <c r="E610" s="152">
        <v>595</v>
      </c>
      <c r="F610" s="152">
        <v>3775871.45008564</v>
      </c>
      <c r="G610" s="152">
        <v>7186380.4382872498</v>
      </c>
      <c r="H610" s="152">
        <v>10962251.8883729</v>
      </c>
      <c r="I610" t="s">
        <v>685</v>
      </c>
      <c r="J610" t="s">
        <v>127</v>
      </c>
      <c r="K610">
        <v>686626</v>
      </c>
      <c r="L610" t="s">
        <v>94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381</v>
      </c>
      <c r="B611" t="s">
        <v>41</v>
      </c>
      <c r="C611" s="152">
        <v>223</v>
      </c>
      <c r="D611" s="152">
        <v>367</v>
      </c>
      <c r="E611" s="152">
        <v>590</v>
      </c>
      <c r="F611" s="152">
        <v>3768883.7016583602</v>
      </c>
      <c r="G611" s="152">
        <v>7717550.6070170803</v>
      </c>
      <c r="H611" s="152">
        <v>11486434.308675401</v>
      </c>
      <c r="I611" t="s">
        <v>685</v>
      </c>
      <c r="J611" t="s">
        <v>127</v>
      </c>
      <c r="K611">
        <v>246868</v>
      </c>
      <c r="L611" t="s">
        <v>464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594</v>
      </c>
      <c r="B612" t="s">
        <v>1063</v>
      </c>
      <c r="C612" s="152">
        <v>231</v>
      </c>
      <c r="D612" s="152">
        <v>330</v>
      </c>
      <c r="E612" s="152">
        <v>561</v>
      </c>
      <c r="F612" s="152">
        <v>8612768.2413366307</v>
      </c>
      <c r="G612" s="152">
        <v>14756822.860746101</v>
      </c>
      <c r="H612" s="152">
        <v>23369591.1020827</v>
      </c>
      <c r="I612" t="s">
        <v>806</v>
      </c>
      <c r="J612" t="s">
        <v>128</v>
      </c>
      <c r="K612">
        <v>265512</v>
      </c>
      <c r="L612" t="s">
        <v>865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237</v>
      </c>
      <c r="B613" t="s">
        <v>942</v>
      </c>
      <c r="C613" s="152">
        <v>192</v>
      </c>
      <c r="D613" s="152">
        <v>360</v>
      </c>
      <c r="E613" s="152">
        <v>552</v>
      </c>
      <c r="F613" s="152">
        <v>3077321.7943474101</v>
      </c>
      <c r="G613" s="152">
        <v>8337657.5465527996</v>
      </c>
      <c r="H613" s="152">
        <v>11414979.340900199</v>
      </c>
      <c r="I613" t="s">
        <v>685</v>
      </c>
      <c r="J613" t="s">
        <v>127</v>
      </c>
      <c r="K613">
        <v>159442</v>
      </c>
      <c r="L613" t="s">
        <v>813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98</v>
      </c>
      <c r="B614" t="s">
        <v>99</v>
      </c>
      <c r="C614" s="152">
        <v>262</v>
      </c>
      <c r="D614" s="152">
        <v>272</v>
      </c>
      <c r="E614" s="152">
        <v>534</v>
      </c>
      <c r="F614" s="152">
        <v>4446964.3987784795</v>
      </c>
      <c r="G614" s="152">
        <v>5763585.4171351604</v>
      </c>
      <c r="H614" s="152">
        <v>10210549.815913601</v>
      </c>
      <c r="I614" t="s">
        <v>685</v>
      </c>
      <c r="J614" t="s">
        <v>127</v>
      </c>
      <c r="K614">
        <v>452755</v>
      </c>
      <c r="L614" t="s">
        <v>480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152</v>
      </c>
      <c r="B615" t="s">
        <v>189</v>
      </c>
      <c r="C615" s="152">
        <v>265</v>
      </c>
      <c r="D615" s="152">
        <v>265</v>
      </c>
      <c r="E615" s="152">
        <v>530</v>
      </c>
      <c r="F615" s="152">
        <v>6087686.03194167</v>
      </c>
      <c r="G615" s="152">
        <v>6395962.4878901104</v>
      </c>
      <c r="H615" s="152">
        <v>12483648.519831801</v>
      </c>
      <c r="I615" t="s">
        <v>806</v>
      </c>
      <c r="J615" t="s">
        <v>127</v>
      </c>
      <c r="K615">
        <v>407064</v>
      </c>
      <c r="L615" t="s">
        <v>852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291</v>
      </c>
      <c r="B616" t="s">
        <v>341</v>
      </c>
      <c r="C616" s="152">
        <v>225</v>
      </c>
      <c r="D616" s="152">
        <v>305</v>
      </c>
      <c r="E616" s="152">
        <v>530</v>
      </c>
      <c r="F616" s="152">
        <v>5070024.8777043596</v>
      </c>
      <c r="G616" s="152">
        <v>9008608.6698394008</v>
      </c>
      <c r="H616" s="152">
        <v>14078633.5475438</v>
      </c>
      <c r="I616" t="s">
        <v>685</v>
      </c>
      <c r="J616" t="s">
        <v>127</v>
      </c>
      <c r="K616">
        <v>233346</v>
      </c>
      <c r="L616" t="s">
        <v>868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138</v>
      </c>
      <c r="B617" t="s">
        <v>210</v>
      </c>
      <c r="C617" s="152">
        <v>237</v>
      </c>
      <c r="D617" s="152">
        <v>289</v>
      </c>
      <c r="E617" s="152">
        <v>526</v>
      </c>
      <c r="F617" s="152">
        <v>3879352.39666011</v>
      </c>
      <c r="G617" s="152">
        <v>6144105.4601183897</v>
      </c>
      <c r="H617" s="152">
        <v>10023457.856778501</v>
      </c>
      <c r="I617" t="s">
        <v>685</v>
      </c>
      <c r="J617" t="s">
        <v>127</v>
      </c>
      <c r="K617">
        <v>917955</v>
      </c>
      <c r="L617" t="s">
        <v>451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152</v>
      </c>
      <c r="B618" t="s">
        <v>1064</v>
      </c>
      <c r="C618" s="152">
        <v>256</v>
      </c>
      <c r="D618" s="152">
        <v>270</v>
      </c>
      <c r="E618" s="152">
        <v>526</v>
      </c>
      <c r="F618" s="152">
        <v>6335786.7274943804</v>
      </c>
      <c r="G618" s="152">
        <v>8522519.1540343408</v>
      </c>
      <c r="H618" s="152">
        <v>14858305.8815287</v>
      </c>
      <c r="I618" t="s">
        <v>806</v>
      </c>
      <c r="J618" t="s">
        <v>127</v>
      </c>
      <c r="K618">
        <v>229682</v>
      </c>
      <c r="L618" t="s">
        <v>865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291</v>
      </c>
      <c r="B619" t="s">
        <v>205</v>
      </c>
      <c r="C619" s="152">
        <v>185</v>
      </c>
      <c r="D619" s="152">
        <v>339</v>
      </c>
      <c r="E619" s="152">
        <v>524</v>
      </c>
      <c r="F619" s="152">
        <v>2140775.4185350598</v>
      </c>
      <c r="G619" s="152">
        <v>5420761.1412423896</v>
      </c>
      <c r="H619" s="152">
        <v>7561536.5597774498</v>
      </c>
      <c r="I619" t="s">
        <v>685</v>
      </c>
      <c r="J619" t="s">
        <v>127</v>
      </c>
      <c r="K619">
        <v>887497</v>
      </c>
      <c r="L619" t="s">
        <v>451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664</v>
      </c>
      <c r="B620" t="s">
        <v>980</v>
      </c>
      <c r="C620" s="152">
        <v>241</v>
      </c>
      <c r="D620" s="152">
        <v>282</v>
      </c>
      <c r="E620" s="152">
        <v>523</v>
      </c>
      <c r="F620" s="152">
        <v>4517350.5583011797</v>
      </c>
      <c r="G620" s="152">
        <v>5866420.5810759999</v>
      </c>
      <c r="H620" s="152">
        <v>10383771.139377199</v>
      </c>
      <c r="I620" t="s">
        <v>685</v>
      </c>
      <c r="J620" t="s">
        <v>128</v>
      </c>
      <c r="K620">
        <v>880294</v>
      </c>
      <c r="L620" t="s">
        <v>411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102</v>
      </c>
      <c r="B621" t="s">
        <v>802</v>
      </c>
      <c r="C621" s="152">
        <v>272</v>
      </c>
      <c r="D621" s="152">
        <v>247</v>
      </c>
      <c r="E621" s="152">
        <v>519</v>
      </c>
      <c r="F621" s="152">
        <v>3804105.5633586198</v>
      </c>
      <c r="G621" s="152">
        <v>4132321.5117955399</v>
      </c>
      <c r="H621" s="152">
        <v>7936427.0751541499</v>
      </c>
      <c r="I621" t="s">
        <v>685</v>
      </c>
      <c r="J621" t="s">
        <v>127</v>
      </c>
      <c r="K621">
        <v>515387</v>
      </c>
      <c r="L621" t="s">
        <v>106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48</v>
      </c>
      <c r="B622" t="s">
        <v>965</v>
      </c>
      <c r="C622" s="152">
        <v>226</v>
      </c>
      <c r="D622" s="152">
        <v>293</v>
      </c>
      <c r="E622" s="152">
        <v>519</v>
      </c>
      <c r="F622" s="152">
        <v>3212873.85456528</v>
      </c>
      <c r="G622" s="152">
        <v>5187706.2120254003</v>
      </c>
      <c r="H622" s="152">
        <v>8400580.0665906705</v>
      </c>
      <c r="I622" t="s">
        <v>685</v>
      </c>
      <c r="J622" t="s">
        <v>127</v>
      </c>
      <c r="K622">
        <v>155788</v>
      </c>
      <c r="L622" t="s">
        <v>372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152</v>
      </c>
      <c r="B623" t="s">
        <v>614</v>
      </c>
      <c r="C623" s="152">
        <v>225</v>
      </c>
      <c r="D623" s="152">
        <v>282</v>
      </c>
      <c r="E623" s="152">
        <v>507</v>
      </c>
      <c r="F623" s="152">
        <v>3344288.0210539899</v>
      </c>
      <c r="G623" s="152">
        <v>5137419.09716185</v>
      </c>
      <c r="H623" s="152">
        <v>8481707.1182158496</v>
      </c>
      <c r="I623" t="s">
        <v>685</v>
      </c>
      <c r="J623" t="s">
        <v>127</v>
      </c>
      <c r="K623">
        <v>549261</v>
      </c>
      <c r="L623" t="s">
        <v>813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314</v>
      </c>
      <c r="B624" t="s">
        <v>466</v>
      </c>
      <c r="C624" s="152">
        <v>188</v>
      </c>
      <c r="D624" s="152">
        <v>311</v>
      </c>
      <c r="E624" s="152">
        <v>499</v>
      </c>
      <c r="F624" s="152">
        <v>6178944.2615577597</v>
      </c>
      <c r="G624" s="152">
        <v>11845490.674071699</v>
      </c>
      <c r="H624" s="152">
        <v>18024434.935629401</v>
      </c>
      <c r="I624" t="s">
        <v>685</v>
      </c>
      <c r="J624" t="s">
        <v>129</v>
      </c>
      <c r="K624">
        <v>688861</v>
      </c>
      <c r="L624" t="s">
        <v>956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291</v>
      </c>
      <c r="B625" t="s">
        <v>871</v>
      </c>
      <c r="C625" s="152">
        <v>180</v>
      </c>
      <c r="D625" s="152">
        <v>318</v>
      </c>
      <c r="E625" s="152">
        <v>498</v>
      </c>
      <c r="F625" s="152">
        <v>2220356.3989157602</v>
      </c>
      <c r="G625" s="152">
        <v>5307768.2714994401</v>
      </c>
      <c r="H625" s="152">
        <v>7528124.6704152003</v>
      </c>
      <c r="I625" t="s">
        <v>806</v>
      </c>
      <c r="J625" t="s">
        <v>127</v>
      </c>
      <c r="K625">
        <v>711945</v>
      </c>
      <c r="L625" t="s">
        <v>870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152</v>
      </c>
      <c r="B626" t="s">
        <v>940</v>
      </c>
      <c r="C626" s="152">
        <v>250</v>
      </c>
      <c r="D626" s="152">
        <v>248</v>
      </c>
      <c r="E626" s="152">
        <v>498</v>
      </c>
      <c r="F626" s="152">
        <v>4646597.4674251098</v>
      </c>
      <c r="G626" s="152">
        <v>5585743.9875604799</v>
      </c>
      <c r="H626" s="152">
        <v>10232341.4549856</v>
      </c>
      <c r="I626" t="s">
        <v>685</v>
      </c>
      <c r="J626" t="s">
        <v>127</v>
      </c>
      <c r="K626">
        <v>872440</v>
      </c>
      <c r="L626" t="s">
        <v>368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723</v>
      </c>
      <c r="B627" t="s">
        <v>93</v>
      </c>
      <c r="C627" s="152">
        <v>192</v>
      </c>
      <c r="D627" s="152">
        <v>296</v>
      </c>
      <c r="E627" s="152">
        <v>488</v>
      </c>
      <c r="F627" s="152">
        <v>3817833.2315768702</v>
      </c>
      <c r="G627" s="152">
        <v>7759410.9646916101</v>
      </c>
      <c r="H627" s="152">
        <v>11577244.196268501</v>
      </c>
      <c r="I627" t="s">
        <v>806</v>
      </c>
      <c r="J627" t="s">
        <v>127</v>
      </c>
      <c r="K627">
        <v>119891</v>
      </c>
      <c r="L627" t="s">
        <v>671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152</v>
      </c>
      <c r="B628" t="s">
        <v>479</v>
      </c>
      <c r="C628" s="152">
        <v>285</v>
      </c>
      <c r="D628" s="152">
        <v>192</v>
      </c>
      <c r="E628" s="152">
        <v>477</v>
      </c>
      <c r="F628" s="152">
        <v>5575965.9072366199</v>
      </c>
      <c r="G628" s="152">
        <v>4771659.7096700696</v>
      </c>
      <c r="H628" s="152">
        <v>10347625.616906701</v>
      </c>
      <c r="I628" t="s">
        <v>685</v>
      </c>
      <c r="J628" t="s">
        <v>127</v>
      </c>
      <c r="K628">
        <v>106492</v>
      </c>
      <c r="L628" t="s">
        <v>817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594</v>
      </c>
      <c r="B629" t="s">
        <v>867</v>
      </c>
      <c r="C629" s="152">
        <v>188</v>
      </c>
      <c r="D629" s="152">
        <v>275</v>
      </c>
      <c r="E629" s="152">
        <v>463</v>
      </c>
      <c r="F629" s="152">
        <v>5686080.7718829</v>
      </c>
      <c r="G629" s="152">
        <v>10211002.902332099</v>
      </c>
      <c r="H629" s="152">
        <v>15897083.674215</v>
      </c>
      <c r="I629" t="s">
        <v>806</v>
      </c>
      <c r="J629" t="s">
        <v>128</v>
      </c>
      <c r="K629">
        <v>617209</v>
      </c>
      <c r="L629" t="s">
        <v>736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168</v>
      </c>
      <c r="B630" t="s">
        <v>857</v>
      </c>
      <c r="C630" s="152">
        <v>181</v>
      </c>
      <c r="D630" s="152">
        <v>279</v>
      </c>
      <c r="E630" s="152">
        <v>460</v>
      </c>
      <c r="F630" s="152">
        <v>3329195.6439265399</v>
      </c>
      <c r="G630" s="152">
        <v>5938927.4793330804</v>
      </c>
      <c r="H630" s="152">
        <v>9268123.1232596207</v>
      </c>
      <c r="I630" t="s">
        <v>685</v>
      </c>
      <c r="J630" t="s">
        <v>127</v>
      </c>
      <c r="K630">
        <v>317990</v>
      </c>
      <c r="L630" t="s">
        <v>372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383</v>
      </c>
      <c r="B631" t="s">
        <v>1050</v>
      </c>
      <c r="C631" s="152">
        <v>167</v>
      </c>
      <c r="D631" s="152">
        <v>289</v>
      </c>
      <c r="E631" s="152">
        <v>456</v>
      </c>
      <c r="F631" s="152">
        <v>2932109.8959519402</v>
      </c>
      <c r="G631" s="152">
        <v>6473012.3907344798</v>
      </c>
      <c r="H631" s="152">
        <v>9405122.2866864204</v>
      </c>
      <c r="I631" t="s">
        <v>806</v>
      </c>
      <c r="J631" t="s">
        <v>127</v>
      </c>
      <c r="K631">
        <v>823039</v>
      </c>
      <c r="L631" t="s">
        <v>846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92</v>
      </c>
      <c r="B632" t="s">
        <v>814</v>
      </c>
      <c r="C632" s="152">
        <v>205</v>
      </c>
      <c r="D632" s="152">
        <v>251</v>
      </c>
      <c r="E632" s="152">
        <v>456</v>
      </c>
      <c r="F632" s="152">
        <v>2832830.78861942</v>
      </c>
      <c r="G632" s="152">
        <v>4234381.7005831096</v>
      </c>
      <c r="H632" s="152">
        <v>7067212.4892025199</v>
      </c>
      <c r="I632" t="s">
        <v>685</v>
      </c>
      <c r="J632" t="s">
        <v>127</v>
      </c>
      <c r="K632">
        <v>916122</v>
      </c>
      <c r="L632" t="s">
        <v>813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168</v>
      </c>
      <c r="B633" t="s">
        <v>790</v>
      </c>
      <c r="C633" s="152">
        <v>166</v>
      </c>
      <c r="D633" s="152">
        <v>286</v>
      </c>
      <c r="E633" s="152">
        <v>452</v>
      </c>
      <c r="F633" s="152">
        <v>3059820.2128522401</v>
      </c>
      <c r="G633" s="152">
        <v>6840429.1277192803</v>
      </c>
      <c r="H633" s="152">
        <v>9900249.3405715209</v>
      </c>
      <c r="I633" t="s">
        <v>685</v>
      </c>
      <c r="J633" t="s">
        <v>127</v>
      </c>
      <c r="K633">
        <v>630541</v>
      </c>
      <c r="L633" t="s">
        <v>132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152</v>
      </c>
      <c r="B634" t="s">
        <v>686</v>
      </c>
      <c r="C634" s="152">
        <v>236</v>
      </c>
      <c r="D634" s="152">
        <v>214</v>
      </c>
      <c r="E634" s="152">
        <v>450</v>
      </c>
      <c r="F634" s="152">
        <v>3532929.78713851</v>
      </c>
      <c r="G634" s="152">
        <v>3804380.7330230698</v>
      </c>
      <c r="H634" s="152">
        <v>7337310.5201615803</v>
      </c>
      <c r="I634" t="s">
        <v>685</v>
      </c>
      <c r="J634" t="s">
        <v>127</v>
      </c>
      <c r="K634">
        <v>882068</v>
      </c>
      <c r="L634" t="s">
        <v>376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664</v>
      </c>
      <c r="B635" t="s">
        <v>666</v>
      </c>
      <c r="C635" s="152">
        <v>254</v>
      </c>
      <c r="D635" s="152">
        <v>192</v>
      </c>
      <c r="E635" s="152">
        <v>446</v>
      </c>
      <c r="F635" s="152">
        <v>3706282.6894693198</v>
      </c>
      <c r="G635" s="152">
        <v>3656439.5615409198</v>
      </c>
      <c r="H635" s="152">
        <v>7362722.2510102401</v>
      </c>
      <c r="I635" t="s">
        <v>685</v>
      </c>
      <c r="J635" t="s">
        <v>128</v>
      </c>
      <c r="K635">
        <v>621631</v>
      </c>
      <c r="L635" t="s">
        <v>819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138</v>
      </c>
      <c r="B636" t="s">
        <v>803</v>
      </c>
      <c r="C636" s="152">
        <v>164</v>
      </c>
      <c r="D636" s="152">
        <v>279</v>
      </c>
      <c r="E636" s="152">
        <v>443</v>
      </c>
      <c r="F636" s="152">
        <v>2570236.02275276</v>
      </c>
      <c r="G636" s="152">
        <v>6241169.8246908002</v>
      </c>
      <c r="H636" s="152">
        <v>8811405.8474435601</v>
      </c>
      <c r="I636" t="s">
        <v>685</v>
      </c>
      <c r="J636" t="s">
        <v>127</v>
      </c>
      <c r="K636">
        <v>389650</v>
      </c>
      <c r="L636" t="s">
        <v>372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291</v>
      </c>
      <c r="B637" t="s">
        <v>611</v>
      </c>
      <c r="C637" s="152">
        <v>164</v>
      </c>
      <c r="D637" s="152">
        <v>273</v>
      </c>
      <c r="E637" s="152">
        <v>437</v>
      </c>
      <c r="F637" s="152">
        <v>2122817.1898072502</v>
      </c>
      <c r="G637" s="152">
        <v>5779620.8605574099</v>
      </c>
      <c r="H637" s="152">
        <v>7902438.0503646601</v>
      </c>
      <c r="I637" t="s">
        <v>685</v>
      </c>
      <c r="J637" t="s">
        <v>127</v>
      </c>
      <c r="K637">
        <v>410258</v>
      </c>
      <c r="L637" t="s">
        <v>813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250</v>
      </c>
      <c r="B638" t="s">
        <v>849</v>
      </c>
      <c r="C638" s="152">
        <v>207</v>
      </c>
      <c r="D638" s="152">
        <v>225</v>
      </c>
      <c r="E638" s="152">
        <v>432</v>
      </c>
      <c r="F638" s="152">
        <v>3111549.8767418498</v>
      </c>
      <c r="G638" s="152">
        <v>4300979.4854259295</v>
      </c>
      <c r="H638" s="152">
        <v>7412529.3621677803</v>
      </c>
      <c r="I638" t="s">
        <v>685</v>
      </c>
      <c r="J638" t="s">
        <v>127</v>
      </c>
      <c r="K638">
        <v>133298</v>
      </c>
      <c r="L638" t="s">
        <v>106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291</v>
      </c>
      <c r="B639" t="s">
        <v>1100</v>
      </c>
      <c r="C639" s="152">
        <v>190</v>
      </c>
      <c r="D639" s="152">
        <v>233</v>
      </c>
      <c r="E639" s="152">
        <v>423</v>
      </c>
      <c r="F639" s="152">
        <v>3048960.99612077</v>
      </c>
      <c r="G639" s="152">
        <v>4875131.0625801096</v>
      </c>
      <c r="H639" s="152">
        <v>7924092.0587008903</v>
      </c>
      <c r="I639" t="s">
        <v>685</v>
      </c>
      <c r="J639" t="s">
        <v>127</v>
      </c>
      <c r="K639">
        <v>252353</v>
      </c>
      <c r="L639" t="s">
        <v>809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305</v>
      </c>
      <c r="B640" t="s">
        <v>928</v>
      </c>
      <c r="C640" s="152">
        <v>191</v>
      </c>
      <c r="D640" s="152">
        <v>230</v>
      </c>
      <c r="E640" s="152">
        <v>421</v>
      </c>
      <c r="F640" s="152">
        <v>3824160.8782767002</v>
      </c>
      <c r="G640" s="152">
        <v>5787695.7375658201</v>
      </c>
      <c r="H640" s="152">
        <v>9611856.6158425193</v>
      </c>
      <c r="I640" t="s">
        <v>685</v>
      </c>
      <c r="J640" t="s">
        <v>129</v>
      </c>
      <c r="K640">
        <v>887554</v>
      </c>
      <c r="L640" t="s">
        <v>817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273</v>
      </c>
      <c r="B641" t="s">
        <v>815</v>
      </c>
      <c r="C641" s="152">
        <v>158</v>
      </c>
      <c r="D641" s="152">
        <v>255</v>
      </c>
      <c r="E641" s="152">
        <v>413</v>
      </c>
      <c r="F641" s="152">
        <v>3263550.6539876899</v>
      </c>
      <c r="G641" s="152">
        <v>5220907.3521688599</v>
      </c>
      <c r="H641" s="152">
        <v>8484458.0061565507</v>
      </c>
      <c r="I641" t="s">
        <v>685</v>
      </c>
      <c r="J641" t="s">
        <v>127</v>
      </c>
      <c r="K641">
        <v>446088</v>
      </c>
      <c r="L641" t="s">
        <v>813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291</v>
      </c>
      <c r="B642" t="s">
        <v>198</v>
      </c>
      <c r="C642" s="152">
        <v>177</v>
      </c>
      <c r="D642" s="152">
        <v>234</v>
      </c>
      <c r="E642" s="152">
        <v>411</v>
      </c>
      <c r="F642" s="152">
        <v>3982081.9536941098</v>
      </c>
      <c r="G642" s="152">
        <v>5664692.7910930803</v>
      </c>
      <c r="H642" s="152">
        <v>9646774.7447871901</v>
      </c>
      <c r="I642" t="s">
        <v>685</v>
      </c>
      <c r="J642" t="s">
        <v>127</v>
      </c>
      <c r="K642">
        <v>432153</v>
      </c>
      <c r="L642" t="s">
        <v>480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168</v>
      </c>
      <c r="B643" t="s">
        <v>1046</v>
      </c>
      <c r="C643" s="152">
        <v>149</v>
      </c>
      <c r="D643" s="152">
        <v>260</v>
      </c>
      <c r="E643" s="152">
        <v>409</v>
      </c>
      <c r="F643" s="152">
        <v>2771884.8468071101</v>
      </c>
      <c r="G643" s="152">
        <v>5031727.4624479497</v>
      </c>
      <c r="H643" s="152">
        <v>7803612.3092550701</v>
      </c>
      <c r="I643" t="s">
        <v>806</v>
      </c>
      <c r="J643" t="s">
        <v>127</v>
      </c>
      <c r="K643">
        <v>459891</v>
      </c>
      <c r="L643" t="s">
        <v>852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237</v>
      </c>
      <c r="B644" t="s">
        <v>247</v>
      </c>
      <c r="C644" s="152">
        <v>156</v>
      </c>
      <c r="D644" s="152">
        <v>253</v>
      </c>
      <c r="E644" s="152">
        <v>409</v>
      </c>
      <c r="F644" s="152">
        <v>3272727.2492993302</v>
      </c>
      <c r="G644" s="152">
        <v>6584749.1458413098</v>
      </c>
      <c r="H644" s="152">
        <v>9857476.3951406404</v>
      </c>
      <c r="I644" t="s">
        <v>685</v>
      </c>
      <c r="J644" t="s">
        <v>127</v>
      </c>
      <c r="K644">
        <v>757575</v>
      </c>
      <c r="L644" t="s">
        <v>805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237</v>
      </c>
      <c r="B645" t="s">
        <v>350</v>
      </c>
      <c r="C645" s="152">
        <v>133</v>
      </c>
      <c r="D645" s="152">
        <v>267</v>
      </c>
      <c r="E645" s="152">
        <v>400</v>
      </c>
      <c r="F645" s="152">
        <v>1656363.9111649599</v>
      </c>
      <c r="G645" s="152">
        <v>5143039.7133238297</v>
      </c>
      <c r="H645" s="152">
        <v>6799403.6244887998</v>
      </c>
      <c r="I645" t="s">
        <v>685</v>
      </c>
      <c r="J645" t="s">
        <v>127</v>
      </c>
      <c r="K645">
        <v>910109</v>
      </c>
      <c r="L645" t="s">
        <v>451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536</v>
      </c>
      <c r="B646" t="s">
        <v>538</v>
      </c>
      <c r="C646" s="152">
        <v>195</v>
      </c>
      <c r="D646" s="152">
        <v>201</v>
      </c>
      <c r="E646" s="152">
        <v>396</v>
      </c>
      <c r="F646" s="152">
        <v>5978865.8491923902</v>
      </c>
      <c r="G646" s="152">
        <v>8556369.0385123808</v>
      </c>
      <c r="H646" s="152">
        <v>14535234.887704801</v>
      </c>
      <c r="I646" t="s">
        <v>806</v>
      </c>
      <c r="J646" t="s">
        <v>128</v>
      </c>
      <c r="K646">
        <v>134593</v>
      </c>
      <c r="L646" t="s">
        <v>756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509</v>
      </c>
      <c r="B647" t="s">
        <v>847</v>
      </c>
      <c r="C647" s="152">
        <v>193</v>
      </c>
      <c r="D647" s="152">
        <v>198</v>
      </c>
      <c r="E647" s="152">
        <v>391</v>
      </c>
      <c r="F647" s="152">
        <v>3826601.98583129</v>
      </c>
      <c r="G647" s="152">
        <v>4482562.2654255601</v>
      </c>
      <c r="H647" s="152">
        <v>8309164.2512568496</v>
      </c>
      <c r="I647" t="s">
        <v>685</v>
      </c>
      <c r="J647" t="s">
        <v>131</v>
      </c>
      <c r="K647">
        <v>537696</v>
      </c>
      <c r="L647" t="s">
        <v>848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291</v>
      </c>
      <c r="B648" t="s">
        <v>488</v>
      </c>
      <c r="C648" s="152">
        <v>111</v>
      </c>
      <c r="D648" s="152">
        <v>276</v>
      </c>
      <c r="E648" s="152">
        <v>387</v>
      </c>
      <c r="F648" s="152">
        <v>1555749.07157864</v>
      </c>
      <c r="G648" s="152">
        <v>4833060.0513137197</v>
      </c>
      <c r="H648" s="152">
        <v>6388809.1228923704</v>
      </c>
      <c r="I648" t="s">
        <v>685</v>
      </c>
      <c r="J648" t="s">
        <v>127</v>
      </c>
      <c r="K648">
        <v>942094</v>
      </c>
      <c r="L648" t="s">
        <v>275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314</v>
      </c>
      <c r="B649" t="s">
        <v>934</v>
      </c>
      <c r="C649" s="152">
        <v>163</v>
      </c>
      <c r="D649" s="152">
        <v>223</v>
      </c>
      <c r="E649" s="152">
        <v>386</v>
      </c>
      <c r="F649" s="152">
        <v>3583863.6378125502</v>
      </c>
      <c r="G649" s="152">
        <v>5273510.2573023001</v>
      </c>
      <c r="H649" s="152">
        <v>8857373.8951148503</v>
      </c>
      <c r="I649" t="s">
        <v>685</v>
      </c>
      <c r="J649" t="s">
        <v>129</v>
      </c>
      <c r="K649">
        <v>934893</v>
      </c>
      <c r="L649" t="s">
        <v>817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282</v>
      </c>
      <c r="B650" t="s">
        <v>285</v>
      </c>
      <c r="C650" s="152">
        <v>165</v>
      </c>
      <c r="D650" s="152">
        <v>218</v>
      </c>
      <c r="E650" s="152">
        <v>383</v>
      </c>
      <c r="F650" s="152">
        <v>2993228.7875576098</v>
      </c>
      <c r="G650" s="152">
        <v>5218674.6150645996</v>
      </c>
      <c r="H650" s="152">
        <v>8211903.4026221996</v>
      </c>
      <c r="I650" t="s">
        <v>685</v>
      </c>
      <c r="J650" t="s">
        <v>127</v>
      </c>
      <c r="K650">
        <v>231753</v>
      </c>
      <c r="L650" t="s">
        <v>271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168</v>
      </c>
      <c r="B651" t="s">
        <v>26</v>
      </c>
      <c r="C651" s="152">
        <v>167</v>
      </c>
      <c r="D651" s="152">
        <v>215</v>
      </c>
      <c r="E651" s="152">
        <v>382</v>
      </c>
      <c r="F651" s="152">
        <v>2954648.4713147702</v>
      </c>
      <c r="G651" s="152">
        <v>4359995.3009092398</v>
      </c>
      <c r="H651" s="152">
        <v>7314643.77222401</v>
      </c>
      <c r="I651" t="s">
        <v>685</v>
      </c>
      <c r="J651" t="s">
        <v>127</v>
      </c>
      <c r="K651">
        <v>404236</v>
      </c>
      <c r="L651" t="s">
        <v>451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291</v>
      </c>
      <c r="B652" t="s">
        <v>521</v>
      </c>
      <c r="C652" s="152">
        <v>159</v>
      </c>
      <c r="D652" s="152">
        <v>215</v>
      </c>
      <c r="E652" s="152">
        <v>374</v>
      </c>
      <c r="F652" s="152">
        <v>5691872.6126138996</v>
      </c>
      <c r="G652" s="152">
        <v>6098202.56072817</v>
      </c>
      <c r="H652" s="152">
        <v>11790075.173342099</v>
      </c>
      <c r="I652" t="s">
        <v>685</v>
      </c>
      <c r="J652" t="s">
        <v>127</v>
      </c>
      <c r="K652">
        <v>639690</v>
      </c>
      <c r="L652" t="s">
        <v>65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291</v>
      </c>
      <c r="B653" t="s">
        <v>300</v>
      </c>
      <c r="C653" s="152">
        <v>164</v>
      </c>
      <c r="D653" s="152">
        <v>202</v>
      </c>
      <c r="E653" s="152">
        <v>366</v>
      </c>
      <c r="F653" s="152">
        <v>2464052.6947013699</v>
      </c>
      <c r="G653" s="152">
        <v>4611291.3411141504</v>
      </c>
      <c r="H653" s="152">
        <v>7075344.0358155202</v>
      </c>
      <c r="I653" t="s">
        <v>685</v>
      </c>
      <c r="J653" t="s">
        <v>127</v>
      </c>
      <c r="K653">
        <v>665315</v>
      </c>
      <c r="L653" t="s">
        <v>1079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381</v>
      </c>
      <c r="B654" t="s">
        <v>331</v>
      </c>
      <c r="C654" s="152">
        <v>121</v>
      </c>
      <c r="D654" s="152">
        <v>233</v>
      </c>
      <c r="E654" s="152">
        <v>354</v>
      </c>
      <c r="F654" s="152">
        <v>2592432.2853752701</v>
      </c>
      <c r="G654" s="152">
        <v>6919097.9110767003</v>
      </c>
      <c r="H654" s="152">
        <v>9511530.1964519694</v>
      </c>
      <c r="I654" t="s">
        <v>806</v>
      </c>
      <c r="J654" t="s">
        <v>127</v>
      </c>
      <c r="K654">
        <v>660290</v>
      </c>
      <c r="L654" t="s">
        <v>36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664</v>
      </c>
      <c r="B655" t="s">
        <v>1038</v>
      </c>
      <c r="C655" s="152">
        <v>146</v>
      </c>
      <c r="D655" s="152">
        <v>208</v>
      </c>
      <c r="E655" s="152">
        <v>354</v>
      </c>
      <c r="F655" s="152">
        <v>3745360.1471181298</v>
      </c>
      <c r="G655" s="152">
        <v>6724927.30225359</v>
      </c>
      <c r="H655" s="152">
        <v>10470287.449371699</v>
      </c>
      <c r="I655" t="s">
        <v>685</v>
      </c>
      <c r="J655" t="s">
        <v>128</v>
      </c>
      <c r="K655">
        <v>551093</v>
      </c>
      <c r="L655" t="s">
        <v>805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152</v>
      </c>
      <c r="B656" t="s">
        <v>162</v>
      </c>
      <c r="C656" s="152">
        <v>171</v>
      </c>
      <c r="D656" s="152">
        <v>179</v>
      </c>
      <c r="E656" s="152">
        <v>350</v>
      </c>
      <c r="F656" s="152">
        <v>2854389.8518506601</v>
      </c>
      <c r="G656" s="152">
        <v>3742983.2566315802</v>
      </c>
      <c r="H656" s="152">
        <v>6597373.1084822398</v>
      </c>
      <c r="I656" t="s">
        <v>685</v>
      </c>
      <c r="J656" t="s">
        <v>127</v>
      </c>
      <c r="K656">
        <v>175265</v>
      </c>
      <c r="L656" t="s">
        <v>375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678</v>
      </c>
      <c r="B657" t="s">
        <v>240</v>
      </c>
      <c r="C657" s="152">
        <v>168</v>
      </c>
      <c r="D657" s="152">
        <v>179</v>
      </c>
      <c r="E657" s="152">
        <v>347</v>
      </c>
      <c r="F657" s="152">
        <v>3945393.55987434</v>
      </c>
      <c r="G657" s="152">
        <v>4950411.5848748302</v>
      </c>
      <c r="H657" s="152">
        <v>8895805.1447491702</v>
      </c>
      <c r="I657" t="s">
        <v>685</v>
      </c>
      <c r="J657" t="s">
        <v>128</v>
      </c>
      <c r="K657">
        <v>335463</v>
      </c>
      <c r="L657" t="s">
        <v>376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664</v>
      </c>
      <c r="B658" t="s">
        <v>961</v>
      </c>
      <c r="C658" s="152">
        <v>145</v>
      </c>
      <c r="D658" s="152">
        <v>199</v>
      </c>
      <c r="E658" s="152">
        <v>344</v>
      </c>
      <c r="F658" s="152">
        <v>3826414.1374357999</v>
      </c>
      <c r="G658" s="152">
        <v>5467001.0995538598</v>
      </c>
      <c r="H658" s="152">
        <v>9293415.2369896602</v>
      </c>
      <c r="I658" t="s">
        <v>685</v>
      </c>
      <c r="J658" t="s">
        <v>128</v>
      </c>
      <c r="K658">
        <v>930768</v>
      </c>
      <c r="L658" t="s">
        <v>372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92</v>
      </c>
      <c r="B659" t="s">
        <v>1087</v>
      </c>
      <c r="C659" s="152">
        <v>142</v>
      </c>
      <c r="D659" s="152">
        <v>197</v>
      </c>
      <c r="E659" s="152">
        <v>339</v>
      </c>
      <c r="F659" s="152">
        <v>1683023.1759628099</v>
      </c>
      <c r="G659" s="152">
        <v>2939370.68573754</v>
      </c>
      <c r="H659" s="152">
        <v>4622393.8617003504</v>
      </c>
      <c r="I659" t="s">
        <v>685</v>
      </c>
      <c r="J659" t="s">
        <v>127</v>
      </c>
      <c r="K659">
        <v>848770</v>
      </c>
      <c r="L659" t="s">
        <v>132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723</v>
      </c>
      <c r="B660" t="s">
        <v>16</v>
      </c>
      <c r="C660" s="152">
        <v>93</v>
      </c>
      <c r="D660" s="152">
        <v>235</v>
      </c>
      <c r="E660" s="152">
        <v>328</v>
      </c>
      <c r="F660" s="152">
        <v>2085069.1618828599</v>
      </c>
      <c r="G660" s="152">
        <v>6640664.7933766302</v>
      </c>
      <c r="H660" s="152">
        <v>8725733.9552594908</v>
      </c>
      <c r="I660" t="s">
        <v>806</v>
      </c>
      <c r="J660" t="s">
        <v>127</v>
      </c>
      <c r="K660">
        <v>476895</v>
      </c>
      <c r="L660" t="s">
        <v>17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314</v>
      </c>
      <c r="B661" t="s">
        <v>1018</v>
      </c>
      <c r="C661" s="152">
        <v>228</v>
      </c>
      <c r="D661" s="152">
        <v>95</v>
      </c>
      <c r="E661" s="152">
        <v>323</v>
      </c>
      <c r="F661" s="152">
        <v>15728055.5965642</v>
      </c>
      <c r="G661" s="152">
        <v>7834720.66050155</v>
      </c>
      <c r="H661" s="152">
        <v>23562776.257065799</v>
      </c>
      <c r="I661" t="s">
        <v>806</v>
      </c>
      <c r="J661" t="s">
        <v>129</v>
      </c>
      <c r="K661">
        <v>925032</v>
      </c>
      <c r="L661" t="s">
        <v>989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48</v>
      </c>
      <c r="B662" t="s">
        <v>619</v>
      </c>
      <c r="C662" s="152">
        <v>136</v>
      </c>
      <c r="D662" s="152">
        <v>187</v>
      </c>
      <c r="E662" s="152">
        <v>323</v>
      </c>
      <c r="F662" s="152">
        <v>2204901.3655722402</v>
      </c>
      <c r="G662" s="152">
        <v>3837439.1145220101</v>
      </c>
      <c r="H662" s="152">
        <v>6042340.4800942503</v>
      </c>
      <c r="I662" t="s">
        <v>685</v>
      </c>
      <c r="J662" t="s">
        <v>127</v>
      </c>
      <c r="K662">
        <v>732727</v>
      </c>
      <c r="L662" t="s">
        <v>813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152</v>
      </c>
      <c r="B663" t="s">
        <v>88</v>
      </c>
      <c r="C663" s="152">
        <v>113</v>
      </c>
      <c r="D663" s="152">
        <v>197</v>
      </c>
      <c r="E663" s="152">
        <v>310</v>
      </c>
      <c r="F663" s="152">
        <v>2069561.01773102</v>
      </c>
      <c r="G663" s="152">
        <v>4668859.2283133501</v>
      </c>
      <c r="H663" s="152">
        <v>6738420.2460443703</v>
      </c>
      <c r="I663" t="s">
        <v>685</v>
      </c>
      <c r="J663" t="s">
        <v>127</v>
      </c>
      <c r="K663">
        <v>857094</v>
      </c>
      <c r="L663" t="s">
        <v>89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48</v>
      </c>
      <c r="B664" t="s">
        <v>67</v>
      </c>
      <c r="C664" s="152">
        <v>114</v>
      </c>
      <c r="D664" s="152">
        <v>191</v>
      </c>
      <c r="E664" s="152">
        <v>305</v>
      </c>
      <c r="F664" s="152">
        <v>1606928.90747495</v>
      </c>
      <c r="G664" s="152">
        <v>3241904.2042308799</v>
      </c>
      <c r="H664" s="152">
        <v>4848833.1117058396</v>
      </c>
      <c r="I664" t="s">
        <v>685</v>
      </c>
      <c r="J664" t="s">
        <v>127</v>
      </c>
      <c r="K664">
        <v>473470</v>
      </c>
      <c r="L664" t="s">
        <v>811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291</v>
      </c>
      <c r="B665" t="s">
        <v>371</v>
      </c>
      <c r="C665" s="152">
        <v>129</v>
      </c>
      <c r="D665" s="152">
        <v>168</v>
      </c>
      <c r="E665" s="152">
        <v>297</v>
      </c>
      <c r="F665" s="152">
        <v>2840645.7615644601</v>
      </c>
      <c r="G665" s="152">
        <v>5006474.8416699804</v>
      </c>
      <c r="H665" s="152">
        <v>7847120.6032344401</v>
      </c>
      <c r="I665" t="s">
        <v>685</v>
      </c>
      <c r="J665" t="s">
        <v>127</v>
      </c>
      <c r="K665">
        <v>836494</v>
      </c>
      <c r="L665" t="s">
        <v>375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314</v>
      </c>
      <c r="B666" t="s">
        <v>794</v>
      </c>
      <c r="C666" s="152">
        <v>150</v>
      </c>
      <c r="D666" s="152">
        <v>146</v>
      </c>
      <c r="E666" s="152">
        <v>296</v>
      </c>
      <c r="F666" s="152">
        <v>12676308.649800301</v>
      </c>
      <c r="G666" s="152">
        <v>15297760.025656501</v>
      </c>
      <c r="H666" s="152">
        <v>27974068.6754568</v>
      </c>
      <c r="I666" t="s">
        <v>806</v>
      </c>
      <c r="J666" t="s">
        <v>129</v>
      </c>
      <c r="K666">
        <v>590463</v>
      </c>
      <c r="L666" t="s">
        <v>786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723</v>
      </c>
      <c r="B667" t="s">
        <v>197</v>
      </c>
      <c r="C667" s="152">
        <v>97</v>
      </c>
      <c r="D667" s="152">
        <v>192</v>
      </c>
      <c r="E667" s="152">
        <v>289</v>
      </c>
      <c r="F667" s="152">
        <v>2403815.0063324999</v>
      </c>
      <c r="G667" s="152">
        <v>5946506.2034098199</v>
      </c>
      <c r="H667" s="152">
        <v>8350321.2097423198</v>
      </c>
      <c r="I667" t="s">
        <v>806</v>
      </c>
      <c r="J667" t="s">
        <v>127</v>
      </c>
      <c r="K667">
        <v>636092</v>
      </c>
      <c r="L667" t="s">
        <v>191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536</v>
      </c>
      <c r="B668" t="s">
        <v>593</v>
      </c>
      <c r="C668" s="152">
        <v>150</v>
      </c>
      <c r="D668" s="152">
        <v>135</v>
      </c>
      <c r="E668" s="152">
        <v>285</v>
      </c>
      <c r="F668" s="152">
        <v>5484971.9627921004</v>
      </c>
      <c r="G668" s="152">
        <v>6649027.0831506001</v>
      </c>
      <c r="H668" s="152">
        <v>12133999.0459427</v>
      </c>
      <c r="I668" t="s">
        <v>806</v>
      </c>
      <c r="J668" t="s">
        <v>128</v>
      </c>
      <c r="K668">
        <v>654988</v>
      </c>
      <c r="L668" t="s">
        <v>727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664</v>
      </c>
      <c r="B669" t="s">
        <v>33</v>
      </c>
      <c r="C669" s="152">
        <v>146</v>
      </c>
      <c r="D669" s="152">
        <v>137</v>
      </c>
      <c r="E669" s="152">
        <v>283</v>
      </c>
      <c r="F669" s="152">
        <v>2040011.53687997</v>
      </c>
      <c r="G669" s="152">
        <v>2607033.2019763999</v>
      </c>
      <c r="H669" s="152">
        <v>4647044.7388563696</v>
      </c>
      <c r="I669" t="s">
        <v>685</v>
      </c>
      <c r="J669" t="s">
        <v>128</v>
      </c>
      <c r="K669">
        <v>966598</v>
      </c>
      <c r="L669" t="s">
        <v>372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678</v>
      </c>
      <c r="B670" t="s">
        <v>896</v>
      </c>
      <c r="C670" s="152">
        <v>107</v>
      </c>
      <c r="D670" s="152">
        <v>175</v>
      </c>
      <c r="E670" s="152">
        <v>282</v>
      </c>
      <c r="F670" s="152">
        <v>3833360.87482531</v>
      </c>
      <c r="G670" s="152">
        <v>5716368.3200948099</v>
      </c>
      <c r="H670" s="152">
        <v>9549729.1949201208</v>
      </c>
      <c r="I670" t="s">
        <v>685</v>
      </c>
      <c r="J670" t="s">
        <v>128</v>
      </c>
      <c r="K670">
        <v>690636</v>
      </c>
      <c r="L670" t="s">
        <v>376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291</v>
      </c>
      <c r="B671" t="s">
        <v>299</v>
      </c>
      <c r="C671" s="152">
        <v>127</v>
      </c>
      <c r="D671" s="152">
        <v>149</v>
      </c>
      <c r="E671" s="152">
        <v>276</v>
      </c>
      <c r="F671" s="152">
        <v>2073224.3385889099</v>
      </c>
      <c r="G671" s="152">
        <v>2795806.46598743</v>
      </c>
      <c r="H671" s="152">
        <v>4869030.8045763401</v>
      </c>
      <c r="I671" t="s">
        <v>685</v>
      </c>
      <c r="J671" t="s">
        <v>127</v>
      </c>
      <c r="K671">
        <v>202002</v>
      </c>
      <c r="L671" t="s">
        <v>45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314</v>
      </c>
      <c r="B672" t="s">
        <v>792</v>
      </c>
      <c r="C672" s="152">
        <v>133</v>
      </c>
      <c r="D672" s="152">
        <v>141</v>
      </c>
      <c r="E672" s="152">
        <v>274</v>
      </c>
      <c r="F672" s="152">
        <v>9755708.2190500498</v>
      </c>
      <c r="G672" s="152">
        <v>12022226.023095001</v>
      </c>
      <c r="H672" s="152">
        <v>21777934.242145099</v>
      </c>
      <c r="I672" t="s">
        <v>806</v>
      </c>
      <c r="J672" t="s">
        <v>129</v>
      </c>
      <c r="K672">
        <v>554634</v>
      </c>
      <c r="L672" t="s">
        <v>786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152</v>
      </c>
      <c r="B673" t="s">
        <v>1008</v>
      </c>
      <c r="C673" s="152">
        <v>152</v>
      </c>
      <c r="D673" s="152">
        <v>116</v>
      </c>
      <c r="E673" s="152">
        <v>268</v>
      </c>
      <c r="F673" s="152">
        <v>3741598.9850535798</v>
      </c>
      <c r="G673" s="152">
        <v>3068410.90006052</v>
      </c>
      <c r="H673" s="152">
        <v>6810009.8851140998</v>
      </c>
      <c r="I673" t="s">
        <v>806</v>
      </c>
      <c r="J673" t="s">
        <v>127</v>
      </c>
      <c r="K673">
        <v>936781</v>
      </c>
      <c r="L673" t="s">
        <v>816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678</v>
      </c>
      <c r="B674" t="s">
        <v>478</v>
      </c>
      <c r="C674" s="152">
        <v>123</v>
      </c>
      <c r="D674" s="152">
        <v>139</v>
      </c>
      <c r="E674" s="152">
        <v>262</v>
      </c>
      <c r="F674" s="152">
        <v>2872557.8694664999</v>
      </c>
      <c r="G674" s="152">
        <v>3919753.8948128801</v>
      </c>
      <c r="H674" s="152">
        <v>6792311.7642793898</v>
      </c>
      <c r="I674" t="s">
        <v>685</v>
      </c>
      <c r="J674" t="s">
        <v>128</v>
      </c>
      <c r="K674">
        <v>515148</v>
      </c>
      <c r="L674" t="s">
        <v>376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664</v>
      </c>
      <c r="B675" t="s">
        <v>669</v>
      </c>
      <c r="C675" s="152">
        <v>107</v>
      </c>
      <c r="D675" s="152">
        <v>155</v>
      </c>
      <c r="E675" s="152">
        <v>262</v>
      </c>
      <c r="F675" s="152">
        <v>1328461.7801065501</v>
      </c>
      <c r="G675" s="152">
        <v>2855132.1255058199</v>
      </c>
      <c r="H675" s="152">
        <v>4183593.90561237</v>
      </c>
      <c r="I675" t="s">
        <v>685</v>
      </c>
      <c r="J675" t="s">
        <v>128</v>
      </c>
      <c r="K675">
        <v>288001</v>
      </c>
      <c r="L675" t="s">
        <v>132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48</v>
      </c>
      <c r="B676" t="s">
        <v>68</v>
      </c>
      <c r="C676" s="152">
        <v>107</v>
      </c>
      <c r="D676" s="152">
        <v>150</v>
      </c>
      <c r="E676" s="152">
        <v>257</v>
      </c>
      <c r="F676" s="152">
        <v>1364469.4791985501</v>
      </c>
      <c r="G676" s="152">
        <v>2290295.3414485101</v>
      </c>
      <c r="H676" s="152">
        <v>3654764.8206470599</v>
      </c>
      <c r="I676" t="s">
        <v>685</v>
      </c>
      <c r="J676" t="s">
        <v>127</v>
      </c>
      <c r="K676">
        <v>222661</v>
      </c>
      <c r="L676" t="s">
        <v>811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92</v>
      </c>
      <c r="B677" t="s">
        <v>388</v>
      </c>
      <c r="C677" s="152">
        <v>115</v>
      </c>
      <c r="D677" s="152">
        <v>138</v>
      </c>
      <c r="E677" s="152">
        <v>253</v>
      </c>
      <c r="F677" s="152">
        <v>2368467.60959754</v>
      </c>
      <c r="G677" s="152">
        <v>3016338.090717</v>
      </c>
      <c r="H677" s="152">
        <v>5384805.7003145404</v>
      </c>
      <c r="I677" t="s">
        <v>685</v>
      </c>
      <c r="J677" t="s">
        <v>127</v>
      </c>
      <c r="K677">
        <v>755090</v>
      </c>
      <c r="L677" t="s">
        <v>480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48</v>
      </c>
      <c r="B678" t="s">
        <v>66</v>
      </c>
      <c r="C678" s="152">
        <v>108</v>
      </c>
      <c r="D678" s="152">
        <v>144</v>
      </c>
      <c r="E678" s="152">
        <v>252</v>
      </c>
      <c r="F678" s="152">
        <v>2166785.2155352398</v>
      </c>
      <c r="G678" s="152">
        <v>3499508.5045221001</v>
      </c>
      <c r="H678" s="152">
        <v>5666293.7200573403</v>
      </c>
      <c r="I678" t="s">
        <v>685</v>
      </c>
      <c r="J678" t="s">
        <v>127</v>
      </c>
      <c r="K678">
        <v>309492</v>
      </c>
      <c r="L678" t="s">
        <v>65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152</v>
      </c>
      <c r="B679" t="s">
        <v>456</v>
      </c>
      <c r="C679" s="152">
        <v>115</v>
      </c>
      <c r="D679" s="152">
        <v>132</v>
      </c>
      <c r="E679" s="152">
        <v>247</v>
      </c>
      <c r="F679" s="152">
        <v>2599508.7115865001</v>
      </c>
      <c r="G679" s="152">
        <v>3337050.3998842598</v>
      </c>
      <c r="H679" s="152">
        <v>5936559.1114707496</v>
      </c>
      <c r="I679" t="s">
        <v>685</v>
      </c>
      <c r="J679" t="s">
        <v>127</v>
      </c>
      <c r="K679">
        <v>320358</v>
      </c>
      <c r="L679" t="s">
        <v>63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98</v>
      </c>
      <c r="B680" t="s">
        <v>855</v>
      </c>
      <c r="C680" s="152">
        <v>84</v>
      </c>
      <c r="D680" s="152">
        <v>161</v>
      </c>
      <c r="E680" s="152">
        <v>245</v>
      </c>
      <c r="F680" s="152">
        <v>1662310.42801759</v>
      </c>
      <c r="G680" s="152">
        <v>3912300.62764632</v>
      </c>
      <c r="H680" s="152">
        <v>5574611.05566392</v>
      </c>
      <c r="I680" t="s">
        <v>685</v>
      </c>
      <c r="J680" t="s">
        <v>127</v>
      </c>
      <c r="K680">
        <v>116293</v>
      </c>
      <c r="L680" t="s">
        <v>94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678</v>
      </c>
      <c r="B681" t="s">
        <v>679</v>
      </c>
      <c r="C681" s="152">
        <v>97</v>
      </c>
      <c r="D681" s="152">
        <v>148</v>
      </c>
      <c r="E681" s="152">
        <v>245</v>
      </c>
      <c r="F681" s="152">
        <v>1513985.7322132699</v>
      </c>
      <c r="G681" s="152">
        <v>3359075.7854750901</v>
      </c>
      <c r="H681" s="152">
        <v>4873061.5176883601</v>
      </c>
      <c r="I681" t="s">
        <v>685</v>
      </c>
      <c r="J681" t="s">
        <v>128</v>
      </c>
      <c r="K681">
        <v>808634</v>
      </c>
      <c r="L681" t="s">
        <v>1079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291</v>
      </c>
      <c r="B682" t="s">
        <v>927</v>
      </c>
      <c r="C682" s="152">
        <v>82</v>
      </c>
      <c r="D682" s="152">
        <v>161</v>
      </c>
      <c r="E682" s="152">
        <v>243</v>
      </c>
      <c r="F682" s="152">
        <v>1551084.58993936</v>
      </c>
      <c r="G682" s="152">
        <v>3455841.2032306902</v>
      </c>
      <c r="H682" s="152">
        <v>5006925.7931700498</v>
      </c>
      <c r="I682" t="s">
        <v>685</v>
      </c>
      <c r="J682" t="s">
        <v>127</v>
      </c>
      <c r="K682">
        <v>698605</v>
      </c>
      <c r="L682" t="s">
        <v>770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152</v>
      </c>
      <c r="B683" t="s">
        <v>7</v>
      </c>
      <c r="C683" s="152">
        <v>133</v>
      </c>
      <c r="D683" s="152">
        <v>99</v>
      </c>
      <c r="E683" s="152">
        <v>232</v>
      </c>
      <c r="F683" s="152">
        <v>3020967.93099155</v>
      </c>
      <c r="G683" s="152">
        <v>2602097.8653557501</v>
      </c>
      <c r="H683" s="152">
        <v>5623065.7963472996</v>
      </c>
      <c r="I683" t="s">
        <v>806</v>
      </c>
      <c r="J683" t="s">
        <v>127</v>
      </c>
      <c r="K683">
        <v>613729</v>
      </c>
      <c r="L683" t="s">
        <v>462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237</v>
      </c>
      <c r="B684" t="s">
        <v>242</v>
      </c>
      <c r="C684" s="152">
        <v>84</v>
      </c>
      <c r="D684" s="152">
        <v>142</v>
      </c>
      <c r="E684" s="152">
        <v>226</v>
      </c>
      <c r="F684" s="152">
        <v>1136540.8950950699</v>
      </c>
      <c r="G684" s="152">
        <v>2359813.7223816901</v>
      </c>
      <c r="H684" s="152">
        <v>3496354.6174767599</v>
      </c>
      <c r="I684" t="s">
        <v>685</v>
      </c>
      <c r="J684" t="s">
        <v>127</v>
      </c>
      <c r="K684">
        <v>365981</v>
      </c>
      <c r="L684" t="s">
        <v>811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152</v>
      </c>
      <c r="B685" t="s">
        <v>643</v>
      </c>
      <c r="C685" s="152">
        <v>120</v>
      </c>
      <c r="D685" s="152">
        <v>103</v>
      </c>
      <c r="E685" s="152">
        <v>223</v>
      </c>
      <c r="F685" s="152">
        <v>2064807.88017736</v>
      </c>
      <c r="G685" s="152">
        <v>1956730.28988851</v>
      </c>
      <c r="H685" s="152">
        <v>4021538.1700658598</v>
      </c>
      <c r="I685" t="s">
        <v>685</v>
      </c>
      <c r="J685" t="s">
        <v>127</v>
      </c>
      <c r="K685">
        <v>555466</v>
      </c>
      <c r="L685" t="s">
        <v>464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168</v>
      </c>
      <c r="B686" t="s">
        <v>945</v>
      </c>
      <c r="C686" s="152">
        <v>61</v>
      </c>
      <c r="D686" s="152">
        <v>157</v>
      </c>
      <c r="E686" s="152">
        <v>218</v>
      </c>
      <c r="F686" s="152">
        <v>1154292.0755763999</v>
      </c>
      <c r="G686" s="152">
        <v>3660258.3221534598</v>
      </c>
      <c r="H686" s="152">
        <v>4814550.3977298597</v>
      </c>
      <c r="I686" t="s">
        <v>685</v>
      </c>
      <c r="J686" t="s">
        <v>127</v>
      </c>
      <c r="K686">
        <v>541292</v>
      </c>
      <c r="L686" t="s">
        <v>946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48</v>
      </c>
      <c r="B687" t="s">
        <v>58</v>
      </c>
      <c r="C687" s="152">
        <v>103</v>
      </c>
      <c r="D687" s="152">
        <v>105</v>
      </c>
      <c r="E687" s="152">
        <v>208</v>
      </c>
      <c r="F687" s="152">
        <v>1169979.2257102199</v>
      </c>
      <c r="G687" s="152">
        <v>1539913.0821086301</v>
      </c>
      <c r="H687" s="152">
        <v>2709892.3078188398</v>
      </c>
      <c r="I687" t="s">
        <v>685</v>
      </c>
      <c r="J687" t="s">
        <v>127</v>
      </c>
      <c r="K687">
        <v>899773</v>
      </c>
      <c r="L687" t="s">
        <v>132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291</v>
      </c>
      <c r="B688" t="s">
        <v>1020</v>
      </c>
      <c r="C688" s="152">
        <v>84</v>
      </c>
      <c r="D688" s="152">
        <v>121</v>
      </c>
      <c r="E688" s="152">
        <v>205</v>
      </c>
      <c r="F688" s="152">
        <v>1800187.4072875001</v>
      </c>
      <c r="G688" s="152">
        <v>3064496.8247855501</v>
      </c>
      <c r="H688" s="152">
        <v>4864684.23207305</v>
      </c>
      <c r="I688" t="s">
        <v>806</v>
      </c>
      <c r="J688" t="s">
        <v>127</v>
      </c>
      <c r="K688">
        <v>320176</v>
      </c>
      <c r="L688" t="s">
        <v>901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218</v>
      </c>
      <c r="B689" t="s">
        <v>632</v>
      </c>
      <c r="C689" s="152">
        <v>79</v>
      </c>
      <c r="D689" s="152">
        <v>121</v>
      </c>
      <c r="E689" s="152">
        <v>200</v>
      </c>
      <c r="F689" s="152">
        <v>1603812.2943046901</v>
      </c>
      <c r="G689" s="152">
        <v>3606292.0877433</v>
      </c>
      <c r="H689" s="152">
        <v>5210104.3820479903</v>
      </c>
      <c r="I689" t="s">
        <v>685</v>
      </c>
      <c r="J689" t="s">
        <v>127</v>
      </c>
      <c r="K689">
        <v>753202</v>
      </c>
      <c r="L689" t="s">
        <v>628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381</v>
      </c>
      <c r="B690" t="s">
        <v>791</v>
      </c>
      <c r="C690" s="152">
        <v>64</v>
      </c>
      <c r="D690" s="152">
        <v>129</v>
      </c>
      <c r="E690" s="152">
        <v>193</v>
      </c>
      <c r="F690" s="152">
        <v>1477339.8686700901</v>
      </c>
      <c r="G690" s="152">
        <v>3037413.673829</v>
      </c>
      <c r="H690" s="152">
        <v>4514753.5424990999</v>
      </c>
      <c r="I690" t="s">
        <v>685</v>
      </c>
      <c r="J690" t="s">
        <v>127</v>
      </c>
      <c r="K690">
        <v>666370</v>
      </c>
      <c r="L690" t="s">
        <v>132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152</v>
      </c>
      <c r="B691" t="s">
        <v>623</v>
      </c>
      <c r="C691" s="152">
        <v>76</v>
      </c>
      <c r="D691" s="152">
        <v>102</v>
      </c>
      <c r="E691" s="152">
        <v>178</v>
      </c>
      <c r="F691" s="152">
        <v>2491011.8915581401</v>
      </c>
      <c r="G691" s="152">
        <v>5051966.7669767598</v>
      </c>
      <c r="H691" s="152">
        <v>7542978.6585349003</v>
      </c>
      <c r="I691" t="s">
        <v>806</v>
      </c>
      <c r="J691" t="s">
        <v>127</v>
      </c>
      <c r="K691">
        <v>806034</v>
      </c>
      <c r="L691" t="s">
        <v>624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664</v>
      </c>
      <c r="B692" t="s">
        <v>823</v>
      </c>
      <c r="C692" s="152">
        <v>64</v>
      </c>
      <c r="D692" s="152">
        <v>114</v>
      </c>
      <c r="E692" s="152">
        <v>178</v>
      </c>
      <c r="F692" s="152">
        <v>1615567.1632943801</v>
      </c>
      <c r="G692" s="152">
        <v>3886171.8731418001</v>
      </c>
      <c r="H692" s="152">
        <v>5501739.0364361797</v>
      </c>
      <c r="I692" t="s">
        <v>685</v>
      </c>
      <c r="J692" t="s">
        <v>128</v>
      </c>
      <c r="K692">
        <v>873505</v>
      </c>
      <c r="L692" t="s">
        <v>821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168</v>
      </c>
      <c r="B693" t="s">
        <v>853</v>
      </c>
      <c r="C693" s="152">
        <v>64</v>
      </c>
      <c r="D693" s="152">
        <v>109</v>
      </c>
      <c r="E693" s="152">
        <v>173</v>
      </c>
      <c r="F693" s="152">
        <v>838532.40275802102</v>
      </c>
      <c r="G693" s="152">
        <v>1679443.28687698</v>
      </c>
      <c r="H693" s="152">
        <v>2517975.6896350002</v>
      </c>
      <c r="I693" t="s">
        <v>685</v>
      </c>
      <c r="J693" t="s">
        <v>127</v>
      </c>
      <c r="K693">
        <v>980466</v>
      </c>
      <c r="L693" t="s">
        <v>94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138</v>
      </c>
      <c r="B694" t="s">
        <v>473</v>
      </c>
      <c r="C694" s="152">
        <v>74</v>
      </c>
      <c r="D694" s="152">
        <v>98</v>
      </c>
      <c r="E694" s="152">
        <v>172</v>
      </c>
      <c r="F694" s="152">
        <v>1117115.3704661401</v>
      </c>
      <c r="G694" s="152">
        <v>2085368.3348395401</v>
      </c>
      <c r="H694" s="152">
        <v>3202483.7053056802</v>
      </c>
      <c r="I694" t="s">
        <v>685</v>
      </c>
      <c r="J694" t="s">
        <v>127</v>
      </c>
      <c r="K694">
        <v>997460</v>
      </c>
      <c r="L694" t="s">
        <v>106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218</v>
      </c>
      <c r="B695" t="s">
        <v>627</v>
      </c>
      <c r="C695" s="152">
        <v>65</v>
      </c>
      <c r="D695" s="152">
        <v>107</v>
      </c>
      <c r="E695" s="152">
        <v>172</v>
      </c>
      <c r="F695" s="152">
        <v>1326211.24447017</v>
      </c>
      <c r="G695" s="152">
        <v>2507088.6751624602</v>
      </c>
      <c r="H695" s="152">
        <v>3833299.9196326402</v>
      </c>
      <c r="I695" t="s">
        <v>685</v>
      </c>
      <c r="J695" t="s">
        <v>127</v>
      </c>
      <c r="K695">
        <v>789032</v>
      </c>
      <c r="L695" t="s">
        <v>628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664</v>
      </c>
      <c r="B696" t="s">
        <v>393</v>
      </c>
      <c r="C696" s="152">
        <v>87</v>
      </c>
      <c r="D696" s="152">
        <v>84</v>
      </c>
      <c r="E696" s="152">
        <v>171</v>
      </c>
      <c r="F696" s="152">
        <v>1828692.00637072</v>
      </c>
      <c r="G696" s="152">
        <v>2043519.3895070101</v>
      </c>
      <c r="H696" s="152">
        <v>3872211.3958777301</v>
      </c>
      <c r="I696" t="s">
        <v>685</v>
      </c>
      <c r="J696" t="s">
        <v>128</v>
      </c>
      <c r="K696">
        <v>203000</v>
      </c>
      <c r="L696" t="s">
        <v>316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98</v>
      </c>
      <c r="B697" t="s">
        <v>801</v>
      </c>
      <c r="C697" s="152">
        <v>62</v>
      </c>
      <c r="D697" s="152">
        <v>107</v>
      </c>
      <c r="E697" s="152">
        <v>169</v>
      </c>
      <c r="F697" s="152">
        <v>879061.88193692896</v>
      </c>
      <c r="G697" s="152">
        <v>2156982.8227381501</v>
      </c>
      <c r="H697" s="152">
        <v>3036044.7046750798</v>
      </c>
      <c r="I697" t="s">
        <v>685</v>
      </c>
      <c r="J697" t="s">
        <v>127</v>
      </c>
      <c r="K697">
        <v>333757</v>
      </c>
      <c r="L697" t="s">
        <v>372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218</v>
      </c>
      <c r="B698" t="s">
        <v>936</v>
      </c>
      <c r="C698" s="152">
        <v>49</v>
      </c>
      <c r="D698" s="152">
        <v>119</v>
      </c>
      <c r="E698" s="152">
        <v>168</v>
      </c>
      <c r="F698" s="152">
        <v>842262.776400976</v>
      </c>
      <c r="G698" s="152">
        <v>2488253.1612614002</v>
      </c>
      <c r="H698" s="152">
        <v>3330515.9376623798</v>
      </c>
      <c r="I698" t="s">
        <v>685</v>
      </c>
      <c r="J698" t="s">
        <v>127</v>
      </c>
      <c r="K698">
        <v>772038</v>
      </c>
      <c r="L698" t="s">
        <v>937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218</v>
      </c>
      <c r="B699" t="s">
        <v>625</v>
      </c>
      <c r="C699" s="152">
        <v>58</v>
      </c>
      <c r="D699" s="152">
        <v>108</v>
      </c>
      <c r="E699" s="152">
        <v>166</v>
      </c>
      <c r="F699" s="152">
        <v>830908.13517104601</v>
      </c>
      <c r="G699" s="152">
        <v>2000096.571851</v>
      </c>
      <c r="H699" s="152">
        <v>2831004.7070220499</v>
      </c>
      <c r="I699" t="s">
        <v>685</v>
      </c>
      <c r="J699" t="s">
        <v>127</v>
      </c>
      <c r="K699">
        <v>586800</v>
      </c>
      <c r="L699" t="s">
        <v>959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48</v>
      </c>
      <c r="B700" t="s">
        <v>444</v>
      </c>
      <c r="C700" s="152">
        <v>60</v>
      </c>
      <c r="D700" s="152">
        <v>101</v>
      </c>
      <c r="E700" s="152">
        <v>161</v>
      </c>
      <c r="F700" s="152">
        <v>1386215.17856566</v>
      </c>
      <c r="G700" s="152">
        <v>2809060.6580444099</v>
      </c>
      <c r="H700" s="152">
        <v>4195275.8366100704</v>
      </c>
      <c r="I700" t="s">
        <v>685</v>
      </c>
      <c r="J700" t="s">
        <v>127</v>
      </c>
      <c r="K700">
        <v>724633</v>
      </c>
      <c r="L700" t="s">
        <v>45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98</v>
      </c>
      <c r="B701" t="s">
        <v>172</v>
      </c>
      <c r="C701" s="152">
        <v>63</v>
      </c>
      <c r="D701" s="152">
        <v>96</v>
      </c>
      <c r="E701" s="152">
        <v>159</v>
      </c>
      <c r="F701" s="152">
        <v>1438918.77054955</v>
      </c>
      <c r="G701" s="152">
        <v>2870509.9506675</v>
      </c>
      <c r="H701" s="152">
        <v>4309428.7212170502</v>
      </c>
      <c r="I701" t="s">
        <v>685</v>
      </c>
      <c r="J701" t="s">
        <v>127</v>
      </c>
      <c r="K701">
        <v>152652</v>
      </c>
      <c r="L701" t="s">
        <v>821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48</v>
      </c>
      <c r="B702" t="s">
        <v>618</v>
      </c>
      <c r="C702" s="152">
        <v>76</v>
      </c>
      <c r="D702" s="152">
        <v>83</v>
      </c>
      <c r="E702" s="152">
        <v>159</v>
      </c>
      <c r="F702" s="152">
        <v>1420060.74228504</v>
      </c>
      <c r="G702" s="152">
        <v>2026605.08799051</v>
      </c>
      <c r="H702" s="152">
        <v>3446665.83027555</v>
      </c>
      <c r="I702" t="s">
        <v>685</v>
      </c>
      <c r="J702" t="s">
        <v>127</v>
      </c>
      <c r="K702">
        <v>696898</v>
      </c>
      <c r="L702" t="s">
        <v>813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92</v>
      </c>
      <c r="B703" t="s">
        <v>95</v>
      </c>
      <c r="C703" s="152">
        <v>63</v>
      </c>
      <c r="D703" s="152">
        <v>92</v>
      </c>
      <c r="E703" s="152">
        <v>155</v>
      </c>
      <c r="F703" s="152">
        <v>765559.761576941</v>
      </c>
      <c r="G703" s="152">
        <v>1400786.45764243</v>
      </c>
      <c r="H703" s="152">
        <v>2166346.2192193698</v>
      </c>
      <c r="I703" t="s">
        <v>685</v>
      </c>
      <c r="J703" t="s">
        <v>127</v>
      </c>
      <c r="K703">
        <v>151001</v>
      </c>
      <c r="L703" t="s">
        <v>811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237</v>
      </c>
      <c r="B704" t="s">
        <v>653</v>
      </c>
      <c r="C704" s="152">
        <v>57</v>
      </c>
      <c r="D704" s="152">
        <v>97</v>
      </c>
      <c r="E704" s="152">
        <v>154</v>
      </c>
      <c r="F704" s="152">
        <v>719797.83965692797</v>
      </c>
      <c r="G704" s="152">
        <v>1585475.5826902001</v>
      </c>
      <c r="H704" s="152">
        <v>2305273.4223471298</v>
      </c>
      <c r="I704" t="s">
        <v>685</v>
      </c>
      <c r="J704" t="s">
        <v>127</v>
      </c>
      <c r="K704">
        <v>282699</v>
      </c>
      <c r="L704" t="s">
        <v>464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138</v>
      </c>
      <c r="B705" t="s">
        <v>744</v>
      </c>
      <c r="C705" s="152">
        <v>69</v>
      </c>
      <c r="D705" s="152">
        <v>85</v>
      </c>
      <c r="E705" s="152">
        <v>154</v>
      </c>
      <c r="F705" s="152">
        <v>1314565.25413889</v>
      </c>
      <c r="G705" s="152">
        <v>2292679.11742493</v>
      </c>
      <c r="H705" s="152">
        <v>3607244.3715638202</v>
      </c>
      <c r="I705" t="s">
        <v>685</v>
      </c>
      <c r="J705" t="s">
        <v>127</v>
      </c>
      <c r="K705">
        <v>683490</v>
      </c>
      <c r="L705" t="s">
        <v>63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678</v>
      </c>
      <c r="B706" t="s">
        <v>409</v>
      </c>
      <c r="C706" s="152">
        <v>65</v>
      </c>
      <c r="D706" s="152">
        <v>87</v>
      </c>
      <c r="E706" s="152">
        <v>152</v>
      </c>
      <c r="F706" s="152">
        <v>2008475.7203953399</v>
      </c>
      <c r="G706" s="152">
        <v>3016739.0287577799</v>
      </c>
      <c r="H706" s="152">
        <v>5025214.7491531204</v>
      </c>
      <c r="I706" t="s">
        <v>685</v>
      </c>
      <c r="J706" t="s">
        <v>128</v>
      </c>
      <c r="K706">
        <v>550970</v>
      </c>
      <c r="L706" t="s">
        <v>376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152</v>
      </c>
      <c r="B707" t="s">
        <v>1097</v>
      </c>
      <c r="C707" s="152">
        <v>71</v>
      </c>
      <c r="D707" s="152">
        <v>81</v>
      </c>
      <c r="E707" s="152">
        <v>152</v>
      </c>
      <c r="F707" s="152">
        <v>2098276.0270053102</v>
      </c>
      <c r="G707" s="152">
        <v>2306104.1518098698</v>
      </c>
      <c r="H707" s="152">
        <v>4404380.1788151702</v>
      </c>
      <c r="I707" t="s">
        <v>685</v>
      </c>
      <c r="J707" t="s">
        <v>127</v>
      </c>
      <c r="K707">
        <v>282517</v>
      </c>
      <c r="L707" t="s">
        <v>553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48</v>
      </c>
      <c r="B708" t="s">
        <v>69</v>
      </c>
      <c r="C708" s="152">
        <v>60</v>
      </c>
      <c r="D708" s="152">
        <v>92</v>
      </c>
      <c r="E708" s="152">
        <v>152</v>
      </c>
      <c r="F708" s="152">
        <v>1078343.78496671</v>
      </c>
      <c r="G708" s="152">
        <v>1941402.8577101501</v>
      </c>
      <c r="H708" s="152">
        <v>3019746.6426768601</v>
      </c>
      <c r="I708" t="s">
        <v>685</v>
      </c>
      <c r="J708" t="s">
        <v>127</v>
      </c>
      <c r="K708">
        <v>367698</v>
      </c>
      <c r="L708" t="s">
        <v>805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48</v>
      </c>
      <c r="B709" t="s">
        <v>793</v>
      </c>
      <c r="C709" s="152">
        <v>56</v>
      </c>
      <c r="D709" s="152">
        <v>95</v>
      </c>
      <c r="E709" s="152">
        <v>151</v>
      </c>
      <c r="F709" s="152">
        <v>853362.96355415997</v>
      </c>
      <c r="G709" s="152">
        <v>1926453.69615519</v>
      </c>
      <c r="H709" s="152">
        <v>2779816.6597093502</v>
      </c>
      <c r="I709" t="s">
        <v>685</v>
      </c>
      <c r="J709" t="s">
        <v>127</v>
      </c>
      <c r="K709">
        <v>773861</v>
      </c>
      <c r="L709" t="s">
        <v>132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218</v>
      </c>
      <c r="B710" t="s">
        <v>222</v>
      </c>
      <c r="C710" s="152">
        <v>55</v>
      </c>
      <c r="D710" s="152">
        <v>96</v>
      </c>
      <c r="E710" s="152">
        <v>151</v>
      </c>
      <c r="F710" s="152">
        <v>814189.31213896105</v>
      </c>
      <c r="G710" s="152">
        <v>2059399.38347377</v>
      </c>
      <c r="H710" s="152">
        <v>2873588.69561273</v>
      </c>
      <c r="I710" t="s">
        <v>685</v>
      </c>
      <c r="J710" t="s">
        <v>127</v>
      </c>
      <c r="K710">
        <v>999292</v>
      </c>
      <c r="L710" t="s">
        <v>480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678</v>
      </c>
      <c r="B711" t="s">
        <v>825</v>
      </c>
      <c r="C711" s="152">
        <v>68</v>
      </c>
      <c r="D711" s="152">
        <v>81</v>
      </c>
      <c r="E711" s="152">
        <v>149</v>
      </c>
      <c r="F711" s="152">
        <v>1281499.4451675499</v>
      </c>
      <c r="G711" s="152">
        <v>1956946.4641146299</v>
      </c>
      <c r="H711" s="152">
        <v>3238445.90928218</v>
      </c>
      <c r="I711" t="s">
        <v>685</v>
      </c>
      <c r="J711" t="s">
        <v>128</v>
      </c>
      <c r="K711">
        <v>945162</v>
      </c>
      <c r="L711" t="s">
        <v>821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664</v>
      </c>
      <c r="B712" t="s">
        <v>810</v>
      </c>
      <c r="C712" s="152">
        <v>61</v>
      </c>
      <c r="D712" s="152">
        <v>86</v>
      </c>
      <c r="E712" s="152">
        <v>147</v>
      </c>
      <c r="F712" s="152">
        <v>1396339.8866334099</v>
      </c>
      <c r="G712" s="152">
        <v>2014305.74771294</v>
      </c>
      <c r="H712" s="152">
        <v>3410645.6343463599</v>
      </c>
      <c r="I712" t="s">
        <v>685</v>
      </c>
      <c r="J712" t="s">
        <v>128</v>
      </c>
      <c r="K712">
        <v>543892</v>
      </c>
      <c r="L712" t="s">
        <v>809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314</v>
      </c>
      <c r="B713" t="s">
        <v>1017</v>
      </c>
      <c r="C713" s="152">
        <v>83</v>
      </c>
      <c r="D713" s="152">
        <v>63</v>
      </c>
      <c r="E713" s="152">
        <v>146</v>
      </c>
      <c r="F713" s="152">
        <v>1267256.92959827</v>
      </c>
      <c r="G713" s="152">
        <v>1053420.2008374601</v>
      </c>
      <c r="H713" s="152">
        <v>2320677.1304357299</v>
      </c>
      <c r="I713" t="s">
        <v>685</v>
      </c>
      <c r="J713" t="s">
        <v>129</v>
      </c>
      <c r="K713">
        <v>647669</v>
      </c>
      <c r="L713" t="s">
        <v>63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152</v>
      </c>
      <c r="B714" t="s">
        <v>571</v>
      </c>
      <c r="C714" s="152">
        <v>52</v>
      </c>
      <c r="D714" s="152">
        <v>88</v>
      </c>
      <c r="E714" s="152">
        <v>140</v>
      </c>
      <c r="F714" s="152">
        <v>1176847.0696568801</v>
      </c>
      <c r="G714" s="152">
        <v>1933114.5622358201</v>
      </c>
      <c r="H714" s="152">
        <v>3109961.6318927002</v>
      </c>
      <c r="I714" t="s">
        <v>685</v>
      </c>
      <c r="J714" t="s">
        <v>127</v>
      </c>
      <c r="K714">
        <v>282632</v>
      </c>
      <c r="L714" t="s">
        <v>570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291</v>
      </c>
      <c r="B715" t="s">
        <v>824</v>
      </c>
      <c r="C715" s="152">
        <v>60</v>
      </c>
      <c r="D715" s="152">
        <v>80</v>
      </c>
      <c r="E715" s="152">
        <v>140</v>
      </c>
      <c r="F715" s="152">
        <v>746475.29471710604</v>
      </c>
      <c r="G715" s="152">
        <v>1590116.4644186301</v>
      </c>
      <c r="H715" s="152">
        <v>2336591.7591357301</v>
      </c>
      <c r="I715" t="s">
        <v>685</v>
      </c>
      <c r="J715" t="s">
        <v>127</v>
      </c>
      <c r="K715">
        <v>439299</v>
      </c>
      <c r="L715" t="s">
        <v>821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382</v>
      </c>
      <c r="B716" t="s">
        <v>500</v>
      </c>
      <c r="C716" s="152">
        <v>47</v>
      </c>
      <c r="D716" s="152">
        <v>89</v>
      </c>
      <c r="E716" s="152">
        <v>136</v>
      </c>
      <c r="F716" s="152">
        <v>865995.768375966</v>
      </c>
      <c r="G716" s="152">
        <v>2020194.7840205701</v>
      </c>
      <c r="H716" s="152">
        <v>2886190.5523965401</v>
      </c>
      <c r="I716" t="s">
        <v>685</v>
      </c>
      <c r="J716" t="s">
        <v>127</v>
      </c>
      <c r="K716">
        <v>985770</v>
      </c>
      <c r="L716" t="s">
        <v>499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273</v>
      </c>
      <c r="B717" t="s">
        <v>274</v>
      </c>
      <c r="C717" s="152">
        <v>49</v>
      </c>
      <c r="D717" s="152">
        <v>87</v>
      </c>
      <c r="E717" s="152">
        <v>136</v>
      </c>
      <c r="F717" s="152">
        <v>923648.69883363205</v>
      </c>
      <c r="G717" s="152">
        <v>1983443.98793271</v>
      </c>
      <c r="H717" s="152">
        <v>2907092.6867663399</v>
      </c>
      <c r="I717" t="s">
        <v>685</v>
      </c>
      <c r="J717" t="s">
        <v>127</v>
      </c>
      <c r="K717">
        <v>360495</v>
      </c>
      <c r="L717" t="s">
        <v>480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291</v>
      </c>
      <c r="B718" t="s">
        <v>924</v>
      </c>
      <c r="C718" s="152">
        <v>32</v>
      </c>
      <c r="D718" s="152">
        <v>99</v>
      </c>
      <c r="E718" s="152">
        <v>131</v>
      </c>
      <c r="F718" s="152">
        <v>802402.89140403597</v>
      </c>
      <c r="G718" s="152">
        <v>2787441.75915469</v>
      </c>
      <c r="H718" s="152">
        <v>3589844.6505587301</v>
      </c>
      <c r="I718" t="s">
        <v>685</v>
      </c>
      <c r="J718" t="s">
        <v>127</v>
      </c>
      <c r="K718">
        <v>724690</v>
      </c>
      <c r="L718" t="s">
        <v>375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291</v>
      </c>
      <c r="B719" t="s">
        <v>211</v>
      </c>
      <c r="C719" s="152">
        <v>47</v>
      </c>
      <c r="D719" s="152">
        <v>83</v>
      </c>
      <c r="E719" s="152">
        <v>130</v>
      </c>
      <c r="F719" s="152">
        <v>853738.56970846804</v>
      </c>
      <c r="G719" s="152">
        <v>2006605.40478099</v>
      </c>
      <c r="H719" s="152">
        <v>2860343.9744894598</v>
      </c>
      <c r="I719" t="s">
        <v>685</v>
      </c>
      <c r="J719" t="s">
        <v>127</v>
      </c>
      <c r="K719">
        <v>968891</v>
      </c>
      <c r="L719" t="s">
        <v>451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776</v>
      </c>
      <c r="B720" t="s">
        <v>652</v>
      </c>
      <c r="C720" s="152">
        <v>49</v>
      </c>
      <c r="D720" s="152">
        <v>78</v>
      </c>
      <c r="E720" s="152">
        <v>127</v>
      </c>
      <c r="F720" s="152">
        <v>1351897.7556489201</v>
      </c>
      <c r="G720" s="152">
        <v>2171029.8948416798</v>
      </c>
      <c r="H720" s="152">
        <v>3522927.6504906002</v>
      </c>
      <c r="I720" t="s">
        <v>806</v>
      </c>
      <c r="J720" t="s">
        <v>127</v>
      </c>
      <c r="K720">
        <v>524231</v>
      </c>
      <c r="L720" t="s">
        <v>870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168</v>
      </c>
      <c r="B721" t="s">
        <v>630</v>
      </c>
      <c r="C721" s="152">
        <v>25</v>
      </c>
      <c r="D721" s="152">
        <v>102</v>
      </c>
      <c r="E721" s="152">
        <v>127</v>
      </c>
      <c r="F721" s="152">
        <v>516543.55206790997</v>
      </c>
      <c r="G721" s="152">
        <v>2500153.45992669</v>
      </c>
      <c r="H721" s="152">
        <v>3016697.0119945998</v>
      </c>
      <c r="I721" t="s">
        <v>685</v>
      </c>
      <c r="J721" t="s">
        <v>127</v>
      </c>
      <c r="K721">
        <v>645713</v>
      </c>
      <c r="L721" t="s">
        <v>628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152</v>
      </c>
      <c r="B722" t="s">
        <v>908</v>
      </c>
      <c r="C722" s="152">
        <v>59</v>
      </c>
      <c r="D722" s="152">
        <v>65</v>
      </c>
      <c r="E722" s="152">
        <v>124</v>
      </c>
      <c r="F722" s="152">
        <v>812870.68464076496</v>
      </c>
      <c r="G722" s="152">
        <v>1116795.59526171</v>
      </c>
      <c r="H722" s="152">
        <v>1929666.2799024701</v>
      </c>
      <c r="I722" t="s">
        <v>685</v>
      </c>
      <c r="J722" t="s">
        <v>127</v>
      </c>
      <c r="K722">
        <v>989491</v>
      </c>
      <c r="L722" t="s">
        <v>480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152</v>
      </c>
      <c r="B723" t="s">
        <v>787</v>
      </c>
      <c r="C723" s="152">
        <v>52</v>
      </c>
      <c r="D723" s="152">
        <v>72</v>
      </c>
      <c r="E723" s="152">
        <v>124</v>
      </c>
      <c r="F723" s="152">
        <v>1173358.03310682</v>
      </c>
      <c r="G723" s="152">
        <v>1748857.13248686</v>
      </c>
      <c r="H723" s="152">
        <v>2922215.16559368</v>
      </c>
      <c r="I723" t="s">
        <v>685</v>
      </c>
      <c r="J723" t="s">
        <v>127</v>
      </c>
      <c r="K723">
        <v>432096</v>
      </c>
      <c r="L723" t="s">
        <v>742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168</v>
      </c>
      <c r="B724" t="s">
        <v>175</v>
      </c>
      <c r="C724" s="152">
        <v>50</v>
      </c>
      <c r="D724" s="152">
        <v>73</v>
      </c>
      <c r="E724" s="152">
        <v>123</v>
      </c>
      <c r="F724" s="152">
        <v>785784.25923347904</v>
      </c>
      <c r="G724" s="152">
        <v>1488650.38894913</v>
      </c>
      <c r="H724" s="152">
        <v>2274434.64818261</v>
      </c>
      <c r="I724" t="s">
        <v>685</v>
      </c>
      <c r="J724" t="s">
        <v>127</v>
      </c>
      <c r="K724">
        <v>828111</v>
      </c>
      <c r="L724" t="s">
        <v>132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237</v>
      </c>
      <c r="B725" t="s">
        <v>603</v>
      </c>
      <c r="C725" s="152">
        <v>36</v>
      </c>
      <c r="D725" s="152">
        <v>78</v>
      </c>
      <c r="E725" s="152">
        <v>114</v>
      </c>
      <c r="F725" s="152">
        <v>891176.65496670001</v>
      </c>
      <c r="G725" s="152">
        <v>1662439.33202611</v>
      </c>
      <c r="H725" s="152">
        <v>2553615.9869928099</v>
      </c>
      <c r="I725" t="s">
        <v>685</v>
      </c>
      <c r="J725" t="s">
        <v>127</v>
      </c>
      <c r="K725">
        <v>123612</v>
      </c>
      <c r="L725" t="s">
        <v>813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98</v>
      </c>
      <c r="B726" t="s">
        <v>200</v>
      </c>
      <c r="C726" s="152">
        <v>49</v>
      </c>
      <c r="D726" s="152">
        <v>63</v>
      </c>
      <c r="E726" s="152">
        <v>112</v>
      </c>
      <c r="F726" s="152">
        <v>803155.07409658399</v>
      </c>
      <c r="G726" s="152">
        <v>1240382.3390835901</v>
      </c>
      <c r="H726" s="152">
        <v>2043537.4131801701</v>
      </c>
      <c r="I726" t="s">
        <v>685</v>
      </c>
      <c r="J726" t="s">
        <v>127</v>
      </c>
      <c r="K726">
        <v>951954</v>
      </c>
      <c r="L726" t="s">
        <v>813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237</v>
      </c>
      <c r="B727" t="s">
        <v>607</v>
      </c>
      <c r="C727" s="152">
        <v>40</v>
      </c>
      <c r="D727" s="152">
        <v>68</v>
      </c>
      <c r="E727" s="152">
        <v>108</v>
      </c>
      <c r="F727" s="152">
        <v>841447.11525470705</v>
      </c>
      <c r="G727" s="152">
        <v>1682508.25713234</v>
      </c>
      <c r="H727" s="152">
        <v>2523955.3723870502</v>
      </c>
      <c r="I727" t="s">
        <v>685</v>
      </c>
      <c r="J727" t="s">
        <v>127</v>
      </c>
      <c r="K727">
        <v>299693</v>
      </c>
      <c r="L727" t="s">
        <v>813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48</v>
      </c>
      <c r="B728" t="s">
        <v>76</v>
      </c>
      <c r="C728" s="152">
        <v>42</v>
      </c>
      <c r="D728" s="152">
        <v>59</v>
      </c>
      <c r="E728" s="152">
        <v>101</v>
      </c>
      <c r="F728" s="152">
        <v>806640.52816134004</v>
      </c>
      <c r="G728" s="152">
        <v>1119541.4521794999</v>
      </c>
      <c r="H728" s="152">
        <v>1926181.9803408401</v>
      </c>
      <c r="I728" t="s">
        <v>685</v>
      </c>
      <c r="J728" t="s">
        <v>127</v>
      </c>
      <c r="K728">
        <v>651380</v>
      </c>
      <c r="L728" t="s">
        <v>809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98</v>
      </c>
      <c r="B729" t="s">
        <v>745</v>
      </c>
      <c r="C729" s="152">
        <v>42</v>
      </c>
      <c r="D729" s="152">
        <v>57</v>
      </c>
      <c r="E729" s="152">
        <v>99</v>
      </c>
      <c r="F729" s="152">
        <v>634913.64958078403</v>
      </c>
      <c r="G729" s="152">
        <v>1212335.6370187199</v>
      </c>
      <c r="H729" s="152">
        <v>1847249.2865995001</v>
      </c>
      <c r="I729" t="s">
        <v>685</v>
      </c>
      <c r="J729" t="s">
        <v>127</v>
      </c>
      <c r="K729">
        <v>920371</v>
      </c>
      <c r="L729" t="s">
        <v>1079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168</v>
      </c>
      <c r="B730" t="s">
        <v>339</v>
      </c>
      <c r="C730" s="152">
        <v>25</v>
      </c>
      <c r="D730" s="152">
        <v>74</v>
      </c>
      <c r="E730" s="152">
        <v>99</v>
      </c>
      <c r="F730" s="152">
        <v>557446.13117245201</v>
      </c>
      <c r="G730" s="152">
        <v>1615107.3441954299</v>
      </c>
      <c r="H730" s="152">
        <v>2172553.47536788</v>
      </c>
      <c r="I730" t="s">
        <v>685</v>
      </c>
      <c r="J730" t="s">
        <v>127</v>
      </c>
      <c r="K730">
        <v>161687</v>
      </c>
      <c r="L730" t="s">
        <v>868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664</v>
      </c>
      <c r="B731" t="s">
        <v>195</v>
      </c>
      <c r="C731" s="152">
        <v>52</v>
      </c>
      <c r="D731" s="152">
        <v>46</v>
      </c>
      <c r="E731" s="152">
        <v>98</v>
      </c>
      <c r="F731" s="152">
        <v>999642.70550496201</v>
      </c>
      <c r="G731" s="152">
        <v>1091203.50100959</v>
      </c>
      <c r="H731" s="152">
        <v>2090846.2065145599</v>
      </c>
      <c r="I731" t="s">
        <v>685</v>
      </c>
      <c r="J731" t="s">
        <v>128</v>
      </c>
      <c r="K731">
        <v>280925</v>
      </c>
      <c r="L731" t="s">
        <v>451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723</v>
      </c>
      <c r="B732" t="s">
        <v>475</v>
      </c>
      <c r="C732" s="152">
        <v>36</v>
      </c>
      <c r="D732" s="152">
        <v>61</v>
      </c>
      <c r="E732" s="152">
        <v>97</v>
      </c>
      <c r="F732" s="152">
        <v>1044291.06891882</v>
      </c>
      <c r="G732" s="152">
        <v>1374336.1593537</v>
      </c>
      <c r="H732" s="152">
        <v>2418627.22827252</v>
      </c>
      <c r="I732" t="s">
        <v>685</v>
      </c>
      <c r="J732" t="s">
        <v>127</v>
      </c>
      <c r="K732">
        <v>792697</v>
      </c>
      <c r="L732" t="s">
        <v>817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48</v>
      </c>
      <c r="B733" t="s">
        <v>329</v>
      </c>
      <c r="C733" s="152">
        <v>31</v>
      </c>
      <c r="D733" s="152">
        <v>65</v>
      </c>
      <c r="E733" s="152">
        <v>96</v>
      </c>
      <c r="F733" s="152">
        <v>616918.95816074696</v>
      </c>
      <c r="G733" s="152">
        <v>1343792.2813923501</v>
      </c>
      <c r="H733" s="152">
        <v>1960711.2395531</v>
      </c>
      <c r="I733" t="s">
        <v>685</v>
      </c>
      <c r="J733" t="s">
        <v>127</v>
      </c>
      <c r="K733">
        <v>238832</v>
      </c>
      <c r="L733" t="s">
        <v>316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250</v>
      </c>
      <c r="B734" t="s">
        <v>327</v>
      </c>
      <c r="C734" s="152">
        <v>42</v>
      </c>
      <c r="D734" s="152">
        <v>53</v>
      </c>
      <c r="E734" s="152">
        <v>95</v>
      </c>
      <c r="F734" s="152">
        <v>1050627.3734699599</v>
      </c>
      <c r="G734" s="152">
        <v>1251402.51759273</v>
      </c>
      <c r="H734" s="152">
        <v>2302029.8910626899</v>
      </c>
      <c r="I734" t="s">
        <v>685</v>
      </c>
      <c r="J734" t="s">
        <v>127</v>
      </c>
      <c r="K734">
        <v>167171</v>
      </c>
      <c r="L734" t="s">
        <v>316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305</v>
      </c>
      <c r="B735" t="s">
        <v>581</v>
      </c>
      <c r="C735" s="152">
        <v>34</v>
      </c>
      <c r="D735" s="152">
        <v>60</v>
      </c>
      <c r="E735" s="152">
        <v>94</v>
      </c>
      <c r="F735" s="152">
        <v>858096.66306596005</v>
      </c>
      <c r="G735" s="152">
        <v>2363400.1368732802</v>
      </c>
      <c r="H735" s="152">
        <v>3221496.7999392399</v>
      </c>
      <c r="I735" t="s">
        <v>806</v>
      </c>
      <c r="J735" t="s">
        <v>129</v>
      </c>
      <c r="K735">
        <v>626291</v>
      </c>
      <c r="L735" t="s">
        <v>786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678</v>
      </c>
      <c r="B736" t="s">
        <v>890</v>
      </c>
      <c r="C736" s="152">
        <v>34</v>
      </c>
      <c r="D736" s="152">
        <v>57</v>
      </c>
      <c r="E736" s="152">
        <v>91</v>
      </c>
      <c r="F736" s="152">
        <v>945359.20869789005</v>
      </c>
      <c r="G736" s="152">
        <v>1267200.42706005</v>
      </c>
      <c r="H736" s="152">
        <v>2212559.6357579399</v>
      </c>
      <c r="I736" t="s">
        <v>685</v>
      </c>
      <c r="J736" t="s">
        <v>128</v>
      </c>
      <c r="K736">
        <v>507236</v>
      </c>
      <c r="L736" t="s">
        <v>891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218</v>
      </c>
      <c r="B737" t="s">
        <v>935</v>
      </c>
      <c r="C737" s="152">
        <v>29</v>
      </c>
      <c r="D737" s="152">
        <v>60</v>
      </c>
      <c r="E737" s="152">
        <v>89</v>
      </c>
      <c r="F737" s="152">
        <v>488582.36882952001</v>
      </c>
      <c r="G737" s="152">
        <v>1371015.18451674</v>
      </c>
      <c r="H737" s="152">
        <v>1859597.55334626</v>
      </c>
      <c r="I737" t="s">
        <v>806</v>
      </c>
      <c r="J737" t="s">
        <v>127</v>
      </c>
      <c r="K737">
        <v>257667</v>
      </c>
      <c r="L737" t="s">
        <v>870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678</v>
      </c>
      <c r="B738" t="s">
        <v>1096</v>
      </c>
      <c r="C738" s="152">
        <v>34</v>
      </c>
      <c r="D738" s="152">
        <v>53</v>
      </c>
      <c r="E738" s="152">
        <v>87</v>
      </c>
      <c r="F738" s="152">
        <v>1068536.01791625</v>
      </c>
      <c r="G738" s="152">
        <v>3091561.4008207498</v>
      </c>
      <c r="H738" s="152">
        <v>4160097.4187369999</v>
      </c>
      <c r="I738" t="s">
        <v>806</v>
      </c>
      <c r="J738" t="s">
        <v>128</v>
      </c>
      <c r="K738">
        <v>832717</v>
      </c>
      <c r="L738" t="s">
        <v>36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250</v>
      </c>
      <c r="B739" t="s">
        <v>765</v>
      </c>
      <c r="C739" s="152">
        <v>31</v>
      </c>
      <c r="D739" s="152">
        <v>49</v>
      </c>
      <c r="E739" s="152">
        <v>80</v>
      </c>
      <c r="F739" s="152">
        <v>490961.071118869</v>
      </c>
      <c r="G739" s="152">
        <v>1626232.80856414</v>
      </c>
      <c r="H739" s="152">
        <v>2117193.8796830098</v>
      </c>
      <c r="I739" t="s">
        <v>685</v>
      </c>
      <c r="J739" t="s">
        <v>127</v>
      </c>
      <c r="K739">
        <v>515262</v>
      </c>
      <c r="L739" t="s">
        <v>805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291</v>
      </c>
      <c r="B740" t="s">
        <v>481</v>
      </c>
      <c r="C740" s="152">
        <v>25</v>
      </c>
      <c r="D740" s="152">
        <v>54</v>
      </c>
      <c r="E740" s="152">
        <v>79</v>
      </c>
      <c r="F740" s="152">
        <v>713541.40178269998</v>
      </c>
      <c r="G740" s="152">
        <v>1551031.7022064</v>
      </c>
      <c r="H740" s="152">
        <v>2264573.1039891001</v>
      </c>
      <c r="I740" t="s">
        <v>806</v>
      </c>
      <c r="J740" t="s">
        <v>127</v>
      </c>
      <c r="K740">
        <v>456236</v>
      </c>
      <c r="L740" t="s">
        <v>870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152</v>
      </c>
      <c r="B741" t="s">
        <v>949</v>
      </c>
      <c r="C741" s="152">
        <v>31</v>
      </c>
      <c r="D741" s="152">
        <v>42</v>
      </c>
      <c r="E741" s="152">
        <v>73</v>
      </c>
      <c r="F741" s="152">
        <v>861713.53589900001</v>
      </c>
      <c r="G741" s="152">
        <v>1667695.7282286</v>
      </c>
      <c r="H741" s="152">
        <v>2529409.2641276</v>
      </c>
      <c r="I741" t="s">
        <v>806</v>
      </c>
      <c r="J741" t="s">
        <v>127</v>
      </c>
      <c r="K741">
        <v>191494</v>
      </c>
      <c r="L741" t="s">
        <v>36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218</v>
      </c>
      <c r="B742" t="s">
        <v>993</v>
      </c>
      <c r="C742" s="152">
        <v>22</v>
      </c>
      <c r="D742" s="152">
        <v>50</v>
      </c>
      <c r="E742" s="152">
        <v>72</v>
      </c>
      <c r="F742" s="152">
        <v>420389.24878768</v>
      </c>
      <c r="G742" s="152">
        <v>1338906.3514046001</v>
      </c>
      <c r="H742" s="152">
        <v>1759295.60019228</v>
      </c>
      <c r="I742" t="s">
        <v>685</v>
      </c>
      <c r="J742" t="s">
        <v>127</v>
      </c>
      <c r="K742">
        <v>717371</v>
      </c>
      <c r="L742" t="s">
        <v>628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291</v>
      </c>
      <c r="B743" t="s">
        <v>789</v>
      </c>
      <c r="C743" s="152">
        <v>32</v>
      </c>
      <c r="D743" s="152">
        <v>39</v>
      </c>
      <c r="E743" s="152">
        <v>71</v>
      </c>
      <c r="F743" s="152">
        <v>634138.57816515095</v>
      </c>
      <c r="G743" s="152">
        <v>1038003.74956402</v>
      </c>
      <c r="H743" s="152">
        <v>1672142.32772917</v>
      </c>
      <c r="I743" t="s">
        <v>685</v>
      </c>
      <c r="J743" t="s">
        <v>127</v>
      </c>
      <c r="K743">
        <v>558882</v>
      </c>
      <c r="L743" t="s">
        <v>132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678</v>
      </c>
      <c r="B744" t="s">
        <v>895</v>
      </c>
      <c r="C744" s="152">
        <v>22</v>
      </c>
      <c r="D744" s="152">
        <v>46</v>
      </c>
      <c r="E744" s="152">
        <v>68</v>
      </c>
      <c r="F744" s="152">
        <v>575641.19601194898</v>
      </c>
      <c r="G744" s="152">
        <v>1482576.70984922</v>
      </c>
      <c r="H744" s="152">
        <v>2058217.90586117</v>
      </c>
      <c r="I744" t="s">
        <v>685</v>
      </c>
      <c r="J744" t="s">
        <v>128</v>
      </c>
      <c r="K744">
        <v>323832</v>
      </c>
      <c r="L744" t="s">
        <v>132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48</v>
      </c>
      <c r="B745" t="s">
        <v>771</v>
      </c>
      <c r="C745" s="152">
        <v>34</v>
      </c>
      <c r="D745" s="152">
        <v>33</v>
      </c>
      <c r="E745" s="152">
        <v>67</v>
      </c>
      <c r="F745" s="152">
        <v>629300.25246324495</v>
      </c>
      <c r="G745" s="152">
        <v>814614.78153043299</v>
      </c>
      <c r="H745" s="152">
        <v>1443915.03399368</v>
      </c>
      <c r="I745" t="s">
        <v>685</v>
      </c>
      <c r="J745" t="s">
        <v>127</v>
      </c>
      <c r="K745">
        <v>865063</v>
      </c>
      <c r="L745" t="s">
        <v>805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678</v>
      </c>
      <c r="B746" t="s">
        <v>196</v>
      </c>
      <c r="C746" s="152">
        <v>28</v>
      </c>
      <c r="D746" s="152">
        <v>38</v>
      </c>
      <c r="E746" s="152">
        <v>66</v>
      </c>
      <c r="F746" s="152">
        <v>399457.63743372197</v>
      </c>
      <c r="G746" s="152">
        <v>848906.08520025597</v>
      </c>
      <c r="H746" s="152">
        <v>1248363.72263398</v>
      </c>
      <c r="I746" t="s">
        <v>685</v>
      </c>
      <c r="J746" t="s">
        <v>128</v>
      </c>
      <c r="K746">
        <v>352583</v>
      </c>
      <c r="L746" t="s">
        <v>451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152</v>
      </c>
      <c r="B747" t="s">
        <v>154</v>
      </c>
      <c r="C747" s="152">
        <v>36</v>
      </c>
      <c r="D747" s="152">
        <v>27</v>
      </c>
      <c r="E747" s="152">
        <v>63</v>
      </c>
      <c r="F747" s="152">
        <v>432117.74683065299</v>
      </c>
      <c r="G747" s="152">
        <v>352625.65737128502</v>
      </c>
      <c r="H747" s="152">
        <v>784743.404201939</v>
      </c>
      <c r="I747" t="s">
        <v>685</v>
      </c>
      <c r="J747" t="s">
        <v>127</v>
      </c>
      <c r="K747">
        <v>526897</v>
      </c>
      <c r="L747" t="s">
        <v>132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138</v>
      </c>
      <c r="B748" t="s">
        <v>256</v>
      </c>
      <c r="C748" s="152">
        <v>19</v>
      </c>
      <c r="D748" s="152">
        <v>44</v>
      </c>
      <c r="E748" s="152">
        <v>63</v>
      </c>
      <c r="F748" s="152">
        <v>350560.645340777</v>
      </c>
      <c r="G748" s="152">
        <v>1332395.6517135701</v>
      </c>
      <c r="H748" s="152">
        <v>1682956.2970543499</v>
      </c>
      <c r="I748" t="s">
        <v>685</v>
      </c>
      <c r="J748" t="s">
        <v>127</v>
      </c>
      <c r="K748">
        <v>255893</v>
      </c>
      <c r="L748" t="s">
        <v>821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152</v>
      </c>
      <c r="B749" t="s">
        <v>828</v>
      </c>
      <c r="C749" s="152">
        <v>31</v>
      </c>
      <c r="D749" s="152">
        <v>30</v>
      </c>
      <c r="E749" s="152">
        <v>61</v>
      </c>
      <c r="F749" s="152">
        <v>581432.07754060905</v>
      </c>
      <c r="G749" s="152">
        <v>587069.44012086699</v>
      </c>
      <c r="H749" s="152">
        <v>1168501.51766148</v>
      </c>
      <c r="I749" t="s">
        <v>685</v>
      </c>
      <c r="J749" t="s">
        <v>127</v>
      </c>
      <c r="K749">
        <v>224311</v>
      </c>
      <c r="L749" t="s">
        <v>821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152</v>
      </c>
      <c r="B750" t="s">
        <v>485</v>
      </c>
      <c r="C750" s="152">
        <v>22</v>
      </c>
      <c r="D750" s="152">
        <v>38</v>
      </c>
      <c r="E750" s="152">
        <v>60</v>
      </c>
      <c r="F750" s="152">
        <v>323926.11824469001</v>
      </c>
      <c r="G750" s="152">
        <v>897489.06962985196</v>
      </c>
      <c r="H750" s="152">
        <v>1221415.18787454</v>
      </c>
      <c r="I750" t="s">
        <v>685</v>
      </c>
      <c r="J750" t="s">
        <v>127</v>
      </c>
      <c r="K750">
        <v>299636</v>
      </c>
      <c r="L750" t="s">
        <v>376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168</v>
      </c>
      <c r="B751" t="s">
        <v>1068</v>
      </c>
      <c r="C751" s="152">
        <v>16</v>
      </c>
      <c r="D751" s="152">
        <v>42</v>
      </c>
      <c r="E751" s="152">
        <v>58</v>
      </c>
      <c r="F751" s="152">
        <v>307351.68985104002</v>
      </c>
      <c r="G751" s="152">
        <v>1290286.3044441</v>
      </c>
      <c r="H751" s="152">
        <v>1597637.99429514</v>
      </c>
      <c r="I751" t="s">
        <v>806</v>
      </c>
      <c r="J751" t="s">
        <v>127</v>
      </c>
      <c r="K751">
        <v>632315</v>
      </c>
      <c r="L751" t="s">
        <v>1025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382</v>
      </c>
      <c r="B752" t="s">
        <v>582</v>
      </c>
      <c r="C752" s="152">
        <v>17</v>
      </c>
      <c r="D752" s="152">
        <v>40</v>
      </c>
      <c r="E752" s="152">
        <v>57</v>
      </c>
      <c r="F752" s="152">
        <v>613282.04263900197</v>
      </c>
      <c r="G752" s="152">
        <v>1603692.6458914799</v>
      </c>
      <c r="H752" s="152">
        <v>2216974.68853048</v>
      </c>
      <c r="I752" t="s">
        <v>685</v>
      </c>
      <c r="J752" t="s">
        <v>127</v>
      </c>
      <c r="K752">
        <v>174433</v>
      </c>
      <c r="L752" t="s">
        <v>411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291</v>
      </c>
      <c r="B753" t="s">
        <v>24</v>
      </c>
      <c r="C753" s="152">
        <v>15</v>
      </c>
      <c r="D753" s="152">
        <v>41</v>
      </c>
      <c r="E753" s="152">
        <v>56</v>
      </c>
      <c r="F753" s="152">
        <v>270115.14420803299</v>
      </c>
      <c r="G753" s="152">
        <v>942536.06575934403</v>
      </c>
      <c r="H753" s="152">
        <v>1212651.2099673799</v>
      </c>
      <c r="I753" t="s">
        <v>685</v>
      </c>
      <c r="J753" t="s">
        <v>127</v>
      </c>
      <c r="K753">
        <v>755033</v>
      </c>
      <c r="L753" t="s">
        <v>451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678</v>
      </c>
      <c r="B754" t="s">
        <v>893</v>
      </c>
      <c r="C754" s="152">
        <v>15</v>
      </c>
      <c r="D754" s="152">
        <v>35</v>
      </c>
      <c r="E754" s="152">
        <v>50</v>
      </c>
      <c r="F754" s="152">
        <v>450176.76307453599</v>
      </c>
      <c r="G754" s="152">
        <v>817151.746848259</v>
      </c>
      <c r="H754" s="152">
        <v>1267328.5099227901</v>
      </c>
      <c r="I754" t="s">
        <v>685</v>
      </c>
      <c r="J754" t="s">
        <v>128</v>
      </c>
      <c r="K754">
        <v>140434</v>
      </c>
      <c r="L754" t="s">
        <v>132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152</v>
      </c>
      <c r="B755" t="s">
        <v>1022</v>
      </c>
      <c r="C755" s="152">
        <v>26</v>
      </c>
      <c r="D755" s="152">
        <v>24</v>
      </c>
      <c r="E755" s="152">
        <v>50</v>
      </c>
      <c r="F755" s="152">
        <v>790800.31344426004</v>
      </c>
      <c r="G755" s="152">
        <v>963873.87018504005</v>
      </c>
      <c r="H755" s="152">
        <v>1754674.1836293</v>
      </c>
      <c r="I755" t="s">
        <v>806</v>
      </c>
      <c r="J755" t="s">
        <v>127</v>
      </c>
      <c r="K755">
        <v>208439</v>
      </c>
      <c r="L755" t="s">
        <v>786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314</v>
      </c>
      <c r="B756" t="s">
        <v>330</v>
      </c>
      <c r="C756" s="152">
        <v>23</v>
      </c>
      <c r="D756" s="152">
        <v>25</v>
      </c>
      <c r="E756" s="152">
        <v>48</v>
      </c>
      <c r="F756" s="152">
        <v>368134.59528958501</v>
      </c>
      <c r="G756" s="152">
        <v>555716.40044002701</v>
      </c>
      <c r="H756" s="152">
        <v>923850.99572961195</v>
      </c>
      <c r="I756" t="s">
        <v>685</v>
      </c>
      <c r="J756" t="s">
        <v>129</v>
      </c>
      <c r="K756">
        <v>131342</v>
      </c>
      <c r="L756" t="s">
        <v>316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664</v>
      </c>
      <c r="B757" t="s">
        <v>960</v>
      </c>
      <c r="C757" s="152">
        <v>19</v>
      </c>
      <c r="D757" s="152">
        <v>26</v>
      </c>
      <c r="E757" s="152">
        <v>45</v>
      </c>
      <c r="F757" s="152">
        <v>312557.14831020997</v>
      </c>
      <c r="G757" s="152">
        <v>793940.03911860799</v>
      </c>
      <c r="H757" s="152">
        <v>1106497.1874288199</v>
      </c>
      <c r="I757" t="s">
        <v>685</v>
      </c>
      <c r="J757" t="s">
        <v>128</v>
      </c>
      <c r="K757">
        <v>838268</v>
      </c>
      <c r="L757" t="s">
        <v>372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678</v>
      </c>
      <c r="B758" t="s">
        <v>1104</v>
      </c>
      <c r="C758" s="152">
        <v>20</v>
      </c>
      <c r="D758" s="152">
        <v>23</v>
      </c>
      <c r="E758" s="152">
        <v>43</v>
      </c>
      <c r="F758" s="152">
        <v>445288.11358472798</v>
      </c>
      <c r="G758" s="152">
        <v>701753.11575298395</v>
      </c>
      <c r="H758" s="152">
        <v>1147041.22933771</v>
      </c>
      <c r="I758" t="s">
        <v>685</v>
      </c>
      <c r="J758" t="s">
        <v>128</v>
      </c>
      <c r="K758">
        <v>980284</v>
      </c>
      <c r="L758" t="s">
        <v>570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237</v>
      </c>
      <c r="B759" t="s">
        <v>203</v>
      </c>
      <c r="C759" s="152">
        <v>14</v>
      </c>
      <c r="D759" s="152">
        <v>26</v>
      </c>
      <c r="E759" s="152">
        <v>40</v>
      </c>
      <c r="F759" s="152">
        <v>152570.05919030699</v>
      </c>
      <c r="G759" s="152">
        <v>428750.22531290102</v>
      </c>
      <c r="H759" s="152">
        <v>581320.28450320801</v>
      </c>
      <c r="I759" t="s">
        <v>685</v>
      </c>
      <c r="J759" t="s">
        <v>127</v>
      </c>
      <c r="K759">
        <v>866897</v>
      </c>
      <c r="L759" t="s">
        <v>451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48</v>
      </c>
      <c r="B760" t="s">
        <v>199</v>
      </c>
      <c r="C760" s="152">
        <v>20</v>
      </c>
      <c r="D760" s="152">
        <v>16</v>
      </c>
      <c r="E760" s="152">
        <v>36</v>
      </c>
      <c r="F760" s="152">
        <v>234949.343648168</v>
      </c>
      <c r="G760" s="152">
        <v>215154.560636312</v>
      </c>
      <c r="H760" s="152">
        <v>450103.90428447898</v>
      </c>
      <c r="I760" t="s">
        <v>685</v>
      </c>
      <c r="J760" t="s">
        <v>127</v>
      </c>
      <c r="K760">
        <v>810465</v>
      </c>
      <c r="L760" t="s">
        <v>451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152</v>
      </c>
      <c r="B761" t="s">
        <v>230</v>
      </c>
      <c r="C761" s="152">
        <v>16</v>
      </c>
      <c r="D761" s="152">
        <v>20</v>
      </c>
      <c r="E761" s="152">
        <v>36</v>
      </c>
      <c r="F761" s="152">
        <v>627847.32661575498</v>
      </c>
      <c r="G761" s="152">
        <v>537076.559900878</v>
      </c>
      <c r="H761" s="152">
        <v>1164923.88651663</v>
      </c>
      <c r="I761" t="s">
        <v>685</v>
      </c>
      <c r="J761" t="s">
        <v>127</v>
      </c>
      <c r="K761">
        <v>405290</v>
      </c>
      <c r="L761" t="s">
        <v>838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168</v>
      </c>
      <c r="B762" t="s">
        <v>826</v>
      </c>
      <c r="C762" s="152">
        <v>12</v>
      </c>
      <c r="D762" s="152">
        <v>24</v>
      </c>
      <c r="E762" s="152">
        <v>36</v>
      </c>
      <c r="F762" s="152">
        <v>169657.319296703</v>
      </c>
      <c r="G762" s="152">
        <v>531532.321705785</v>
      </c>
      <c r="H762" s="152">
        <v>701189.64100248797</v>
      </c>
      <c r="I762" t="s">
        <v>685</v>
      </c>
      <c r="J762" t="s">
        <v>127</v>
      </c>
      <c r="K762">
        <v>295972</v>
      </c>
      <c r="L762" t="s">
        <v>821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92</v>
      </c>
      <c r="B763" t="s">
        <v>269</v>
      </c>
      <c r="C763" s="152">
        <v>16</v>
      </c>
      <c r="D763" s="152">
        <v>19</v>
      </c>
      <c r="E763" s="152">
        <v>35</v>
      </c>
      <c r="F763" s="152">
        <v>294972.396646076</v>
      </c>
      <c r="G763" s="152">
        <v>304870.54995042598</v>
      </c>
      <c r="H763" s="152">
        <v>599842.94659650198</v>
      </c>
      <c r="I763" t="s">
        <v>685</v>
      </c>
      <c r="J763" t="s">
        <v>127</v>
      </c>
      <c r="K763">
        <v>579722</v>
      </c>
      <c r="L763" t="s">
        <v>809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291</v>
      </c>
      <c r="B764" t="s">
        <v>90</v>
      </c>
      <c r="C764" s="152">
        <v>12</v>
      </c>
      <c r="D764" s="152">
        <v>22</v>
      </c>
      <c r="E764" s="152">
        <v>34</v>
      </c>
      <c r="F764" s="152">
        <v>225530.50520493501</v>
      </c>
      <c r="G764" s="152">
        <v>471223.50463762402</v>
      </c>
      <c r="H764" s="152">
        <v>696754.009842559</v>
      </c>
      <c r="I764" t="s">
        <v>685</v>
      </c>
      <c r="J764" t="s">
        <v>127</v>
      </c>
      <c r="K764">
        <v>785436</v>
      </c>
      <c r="L764" t="s">
        <v>89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314</v>
      </c>
      <c r="B765" t="s">
        <v>72</v>
      </c>
      <c r="C765" s="152">
        <v>17</v>
      </c>
      <c r="D765" s="152">
        <v>16</v>
      </c>
      <c r="E765" s="152">
        <v>33</v>
      </c>
      <c r="F765" s="152">
        <v>292759.23613168899</v>
      </c>
      <c r="G765" s="152">
        <v>370815.05932901002</v>
      </c>
      <c r="H765" s="152">
        <v>663574.29546069796</v>
      </c>
      <c r="I765" t="s">
        <v>685</v>
      </c>
      <c r="J765" t="s">
        <v>129</v>
      </c>
      <c r="K765">
        <v>271064</v>
      </c>
      <c r="L765" t="s">
        <v>376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237</v>
      </c>
      <c r="B766" t="s">
        <v>170</v>
      </c>
      <c r="C766" s="152">
        <v>12</v>
      </c>
      <c r="D766" s="152">
        <v>21</v>
      </c>
      <c r="E766" s="152">
        <v>33</v>
      </c>
      <c r="F766" s="152">
        <v>168144.949937028</v>
      </c>
      <c r="G766" s="152">
        <v>476303.29957244999</v>
      </c>
      <c r="H766" s="152">
        <v>644448.24950947799</v>
      </c>
      <c r="I766" t="s">
        <v>685</v>
      </c>
      <c r="J766" t="s">
        <v>127</v>
      </c>
      <c r="K766">
        <v>367631</v>
      </c>
      <c r="L766" t="s">
        <v>821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152</v>
      </c>
      <c r="B767" t="s">
        <v>788</v>
      </c>
      <c r="C767" s="152">
        <v>12</v>
      </c>
      <c r="D767" s="152">
        <v>19</v>
      </c>
      <c r="E767" s="152">
        <v>31</v>
      </c>
      <c r="F767" s="152">
        <v>233986.85501379499</v>
      </c>
      <c r="G767" s="152">
        <v>443108.53895421</v>
      </c>
      <c r="H767" s="152">
        <v>677095.39396800497</v>
      </c>
      <c r="I767" t="s">
        <v>685</v>
      </c>
      <c r="J767" t="s">
        <v>127</v>
      </c>
      <c r="K767">
        <v>523050</v>
      </c>
      <c r="L767" t="s">
        <v>132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108</v>
      </c>
      <c r="B768" t="s">
        <v>827</v>
      </c>
      <c r="C768" s="152">
        <v>11</v>
      </c>
      <c r="D768" s="152">
        <v>19</v>
      </c>
      <c r="E768" s="152">
        <v>30</v>
      </c>
      <c r="F768" s="152">
        <v>290521.04091082502</v>
      </c>
      <c r="G768" s="152">
        <v>385273.461757852</v>
      </c>
      <c r="H768" s="152">
        <v>675794.50266867795</v>
      </c>
      <c r="I768" t="s">
        <v>685</v>
      </c>
      <c r="J768" t="s">
        <v>127</v>
      </c>
      <c r="K768">
        <v>980995</v>
      </c>
      <c r="L768" t="s">
        <v>821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152</v>
      </c>
      <c r="B769" t="s">
        <v>216</v>
      </c>
      <c r="C769" s="152">
        <v>11</v>
      </c>
      <c r="D769" s="152">
        <v>17</v>
      </c>
      <c r="E769" s="152">
        <v>28</v>
      </c>
      <c r="F769" s="152">
        <v>265873.69826056302</v>
      </c>
      <c r="G769" s="152">
        <v>281847.54158363998</v>
      </c>
      <c r="H769" s="152">
        <v>547721.239844203</v>
      </c>
      <c r="I769" t="s">
        <v>685</v>
      </c>
      <c r="J769" t="s">
        <v>127</v>
      </c>
      <c r="K769">
        <v>690693</v>
      </c>
      <c r="L769" t="s">
        <v>451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314</v>
      </c>
      <c r="B770" t="s">
        <v>1107</v>
      </c>
      <c r="C770" s="152">
        <v>15</v>
      </c>
      <c r="D770" s="152">
        <v>13</v>
      </c>
      <c r="E770" s="152">
        <v>28</v>
      </c>
      <c r="F770" s="152">
        <v>932974.050318024</v>
      </c>
      <c r="G770" s="152">
        <v>1000033.94668893</v>
      </c>
      <c r="H770" s="152">
        <v>1933007.99700695</v>
      </c>
      <c r="I770" t="s">
        <v>806</v>
      </c>
      <c r="J770" t="s">
        <v>129</v>
      </c>
      <c r="K770">
        <v>447086</v>
      </c>
      <c r="L770" t="s">
        <v>1054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314</v>
      </c>
      <c r="B771" t="s">
        <v>654</v>
      </c>
      <c r="C771" s="152">
        <v>15</v>
      </c>
      <c r="D771" s="152">
        <v>12</v>
      </c>
      <c r="E771" s="152">
        <v>27</v>
      </c>
      <c r="F771" s="152">
        <v>226776.90093551</v>
      </c>
      <c r="G771" s="152">
        <v>181273.339868198</v>
      </c>
      <c r="H771" s="152">
        <v>408050.24080370797</v>
      </c>
      <c r="I771" t="s">
        <v>685</v>
      </c>
      <c r="J771" t="s">
        <v>129</v>
      </c>
      <c r="K771">
        <v>323899</v>
      </c>
      <c r="L771" t="s">
        <v>63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152</v>
      </c>
      <c r="B772" t="s">
        <v>1066</v>
      </c>
      <c r="C772" s="152">
        <v>9</v>
      </c>
      <c r="D772" s="152">
        <v>17</v>
      </c>
      <c r="E772" s="152">
        <v>26</v>
      </c>
      <c r="F772" s="152">
        <v>162707.32174162701</v>
      </c>
      <c r="G772" s="152">
        <v>353088.636922454</v>
      </c>
      <c r="H772" s="152">
        <v>515795.958664081</v>
      </c>
      <c r="I772" t="s">
        <v>685</v>
      </c>
      <c r="J772" t="s">
        <v>127</v>
      </c>
      <c r="K772">
        <v>594713</v>
      </c>
      <c r="L772" t="s">
        <v>132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152</v>
      </c>
      <c r="B773" t="s">
        <v>1109</v>
      </c>
      <c r="C773" s="152">
        <v>9</v>
      </c>
      <c r="D773" s="152">
        <v>16</v>
      </c>
      <c r="E773" s="152">
        <v>25</v>
      </c>
      <c r="F773" s="152">
        <v>690785.53016980598</v>
      </c>
      <c r="G773" s="152">
        <v>1111938.03403121</v>
      </c>
      <c r="H773" s="152">
        <v>1802723.5642010099</v>
      </c>
      <c r="I773" t="s">
        <v>806</v>
      </c>
      <c r="J773" t="s">
        <v>127</v>
      </c>
      <c r="K773">
        <v>482919</v>
      </c>
      <c r="L773" t="s">
        <v>1054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48</v>
      </c>
      <c r="B774" t="s">
        <v>241</v>
      </c>
      <c r="C774" s="152">
        <v>10</v>
      </c>
      <c r="D774" s="152">
        <v>13</v>
      </c>
      <c r="E774" s="152">
        <v>23</v>
      </c>
      <c r="F774" s="152">
        <v>226527.828184799</v>
      </c>
      <c r="G774" s="152">
        <v>495983.51490054402</v>
      </c>
      <c r="H774" s="152">
        <v>722511.34308534302</v>
      </c>
      <c r="I774" t="s">
        <v>685</v>
      </c>
      <c r="J774" t="s">
        <v>127</v>
      </c>
      <c r="K774">
        <v>371294</v>
      </c>
      <c r="L774" t="s">
        <v>376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168</v>
      </c>
      <c r="B775" t="s">
        <v>631</v>
      </c>
      <c r="C775" s="152">
        <v>7</v>
      </c>
      <c r="D775" s="152">
        <v>16</v>
      </c>
      <c r="E775" s="152">
        <v>23</v>
      </c>
      <c r="F775" s="152">
        <v>225638.50183510399</v>
      </c>
      <c r="G775" s="152">
        <v>291679.06603211898</v>
      </c>
      <c r="H775" s="152">
        <v>517317.56786722201</v>
      </c>
      <c r="I775" t="s">
        <v>685</v>
      </c>
      <c r="J775" t="s">
        <v>127</v>
      </c>
      <c r="K775">
        <v>681544</v>
      </c>
      <c r="L775" t="s">
        <v>628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250</v>
      </c>
      <c r="B776" t="s">
        <v>1105</v>
      </c>
      <c r="C776" s="152">
        <v>11</v>
      </c>
      <c r="D776" s="152">
        <v>11</v>
      </c>
      <c r="E776" s="152">
        <v>22</v>
      </c>
      <c r="F776" s="152">
        <v>157972.27231509399</v>
      </c>
      <c r="G776" s="152">
        <v>322746.81511588499</v>
      </c>
      <c r="H776" s="152">
        <v>480719.08743097901</v>
      </c>
      <c r="I776" t="s">
        <v>685</v>
      </c>
      <c r="J776" t="s">
        <v>127</v>
      </c>
      <c r="K776">
        <v>116111</v>
      </c>
      <c r="L776" t="s">
        <v>570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314</v>
      </c>
      <c r="B777" t="s">
        <v>71</v>
      </c>
      <c r="C777" s="152">
        <v>8</v>
      </c>
      <c r="D777" s="152">
        <v>13</v>
      </c>
      <c r="E777" s="152">
        <v>21</v>
      </c>
      <c r="F777" s="152">
        <v>159881.71856082001</v>
      </c>
      <c r="G777" s="152">
        <v>243099.335544751</v>
      </c>
      <c r="H777" s="152">
        <v>402981.05410557101</v>
      </c>
      <c r="I777" t="s">
        <v>685</v>
      </c>
      <c r="J777" t="s">
        <v>129</v>
      </c>
      <c r="K777">
        <v>235234</v>
      </c>
      <c r="L777" t="s">
        <v>376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48</v>
      </c>
      <c r="B778" t="s">
        <v>171</v>
      </c>
      <c r="C778" s="152">
        <v>9</v>
      </c>
      <c r="D778" s="152">
        <v>8</v>
      </c>
      <c r="E778" s="152">
        <v>17</v>
      </c>
      <c r="F778" s="152">
        <v>150978.144792582</v>
      </c>
      <c r="G778" s="152">
        <v>192867.53663612501</v>
      </c>
      <c r="H778" s="152">
        <v>343845.68142870802</v>
      </c>
      <c r="I778" t="s">
        <v>685</v>
      </c>
      <c r="J778" t="s">
        <v>127</v>
      </c>
      <c r="K778">
        <v>188482</v>
      </c>
      <c r="L778" t="s">
        <v>821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218</v>
      </c>
      <c r="B779" t="s">
        <v>503</v>
      </c>
      <c r="C779" s="152">
        <v>8</v>
      </c>
      <c r="D779" s="152">
        <v>8</v>
      </c>
      <c r="E779" s="152">
        <v>16</v>
      </c>
      <c r="F779" s="152">
        <v>119398.683047256</v>
      </c>
      <c r="G779" s="152">
        <v>204805.206446247</v>
      </c>
      <c r="H779" s="152">
        <v>324203.88949350198</v>
      </c>
      <c r="I779" t="s">
        <v>685</v>
      </c>
      <c r="J779" t="s">
        <v>127</v>
      </c>
      <c r="K779">
        <v>949941</v>
      </c>
      <c r="L779" t="s">
        <v>499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282</v>
      </c>
      <c r="B780" t="s">
        <v>1086</v>
      </c>
      <c r="C780" s="152">
        <v>10</v>
      </c>
      <c r="D780" s="152">
        <v>6</v>
      </c>
      <c r="E780" s="152">
        <v>16</v>
      </c>
      <c r="F780" s="152">
        <v>117593.10887431999</v>
      </c>
      <c r="G780" s="152">
        <v>123762.964491996</v>
      </c>
      <c r="H780" s="152">
        <v>241356.07336631601</v>
      </c>
      <c r="I780" t="s">
        <v>806</v>
      </c>
      <c r="J780" t="s">
        <v>127</v>
      </c>
      <c r="K780">
        <v>815712</v>
      </c>
      <c r="L780" t="s">
        <v>477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152</v>
      </c>
      <c r="B781" t="s">
        <v>70</v>
      </c>
      <c r="C781" s="152">
        <v>12</v>
      </c>
      <c r="D781" s="152">
        <v>3</v>
      </c>
      <c r="E781" s="152">
        <v>15</v>
      </c>
      <c r="F781" s="152">
        <v>147175.38627631799</v>
      </c>
      <c r="G781" s="152">
        <v>22455.172467817301</v>
      </c>
      <c r="H781" s="152">
        <v>169630.55874413601</v>
      </c>
      <c r="I781" t="s">
        <v>685</v>
      </c>
      <c r="J781" t="s">
        <v>127</v>
      </c>
      <c r="K781">
        <v>199406</v>
      </c>
      <c r="L781" t="s">
        <v>376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305</v>
      </c>
      <c r="B782" t="s">
        <v>332</v>
      </c>
      <c r="C782" s="152">
        <v>4</v>
      </c>
      <c r="D782" s="152">
        <v>10</v>
      </c>
      <c r="E782" s="152">
        <v>14</v>
      </c>
      <c r="F782" s="152">
        <v>57764.907981343997</v>
      </c>
      <c r="G782" s="152">
        <v>140540.85500363901</v>
      </c>
      <c r="H782" s="152">
        <v>198305.76298498301</v>
      </c>
      <c r="I782" t="s">
        <v>806</v>
      </c>
      <c r="J782" t="s">
        <v>129</v>
      </c>
      <c r="K782">
        <v>422238</v>
      </c>
      <c r="L782" t="s">
        <v>989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152</v>
      </c>
      <c r="B783" t="s">
        <v>77</v>
      </c>
      <c r="C783" s="152">
        <v>9</v>
      </c>
      <c r="D783" s="152">
        <v>4</v>
      </c>
      <c r="E783" s="152">
        <v>13</v>
      </c>
      <c r="F783" s="152">
        <v>237941.64075230301</v>
      </c>
      <c r="G783" s="152">
        <v>79538.326541636605</v>
      </c>
      <c r="H783" s="152">
        <v>317479.96729394002</v>
      </c>
      <c r="I783" t="s">
        <v>685</v>
      </c>
      <c r="J783" t="s">
        <v>127</v>
      </c>
      <c r="K783">
        <v>216408</v>
      </c>
      <c r="L783" t="s">
        <v>63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291</v>
      </c>
      <c r="B784" t="s">
        <v>407</v>
      </c>
      <c r="C784" s="152">
        <v>6</v>
      </c>
      <c r="D784" s="152">
        <v>6</v>
      </c>
      <c r="E784" s="152">
        <v>12</v>
      </c>
      <c r="F784" s="152">
        <v>83234.277752526599</v>
      </c>
      <c r="G784" s="152">
        <v>74948.421949303796</v>
      </c>
      <c r="H784" s="152">
        <v>158182.69970182999</v>
      </c>
      <c r="I784" t="s">
        <v>685</v>
      </c>
      <c r="J784" t="s">
        <v>127</v>
      </c>
      <c r="K784">
        <v>289835</v>
      </c>
      <c r="L784" t="s">
        <v>316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108</v>
      </c>
      <c r="B785" t="s">
        <v>1065</v>
      </c>
      <c r="C785" s="152">
        <v>3</v>
      </c>
      <c r="D785" s="152">
        <v>8</v>
      </c>
      <c r="E785" s="152">
        <v>11</v>
      </c>
      <c r="F785" s="152">
        <v>48495.983391449503</v>
      </c>
      <c r="G785" s="152">
        <v>347606.72415773902</v>
      </c>
      <c r="H785" s="152">
        <v>396102.707549188</v>
      </c>
      <c r="I785" t="s">
        <v>685</v>
      </c>
      <c r="J785" t="s">
        <v>127</v>
      </c>
      <c r="K785">
        <v>448910</v>
      </c>
      <c r="L785" t="s">
        <v>464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250</v>
      </c>
      <c r="B786" t="s">
        <v>403</v>
      </c>
      <c r="C786" s="152">
        <v>4</v>
      </c>
      <c r="D786" s="152">
        <v>7</v>
      </c>
      <c r="E786" s="152">
        <v>11</v>
      </c>
      <c r="F786" s="152">
        <v>142260.32341806401</v>
      </c>
      <c r="G786" s="152">
        <v>231171.901213834</v>
      </c>
      <c r="H786" s="152">
        <v>373432.22463189799</v>
      </c>
      <c r="I786" t="s">
        <v>685</v>
      </c>
      <c r="J786" t="s">
        <v>127</v>
      </c>
      <c r="K786">
        <v>809699</v>
      </c>
      <c r="L786" t="s">
        <v>132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314</v>
      </c>
      <c r="B787" t="s">
        <v>1108</v>
      </c>
      <c r="C787" s="152">
        <v>6</v>
      </c>
      <c r="D787" s="152">
        <v>5</v>
      </c>
      <c r="E787" s="152">
        <v>11</v>
      </c>
      <c r="F787" s="152">
        <v>483705.10134578601</v>
      </c>
      <c r="G787" s="152">
        <v>327358.73259787401</v>
      </c>
      <c r="H787" s="152">
        <v>811063.83394366002</v>
      </c>
      <c r="I787" t="s">
        <v>806</v>
      </c>
      <c r="J787" t="s">
        <v>129</v>
      </c>
      <c r="K787">
        <v>187898</v>
      </c>
      <c r="L787" t="s">
        <v>726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678</v>
      </c>
      <c r="B788" t="s">
        <v>1106</v>
      </c>
      <c r="C788" s="152">
        <v>3</v>
      </c>
      <c r="D788" s="152">
        <v>6</v>
      </c>
      <c r="E788" s="152">
        <v>9</v>
      </c>
      <c r="F788" s="152">
        <v>75641.784501300004</v>
      </c>
      <c r="G788" s="152">
        <v>218720.3249063</v>
      </c>
      <c r="H788" s="152">
        <v>294362.10940760002</v>
      </c>
      <c r="I788" t="s">
        <v>685</v>
      </c>
      <c r="J788" t="s">
        <v>128</v>
      </c>
      <c r="K788">
        <v>299511</v>
      </c>
      <c r="L788" t="s">
        <v>891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218</v>
      </c>
      <c r="B789" t="s">
        <v>1085</v>
      </c>
      <c r="C789" s="152">
        <v>1</v>
      </c>
      <c r="D789" s="152">
        <v>8</v>
      </c>
      <c r="E789" s="152">
        <v>9</v>
      </c>
      <c r="F789" s="152">
        <v>17940.122488830399</v>
      </c>
      <c r="G789" s="152">
        <v>101196.44413043</v>
      </c>
      <c r="H789" s="152">
        <v>119136.56661926</v>
      </c>
      <c r="I789" t="s">
        <v>685</v>
      </c>
      <c r="J789" t="s">
        <v>127</v>
      </c>
      <c r="K789">
        <v>490235</v>
      </c>
      <c r="L789" t="s">
        <v>501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152</v>
      </c>
      <c r="B790" t="s">
        <v>903</v>
      </c>
      <c r="C790" s="152">
        <v>5</v>
      </c>
      <c r="D790" s="152">
        <v>3</v>
      </c>
      <c r="E790" s="152">
        <v>8</v>
      </c>
      <c r="F790" s="152">
        <v>98012.542680472005</v>
      </c>
      <c r="G790" s="152">
        <v>62355.973928643398</v>
      </c>
      <c r="H790" s="152">
        <v>160368.516609115</v>
      </c>
      <c r="I790" t="s">
        <v>685</v>
      </c>
      <c r="J790" t="s">
        <v>127</v>
      </c>
      <c r="K790">
        <v>306837</v>
      </c>
      <c r="L790" t="s">
        <v>316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48</v>
      </c>
      <c r="B791" t="s">
        <v>232</v>
      </c>
      <c r="C791" s="152">
        <v>2</v>
      </c>
      <c r="D791" s="152">
        <v>6</v>
      </c>
      <c r="E791" s="152">
        <v>8</v>
      </c>
      <c r="F791" s="152">
        <v>79853.667058467094</v>
      </c>
      <c r="G791" s="152">
        <v>141450.588114062</v>
      </c>
      <c r="H791" s="152">
        <v>221304.255172529</v>
      </c>
      <c r="I791" t="s">
        <v>685</v>
      </c>
      <c r="J791" t="s">
        <v>127</v>
      </c>
      <c r="K791">
        <v>902668</v>
      </c>
      <c r="L791" t="s">
        <v>838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250</v>
      </c>
      <c r="B792" t="s">
        <v>498</v>
      </c>
      <c r="C792" s="152">
        <v>3</v>
      </c>
      <c r="D792" s="152">
        <v>3</v>
      </c>
      <c r="E792" s="152">
        <v>6</v>
      </c>
      <c r="F792" s="152">
        <v>64331.310637455797</v>
      </c>
      <c r="G792" s="152">
        <v>45575.0609343955</v>
      </c>
      <c r="H792" s="152">
        <v>109906.37157185101</v>
      </c>
      <c r="I792" t="s">
        <v>685</v>
      </c>
      <c r="J792" t="s">
        <v>127</v>
      </c>
      <c r="K792">
        <v>157438</v>
      </c>
      <c r="L792" t="s">
        <v>499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250</v>
      </c>
      <c r="B793" t="s">
        <v>1112</v>
      </c>
      <c r="C793" s="152">
        <v>1</v>
      </c>
      <c r="D793" s="152">
        <v>0</v>
      </c>
      <c r="E793" s="152">
        <v>1</v>
      </c>
      <c r="F793" s="152">
        <v>19971.5137690464</v>
      </c>
      <c r="G793" s="152">
        <v>0</v>
      </c>
      <c r="H793" s="152">
        <v>19971.5137690464</v>
      </c>
      <c r="I793" t="s">
        <v>685</v>
      </c>
      <c r="J793" t="s">
        <v>127</v>
      </c>
      <c r="K793">
        <v>849711</v>
      </c>
      <c r="L793" t="s">
        <v>499</v>
      </c>
      <c r="M793"/>
      <c r="N793"/>
      <c r="O793"/>
      <c r="P793"/>
      <c r="Q793" s="152"/>
    </row>
    <row r="794" spans="1:22" x14ac:dyDescent="0.2">
      <c r="A794" t="s">
        <v>152</v>
      </c>
      <c r="B794" t="s">
        <v>416</v>
      </c>
      <c r="C794" s="152">
        <v>1</v>
      </c>
      <c r="D794" s="152">
        <v>0</v>
      </c>
      <c r="E794" s="152">
        <v>1</v>
      </c>
      <c r="F794" s="152">
        <v>3420.2966551313002</v>
      </c>
      <c r="G794" s="152">
        <v>0</v>
      </c>
      <c r="H794" s="152">
        <v>3420.2966551313002</v>
      </c>
      <c r="I794" t="s">
        <v>685</v>
      </c>
      <c r="J794" t="s">
        <v>127</v>
      </c>
      <c r="K794">
        <v>306894</v>
      </c>
      <c r="L794" t="s">
        <v>376</v>
      </c>
      <c r="M794"/>
      <c r="N794"/>
      <c r="O794"/>
      <c r="P794"/>
      <c r="Q794" s="152"/>
    </row>
    <row r="795" spans="1:22" x14ac:dyDescent="0.2">
      <c r="A795"/>
      <c r="B795"/>
      <c r="C795" s="152"/>
      <c r="D795" s="152"/>
      <c r="E795" s="152"/>
      <c r="F795" s="152"/>
      <c r="G795" s="152"/>
      <c r="H795" s="152"/>
      <c r="I795"/>
      <c r="J795"/>
      <c r="K795"/>
      <c r="L795"/>
      <c r="M795"/>
      <c r="N795"/>
      <c r="O795"/>
      <c r="P795"/>
      <c r="Q795" s="152"/>
    </row>
    <row r="796" spans="1:22" x14ac:dyDescent="0.2">
      <c r="A796"/>
      <c r="B796"/>
      <c r="C796" s="152"/>
      <c r="D796" s="152"/>
      <c r="E796" s="152"/>
      <c r="F796" s="152"/>
      <c r="G796" s="152"/>
      <c r="H796" s="152"/>
      <c r="I796"/>
      <c r="J796"/>
      <c r="K796"/>
      <c r="L796"/>
      <c r="M796"/>
      <c r="N796"/>
      <c r="O796"/>
      <c r="P796"/>
      <c r="Q796" s="152"/>
    </row>
    <row r="797" spans="1:22" x14ac:dyDescent="0.2">
      <c r="A797"/>
      <c r="B797"/>
      <c r="C797" s="152"/>
      <c r="D797" s="152"/>
      <c r="E797" s="152"/>
      <c r="F797" s="152"/>
      <c r="G797" s="152"/>
      <c r="H797" s="152"/>
      <c r="I797"/>
      <c r="J797"/>
      <c r="K797"/>
      <c r="L797"/>
      <c r="M797"/>
      <c r="N797"/>
      <c r="O797"/>
      <c r="P797"/>
      <c r="Q797" s="152"/>
    </row>
    <row r="798" spans="1:22" x14ac:dyDescent="0.2">
      <c r="A798"/>
      <c r="B798"/>
      <c r="C798" s="152"/>
      <c r="D798" s="152"/>
      <c r="E798" s="152"/>
      <c r="F798" s="152"/>
      <c r="G798" s="152"/>
      <c r="H798" s="152"/>
      <c r="I798"/>
      <c r="J798"/>
      <c r="K798"/>
      <c r="L798"/>
      <c r="M798"/>
      <c r="N798"/>
      <c r="O798"/>
      <c r="P798"/>
      <c r="Q798" s="152"/>
    </row>
    <row r="799" spans="1:22" x14ac:dyDescent="0.2">
      <c r="A799"/>
      <c r="B799"/>
      <c r="C799" s="152"/>
      <c r="D799" s="152"/>
      <c r="E799" s="152"/>
      <c r="F799" s="152"/>
      <c r="G799" s="152"/>
      <c r="H799" s="152"/>
      <c r="I799"/>
      <c r="J799"/>
      <c r="K799"/>
      <c r="L799"/>
      <c r="M799"/>
      <c r="N799" s="20"/>
      <c r="O799"/>
      <c r="P799"/>
      <c r="Q799" s="152"/>
    </row>
    <row r="800" spans="1:22" x14ac:dyDescent="0.2">
      <c r="A800"/>
      <c r="B800"/>
      <c r="C800" s="152"/>
      <c r="D800" s="152"/>
      <c r="E800" s="152"/>
      <c r="F800" s="152"/>
      <c r="G800" s="152"/>
      <c r="H800" s="152"/>
      <c r="I800"/>
      <c r="J800"/>
      <c r="K800"/>
      <c r="L800"/>
      <c r="M800"/>
      <c r="N800" s="20"/>
      <c r="O800"/>
      <c r="P800"/>
      <c r="Q800" s="152"/>
    </row>
    <row r="801" spans="1:18" x14ac:dyDescent="0.2">
      <c r="A801" s="224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4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4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4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4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4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4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4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4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4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4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4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4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4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4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4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4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4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4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4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4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4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4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4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4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4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4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4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4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4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4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4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4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4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4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4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4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4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4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4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4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4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4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4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4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4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4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4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4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4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4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4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4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4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4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4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4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4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4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4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4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4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4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4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4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4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4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4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4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4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4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4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4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4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4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4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4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4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4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4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4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4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4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4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4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4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4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4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4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4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4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4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4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4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4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4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4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4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4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4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4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4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4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4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4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4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4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4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4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4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4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4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4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4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4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4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4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4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4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4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4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4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4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4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4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4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4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4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4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4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4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4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4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4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4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4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4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4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4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4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4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4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4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4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4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4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4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4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4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4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4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4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4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4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4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4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4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9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9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9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9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9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9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9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9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9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9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9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9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9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9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9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9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9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9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9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9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9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9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9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9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9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9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9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9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9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9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9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9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9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9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9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9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9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9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9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9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9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9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9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9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9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9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9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9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9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9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9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9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9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9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9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9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9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9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9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9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9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9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9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9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9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9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9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9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9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9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9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9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9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9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9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9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9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9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9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9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9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9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9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9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9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9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9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9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9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9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9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9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9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9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9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9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9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9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9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9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9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9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9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9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9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9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9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9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9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9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9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9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9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9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9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9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9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9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9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9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9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9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9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9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9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9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5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6" t="s">
        <v>1134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302</v>
      </c>
      <c r="I6" s="158"/>
    </row>
    <row r="7" spans="2:10" x14ac:dyDescent="0.2">
      <c r="B7" s="153"/>
      <c r="C7" s="292" t="s">
        <v>916</v>
      </c>
      <c r="D7" s="293"/>
      <c r="E7" s="293"/>
      <c r="F7" s="294" t="s">
        <v>691</v>
      </c>
      <c r="G7" s="295"/>
      <c r="H7" s="295"/>
      <c r="I7" s="218" t="s">
        <v>707</v>
      </c>
      <c r="J7" s="158"/>
    </row>
    <row r="8" spans="2:10" ht="15" customHeight="1" x14ac:dyDescent="0.2">
      <c r="B8" s="191" t="s">
        <v>688</v>
      </c>
      <c r="C8" s="28" t="s">
        <v>694</v>
      </c>
      <c r="D8" s="28" t="s">
        <v>695</v>
      </c>
      <c r="E8" s="28" t="s">
        <v>696</v>
      </c>
      <c r="F8" s="170" t="s">
        <v>694</v>
      </c>
      <c r="G8" s="170" t="s">
        <v>695</v>
      </c>
      <c r="H8" s="192" t="s">
        <v>696</v>
      </c>
      <c r="I8" s="219">
        <v>2012</v>
      </c>
    </row>
    <row r="9" spans="2:10" ht="12.75" customHeight="1" x14ac:dyDescent="0.2">
      <c r="B9" s="224" t="s">
        <v>123</v>
      </c>
      <c r="C9" s="152">
        <v>1396186</v>
      </c>
      <c r="D9" s="152">
        <v>1508567</v>
      </c>
      <c r="E9" s="152">
        <v>2904753</v>
      </c>
      <c r="F9" s="152">
        <v>49133602142.601974</v>
      </c>
      <c r="G9" s="152">
        <v>62702894886.490829</v>
      </c>
      <c r="H9" s="152">
        <v>111836497029.09261</v>
      </c>
      <c r="I9" s="152"/>
    </row>
    <row r="10" spans="2:10" ht="12.75" customHeight="1" x14ac:dyDescent="0.2">
      <c r="B10" s="224" t="s">
        <v>1083</v>
      </c>
      <c r="C10" s="152">
        <v>136603</v>
      </c>
      <c r="D10" s="152">
        <v>141661</v>
      </c>
      <c r="E10" s="152">
        <v>278264</v>
      </c>
      <c r="F10" s="152">
        <v>2385806280.7121201</v>
      </c>
      <c r="G10" s="152">
        <v>3180003641.5864</v>
      </c>
      <c r="H10" s="152">
        <v>5565809922.2985096</v>
      </c>
      <c r="I10" s="220">
        <f>VLOOKUP($B$9:$B$18,Fondstatistik!$A$19:$R$919,2,FALSE)</f>
        <v>5</v>
      </c>
    </row>
    <row r="11" spans="2:10" ht="12.75" customHeight="1" x14ac:dyDescent="0.2">
      <c r="B11" s="224" t="s">
        <v>877</v>
      </c>
      <c r="C11" s="152">
        <v>129159</v>
      </c>
      <c r="D11" s="152">
        <v>137342</v>
      </c>
      <c r="E11" s="152">
        <v>266501</v>
      </c>
      <c r="F11" s="152">
        <v>4273214553.8103199</v>
      </c>
      <c r="G11" s="152">
        <v>5731541366.3986301</v>
      </c>
      <c r="H11" s="152">
        <v>10004755920.209</v>
      </c>
      <c r="I11" s="220">
        <f>VLOOKUP($B$9:$B$18,Fondstatistik!$A$19:$R$919,2,FALSE)</f>
        <v>7</v>
      </c>
    </row>
    <row r="12" spans="2:10" ht="12.75" customHeight="1" x14ac:dyDescent="0.2">
      <c r="B12" s="224" t="s">
        <v>876</v>
      </c>
      <c r="C12" s="152">
        <v>117914</v>
      </c>
      <c r="D12" s="152">
        <v>121081</v>
      </c>
      <c r="E12" s="152">
        <v>238995</v>
      </c>
      <c r="F12" s="152">
        <v>3448373482.39604</v>
      </c>
      <c r="G12" s="152">
        <v>4534257962.9659004</v>
      </c>
      <c r="H12" s="152">
        <v>7982631445.3619404</v>
      </c>
      <c r="I12" s="220">
        <f>VLOOKUP($B$9:$B$18,Fondstatistik!$A$19:$R$919,2,FALSE)</f>
        <v>6</v>
      </c>
    </row>
    <row r="13" spans="2:10" ht="12.75" customHeight="1" x14ac:dyDescent="0.2">
      <c r="B13" s="224" t="s">
        <v>735</v>
      </c>
      <c r="C13" s="152">
        <v>111778</v>
      </c>
      <c r="D13" s="152">
        <v>118270</v>
      </c>
      <c r="E13" s="152">
        <v>230048</v>
      </c>
      <c r="F13" s="152">
        <v>4021261042.4611301</v>
      </c>
      <c r="G13" s="152">
        <v>5232489442.6878901</v>
      </c>
      <c r="H13" s="152">
        <v>9253750485.1490192</v>
      </c>
      <c r="I13" s="220">
        <f>VLOOKUP($B$9:$B$18,Fondstatistik!$A$19:$R$919,2,FALSE)</f>
        <v>7</v>
      </c>
    </row>
    <row r="14" spans="2:10" ht="12.75" customHeight="1" x14ac:dyDescent="0.2">
      <c r="B14" s="224" t="s">
        <v>184</v>
      </c>
      <c r="C14" s="152">
        <v>99480</v>
      </c>
      <c r="D14" s="152">
        <v>113539</v>
      </c>
      <c r="E14" s="152">
        <v>213019</v>
      </c>
      <c r="F14" s="152">
        <v>1785107548.1022</v>
      </c>
      <c r="G14" s="152">
        <v>2649005045.4254999</v>
      </c>
      <c r="H14" s="152">
        <v>4434112593.5276899</v>
      </c>
      <c r="I14" s="220">
        <f>VLOOKUP($B$9:$B$18,Fondstatistik!$A$19:$R$919,2,FALSE)</f>
        <v>3</v>
      </c>
    </row>
    <row r="15" spans="2:10" ht="12.75" customHeight="1" x14ac:dyDescent="0.2">
      <c r="B15" s="224" t="s">
        <v>568</v>
      </c>
      <c r="C15" s="152">
        <v>91402</v>
      </c>
      <c r="D15" s="152">
        <v>77093</v>
      </c>
      <c r="E15" s="152">
        <v>168495</v>
      </c>
      <c r="F15" s="152">
        <v>3216533349.1489401</v>
      </c>
      <c r="G15" s="152">
        <v>3312513738.0221601</v>
      </c>
      <c r="H15" s="152">
        <v>6529047087.1710901</v>
      </c>
      <c r="I15" s="220">
        <f>VLOOKUP($B$9:$B$18,Fondstatistik!$A$19:$R$919,2,FALSE)</f>
        <v>5</v>
      </c>
    </row>
    <row r="16" spans="2:10" ht="12.75" customHeight="1" x14ac:dyDescent="0.2">
      <c r="B16" s="224" t="s">
        <v>563</v>
      </c>
      <c r="C16" s="152">
        <v>68270</v>
      </c>
      <c r="D16" s="152">
        <v>71582</v>
      </c>
      <c r="E16" s="152">
        <v>139852</v>
      </c>
      <c r="F16" s="152">
        <v>4052261803.2300701</v>
      </c>
      <c r="G16" s="152">
        <v>5289794155.1560001</v>
      </c>
      <c r="H16" s="152">
        <v>9342055958.3860703</v>
      </c>
      <c r="I16" s="220">
        <f>VLOOKUP($B$9:$B$18,Fondstatistik!$A$19:$R$919,2,FALSE)</f>
        <v>5</v>
      </c>
    </row>
    <row r="17" spans="2:10" ht="12.75" customHeight="1" x14ac:dyDescent="0.2">
      <c r="B17" s="224" t="s">
        <v>159</v>
      </c>
      <c r="C17" s="152">
        <v>66161</v>
      </c>
      <c r="D17" s="152">
        <v>71619</v>
      </c>
      <c r="E17" s="152">
        <v>137780</v>
      </c>
      <c r="F17" s="152">
        <v>1489249989.58934</v>
      </c>
      <c r="G17" s="152">
        <v>1987384747.9874001</v>
      </c>
      <c r="H17" s="152">
        <v>3476634737.5767298</v>
      </c>
      <c r="I17" s="220">
        <f>VLOOKUP($B$9:$B$18,Fondstatistik!$A$19:$R$919,2,FALSE)</f>
        <v>3</v>
      </c>
    </row>
    <row r="18" spans="2:10" ht="12.75" customHeight="1" x14ac:dyDescent="0.2">
      <c r="B18" s="224" t="s">
        <v>587</v>
      </c>
      <c r="C18" s="152">
        <v>69610</v>
      </c>
      <c r="D18" s="152">
        <v>64601</v>
      </c>
      <c r="E18" s="152">
        <v>134211</v>
      </c>
      <c r="F18" s="152">
        <v>1101138228.97945</v>
      </c>
      <c r="G18" s="152">
        <v>1319759744.95929</v>
      </c>
      <c r="H18" s="152">
        <v>2420897973.9387398</v>
      </c>
      <c r="I18" s="220">
        <f>VLOOKUP($B$9:$B$18,Fondstatistik!$A$19:$R$919,2,FALSE)</f>
        <v>6</v>
      </c>
      <c r="J18" s="193"/>
    </row>
    <row r="19" spans="2:10" x14ac:dyDescent="0.2">
      <c r="B19" s="260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261" t="s">
        <v>303</v>
      </c>
      <c r="I20" s="220"/>
    </row>
    <row r="21" spans="2:10" x14ac:dyDescent="0.2">
      <c r="B21" s="260"/>
      <c r="C21" s="294" t="s">
        <v>916</v>
      </c>
      <c r="D21" s="295"/>
      <c r="E21" s="295"/>
      <c r="F21" s="292" t="s">
        <v>691</v>
      </c>
      <c r="G21" s="293"/>
      <c r="H21" s="293"/>
      <c r="I21" s="218" t="s">
        <v>707</v>
      </c>
    </row>
    <row r="22" spans="2:10" x14ac:dyDescent="0.2">
      <c r="B22" s="261" t="s">
        <v>688</v>
      </c>
      <c r="C22" s="28" t="s">
        <v>694</v>
      </c>
      <c r="D22" s="28" t="s">
        <v>695</v>
      </c>
      <c r="E22" s="28" t="s">
        <v>696</v>
      </c>
      <c r="F22" s="170" t="s">
        <v>694</v>
      </c>
      <c r="G22" s="170" t="s">
        <v>695</v>
      </c>
      <c r="H22" s="192" t="s">
        <v>696</v>
      </c>
      <c r="I22" s="219">
        <v>2012</v>
      </c>
    </row>
    <row r="23" spans="2:10" ht="12.75" customHeight="1" x14ac:dyDescent="0.2">
      <c r="B23" s="224" t="s">
        <v>123</v>
      </c>
      <c r="C23" s="152">
        <v>1396186</v>
      </c>
      <c r="D23" s="152">
        <v>1508567</v>
      </c>
      <c r="E23" s="152">
        <v>2904753</v>
      </c>
      <c r="F23" s="152">
        <v>49133602142.601974</v>
      </c>
      <c r="G23" s="152">
        <v>62702894886.490829</v>
      </c>
      <c r="H23" s="152">
        <v>111836497029.09261</v>
      </c>
      <c r="I23" s="220"/>
    </row>
    <row r="24" spans="2:10" ht="12.75" customHeight="1" x14ac:dyDescent="0.2">
      <c r="B24" s="224" t="s">
        <v>877</v>
      </c>
      <c r="C24" s="152">
        <v>129159</v>
      </c>
      <c r="D24" s="152">
        <v>137342</v>
      </c>
      <c r="E24" s="152">
        <v>266501</v>
      </c>
      <c r="F24" s="152">
        <v>4273214553.8103199</v>
      </c>
      <c r="G24" s="152">
        <v>5731541366.3986301</v>
      </c>
      <c r="H24" s="152">
        <v>10004755920.209</v>
      </c>
      <c r="I24" s="220">
        <f>VLOOKUP($B$23:$B$32,Fondstatistik!$A$19:$R$919,2,FALSE)</f>
        <v>7</v>
      </c>
    </row>
    <row r="25" spans="2:10" ht="12.75" customHeight="1" x14ac:dyDescent="0.2">
      <c r="B25" s="224" t="s">
        <v>567</v>
      </c>
      <c r="C25" s="152">
        <v>72068</v>
      </c>
      <c r="D25" s="152">
        <v>56524</v>
      </c>
      <c r="E25" s="152">
        <v>128592</v>
      </c>
      <c r="F25" s="152">
        <v>5044911728.7629004</v>
      </c>
      <c r="G25" s="152">
        <v>4694439454.8017302</v>
      </c>
      <c r="H25" s="152">
        <v>9739351183.5646305</v>
      </c>
      <c r="I25" s="220">
        <f>VLOOKUP($B$23:$B$32,Fondstatistik!$A$19:$R$919,2,FALSE)</f>
        <v>4</v>
      </c>
    </row>
    <row r="26" spans="2:10" ht="12.75" customHeight="1" x14ac:dyDescent="0.2">
      <c r="B26" s="224" t="s">
        <v>563</v>
      </c>
      <c r="C26" s="152">
        <v>68270</v>
      </c>
      <c r="D26" s="152">
        <v>71582</v>
      </c>
      <c r="E26" s="152">
        <v>139852</v>
      </c>
      <c r="F26" s="152">
        <v>4052261803.2300701</v>
      </c>
      <c r="G26" s="152">
        <v>5289794155.1560001</v>
      </c>
      <c r="H26" s="152">
        <v>9342055958.3860703</v>
      </c>
      <c r="I26" s="220">
        <f>VLOOKUP($B$23:$B$32,Fondstatistik!$A$19:$R$919,2,FALSE)</f>
        <v>5</v>
      </c>
    </row>
    <row r="27" spans="2:10" ht="12.75" customHeight="1" x14ac:dyDescent="0.2">
      <c r="B27" s="224" t="s">
        <v>735</v>
      </c>
      <c r="C27" s="152">
        <v>111778</v>
      </c>
      <c r="D27" s="152">
        <v>118270</v>
      </c>
      <c r="E27" s="152">
        <v>230048</v>
      </c>
      <c r="F27" s="152">
        <v>4021261042.4611301</v>
      </c>
      <c r="G27" s="152">
        <v>5232489442.6878901</v>
      </c>
      <c r="H27" s="152">
        <v>9253750485.1490192</v>
      </c>
      <c r="I27" s="220">
        <f>VLOOKUP($B$23:$B$32,Fondstatistik!$A$19:$R$919,2,FALSE)</f>
        <v>7</v>
      </c>
    </row>
    <row r="28" spans="2:10" ht="12.75" customHeight="1" x14ac:dyDescent="0.2">
      <c r="B28" s="224" t="s">
        <v>876</v>
      </c>
      <c r="C28" s="152">
        <v>117914</v>
      </c>
      <c r="D28" s="152">
        <v>121081</v>
      </c>
      <c r="E28" s="152">
        <v>238995</v>
      </c>
      <c r="F28" s="152">
        <v>3448373482.39604</v>
      </c>
      <c r="G28" s="152">
        <v>4534257962.9659004</v>
      </c>
      <c r="H28" s="152">
        <v>7982631445.3619404</v>
      </c>
      <c r="I28" s="220">
        <f>VLOOKUP($B$23:$B$32,Fondstatistik!$A$19:$R$919,2,FALSE)</f>
        <v>6</v>
      </c>
    </row>
    <row r="29" spans="2:10" ht="12.75" customHeight="1" x14ac:dyDescent="0.2">
      <c r="B29" s="224" t="s">
        <v>568</v>
      </c>
      <c r="C29" s="152">
        <v>91402</v>
      </c>
      <c r="D29" s="152">
        <v>77093</v>
      </c>
      <c r="E29" s="152">
        <v>168495</v>
      </c>
      <c r="F29" s="152">
        <v>3216533349.1489401</v>
      </c>
      <c r="G29" s="152">
        <v>3312513738.0221601</v>
      </c>
      <c r="H29" s="152">
        <v>6529047087.1710901</v>
      </c>
      <c r="I29" s="220">
        <f>VLOOKUP($B$23:$B$32,Fondstatistik!$A$19:$R$919,2,FALSE)</f>
        <v>5</v>
      </c>
    </row>
    <row r="30" spans="2:10" ht="12.75" customHeight="1" x14ac:dyDescent="0.2">
      <c r="B30" s="224" t="s">
        <v>1083</v>
      </c>
      <c r="C30" s="152">
        <v>136603</v>
      </c>
      <c r="D30" s="152">
        <v>141661</v>
      </c>
      <c r="E30" s="152">
        <v>278264</v>
      </c>
      <c r="F30" s="152">
        <v>2385806280.7121201</v>
      </c>
      <c r="G30" s="152">
        <v>3180003641.5864</v>
      </c>
      <c r="H30" s="152">
        <v>5565809922.2985096</v>
      </c>
      <c r="I30" s="220">
        <f>VLOOKUP($B$23:$B$32,Fondstatistik!$A$19:$R$919,2,FALSE)</f>
        <v>5</v>
      </c>
    </row>
    <row r="31" spans="2:10" ht="12.75" customHeight="1" x14ac:dyDescent="0.2">
      <c r="B31" s="224" t="s">
        <v>507</v>
      </c>
      <c r="C31" s="152">
        <v>51154</v>
      </c>
      <c r="D31" s="152">
        <v>45298</v>
      </c>
      <c r="E31" s="152">
        <v>96452</v>
      </c>
      <c r="F31" s="152">
        <v>2435992693.3034</v>
      </c>
      <c r="G31" s="152">
        <v>2663979744.1747599</v>
      </c>
      <c r="H31" s="152">
        <v>5099972437.4781599</v>
      </c>
      <c r="I31" s="220">
        <f>VLOOKUP($B$23:$B$32,Fondstatistik!$A$19:$R$919,2,FALSE)</f>
        <v>4</v>
      </c>
    </row>
    <row r="32" spans="2:10" ht="12.75" customHeight="1" x14ac:dyDescent="0.2">
      <c r="B32" s="224" t="s">
        <v>518</v>
      </c>
      <c r="C32" s="152">
        <v>61702</v>
      </c>
      <c r="D32" s="152">
        <v>49406</v>
      </c>
      <c r="E32" s="152">
        <v>111108</v>
      </c>
      <c r="F32" s="152">
        <v>2518849854.7193599</v>
      </c>
      <c r="G32" s="152">
        <v>2478351146.8382101</v>
      </c>
      <c r="H32" s="152">
        <v>4997201001.55758</v>
      </c>
      <c r="I32" s="220">
        <f>VLOOKUP($B$23:$B$32,Fondstatistik!$A$19:$R$919,2,FALSE)</f>
        <v>5</v>
      </c>
    </row>
    <row r="33" spans="2:14" x14ac:dyDescent="0.2">
      <c r="B33" s="259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42"/>
      <c r="J34" s="193"/>
    </row>
    <row r="35" spans="2:14" x14ac:dyDescent="0.2">
      <c r="B35" s="191" t="s">
        <v>304</v>
      </c>
    </row>
    <row r="36" spans="2:14" ht="12.75" customHeight="1" x14ac:dyDescent="0.2">
      <c r="B36" s="191" t="s">
        <v>688</v>
      </c>
      <c r="C36" s="32">
        <v>2012</v>
      </c>
      <c r="D36" s="32" t="s">
        <v>1062</v>
      </c>
      <c r="E36" s="172" t="s">
        <v>468</v>
      </c>
      <c r="F36" s="172" t="s">
        <v>469</v>
      </c>
      <c r="G36" s="172" t="s">
        <v>470</v>
      </c>
      <c r="H36" s="172" t="s">
        <v>471</v>
      </c>
      <c r="I36" s="172" t="s">
        <v>472</v>
      </c>
      <c r="J36" s="31" t="s">
        <v>844</v>
      </c>
      <c r="K36" s="33"/>
    </row>
    <row r="37" spans="2:14" ht="12.75" customHeight="1" x14ac:dyDescent="0.2">
      <c r="B37" s="224" t="s">
        <v>201</v>
      </c>
      <c r="C37" s="101">
        <v>9</v>
      </c>
      <c r="D37" s="101">
        <v>9</v>
      </c>
      <c r="E37" s="101">
        <v>10</v>
      </c>
      <c r="F37" s="101">
        <v>20</v>
      </c>
      <c r="G37" s="101">
        <v>25</v>
      </c>
      <c r="H37" s="101">
        <v>58</v>
      </c>
      <c r="I37" s="101">
        <v>9.6</v>
      </c>
      <c r="J37" s="159">
        <v>9.7799999999999994</v>
      </c>
    </row>
    <row r="38" spans="2:14" ht="12.75" customHeight="1" x14ac:dyDescent="0.2">
      <c r="B38" s="224" t="s">
        <v>283</v>
      </c>
      <c r="C38" s="101">
        <v>24</v>
      </c>
      <c r="D38" s="101">
        <v>13</v>
      </c>
      <c r="E38" s="101">
        <v>26</v>
      </c>
      <c r="F38" s="101">
        <v>21</v>
      </c>
      <c r="G38" s="101">
        <v>43</v>
      </c>
      <c r="H38" s="101">
        <v>57</v>
      </c>
      <c r="I38" s="101">
        <v>9.5</v>
      </c>
      <c r="J38" s="159">
        <v>9.6</v>
      </c>
    </row>
    <row r="39" spans="2:14" ht="12.75" customHeight="1" x14ac:dyDescent="0.2">
      <c r="B39" s="224" t="s">
        <v>1039</v>
      </c>
      <c r="C39" s="101">
        <v>8</v>
      </c>
      <c r="D39" s="101">
        <v>6</v>
      </c>
      <c r="E39" s="101">
        <v>8</v>
      </c>
      <c r="F39" s="101">
        <v>18</v>
      </c>
      <c r="G39" s="101">
        <v>38</v>
      </c>
      <c r="H39" s="101">
        <v>44</v>
      </c>
      <c r="I39" s="101">
        <v>7.5</v>
      </c>
      <c r="J39" s="159">
        <v>7.96</v>
      </c>
      <c r="K39" s="34"/>
    </row>
    <row r="40" spans="2:14" ht="12.75" customHeight="1" x14ac:dyDescent="0.2">
      <c r="B40" s="224" t="s">
        <v>866</v>
      </c>
      <c r="C40" s="101">
        <v>1</v>
      </c>
      <c r="D40" s="101">
        <v>3</v>
      </c>
      <c r="E40" s="101">
        <v>1</v>
      </c>
      <c r="F40" s="101">
        <v>11</v>
      </c>
      <c r="G40" s="101">
        <v>22</v>
      </c>
      <c r="H40" s="101">
        <v>42</v>
      </c>
      <c r="I40" s="101">
        <v>7.3</v>
      </c>
      <c r="J40" s="159">
        <v>7.82</v>
      </c>
      <c r="K40" s="35"/>
      <c r="L40" s="34"/>
    </row>
    <row r="41" spans="2:14" ht="12.75" customHeight="1" x14ac:dyDescent="0.2">
      <c r="B41" s="224" t="s">
        <v>15</v>
      </c>
      <c r="C41" s="101">
        <v>3</v>
      </c>
      <c r="D41" s="101">
        <v>8</v>
      </c>
      <c r="E41" s="101">
        <v>4</v>
      </c>
      <c r="F41" s="101">
        <v>13</v>
      </c>
      <c r="G41" s="101">
        <v>5</v>
      </c>
      <c r="H41" s="101">
        <v>41</v>
      </c>
      <c r="I41" s="101">
        <v>7.1</v>
      </c>
      <c r="J41" s="159">
        <v>7.78</v>
      </c>
      <c r="K41" s="158"/>
      <c r="L41" s="35"/>
      <c r="N41" s="35"/>
    </row>
    <row r="42" spans="2:14" ht="12.75" customHeight="1" x14ac:dyDescent="0.2">
      <c r="B42" s="224" t="s">
        <v>38</v>
      </c>
      <c r="C42" s="101">
        <v>2</v>
      </c>
      <c r="D42" s="101">
        <v>7</v>
      </c>
      <c r="E42" s="101">
        <v>4</v>
      </c>
      <c r="F42" s="101">
        <v>10</v>
      </c>
      <c r="G42" s="101">
        <v>3</v>
      </c>
      <c r="H42" s="101">
        <v>40</v>
      </c>
      <c r="I42" s="101">
        <v>6.9</v>
      </c>
      <c r="J42" s="159">
        <v>7.67</v>
      </c>
      <c r="K42" s="158"/>
      <c r="L42" s="165"/>
      <c r="M42" s="35"/>
      <c r="N42" s="35"/>
    </row>
    <row r="43" spans="2:14" ht="12.75" customHeight="1" x14ac:dyDescent="0.2">
      <c r="B43" s="224" t="s">
        <v>346</v>
      </c>
      <c r="C43" s="101">
        <v>5</v>
      </c>
      <c r="D43" s="101">
        <v>0</v>
      </c>
      <c r="E43" s="101">
        <v>5</v>
      </c>
      <c r="F43" s="101">
        <v>5</v>
      </c>
      <c r="G43" s="101">
        <v>24</v>
      </c>
      <c r="H43" s="101">
        <v>36</v>
      </c>
      <c r="I43" s="101">
        <v>6.4</v>
      </c>
      <c r="J43" s="159">
        <v>7.21</v>
      </c>
      <c r="K43" s="158"/>
      <c r="L43" s="165"/>
      <c r="M43" s="35"/>
      <c r="N43" s="35"/>
    </row>
    <row r="44" spans="2:14" ht="12.75" customHeight="1" x14ac:dyDescent="0.2">
      <c r="B44" s="224" t="s">
        <v>34</v>
      </c>
      <c r="C44" s="101">
        <v>7</v>
      </c>
      <c r="D44" s="101">
        <v>6</v>
      </c>
      <c r="E44" s="101">
        <v>7</v>
      </c>
      <c r="F44" s="101">
        <v>18</v>
      </c>
      <c r="G44" s="101">
        <v>23</v>
      </c>
      <c r="H44" s="101">
        <v>35</v>
      </c>
      <c r="I44" s="101">
        <v>6.2</v>
      </c>
      <c r="J44" s="159">
        <v>7.21</v>
      </c>
      <c r="K44" s="158"/>
      <c r="L44" s="165"/>
      <c r="M44" s="35"/>
      <c r="N44" s="35"/>
    </row>
    <row r="45" spans="2:14" ht="12.75" customHeight="1" x14ac:dyDescent="0.2">
      <c r="B45" s="224" t="s">
        <v>684</v>
      </c>
      <c r="C45" s="101">
        <v>4</v>
      </c>
      <c r="D45" s="101">
        <v>8</v>
      </c>
      <c r="E45" s="101">
        <v>5</v>
      </c>
      <c r="F45" s="101">
        <v>17</v>
      </c>
      <c r="G45" s="101">
        <v>6</v>
      </c>
      <c r="H45" s="101">
        <v>33</v>
      </c>
      <c r="I45" s="101">
        <v>5.9</v>
      </c>
      <c r="J45" s="159">
        <v>7.11</v>
      </c>
      <c r="K45" s="158"/>
      <c r="L45" s="165"/>
      <c r="M45" s="35"/>
      <c r="N45" s="35"/>
    </row>
    <row r="46" spans="2:14" x14ac:dyDescent="0.2">
      <c r="B46" s="224" t="s">
        <v>982</v>
      </c>
      <c r="C46" s="101">
        <v>0</v>
      </c>
      <c r="D46" s="101">
        <v>3</v>
      </c>
      <c r="E46" s="101">
        <v>1</v>
      </c>
      <c r="F46" s="101">
        <v>8</v>
      </c>
      <c r="G46" s="101">
        <v>17</v>
      </c>
      <c r="H46" s="101">
        <v>32</v>
      </c>
      <c r="I46" s="101">
        <v>5.8</v>
      </c>
      <c r="J46" s="159">
        <v>6.83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2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3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5"/>
      <c r="Q1" s="104"/>
      <c r="R1" s="104"/>
      <c r="S1" s="107"/>
      <c r="AZ1"/>
      <c r="BA1" s="83"/>
    </row>
    <row r="2" spans="1:53" s="108" customFormat="1" ht="18" x14ac:dyDescent="0.25">
      <c r="A2" s="244" t="s">
        <v>1134</v>
      </c>
      <c r="B2" s="109"/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5"/>
      <c r="Q2" s="104"/>
      <c r="R2" s="104"/>
      <c r="S2" s="107"/>
      <c r="AZ2"/>
      <c r="BA2" s="83"/>
    </row>
    <row r="3" spans="1:53" s="108" customFormat="1" x14ac:dyDescent="0.2">
      <c r="A3" s="243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5"/>
      <c r="Q3" s="104"/>
      <c r="R3" s="104"/>
      <c r="S3" s="107"/>
      <c r="AZ3"/>
      <c r="BA3" s="83"/>
    </row>
    <row r="4" spans="1:53" s="108" customFormat="1" x14ac:dyDescent="0.2">
      <c r="A4" s="245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5"/>
      <c r="Q4" s="104"/>
      <c r="R4" s="104"/>
      <c r="S4" s="107"/>
      <c r="AZ4"/>
      <c r="BA4" s="83"/>
    </row>
    <row r="5" spans="1:53" s="119" customFormat="1" x14ac:dyDescent="0.2">
      <c r="A5" s="245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4"/>
      <c r="AZ5"/>
      <c r="BA5" s="83"/>
    </row>
    <row r="6" spans="1:53" s="119" customFormat="1" x14ac:dyDescent="0.2">
      <c r="A6" s="245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4"/>
      <c r="AZ6"/>
      <c r="BA6" s="83"/>
    </row>
    <row r="7" spans="1:53" s="119" customFormat="1" x14ac:dyDescent="0.2">
      <c r="A7" s="245" t="s">
        <v>1077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4"/>
      <c r="AZ7"/>
      <c r="BA7" s="83"/>
    </row>
    <row r="8" spans="1:53" s="119" customFormat="1" x14ac:dyDescent="0.2">
      <c r="A8" s="245" t="s">
        <v>505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4"/>
      <c r="AZ8"/>
      <c r="BA8" s="83"/>
    </row>
    <row r="9" spans="1:53" s="119" customFormat="1" x14ac:dyDescent="0.2">
      <c r="A9" s="245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4"/>
      <c r="AZ9"/>
      <c r="BA9" s="83"/>
    </row>
    <row r="10" spans="1:53" s="119" customFormat="1" x14ac:dyDescent="0.2">
      <c r="A10" s="246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4"/>
      <c r="AZ10"/>
      <c r="BA10" s="83"/>
    </row>
    <row r="11" spans="1:53" s="119" customFormat="1" ht="12" customHeight="1" x14ac:dyDescent="0.2">
      <c r="A11" s="245"/>
      <c r="B11" s="111"/>
      <c r="C11" s="257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4"/>
      <c r="AZ11"/>
      <c r="BA11" s="210"/>
    </row>
    <row r="12" spans="1:53" s="119" customFormat="1" hidden="1" x14ac:dyDescent="0.2">
      <c r="A12" s="247" t="s">
        <v>504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4"/>
    </row>
    <row r="13" spans="1:53" s="119" customFormat="1" hidden="1" x14ac:dyDescent="0.2">
      <c r="A13" s="247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4"/>
    </row>
    <row r="14" spans="1:53" s="119" customFormat="1" hidden="1" x14ac:dyDescent="0.2">
      <c r="A14" s="247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4"/>
    </row>
    <row r="15" spans="1:53" s="119" customFormat="1" hidden="1" x14ac:dyDescent="0.2">
      <c r="A15" s="247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4"/>
    </row>
    <row r="16" spans="1:53" s="108" customFormat="1" ht="12.75" customHeight="1" x14ac:dyDescent="0.2">
      <c r="A16" s="248"/>
      <c r="B16" s="128"/>
      <c r="C16" s="128"/>
      <c r="D16" s="128"/>
      <c r="E16" s="128"/>
      <c r="F16" s="128"/>
      <c r="G16" s="128"/>
      <c r="H16" s="128"/>
      <c r="I16" s="214"/>
      <c r="J16" s="214"/>
      <c r="K16" s="129"/>
      <c r="L16" s="130"/>
      <c r="M16" s="131"/>
      <c r="O16" s="131"/>
      <c r="P16" s="206"/>
      <c r="Q16" s="128"/>
      <c r="R16" s="128"/>
    </row>
    <row r="17" spans="1:22" s="108" customFormat="1" ht="12.75" customHeight="1" x14ac:dyDescent="0.2">
      <c r="A17" s="249"/>
      <c r="B17" s="296" t="s">
        <v>698</v>
      </c>
      <c r="C17" s="297"/>
      <c r="D17" s="297"/>
      <c r="E17" s="297"/>
      <c r="F17" s="297"/>
      <c r="G17" s="297"/>
      <c r="H17" s="298"/>
      <c r="I17" s="296" t="s">
        <v>722</v>
      </c>
      <c r="J17" s="297"/>
      <c r="K17" s="216"/>
      <c r="L17" s="213" t="s">
        <v>699</v>
      </c>
      <c r="M17" s="132" t="s">
        <v>702</v>
      </c>
      <c r="N17" s="132"/>
      <c r="O17" s="132" t="s">
        <v>720</v>
      </c>
      <c r="P17" s="207"/>
      <c r="Q17" s="133"/>
      <c r="R17" s="133"/>
      <c r="S17" s="133"/>
    </row>
    <row r="18" spans="1:22" x14ac:dyDescent="0.2">
      <c r="A18" s="250" t="s">
        <v>688</v>
      </c>
      <c r="B18" s="194" t="s">
        <v>467</v>
      </c>
      <c r="C18" s="134" t="s">
        <v>468</v>
      </c>
      <c r="D18" s="134" t="s">
        <v>469</v>
      </c>
      <c r="E18" s="134" t="s">
        <v>470</v>
      </c>
      <c r="F18" s="134" t="s">
        <v>471</v>
      </c>
      <c r="G18" s="134" t="s">
        <v>472</v>
      </c>
      <c r="H18" s="136" t="s">
        <v>844</v>
      </c>
      <c r="I18" s="134" t="s">
        <v>495</v>
      </c>
      <c r="J18" s="134" t="s">
        <v>496</v>
      </c>
      <c r="K18" s="217" t="s">
        <v>690</v>
      </c>
      <c r="L18" s="215" t="s">
        <v>700</v>
      </c>
      <c r="M18" s="134" t="s">
        <v>701</v>
      </c>
      <c r="N18" s="134" t="s">
        <v>998</v>
      </c>
      <c r="O18" s="134" t="s">
        <v>685</v>
      </c>
      <c r="P18" s="135" t="s">
        <v>703</v>
      </c>
      <c r="Q18" s="135" t="s">
        <v>692</v>
      </c>
      <c r="R18" s="136" t="s">
        <v>689</v>
      </c>
      <c r="S18" s="136" t="s">
        <v>173</v>
      </c>
    </row>
    <row r="19" spans="1:22" x14ac:dyDescent="0.2">
      <c r="A19" t="s">
        <v>808</v>
      </c>
      <c r="B19" s="101">
        <v>2</v>
      </c>
      <c r="C19" s="101">
        <v>-1</v>
      </c>
      <c r="D19" s="101">
        <v>3</v>
      </c>
      <c r="E19" s="101">
        <v>-8</v>
      </c>
      <c r="F19" s="101">
        <v>27</v>
      </c>
      <c r="G19" s="101">
        <v>-21</v>
      </c>
      <c r="H19" s="101">
        <v>-4.5999999999999996</v>
      </c>
      <c r="I19" s="102">
        <v>0</v>
      </c>
      <c r="J19" s="102">
        <v>0</v>
      </c>
      <c r="K19" s="101">
        <v>16</v>
      </c>
      <c r="L19" s="101">
        <v>0.5</v>
      </c>
      <c r="M19" s="101" t="s">
        <v>1088</v>
      </c>
      <c r="N19" s="101">
        <v>2006</v>
      </c>
      <c r="O19" s="101" t="s">
        <v>806</v>
      </c>
      <c r="P19" s="101">
        <v>734491</v>
      </c>
      <c r="Q19" t="s">
        <v>231</v>
      </c>
      <c r="R19" t="s">
        <v>779</v>
      </c>
      <c r="S19"/>
      <c r="T19" s="221"/>
      <c r="U19" s="221"/>
      <c r="V19" s="221"/>
    </row>
    <row r="20" spans="1:22" x14ac:dyDescent="0.2">
      <c r="A20" t="s">
        <v>783</v>
      </c>
      <c r="B20" s="101">
        <v>1</v>
      </c>
      <c r="C20" s="101">
        <v>1</v>
      </c>
      <c r="D20" s="101">
        <v>1</v>
      </c>
      <c r="E20" s="101">
        <v>3</v>
      </c>
      <c r="F20" s="101"/>
      <c r="G20" s="101"/>
      <c r="H20" s="101"/>
      <c r="I20" s="102">
        <v>0.09</v>
      </c>
      <c r="J20" s="102">
        <v>0.09</v>
      </c>
      <c r="K20" s="101"/>
      <c r="L20" s="101"/>
      <c r="M20" s="101" t="s">
        <v>1088</v>
      </c>
      <c r="N20" s="101">
        <v>2010</v>
      </c>
      <c r="O20" s="101" t="s">
        <v>806</v>
      </c>
      <c r="P20" s="101">
        <v>545541</v>
      </c>
      <c r="Q20" t="s">
        <v>845</v>
      </c>
      <c r="R20" t="s">
        <v>594</v>
      </c>
      <c r="S20"/>
      <c r="T20"/>
      <c r="U20"/>
      <c r="V20" s="222"/>
    </row>
    <row r="21" spans="1:22" x14ac:dyDescent="0.2">
      <c r="A21" t="s">
        <v>638</v>
      </c>
      <c r="B21" s="101">
        <v>-1</v>
      </c>
      <c r="C21" s="101">
        <v>-2</v>
      </c>
      <c r="D21" s="101">
        <v>-1</v>
      </c>
      <c r="E21" s="101">
        <v>0</v>
      </c>
      <c r="F21" s="101">
        <v>1</v>
      </c>
      <c r="G21" s="101"/>
      <c r="H21" s="101"/>
      <c r="I21" s="102">
        <v>0.1</v>
      </c>
      <c r="J21" s="102">
        <v>0.1119</v>
      </c>
      <c r="K21" s="101">
        <v>2</v>
      </c>
      <c r="L21" s="101">
        <v>-0.5</v>
      </c>
      <c r="M21" s="101" t="s">
        <v>1088</v>
      </c>
      <c r="N21" s="101">
        <v>2008</v>
      </c>
      <c r="O21" s="101" t="s">
        <v>806</v>
      </c>
      <c r="P21" s="101">
        <v>972497</v>
      </c>
      <c r="Q21" t="s">
        <v>671</v>
      </c>
      <c r="R21" t="s">
        <v>536</v>
      </c>
      <c r="S21"/>
      <c r="T21"/>
      <c r="U21"/>
      <c r="V21" s="222"/>
    </row>
    <row r="22" spans="1:22" x14ac:dyDescent="0.2">
      <c r="A22" t="s">
        <v>539</v>
      </c>
      <c r="B22" s="101">
        <v>1</v>
      </c>
      <c r="C22" s="101">
        <v>0</v>
      </c>
      <c r="D22" s="101">
        <v>1</v>
      </c>
      <c r="E22" s="101">
        <v>1</v>
      </c>
      <c r="F22" s="101">
        <v>3</v>
      </c>
      <c r="G22" s="101">
        <v>9</v>
      </c>
      <c r="H22" s="101">
        <v>1.7</v>
      </c>
      <c r="I22" s="102">
        <v>0.1</v>
      </c>
      <c r="J22" s="102">
        <v>0.11650000000000001</v>
      </c>
      <c r="K22" s="101">
        <v>0.2</v>
      </c>
      <c r="L22" s="101">
        <v>-2.4</v>
      </c>
      <c r="M22" s="101" t="s">
        <v>1088</v>
      </c>
      <c r="N22" s="101">
        <v>2001</v>
      </c>
      <c r="O22" s="101" t="s">
        <v>806</v>
      </c>
      <c r="P22" s="101">
        <v>294918</v>
      </c>
      <c r="Q22" t="s">
        <v>736</v>
      </c>
      <c r="R22" t="s">
        <v>536</v>
      </c>
      <c r="S22"/>
      <c r="T22"/>
      <c r="U22"/>
      <c r="V22" s="222"/>
    </row>
    <row r="23" spans="1:22" x14ac:dyDescent="0.2">
      <c r="A23" t="s">
        <v>595</v>
      </c>
      <c r="B23" s="101">
        <v>1</v>
      </c>
      <c r="C23" s="101">
        <v>2</v>
      </c>
      <c r="D23" s="101">
        <v>1</v>
      </c>
      <c r="E23" s="101">
        <v>7</v>
      </c>
      <c r="F23" s="101">
        <v>5</v>
      </c>
      <c r="G23" s="101">
        <v>15</v>
      </c>
      <c r="H23" s="101">
        <v>2.8</v>
      </c>
      <c r="I23" s="102">
        <v>0.11</v>
      </c>
      <c r="J23" s="102">
        <v>0.13800000000000001</v>
      </c>
      <c r="K23" s="101">
        <v>4.3</v>
      </c>
      <c r="L23" s="101">
        <v>0.1</v>
      </c>
      <c r="M23" s="101" t="s">
        <v>1088</v>
      </c>
      <c r="N23" s="101">
        <v>2001</v>
      </c>
      <c r="O23" s="101" t="s">
        <v>806</v>
      </c>
      <c r="P23" s="101">
        <v>330746</v>
      </c>
      <c r="Q23" t="s">
        <v>736</v>
      </c>
      <c r="R23" t="s">
        <v>594</v>
      </c>
      <c r="S23"/>
      <c r="T23"/>
      <c r="U23"/>
      <c r="V23" s="222"/>
    </row>
    <row r="24" spans="1:22" x14ac:dyDescent="0.2">
      <c r="A24" t="s">
        <v>866</v>
      </c>
      <c r="B24" s="101">
        <v>1</v>
      </c>
      <c r="C24" s="101">
        <v>3</v>
      </c>
      <c r="D24" s="101">
        <v>1</v>
      </c>
      <c r="E24" s="101">
        <v>11</v>
      </c>
      <c r="F24" s="101">
        <v>22</v>
      </c>
      <c r="G24" s="101">
        <v>42</v>
      </c>
      <c r="H24" s="101">
        <v>7.3</v>
      </c>
      <c r="I24" s="102">
        <v>0.11</v>
      </c>
      <c r="J24" s="102">
        <v>0.15</v>
      </c>
      <c r="K24" s="101">
        <v>4.5</v>
      </c>
      <c r="L24" s="101">
        <v>1.2</v>
      </c>
      <c r="M24" s="101" t="s">
        <v>1088</v>
      </c>
      <c r="N24" s="101">
        <v>2000</v>
      </c>
      <c r="O24" s="101" t="s">
        <v>806</v>
      </c>
      <c r="P24" s="101">
        <v>574293</v>
      </c>
      <c r="Q24" t="s">
        <v>865</v>
      </c>
      <c r="R24" t="s">
        <v>594</v>
      </c>
      <c r="S24"/>
      <c r="T24"/>
      <c r="U24"/>
      <c r="V24" s="222"/>
    </row>
    <row r="25" spans="1:22" x14ac:dyDescent="0.2">
      <c r="A25" t="s">
        <v>864</v>
      </c>
      <c r="B25" s="101">
        <v>2</v>
      </c>
      <c r="C25" s="101">
        <v>1</v>
      </c>
      <c r="D25" s="101">
        <v>2</v>
      </c>
      <c r="E25" s="101">
        <v>3</v>
      </c>
      <c r="F25" s="101">
        <v>7</v>
      </c>
      <c r="G25" s="101">
        <v>15</v>
      </c>
      <c r="H25" s="101">
        <v>2.9</v>
      </c>
      <c r="I25" s="102">
        <v>0.11</v>
      </c>
      <c r="J25" s="102">
        <v>0.15</v>
      </c>
      <c r="K25" s="101">
        <v>0.4</v>
      </c>
      <c r="L25" s="101">
        <v>2.7</v>
      </c>
      <c r="M25" s="101" t="s">
        <v>1088</v>
      </c>
      <c r="N25" s="101">
        <v>2004</v>
      </c>
      <c r="O25" s="101" t="s">
        <v>806</v>
      </c>
      <c r="P25" s="101">
        <v>305185</v>
      </c>
      <c r="Q25" t="s">
        <v>865</v>
      </c>
      <c r="R25" t="s">
        <v>536</v>
      </c>
      <c r="S25"/>
      <c r="T25"/>
      <c r="U25"/>
      <c r="V25" s="222"/>
    </row>
    <row r="26" spans="1:22" x14ac:dyDescent="0.2">
      <c r="A26" t="s">
        <v>784</v>
      </c>
      <c r="B26" s="101">
        <v>9</v>
      </c>
      <c r="C26" s="101">
        <v>-5</v>
      </c>
      <c r="D26" s="101">
        <v>10</v>
      </c>
      <c r="E26" s="101">
        <v>-3</v>
      </c>
      <c r="F26" s="101"/>
      <c r="G26" s="101"/>
      <c r="H26" s="101"/>
      <c r="I26" s="102">
        <v>0.15</v>
      </c>
      <c r="J26" s="102">
        <v>0.15</v>
      </c>
      <c r="K26" s="101"/>
      <c r="L26" s="101"/>
      <c r="M26" s="101" t="s">
        <v>1088</v>
      </c>
      <c r="N26" s="101">
        <v>2010</v>
      </c>
      <c r="O26" s="101" t="s">
        <v>806</v>
      </c>
      <c r="P26" s="101">
        <v>581371</v>
      </c>
      <c r="Q26" t="s">
        <v>845</v>
      </c>
      <c r="R26" t="s">
        <v>152</v>
      </c>
      <c r="S26"/>
      <c r="T26"/>
      <c r="U26"/>
      <c r="V26" s="222"/>
    </row>
    <row r="27" spans="1:22" x14ac:dyDescent="0.2">
      <c r="A27" t="s">
        <v>1001</v>
      </c>
      <c r="B27" s="101">
        <v>7</v>
      </c>
      <c r="C27" s="101">
        <v>-1</v>
      </c>
      <c r="D27" s="101">
        <v>8</v>
      </c>
      <c r="E27" s="101"/>
      <c r="F27" s="101"/>
      <c r="G27" s="101"/>
      <c r="H27" s="101"/>
      <c r="I27" s="102">
        <v>0.15</v>
      </c>
      <c r="J27" s="102">
        <v>0.15</v>
      </c>
      <c r="K27" s="101"/>
      <c r="L27" s="101"/>
      <c r="M27" s="101" t="s">
        <v>1088</v>
      </c>
      <c r="N27" s="101">
        <v>2011</v>
      </c>
      <c r="O27" s="101" t="s">
        <v>806</v>
      </c>
      <c r="P27" s="101">
        <v>889204</v>
      </c>
      <c r="Q27" t="s">
        <v>989</v>
      </c>
      <c r="R27" t="s">
        <v>314</v>
      </c>
      <c r="S27"/>
      <c r="T27"/>
      <c r="U27"/>
      <c r="V27" s="222"/>
    </row>
    <row r="28" spans="1:22" x14ac:dyDescent="0.2">
      <c r="A28" t="s">
        <v>1000</v>
      </c>
      <c r="B28" s="101">
        <v>6</v>
      </c>
      <c r="C28" s="101">
        <v>-1</v>
      </c>
      <c r="D28" s="101">
        <v>6</v>
      </c>
      <c r="E28" s="101"/>
      <c r="F28" s="101"/>
      <c r="G28" s="101"/>
      <c r="H28" s="101"/>
      <c r="I28" s="102">
        <v>0.15</v>
      </c>
      <c r="J28" s="102">
        <v>0.15</v>
      </c>
      <c r="K28" s="101"/>
      <c r="L28" s="101"/>
      <c r="M28" s="101" t="s">
        <v>1088</v>
      </c>
      <c r="N28" s="101">
        <v>2011</v>
      </c>
      <c r="O28" s="101" t="s">
        <v>806</v>
      </c>
      <c r="P28" s="101">
        <v>817544</v>
      </c>
      <c r="Q28" t="s">
        <v>989</v>
      </c>
      <c r="R28" t="s">
        <v>314</v>
      </c>
      <c r="S28"/>
      <c r="T28"/>
      <c r="U28"/>
      <c r="V28" s="222"/>
    </row>
    <row r="29" spans="1:22" x14ac:dyDescent="0.2">
      <c r="A29" t="s">
        <v>867</v>
      </c>
      <c r="B29" s="101">
        <v>1</v>
      </c>
      <c r="C29" s="101">
        <v>1</v>
      </c>
      <c r="D29" s="101">
        <v>1</v>
      </c>
      <c r="E29" s="101">
        <v>6</v>
      </c>
      <c r="F29" s="101">
        <v>8</v>
      </c>
      <c r="G29" s="101"/>
      <c r="H29" s="101"/>
      <c r="I29" s="102">
        <v>0.12</v>
      </c>
      <c r="J29" s="102">
        <v>0.1678</v>
      </c>
      <c r="K29" s="101">
        <v>3.2</v>
      </c>
      <c r="L29" s="101">
        <v>0.4</v>
      </c>
      <c r="M29" s="101" t="s">
        <v>1088</v>
      </c>
      <c r="N29" s="101">
        <v>2009</v>
      </c>
      <c r="O29" s="101" t="s">
        <v>806</v>
      </c>
      <c r="P29" s="101">
        <v>617209</v>
      </c>
      <c r="Q29" t="s">
        <v>736</v>
      </c>
      <c r="R29" t="s">
        <v>594</v>
      </c>
      <c r="S29"/>
      <c r="T29"/>
      <c r="U29"/>
      <c r="V29" s="222"/>
    </row>
    <row r="30" spans="1:22" x14ac:dyDescent="0.2">
      <c r="A30" t="s">
        <v>439</v>
      </c>
      <c r="B30" s="101">
        <v>0</v>
      </c>
      <c r="C30" s="101">
        <v>-1</v>
      </c>
      <c r="D30" s="101">
        <v>0</v>
      </c>
      <c r="E30" s="101">
        <v>1</v>
      </c>
      <c r="F30" s="101">
        <v>-2</v>
      </c>
      <c r="G30" s="101">
        <v>3</v>
      </c>
      <c r="H30" s="101">
        <v>0.5</v>
      </c>
      <c r="I30" s="102">
        <v>0.12</v>
      </c>
      <c r="J30" s="102">
        <v>0.17</v>
      </c>
      <c r="K30" s="101">
        <v>2.7</v>
      </c>
      <c r="L30" s="101">
        <v>-0.7</v>
      </c>
      <c r="M30" s="101" t="s">
        <v>1088</v>
      </c>
      <c r="N30" s="101">
        <v>2006</v>
      </c>
      <c r="O30" s="101" t="s">
        <v>806</v>
      </c>
      <c r="P30" s="101">
        <v>418699</v>
      </c>
      <c r="Q30" t="s">
        <v>36</v>
      </c>
      <c r="R30" t="s">
        <v>536</v>
      </c>
      <c r="S30"/>
      <c r="T30"/>
      <c r="U30"/>
      <c r="V30" s="222"/>
    </row>
    <row r="31" spans="1:22" x14ac:dyDescent="0.2">
      <c r="A31" t="s">
        <v>1002</v>
      </c>
      <c r="B31" s="101">
        <v>3</v>
      </c>
      <c r="C31" s="101">
        <v>-2</v>
      </c>
      <c r="D31" s="101">
        <v>3</v>
      </c>
      <c r="E31" s="101"/>
      <c r="F31" s="101"/>
      <c r="G31" s="101"/>
      <c r="H31" s="101"/>
      <c r="I31" s="102">
        <v>0.15</v>
      </c>
      <c r="J31" s="102">
        <v>0.17</v>
      </c>
      <c r="K31" s="101"/>
      <c r="L31" s="101"/>
      <c r="M31" s="101" t="s">
        <v>1088</v>
      </c>
      <c r="N31" s="101">
        <v>2011</v>
      </c>
      <c r="O31" s="101" t="s">
        <v>806</v>
      </c>
      <c r="P31" s="101">
        <v>853374</v>
      </c>
      <c r="Q31" t="s">
        <v>989</v>
      </c>
      <c r="R31" t="s">
        <v>314</v>
      </c>
      <c r="S31"/>
      <c r="T31"/>
      <c r="U31"/>
      <c r="V31" s="222"/>
    </row>
    <row r="32" spans="1:22" x14ac:dyDescent="0.2">
      <c r="A32" t="s">
        <v>600</v>
      </c>
      <c r="B32" s="101">
        <v>1</v>
      </c>
      <c r="C32" s="101">
        <v>2</v>
      </c>
      <c r="D32" s="101">
        <v>1</v>
      </c>
      <c r="E32" s="101">
        <v>6</v>
      </c>
      <c r="F32" s="101">
        <v>5</v>
      </c>
      <c r="G32" s="101">
        <v>17</v>
      </c>
      <c r="H32" s="101">
        <v>3.2</v>
      </c>
      <c r="I32" s="102">
        <v>0.11</v>
      </c>
      <c r="J32" s="102">
        <v>0.2</v>
      </c>
      <c r="K32" s="101">
        <v>5.2</v>
      </c>
      <c r="L32" s="101">
        <v>0.1</v>
      </c>
      <c r="M32" s="101" t="s">
        <v>1088</v>
      </c>
      <c r="N32" s="101">
        <v>2000</v>
      </c>
      <c r="O32" s="101" t="s">
        <v>806</v>
      </c>
      <c r="P32" s="101">
        <v>534800</v>
      </c>
      <c r="Q32" t="s">
        <v>852</v>
      </c>
      <c r="R32" t="s">
        <v>594</v>
      </c>
      <c r="S32"/>
      <c r="T32"/>
      <c r="U32"/>
      <c r="V32" s="222"/>
    </row>
    <row r="33" spans="1:22" x14ac:dyDescent="0.2">
      <c r="A33" t="s">
        <v>188</v>
      </c>
      <c r="B33" s="101">
        <v>2</v>
      </c>
      <c r="C33" s="101">
        <v>1</v>
      </c>
      <c r="D33" s="101">
        <v>2</v>
      </c>
      <c r="E33" s="101">
        <v>2</v>
      </c>
      <c r="F33" s="101">
        <v>4</v>
      </c>
      <c r="G33" s="101">
        <v>11</v>
      </c>
      <c r="H33" s="101">
        <v>2.1</v>
      </c>
      <c r="I33" s="102">
        <v>0.11</v>
      </c>
      <c r="J33" s="102">
        <v>0.2</v>
      </c>
      <c r="K33" s="101">
        <v>1.1000000000000001</v>
      </c>
      <c r="L33" s="101">
        <v>0</v>
      </c>
      <c r="M33" s="101" t="s">
        <v>1088</v>
      </c>
      <c r="N33" s="101">
        <v>2010</v>
      </c>
      <c r="O33" s="101" t="s">
        <v>806</v>
      </c>
      <c r="P33" s="101">
        <v>442897</v>
      </c>
      <c r="Q33" t="s">
        <v>852</v>
      </c>
      <c r="R33" t="s">
        <v>536</v>
      </c>
      <c r="S33"/>
      <c r="T33"/>
      <c r="U33"/>
      <c r="V33" s="222"/>
    </row>
    <row r="34" spans="1:22" x14ac:dyDescent="0.2">
      <c r="A34" t="s">
        <v>455</v>
      </c>
      <c r="B34" s="101">
        <v>2</v>
      </c>
      <c r="C34" s="101">
        <v>1</v>
      </c>
      <c r="D34" s="101">
        <v>2</v>
      </c>
      <c r="E34" s="101">
        <v>1</v>
      </c>
      <c r="F34" s="101">
        <v>0</v>
      </c>
      <c r="G34" s="101">
        <v>3</v>
      </c>
      <c r="H34" s="101">
        <v>0.5</v>
      </c>
      <c r="I34" s="102">
        <v>0.12</v>
      </c>
      <c r="J34" s="102">
        <v>0.2</v>
      </c>
      <c r="K34" s="101">
        <v>1.9</v>
      </c>
      <c r="L34" s="101">
        <v>-0.7</v>
      </c>
      <c r="M34" s="101" t="s">
        <v>1088</v>
      </c>
      <c r="N34" s="101">
        <v>2007</v>
      </c>
      <c r="O34" s="101" t="s">
        <v>685</v>
      </c>
      <c r="P34" s="101">
        <v>870493</v>
      </c>
      <c r="Q34" t="s">
        <v>851</v>
      </c>
      <c r="R34" t="s">
        <v>536</v>
      </c>
      <c r="S34"/>
      <c r="T34"/>
      <c r="U34"/>
      <c r="V34" s="222"/>
    </row>
    <row r="35" spans="1:22" x14ac:dyDescent="0.2">
      <c r="A35" t="s">
        <v>591</v>
      </c>
      <c r="B35" s="101">
        <v>-1</v>
      </c>
      <c r="C35" s="101">
        <v>0</v>
      </c>
      <c r="D35" s="101">
        <v>-1</v>
      </c>
      <c r="E35" s="101">
        <v>1</v>
      </c>
      <c r="F35" s="101">
        <v>-3</v>
      </c>
      <c r="G35" s="101">
        <v>-1</v>
      </c>
      <c r="H35" s="101">
        <v>-0.1</v>
      </c>
      <c r="I35" s="102">
        <v>0.12</v>
      </c>
      <c r="J35" s="102">
        <v>0.2</v>
      </c>
      <c r="K35" s="101">
        <v>2.4</v>
      </c>
      <c r="L35" s="101">
        <v>-1</v>
      </c>
      <c r="M35" s="101" t="s">
        <v>1088</v>
      </c>
      <c r="N35" s="101">
        <v>2000</v>
      </c>
      <c r="O35" s="101" t="s">
        <v>806</v>
      </c>
      <c r="P35" s="101">
        <v>420646</v>
      </c>
      <c r="Q35" t="s">
        <v>751</v>
      </c>
      <c r="R35" t="s">
        <v>536</v>
      </c>
      <c r="S35"/>
      <c r="T35"/>
      <c r="U35"/>
      <c r="V35" s="222"/>
    </row>
    <row r="36" spans="1:22" x14ac:dyDescent="0.2">
      <c r="A36" t="s">
        <v>1044</v>
      </c>
      <c r="B36" s="101">
        <v>8</v>
      </c>
      <c r="C36" s="101">
        <v>1</v>
      </c>
      <c r="D36" s="101">
        <v>8</v>
      </c>
      <c r="E36" s="101">
        <v>11</v>
      </c>
      <c r="F36" s="101">
        <v>28</v>
      </c>
      <c r="G36" s="101">
        <v>-13</v>
      </c>
      <c r="H36" s="101">
        <v>-2.7</v>
      </c>
      <c r="I36" s="102">
        <v>0.16</v>
      </c>
      <c r="J36" s="102">
        <v>0.2</v>
      </c>
      <c r="K36" s="101">
        <v>9.6999999999999993</v>
      </c>
      <c r="L36" s="101">
        <v>0.7</v>
      </c>
      <c r="M36" s="101" t="s">
        <v>1088</v>
      </c>
      <c r="N36" s="101">
        <v>2000</v>
      </c>
      <c r="O36" s="101" t="s">
        <v>806</v>
      </c>
      <c r="P36" s="101">
        <v>248161</v>
      </c>
      <c r="Q36" t="s">
        <v>852</v>
      </c>
      <c r="R36" t="s">
        <v>108</v>
      </c>
      <c r="S36"/>
      <c r="T36"/>
      <c r="U36"/>
      <c r="V36" s="222"/>
    </row>
    <row r="37" spans="1:22" x14ac:dyDescent="0.2">
      <c r="A37" t="s">
        <v>775</v>
      </c>
      <c r="B37" s="101">
        <v>6</v>
      </c>
      <c r="C37" s="101">
        <v>-3</v>
      </c>
      <c r="D37" s="101">
        <v>7</v>
      </c>
      <c r="E37" s="101">
        <v>-9</v>
      </c>
      <c r="F37" s="101">
        <v>24</v>
      </c>
      <c r="G37" s="101">
        <v>-24</v>
      </c>
      <c r="H37" s="101">
        <v>-5.5</v>
      </c>
      <c r="I37" s="102">
        <v>0.16</v>
      </c>
      <c r="J37" s="102">
        <v>0.2</v>
      </c>
      <c r="K37" s="101">
        <v>17.5</v>
      </c>
      <c r="L37" s="101">
        <v>0.4</v>
      </c>
      <c r="M37" s="101" t="s">
        <v>1088</v>
      </c>
      <c r="N37" s="101">
        <v>2000</v>
      </c>
      <c r="O37" s="101" t="s">
        <v>806</v>
      </c>
      <c r="P37" s="101">
        <v>212332</v>
      </c>
      <c r="Q37" t="s">
        <v>852</v>
      </c>
      <c r="R37" t="s">
        <v>779</v>
      </c>
      <c r="S37"/>
      <c r="T37"/>
      <c r="U37"/>
      <c r="V37" s="222"/>
    </row>
    <row r="38" spans="1:22" x14ac:dyDescent="0.2">
      <c r="A38" t="s">
        <v>1042</v>
      </c>
      <c r="B38" s="101">
        <v>2</v>
      </c>
      <c r="C38" s="101">
        <v>-2</v>
      </c>
      <c r="D38" s="101">
        <v>3</v>
      </c>
      <c r="E38" s="101">
        <v>-12</v>
      </c>
      <c r="F38" s="101">
        <v>-8</v>
      </c>
      <c r="G38" s="101">
        <v>-40</v>
      </c>
      <c r="H38" s="101">
        <v>-9.8000000000000007</v>
      </c>
      <c r="I38" s="102">
        <v>0.16</v>
      </c>
      <c r="J38" s="102">
        <v>0.2</v>
      </c>
      <c r="K38" s="101">
        <v>12.9</v>
      </c>
      <c r="L38" s="101">
        <v>-0.3</v>
      </c>
      <c r="M38" s="101" t="s">
        <v>1088</v>
      </c>
      <c r="N38" s="101">
        <v>2000</v>
      </c>
      <c r="O38" s="101" t="s">
        <v>806</v>
      </c>
      <c r="P38" s="101">
        <v>140673</v>
      </c>
      <c r="Q38" t="s">
        <v>852</v>
      </c>
      <c r="R38" t="s">
        <v>102</v>
      </c>
      <c r="S38"/>
      <c r="T38"/>
      <c r="U38"/>
      <c r="V38" s="222"/>
    </row>
    <row r="39" spans="1:22" x14ac:dyDescent="0.2">
      <c r="A39" t="s">
        <v>1043</v>
      </c>
      <c r="B39" s="101">
        <v>4</v>
      </c>
      <c r="C39" s="101">
        <v>-5</v>
      </c>
      <c r="D39" s="101">
        <v>5</v>
      </c>
      <c r="E39" s="101">
        <v>-5</v>
      </c>
      <c r="F39" s="101">
        <v>-16</v>
      </c>
      <c r="G39" s="101">
        <v>-42</v>
      </c>
      <c r="H39" s="101">
        <v>-10.4</v>
      </c>
      <c r="I39" s="102">
        <v>0.16</v>
      </c>
      <c r="J39" s="102">
        <v>0.2</v>
      </c>
      <c r="K39" s="101">
        <v>14.4</v>
      </c>
      <c r="L39" s="101">
        <v>-0.4</v>
      </c>
      <c r="M39" s="101" t="s">
        <v>1088</v>
      </c>
      <c r="N39" s="101">
        <v>2000</v>
      </c>
      <c r="O39" s="101" t="s">
        <v>806</v>
      </c>
      <c r="P39" s="101">
        <v>176503</v>
      </c>
      <c r="Q39" t="s">
        <v>852</v>
      </c>
      <c r="R39" t="s">
        <v>237</v>
      </c>
      <c r="S39"/>
      <c r="T39"/>
      <c r="U39"/>
      <c r="V39" s="222"/>
    </row>
    <row r="40" spans="1:22" x14ac:dyDescent="0.2">
      <c r="A40" t="s">
        <v>999</v>
      </c>
      <c r="B40" s="101">
        <v>2</v>
      </c>
      <c r="C40" s="101">
        <v>-2</v>
      </c>
      <c r="D40" s="101">
        <v>2</v>
      </c>
      <c r="E40" s="101"/>
      <c r="F40" s="101"/>
      <c r="G40" s="101"/>
      <c r="H40" s="101"/>
      <c r="I40" s="102">
        <v>0.17</v>
      </c>
      <c r="J40" s="102">
        <v>0.215</v>
      </c>
      <c r="K40" s="101"/>
      <c r="L40" s="101"/>
      <c r="M40" s="101" t="s">
        <v>1088</v>
      </c>
      <c r="N40" s="101">
        <v>2011</v>
      </c>
      <c r="O40" s="101" t="s">
        <v>806</v>
      </c>
      <c r="P40" s="101">
        <v>781716</v>
      </c>
      <c r="Q40" t="s">
        <v>989</v>
      </c>
      <c r="R40" t="s">
        <v>314</v>
      </c>
      <c r="S40"/>
      <c r="T40"/>
      <c r="U40"/>
      <c r="V40" s="222"/>
    </row>
    <row r="41" spans="1:22" x14ac:dyDescent="0.2">
      <c r="A41" t="s">
        <v>662</v>
      </c>
      <c r="B41" s="101">
        <v>0</v>
      </c>
      <c r="C41" s="101">
        <v>2</v>
      </c>
      <c r="D41" s="101">
        <v>0</v>
      </c>
      <c r="E41" s="101">
        <v>8</v>
      </c>
      <c r="F41" s="101">
        <v>15</v>
      </c>
      <c r="G41" s="101">
        <v>19</v>
      </c>
      <c r="H41" s="101">
        <v>3.6</v>
      </c>
      <c r="I41" s="102">
        <v>0.15</v>
      </c>
      <c r="J41" s="102">
        <v>0.26819999999999999</v>
      </c>
      <c r="K41" s="101">
        <v>4.8</v>
      </c>
      <c r="L41" s="101">
        <v>0.7</v>
      </c>
      <c r="M41" s="101" t="s">
        <v>1088</v>
      </c>
      <c r="N41" s="101">
        <v>2003</v>
      </c>
      <c r="O41" s="101" t="s">
        <v>806</v>
      </c>
      <c r="P41" s="101">
        <v>787382</v>
      </c>
      <c r="Q41" t="s">
        <v>736</v>
      </c>
      <c r="R41" t="s">
        <v>660</v>
      </c>
      <c r="S41"/>
      <c r="T41"/>
      <c r="U41"/>
      <c r="V41" s="222"/>
    </row>
    <row r="42" spans="1:22" x14ac:dyDescent="0.2">
      <c r="A42" t="s">
        <v>888</v>
      </c>
      <c r="B42" s="101">
        <v>2</v>
      </c>
      <c r="C42" s="101">
        <v>-1</v>
      </c>
      <c r="D42" s="101">
        <v>2</v>
      </c>
      <c r="E42" s="101">
        <v>1</v>
      </c>
      <c r="F42" s="101">
        <v>-9</v>
      </c>
      <c r="G42" s="101">
        <v>24</v>
      </c>
      <c r="H42" s="101">
        <v>4.4000000000000004</v>
      </c>
      <c r="I42" s="102">
        <v>0.16</v>
      </c>
      <c r="J42" s="102">
        <v>0.28499999999999998</v>
      </c>
      <c r="K42" s="101">
        <v>7.3</v>
      </c>
      <c r="L42" s="101">
        <v>-0.6</v>
      </c>
      <c r="M42" s="101" t="s">
        <v>1089</v>
      </c>
      <c r="N42" s="101">
        <v>2000</v>
      </c>
      <c r="O42" s="101" t="s">
        <v>685</v>
      </c>
      <c r="P42" s="101">
        <v>443721</v>
      </c>
      <c r="Q42" t="s">
        <v>106</v>
      </c>
      <c r="R42" t="s">
        <v>664</v>
      </c>
      <c r="S42"/>
      <c r="T42"/>
      <c r="U42"/>
      <c r="V42" s="222"/>
    </row>
    <row r="43" spans="1:22" x14ac:dyDescent="0.2">
      <c r="A43" t="s">
        <v>657</v>
      </c>
      <c r="B43" s="101">
        <v>1</v>
      </c>
      <c r="C43" s="101">
        <v>2</v>
      </c>
      <c r="D43" s="101">
        <v>1</v>
      </c>
      <c r="E43" s="101">
        <v>4</v>
      </c>
      <c r="F43" s="101">
        <v>1</v>
      </c>
      <c r="G43" s="101">
        <v>15</v>
      </c>
      <c r="H43" s="101">
        <v>2.8</v>
      </c>
      <c r="I43" s="102">
        <v>0.12</v>
      </c>
      <c r="J43" s="102">
        <v>0.3</v>
      </c>
      <c r="K43" s="101">
        <v>6.4</v>
      </c>
      <c r="L43" s="101">
        <v>-0.1</v>
      </c>
      <c r="M43" s="101" t="s">
        <v>1088</v>
      </c>
      <c r="N43" s="101">
        <v>2000</v>
      </c>
      <c r="O43" s="101" t="s">
        <v>806</v>
      </c>
      <c r="P43" s="101">
        <v>578542</v>
      </c>
      <c r="Q43" t="s">
        <v>832</v>
      </c>
      <c r="R43" t="s">
        <v>594</v>
      </c>
      <c r="S43" t="s">
        <v>1111</v>
      </c>
      <c r="T43"/>
      <c r="U43"/>
      <c r="V43" s="222"/>
    </row>
    <row r="44" spans="1:22" x14ac:dyDescent="0.2">
      <c r="A44" t="s">
        <v>642</v>
      </c>
      <c r="B44" s="101">
        <v>1</v>
      </c>
      <c r="C44" s="101">
        <v>2</v>
      </c>
      <c r="D44" s="101">
        <v>1</v>
      </c>
      <c r="E44" s="101">
        <v>4</v>
      </c>
      <c r="F44" s="101">
        <v>2</v>
      </c>
      <c r="G44" s="101">
        <v>14</v>
      </c>
      <c r="H44" s="101">
        <v>2.7</v>
      </c>
      <c r="I44" s="102">
        <v>0.15</v>
      </c>
      <c r="J44" s="102">
        <v>0.3</v>
      </c>
      <c r="K44" s="101">
        <v>5.4</v>
      </c>
      <c r="L44" s="101">
        <v>-0.1</v>
      </c>
      <c r="M44" s="101" t="s">
        <v>1088</v>
      </c>
      <c r="N44" s="101">
        <v>2000</v>
      </c>
      <c r="O44" s="101" t="s">
        <v>806</v>
      </c>
      <c r="P44" s="101">
        <v>869438</v>
      </c>
      <c r="Q44" t="s">
        <v>831</v>
      </c>
      <c r="R44" t="s">
        <v>594</v>
      </c>
      <c r="S44" t="s">
        <v>1111</v>
      </c>
      <c r="T44"/>
      <c r="U44"/>
      <c r="V44" s="222"/>
    </row>
    <row r="45" spans="1:22" x14ac:dyDescent="0.2">
      <c r="A45" t="s">
        <v>390</v>
      </c>
      <c r="B45" s="101">
        <v>0</v>
      </c>
      <c r="C45" s="101">
        <v>1</v>
      </c>
      <c r="D45" s="101">
        <v>0</v>
      </c>
      <c r="E45" s="101">
        <v>2</v>
      </c>
      <c r="F45" s="101">
        <v>1</v>
      </c>
      <c r="G45" s="101">
        <v>5</v>
      </c>
      <c r="H45" s="101">
        <v>0.9</v>
      </c>
      <c r="I45" s="102">
        <v>0.14000000000000001</v>
      </c>
      <c r="J45" s="102">
        <v>0.3</v>
      </c>
      <c r="K45" s="101">
        <v>2.2000000000000002</v>
      </c>
      <c r="L45" s="101">
        <v>-0.5</v>
      </c>
      <c r="M45" s="101" t="s">
        <v>1088</v>
      </c>
      <c r="N45" s="101">
        <v>2000</v>
      </c>
      <c r="O45" s="101" t="s">
        <v>806</v>
      </c>
      <c r="P45" s="101">
        <v>214163</v>
      </c>
      <c r="Q45" t="s">
        <v>925</v>
      </c>
      <c r="R45" t="s">
        <v>536</v>
      </c>
      <c r="S45"/>
      <c r="T45"/>
      <c r="U45"/>
      <c r="V45" s="222"/>
    </row>
    <row r="46" spans="1:22" x14ac:dyDescent="0.2">
      <c r="A46" t="s">
        <v>12</v>
      </c>
      <c r="B46" s="101">
        <v>0</v>
      </c>
      <c r="C46" s="101">
        <v>1</v>
      </c>
      <c r="D46" s="101">
        <v>0</v>
      </c>
      <c r="E46" s="101">
        <v>1</v>
      </c>
      <c r="F46" s="101">
        <v>-5</v>
      </c>
      <c r="G46" s="101">
        <v>-1</v>
      </c>
      <c r="H46" s="101">
        <v>-0.2</v>
      </c>
      <c r="I46" s="102">
        <v>0.16</v>
      </c>
      <c r="J46" s="102">
        <v>0.3</v>
      </c>
      <c r="K46" s="101">
        <v>3.4</v>
      </c>
      <c r="L46" s="101">
        <v>-1</v>
      </c>
      <c r="M46" s="101" t="s">
        <v>1088</v>
      </c>
      <c r="N46" s="101">
        <v>2000</v>
      </c>
      <c r="O46" s="101" t="s">
        <v>806</v>
      </c>
      <c r="P46" s="101">
        <v>865774</v>
      </c>
      <c r="Q46" t="s">
        <v>462</v>
      </c>
      <c r="R46" t="s">
        <v>536</v>
      </c>
      <c r="S46"/>
      <c r="T46"/>
      <c r="U46"/>
      <c r="V46" s="222"/>
    </row>
    <row r="47" spans="1:22" x14ac:dyDescent="0.2">
      <c r="A47" t="s">
        <v>542</v>
      </c>
      <c r="B47" s="101">
        <v>1</v>
      </c>
      <c r="C47" s="101">
        <v>1</v>
      </c>
      <c r="D47" s="101">
        <v>1</v>
      </c>
      <c r="E47" s="101">
        <v>2</v>
      </c>
      <c r="F47" s="101">
        <v>-8</v>
      </c>
      <c r="G47" s="101">
        <v>-3</v>
      </c>
      <c r="H47" s="101">
        <v>-0.5</v>
      </c>
      <c r="I47" s="102">
        <v>0.12</v>
      </c>
      <c r="J47" s="102">
        <v>0.3</v>
      </c>
      <c r="K47" s="101">
        <v>5.2</v>
      </c>
      <c r="L47" s="101">
        <v>-0.8</v>
      </c>
      <c r="M47" s="101" t="s">
        <v>1088</v>
      </c>
      <c r="N47" s="101">
        <v>2000</v>
      </c>
      <c r="O47" s="101" t="s">
        <v>806</v>
      </c>
      <c r="P47" s="101">
        <v>614370</v>
      </c>
      <c r="Q47" t="s">
        <v>832</v>
      </c>
      <c r="R47" t="s">
        <v>536</v>
      </c>
      <c r="S47" t="s">
        <v>1111</v>
      </c>
      <c r="T47"/>
      <c r="U47"/>
      <c r="V47" s="222"/>
    </row>
    <row r="48" spans="1:22" x14ac:dyDescent="0.2">
      <c r="A48" t="s">
        <v>189</v>
      </c>
      <c r="B48" s="101">
        <v>3</v>
      </c>
      <c r="C48" s="101">
        <v>-3</v>
      </c>
      <c r="D48" s="101">
        <v>3</v>
      </c>
      <c r="E48" s="101">
        <v>-4</v>
      </c>
      <c r="F48" s="101">
        <v>5</v>
      </c>
      <c r="G48" s="101">
        <v>-26</v>
      </c>
      <c r="H48" s="101">
        <v>-5.9</v>
      </c>
      <c r="I48" s="102">
        <v>0.17</v>
      </c>
      <c r="J48" s="102">
        <v>0.3</v>
      </c>
      <c r="K48" s="101">
        <v>10.199999999999999</v>
      </c>
      <c r="L48" s="101">
        <v>0.1</v>
      </c>
      <c r="M48" s="101" t="s">
        <v>1088</v>
      </c>
      <c r="N48" s="101">
        <v>2010</v>
      </c>
      <c r="O48" s="101" t="s">
        <v>806</v>
      </c>
      <c r="P48" s="101">
        <v>407064</v>
      </c>
      <c r="Q48" t="s">
        <v>852</v>
      </c>
      <c r="R48" t="s">
        <v>152</v>
      </c>
      <c r="S48"/>
      <c r="T48"/>
      <c r="U48"/>
      <c r="V48" s="222"/>
    </row>
    <row r="49" spans="1:22" x14ac:dyDescent="0.2">
      <c r="A49" t="s">
        <v>1063</v>
      </c>
      <c r="B49" s="101"/>
      <c r="C49" s="101">
        <v>3</v>
      </c>
      <c r="D49" s="101"/>
      <c r="E49" s="101"/>
      <c r="F49" s="101"/>
      <c r="G49" s="101"/>
      <c r="H49" s="101"/>
      <c r="I49" s="102">
        <v>0.13</v>
      </c>
      <c r="J49" s="102">
        <v>0.3</v>
      </c>
      <c r="K49" s="101"/>
      <c r="L49" s="101"/>
      <c r="M49" s="101" t="s">
        <v>1088</v>
      </c>
      <c r="N49" s="101">
        <v>2012</v>
      </c>
      <c r="O49" s="101" t="s">
        <v>806</v>
      </c>
      <c r="P49" s="101">
        <v>265512</v>
      </c>
      <c r="Q49" t="s">
        <v>865</v>
      </c>
      <c r="R49" t="s">
        <v>594</v>
      </c>
      <c r="S49"/>
      <c r="T49"/>
      <c r="U49"/>
      <c r="V49" s="222"/>
    </row>
    <row r="50" spans="1:22" x14ac:dyDescent="0.2">
      <c r="A50" t="s">
        <v>1116</v>
      </c>
      <c r="B50" s="101"/>
      <c r="C50" s="101"/>
      <c r="D50" s="101"/>
      <c r="E50" s="101"/>
      <c r="F50" s="101"/>
      <c r="G50" s="101"/>
      <c r="H50" s="101"/>
      <c r="I50" s="102">
        <v>0.19</v>
      </c>
      <c r="J50" s="102">
        <v>0.3</v>
      </c>
      <c r="K50" s="101"/>
      <c r="L50" s="101"/>
      <c r="M50" s="101" t="s">
        <v>1088</v>
      </c>
      <c r="N50" s="101">
        <v>2012</v>
      </c>
      <c r="O50" s="101" t="s">
        <v>806</v>
      </c>
      <c r="P50" s="101">
        <v>392423</v>
      </c>
      <c r="Q50" t="s">
        <v>989</v>
      </c>
      <c r="R50" t="s">
        <v>152</v>
      </c>
      <c r="S50"/>
      <c r="T50"/>
      <c r="U50"/>
      <c r="V50" s="222"/>
    </row>
    <row r="51" spans="1:22" x14ac:dyDescent="0.2">
      <c r="A51" t="s">
        <v>1117</v>
      </c>
      <c r="B51" s="101"/>
      <c r="C51" s="101"/>
      <c r="D51" s="101"/>
      <c r="E51" s="101"/>
      <c r="F51" s="101"/>
      <c r="G51" s="101"/>
      <c r="H51" s="101"/>
      <c r="I51" s="102">
        <v>0.19</v>
      </c>
      <c r="J51" s="102">
        <v>0.3</v>
      </c>
      <c r="K51" s="101"/>
      <c r="L51" s="101"/>
      <c r="M51" s="101" t="s">
        <v>1088</v>
      </c>
      <c r="N51" s="101">
        <v>2012</v>
      </c>
      <c r="O51" s="101" t="s">
        <v>806</v>
      </c>
      <c r="P51" s="101">
        <v>356592</v>
      </c>
      <c r="Q51" t="s">
        <v>989</v>
      </c>
      <c r="R51" t="s">
        <v>152</v>
      </c>
      <c r="S51"/>
      <c r="T51"/>
      <c r="U51"/>
      <c r="V51" s="222"/>
    </row>
    <row r="52" spans="1:22" x14ac:dyDescent="0.2">
      <c r="A52" t="s">
        <v>1118</v>
      </c>
      <c r="B52" s="101"/>
      <c r="C52" s="101"/>
      <c r="D52" s="101"/>
      <c r="E52" s="101"/>
      <c r="F52" s="101"/>
      <c r="G52" s="101"/>
      <c r="H52" s="101"/>
      <c r="I52" s="102">
        <v>0.19</v>
      </c>
      <c r="J52" s="102">
        <v>0.3</v>
      </c>
      <c r="K52" s="101"/>
      <c r="L52" s="101"/>
      <c r="M52" s="101" t="s">
        <v>1088</v>
      </c>
      <c r="N52" s="101">
        <v>2012</v>
      </c>
      <c r="O52" s="101" t="s">
        <v>806</v>
      </c>
      <c r="P52" s="101">
        <v>428250</v>
      </c>
      <c r="Q52" t="s">
        <v>989</v>
      </c>
      <c r="R52" t="s">
        <v>152</v>
      </c>
      <c r="S52"/>
      <c r="T52"/>
      <c r="U52"/>
      <c r="V52" s="222"/>
    </row>
    <row r="53" spans="1:22" x14ac:dyDescent="0.2">
      <c r="A53" t="s">
        <v>1119</v>
      </c>
      <c r="B53" s="101"/>
      <c r="C53" s="101"/>
      <c r="D53" s="101"/>
      <c r="E53" s="101"/>
      <c r="F53" s="101"/>
      <c r="G53" s="101"/>
      <c r="H53" s="101"/>
      <c r="I53" s="102">
        <v>0.19</v>
      </c>
      <c r="J53" s="102">
        <v>0.3</v>
      </c>
      <c r="K53" s="101"/>
      <c r="L53" s="101"/>
      <c r="M53" s="101" t="s">
        <v>1088</v>
      </c>
      <c r="N53" s="101">
        <v>2012</v>
      </c>
      <c r="O53" s="101" t="s">
        <v>806</v>
      </c>
      <c r="P53" s="101">
        <v>499913</v>
      </c>
      <c r="Q53" t="s">
        <v>989</v>
      </c>
      <c r="R53" t="s">
        <v>314</v>
      </c>
      <c r="S53"/>
      <c r="T53"/>
      <c r="U53"/>
      <c r="V53" s="222"/>
    </row>
    <row r="54" spans="1:22" x14ac:dyDescent="0.2">
      <c r="A54" t="s">
        <v>1120</v>
      </c>
      <c r="B54" s="101"/>
      <c r="C54" s="101"/>
      <c r="D54" s="101"/>
      <c r="E54" s="101"/>
      <c r="F54" s="101"/>
      <c r="G54" s="101"/>
      <c r="H54" s="101"/>
      <c r="I54" s="102">
        <v>0.19</v>
      </c>
      <c r="J54" s="102">
        <v>0.3</v>
      </c>
      <c r="K54" s="101"/>
      <c r="L54" s="101"/>
      <c r="M54" s="101" t="s">
        <v>1088</v>
      </c>
      <c r="N54" s="101">
        <v>2012</v>
      </c>
      <c r="O54" s="101" t="s">
        <v>806</v>
      </c>
      <c r="P54" s="101">
        <v>464081</v>
      </c>
      <c r="Q54" t="s">
        <v>989</v>
      </c>
      <c r="R54" t="s">
        <v>314</v>
      </c>
      <c r="S54"/>
      <c r="T54"/>
      <c r="U54"/>
      <c r="V54" s="222"/>
    </row>
    <row r="55" spans="1:22" x14ac:dyDescent="0.2">
      <c r="A55" t="s">
        <v>592</v>
      </c>
      <c r="B55" s="101">
        <v>-1</v>
      </c>
      <c r="C55" s="101">
        <v>1</v>
      </c>
      <c r="D55" s="101">
        <v>-1</v>
      </c>
      <c r="E55" s="101">
        <v>1</v>
      </c>
      <c r="F55" s="101">
        <v>0</v>
      </c>
      <c r="G55" s="101">
        <v>3</v>
      </c>
      <c r="H55" s="101">
        <v>0.6</v>
      </c>
      <c r="I55" s="102">
        <v>0.16</v>
      </c>
      <c r="J55" s="102">
        <v>0.30536999999999997</v>
      </c>
      <c r="K55" s="101">
        <v>2</v>
      </c>
      <c r="L55" s="101">
        <v>-0.7</v>
      </c>
      <c r="M55" s="101" t="s">
        <v>1088</v>
      </c>
      <c r="N55" s="101">
        <v>2001</v>
      </c>
      <c r="O55" s="101" t="s">
        <v>806</v>
      </c>
      <c r="P55" s="101">
        <v>478313</v>
      </c>
      <c r="Q55" t="s">
        <v>753</v>
      </c>
      <c r="R55" t="s">
        <v>536</v>
      </c>
      <c r="S55"/>
      <c r="T55"/>
      <c r="U55"/>
      <c r="V55" s="222"/>
    </row>
    <row r="56" spans="1:22" x14ac:dyDescent="0.2">
      <c r="A56" t="s">
        <v>781</v>
      </c>
      <c r="B56" s="101">
        <v>2</v>
      </c>
      <c r="C56" s="101">
        <v>-1</v>
      </c>
      <c r="D56" s="101">
        <v>3</v>
      </c>
      <c r="E56" s="101">
        <v>-9</v>
      </c>
      <c r="F56" s="101">
        <v>23</v>
      </c>
      <c r="G56" s="101">
        <v>-27</v>
      </c>
      <c r="H56" s="101">
        <v>-6</v>
      </c>
      <c r="I56" s="102">
        <v>0.21</v>
      </c>
      <c r="J56" s="102">
        <v>0.31</v>
      </c>
      <c r="K56" s="101">
        <v>16</v>
      </c>
      <c r="L56" s="101">
        <v>0.4</v>
      </c>
      <c r="M56" s="101" t="s">
        <v>1088</v>
      </c>
      <c r="N56" s="101">
        <v>2000</v>
      </c>
      <c r="O56" s="101" t="s">
        <v>806</v>
      </c>
      <c r="P56" s="101">
        <v>290072</v>
      </c>
      <c r="Q56" t="s">
        <v>675</v>
      </c>
      <c r="R56" t="s">
        <v>779</v>
      </c>
      <c r="S56"/>
      <c r="T56"/>
      <c r="U56"/>
      <c r="V56" s="222"/>
    </row>
    <row r="57" spans="1:22" x14ac:dyDescent="0.2">
      <c r="A57" t="s">
        <v>879</v>
      </c>
      <c r="B57" s="101">
        <v>6</v>
      </c>
      <c r="C57" s="101">
        <v>-2</v>
      </c>
      <c r="D57" s="101">
        <v>8</v>
      </c>
      <c r="E57" s="101">
        <v>-6</v>
      </c>
      <c r="F57" s="101">
        <v>37</v>
      </c>
      <c r="G57" s="101"/>
      <c r="H57" s="101"/>
      <c r="I57" s="102">
        <v>0.2</v>
      </c>
      <c r="J57" s="102">
        <v>0.31569999999999998</v>
      </c>
      <c r="K57" s="101">
        <v>16.399999999999999</v>
      </c>
      <c r="L57" s="101">
        <v>0.6</v>
      </c>
      <c r="M57" s="101" t="s">
        <v>1088</v>
      </c>
      <c r="N57" s="101">
        <v>2009</v>
      </c>
      <c r="O57" s="101" t="s">
        <v>806</v>
      </c>
      <c r="P57" s="101">
        <v>653030</v>
      </c>
      <c r="Q57" t="s">
        <v>736</v>
      </c>
      <c r="R57" t="s">
        <v>779</v>
      </c>
      <c r="S57"/>
      <c r="T57"/>
      <c r="U57"/>
      <c r="V57" s="222"/>
    </row>
    <row r="58" spans="1:22" x14ac:dyDescent="0.2">
      <c r="A58" t="s">
        <v>190</v>
      </c>
      <c r="B58" s="101">
        <v>0</v>
      </c>
      <c r="C58" s="101">
        <v>0</v>
      </c>
      <c r="D58" s="101">
        <v>0</v>
      </c>
      <c r="E58" s="101">
        <v>1</v>
      </c>
      <c r="F58" s="101">
        <v>-5</v>
      </c>
      <c r="G58" s="101">
        <v>-5</v>
      </c>
      <c r="H58" s="101">
        <v>-0.9</v>
      </c>
      <c r="I58" s="102">
        <v>0.17</v>
      </c>
      <c r="J58" s="102">
        <v>0.35</v>
      </c>
      <c r="K58" s="101">
        <v>3.1</v>
      </c>
      <c r="L58" s="101">
        <v>-1</v>
      </c>
      <c r="M58" s="101" t="s">
        <v>1088</v>
      </c>
      <c r="N58" s="101">
        <v>2000</v>
      </c>
      <c r="O58" s="101" t="s">
        <v>806</v>
      </c>
      <c r="P58" s="101">
        <v>768614</v>
      </c>
      <c r="Q58" t="s">
        <v>191</v>
      </c>
      <c r="R58" t="s">
        <v>536</v>
      </c>
      <c r="S58"/>
      <c r="T58"/>
      <c r="U58"/>
      <c r="V58" s="222"/>
    </row>
    <row r="59" spans="1:22" x14ac:dyDescent="0.2">
      <c r="A59" t="s">
        <v>192</v>
      </c>
      <c r="B59" s="101">
        <v>-2</v>
      </c>
      <c r="C59" s="101">
        <v>2</v>
      </c>
      <c r="D59" s="101">
        <v>-2</v>
      </c>
      <c r="E59" s="101">
        <v>4</v>
      </c>
      <c r="F59" s="101">
        <v>-12</v>
      </c>
      <c r="G59" s="101">
        <v>-6</v>
      </c>
      <c r="H59" s="101">
        <v>-1.2</v>
      </c>
      <c r="I59" s="102">
        <v>0.17</v>
      </c>
      <c r="J59" s="102">
        <v>0.35</v>
      </c>
      <c r="K59" s="101">
        <v>8.1999999999999993</v>
      </c>
      <c r="L59" s="101">
        <v>-0.6</v>
      </c>
      <c r="M59" s="101" t="s">
        <v>1088</v>
      </c>
      <c r="N59" s="101">
        <v>2000</v>
      </c>
      <c r="O59" s="101" t="s">
        <v>806</v>
      </c>
      <c r="P59" s="101">
        <v>804443</v>
      </c>
      <c r="Q59" t="s">
        <v>191</v>
      </c>
      <c r="R59" t="s">
        <v>594</v>
      </c>
      <c r="S59"/>
      <c r="T59"/>
      <c r="U59"/>
      <c r="V59" s="222"/>
    </row>
    <row r="60" spans="1:22" x14ac:dyDescent="0.2">
      <c r="A60" t="s">
        <v>1003</v>
      </c>
      <c r="B60" s="101">
        <v>1</v>
      </c>
      <c r="C60" s="101">
        <v>0</v>
      </c>
      <c r="D60" s="101">
        <v>1</v>
      </c>
      <c r="E60" s="101">
        <v>2</v>
      </c>
      <c r="F60" s="101">
        <v>4</v>
      </c>
      <c r="G60" s="101">
        <v>11</v>
      </c>
      <c r="H60" s="101">
        <v>2.1</v>
      </c>
      <c r="I60" s="102">
        <v>0.18</v>
      </c>
      <c r="J60" s="102">
        <v>0.372</v>
      </c>
      <c r="K60" s="101">
        <v>0.3</v>
      </c>
      <c r="L60" s="101">
        <v>-0.9</v>
      </c>
      <c r="M60" s="101" t="s">
        <v>1088</v>
      </c>
      <c r="N60" s="101">
        <v>2003</v>
      </c>
      <c r="O60" s="101" t="s">
        <v>685</v>
      </c>
      <c r="P60" s="101">
        <v>770388</v>
      </c>
      <c r="Q60" t="s">
        <v>1004</v>
      </c>
      <c r="R60" t="s">
        <v>536</v>
      </c>
      <c r="S60"/>
      <c r="T60"/>
      <c r="U60"/>
      <c r="V60" s="222"/>
    </row>
    <row r="61" spans="1:22" x14ac:dyDescent="0.2">
      <c r="A61" t="s">
        <v>656</v>
      </c>
      <c r="B61" s="101">
        <v>1</v>
      </c>
      <c r="C61" s="101">
        <v>2</v>
      </c>
      <c r="D61" s="101">
        <v>1</v>
      </c>
      <c r="E61" s="101">
        <v>4</v>
      </c>
      <c r="F61" s="101">
        <v>3</v>
      </c>
      <c r="G61" s="101">
        <v>16</v>
      </c>
      <c r="H61" s="101">
        <v>3.1</v>
      </c>
      <c r="I61" s="102">
        <v>0.13</v>
      </c>
      <c r="J61" s="102">
        <v>0.4</v>
      </c>
      <c r="K61" s="101">
        <v>5.5</v>
      </c>
      <c r="L61" s="101">
        <v>0</v>
      </c>
      <c r="M61" s="101" t="s">
        <v>1088</v>
      </c>
      <c r="N61" s="101">
        <v>2000</v>
      </c>
      <c r="O61" s="101" t="s">
        <v>806</v>
      </c>
      <c r="P61" s="101">
        <v>761940</v>
      </c>
      <c r="Q61" t="s">
        <v>832</v>
      </c>
      <c r="R61" t="s">
        <v>594</v>
      </c>
      <c r="S61" t="s">
        <v>1111</v>
      </c>
      <c r="T61"/>
      <c r="U61"/>
      <c r="V61" s="222"/>
    </row>
    <row r="62" spans="1:22" x14ac:dyDescent="0.2">
      <c r="A62" t="s">
        <v>541</v>
      </c>
      <c r="B62" s="101">
        <v>1</v>
      </c>
      <c r="C62" s="101">
        <v>0</v>
      </c>
      <c r="D62" s="101">
        <v>1</v>
      </c>
      <c r="E62" s="101">
        <v>2</v>
      </c>
      <c r="F62" s="101">
        <v>-3</v>
      </c>
      <c r="G62" s="101">
        <v>2</v>
      </c>
      <c r="H62" s="101">
        <v>0.5</v>
      </c>
      <c r="I62" s="102">
        <v>0.13</v>
      </c>
      <c r="J62" s="102">
        <v>0.4</v>
      </c>
      <c r="K62" s="101">
        <v>2.6</v>
      </c>
      <c r="L62" s="101">
        <v>-0.9</v>
      </c>
      <c r="M62" s="101" t="s">
        <v>1088</v>
      </c>
      <c r="N62" s="101">
        <v>2000</v>
      </c>
      <c r="O62" s="101" t="s">
        <v>806</v>
      </c>
      <c r="P62" s="101">
        <v>188664</v>
      </c>
      <c r="Q62" t="s">
        <v>832</v>
      </c>
      <c r="R62" t="s">
        <v>536</v>
      </c>
      <c r="S62" t="s">
        <v>1111</v>
      </c>
      <c r="T62"/>
      <c r="U62"/>
      <c r="V62" s="222"/>
    </row>
    <row r="63" spans="1:22" x14ac:dyDescent="0.2">
      <c r="A63" t="s">
        <v>313</v>
      </c>
      <c r="B63" s="101">
        <v>4</v>
      </c>
      <c r="C63" s="101">
        <v>0</v>
      </c>
      <c r="D63" s="101">
        <v>4</v>
      </c>
      <c r="E63" s="101">
        <v>1</v>
      </c>
      <c r="F63" s="101">
        <v>14</v>
      </c>
      <c r="G63" s="101">
        <v>2</v>
      </c>
      <c r="H63" s="101">
        <v>0.4</v>
      </c>
      <c r="I63" s="102">
        <v>0.18</v>
      </c>
      <c r="J63" s="102">
        <v>0.4</v>
      </c>
      <c r="K63" s="101">
        <v>5.8</v>
      </c>
      <c r="L63" s="101">
        <v>0.5</v>
      </c>
      <c r="M63" s="101" t="s">
        <v>1088</v>
      </c>
      <c r="N63" s="101">
        <v>2000</v>
      </c>
      <c r="O63" s="101" t="s">
        <v>806</v>
      </c>
      <c r="P63" s="101">
        <v>260323</v>
      </c>
      <c r="Q63" t="s">
        <v>832</v>
      </c>
      <c r="R63" t="s">
        <v>306</v>
      </c>
      <c r="S63" t="s">
        <v>1111</v>
      </c>
      <c r="T63"/>
      <c r="U63"/>
      <c r="V63" s="222"/>
    </row>
    <row r="64" spans="1:22" x14ac:dyDescent="0.2">
      <c r="A64" t="s">
        <v>391</v>
      </c>
      <c r="B64" s="101">
        <v>-1</v>
      </c>
      <c r="C64" s="101">
        <v>2</v>
      </c>
      <c r="D64" s="101">
        <v>-1</v>
      </c>
      <c r="E64" s="101">
        <v>7</v>
      </c>
      <c r="F64" s="101">
        <v>-9</v>
      </c>
      <c r="G64" s="101">
        <v>-1</v>
      </c>
      <c r="H64" s="101">
        <v>-0.2</v>
      </c>
      <c r="I64" s="102">
        <v>0.16</v>
      </c>
      <c r="J64" s="102">
        <v>0.4</v>
      </c>
      <c r="K64" s="101">
        <v>10.6</v>
      </c>
      <c r="L64" s="101">
        <v>-0.4</v>
      </c>
      <c r="M64" s="101" t="s">
        <v>1088</v>
      </c>
      <c r="N64" s="101">
        <v>2000</v>
      </c>
      <c r="O64" s="101" t="s">
        <v>806</v>
      </c>
      <c r="P64" s="101">
        <v>178335</v>
      </c>
      <c r="Q64" t="s">
        <v>925</v>
      </c>
      <c r="R64" t="s">
        <v>594</v>
      </c>
      <c r="S64"/>
      <c r="T64"/>
      <c r="U64"/>
      <c r="V64" s="222"/>
    </row>
    <row r="65" spans="1:22" x14ac:dyDescent="0.2">
      <c r="A65" t="s">
        <v>359</v>
      </c>
      <c r="B65" s="101">
        <v>2</v>
      </c>
      <c r="C65" s="101">
        <v>0</v>
      </c>
      <c r="D65" s="101">
        <v>2</v>
      </c>
      <c r="E65" s="101">
        <v>0</v>
      </c>
      <c r="F65" s="101">
        <v>0</v>
      </c>
      <c r="G65" s="101">
        <v>-3</v>
      </c>
      <c r="H65" s="101">
        <v>-0.5</v>
      </c>
      <c r="I65" s="102">
        <v>0.19</v>
      </c>
      <c r="J65" s="102">
        <v>0.4</v>
      </c>
      <c r="K65" s="101">
        <v>4.8</v>
      </c>
      <c r="L65" s="101">
        <v>-0.3</v>
      </c>
      <c r="M65" s="101" t="s">
        <v>1088</v>
      </c>
      <c r="N65" s="101">
        <v>2000</v>
      </c>
      <c r="O65" s="101" t="s">
        <v>806</v>
      </c>
      <c r="P65" s="101">
        <v>391482</v>
      </c>
      <c r="Q65" t="s">
        <v>852</v>
      </c>
      <c r="R65" t="s">
        <v>358</v>
      </c>
      <c r="S65"/>
      <c r="T65"/>
      <c r="U65"/>
      <c r="V65" s="222"/>
    </row>
    <row r="66" spans="1:22" x14ac:dyDescent="0.2">
      <c r="A66" t="s">
        <v>875</v>
      </c>
      <c r="B66" s="101">
        <v>5</v>
      </c>
      <c r="C66" s="101">
        <v>-1</v>
      </c>
      <c r="D66" s="101">
        <v>5</v>
      </c>
      <c r="E66" s="101">
        <v>2</v>
      </c>
      <c r="F66" s="101">
        <v>22</v>
      </c>
      <c r="G66" s="101">
        <v>-4</v>
      </c>
      <c r="H66" s="101">
        <v>-0.8</v>
      </c>
      <c r="I66" s="102">
        <v>0.18</v>
      </c>
      <c r="J66" s="102">
        <v>0.4</v>
      </c>
      <c r="K66" s="101">
        <v>8.4</v>
      </c>
      <c r="L66" s="101">
        <v>0.7</v>
      </c>
      <c r="M66" s="101" t="s">
        <v>1088</v>
      </c>
      <c r="N66" s="101">
        <v>2000</v>
      </c>
      <c r="O66" s="101" t="s">
        <v>806</v>
      </c>
      <c r="P66" s="101">
        <v>610121</v>
      </c>
      <c r="Q66" t="s">
        <v>865</v>
      </c>
      <c r="R66" t="s">
        <v>306</v>
      </c>
      <c r="S66"/>
      <c r="T66"/>
      <c r="U66"/>
      <c r="V66" s="222"/>
    </row>
    <row r="67" spans="1:22" x14ac:dyDescent="0.2">
      <c r="A67" t="s">
        <v>312</v>
      </c>
      <c r="B67" s="101">
        <v>5</v>
      </c>
      <c r="C67" s="101">
        <v>0</v>
      </c>
      <c r="D67" s="101">
        <v>5</v>
      </c>
      <c r="E67" s="101">
        <v>1</v>
      </c>
      <c r="F67" s="101">
        <v>13</v>
      </c>
      <c r="G67" s="101">
        <v>-10</v>
      </c>
      <c r="H67" s="101">
        <v>-2.2000000000000002</v>
      </c>
      <c r="I67" s="102">
        <v>0.18</v>
      </c>
      <c r="J67" s="102">
        <v>0.4</v>
      </c>
      <c r="K67" s="101">
        <v>6.9</v>
      </c>
      <c r="L67" s="101">
        <v>0.4</v>
      </c>
      <c r="M67" s="101" t="s">
        <v>1088</v>
      </c>
      <c r="N67" s="101">
        <v>2000</v>
      </c>
      <c r="O67" s="101" t="s">
        <v>806</v>
      </c>
      <c r="P67" s="101">
        <v>224493</v>
      </c>
      <c r="Q67" t="s">
        <v>832</v>
      </c>
      <c r="R67" t="s">
        <v>306</v>
      </c>
      <c r="S67" t="s">
        <v>1111</v>
      </c>
      <c r="T67"/>
      <c r="U67"/>
      <c r="V67" s="222"/>
    </row>
    <row r="68" spans="1:22" x14ac:dyDescent="0.2">
      <c r="A68" t="s">
        <v>163</v>
      </c>
      <c r="B68" s="101">
        <v>6</v>
      </c>
      <c r="C68" s="101">
        <v>-1</v>
      </c>
      <c r="D68" s="101">
        <v>6</v>
      </c>
      <c r="E68" s="101">
        <v>3</v>
      </c>
      <c r="F68" s="101">
        <v>14</v>
      </c>
      <c r="G68" s="101">
        <v>-19</v>
      </c>
      <c r="H68" s="101">
        <v>-4</v>
      </c>
      <c r="I68" s="102">
        <v>0.18</v>
      </c>
      <c r="J68" s="102">
        <v>0.4</v>
      </c>
      <c r="K68" s="101">
        <v>8.5</v>
      </c>
      <c r="L68" s="101">
        <v>0.4</v>
      </c>
      <c r="M68" s="101" t="s">
        <v>1088</v>
      </c>
      <c r="N68" s="101">
        <v>2000</v>
      </c>
      <c r="O68" s="101" t="s">
        <v>806</v>
      </c>
      <c r="P68" s="101">
        <v>797779</v>
      </c>
      <c r="Q68" t="s">
        <v>832</v>
      </c>
      <c r="R68" t="s">
        <v>152</v>
      </c>
      <c r="S68" t="s">
        <v>1111</v>
      </c>
      <c r="T68"/>
      <c r="U68"/>
      <c r="V68" s="222"/>
    </row>
    <row r="69" spans="1:22" x14ac:dyDescent="0.2">
      <c r="A69" t="s">
        <v>161</v>
      </c>
      <c r="B69" s="101">
        <v>6</v>
      </c>
      <c r="C69" s="101">
        <v>-1</v>
      </c>
      <c r="D69" s="101">
        <v>6</v>
      </c>
      <c r="E69" s="101">
        <v>2</v>
      </c>
      <c r="F69" s="101">
        <v>13</v>
      </c>
      <c r="G69" s="101">
        <v>-19</v>
      </c>
      <c r="H69" s="101">
        <v>-4.2</v>
      </c>
      <c r="I69" s="102">
        <v>0.21</v>
      </c>
      <c r="J69" s="102">
        <v>0.4</v>
      </c>
      <c r="K69" s="101">
        <v>8.9</v>
      </c>
      <c r="L69" s="101">
        <v>0.4</v>
      </c>
      <c r="M69" s="101" t="s">
        <v>1088</v>
      </c>
      <c r="N69" s="101">
        <v>2000</v>
      </c>
      <c r="O69" s="101" t="s">
        <v>806</v>
      </c>
      <c r="P69" s="101">
        <v>941096</v>
      </c>
      <c r="Q69" t="s">
        <v>831</v>
      </c>
      <c r="R69" t="s">
        <v>152</v>
      </c>
      <c r="S69" t="s">
        <v>1111</v>
      </c>
      <c r="T69"/>
      <c r="U69"/>
      <c r="V69" s="222"/>
    </row>
    <row r="70" spans="1:22" x14ac:dyDescent="0.2">
      <c r="A70" t="s">
        <v>762</v>
      </c>
      <c r="B70" s="101">
        <v>6</v>
      </c>
      <c r="C70" s="101">
        <v>-4</v>
      </c>
      <c r="D70" s="101">
        <v>7</v>
      </c>
      <c r="E70" s="101">
        <v>-11</v>
      </c>
      <c r="F70" s="101">
        <v>27</v>
      </c>
      <c r="G70" s="101">
        <v>-21</v>
      </c>
      <c r="H70" s="101">
        <v>-4.7</v>
      </c>
      <c r="I70" s="102">
        <v>0.21</v>
      </c>
      <c r="J70" s="102">
        <v>0.4</v>
      </c>
      <c r="K70" s="101">
        <v>18.5</v>
      </c>
      <c r="L70" s="101">
        <v>0.4</v>
      </c>
      <c r="M70" s="101" t="s">
        <v>1088</v>
      </c>
      <c r="N70" s="101">
        <v>2000</v>
      </c>
      <c r="O70" s="101" t="s">
        <v>806</v>
      </c>
      <c r="P70" s="101">
        <v>905265</v>
      </c>
      <c r="Q70" t="s">
        <v>831</v>
      </c>
      <c r="R70" t="s">
        <v>723</v>
      </c>
      <c r="S70" t="s">
        <v>1111</v>
      </c>
      <c r="T70"/>
      <c r="U70"/>
      <c r="V70" s="222"/>
    </row>
    <row r="71" spans="1:22" x14ac:dyDescent="0.2">
      <c r="A71" t="s">
        <v>773</v>
      </c>
      <c r="B71" s="101">
        <v>6</v>
      </c>
      <c r="C71" s="101">
        <v>-3</v>
      </c>
      <c r="D71" s="101">
        <v>7</v>
      </c>
      <c r="E71" s="101">
        <v>-10</v>
      </c>
      <c r="F71" s="101">
        <v>26</v>
      </c>
      <c r="G71" s="101">
        <v>-22</v>
      </c>
      <c r="H71" s="101">
        <v>-4.8</v>
      </c>
      <c r="I71" s="102">
        <v>0.18</v>
      </c>
      <c r="J71" s="102">
        <v>0.4</v>
      </c>
      <c r="K71" s="101">
        <v>18.100000000000001</v>
      </c>
      <c r="L71" s="101">
        <v>0.4</v>
      </c>
      <c r="M71" s="101" t="s">
        <v>1088</v>
      </c>
      <c r="N71" s="101">
        <v>2000</v>
      </c>
      <c r="O71" s="101" t="s">
        <v>806</v>
      </c>
      <c r="P71" s="101">
        <v>833608</v>
      </c>
      <c r="Q71" t="s">
        <v>832</v>
      </c>
      <c r="R71" t="s">
        <v>723</v>
      </c>
      <c r="S71" t="s">
        <v>1111</v>
      </c>
      <c r="T71"/>
      <c r="U71"/>
      <c r="V71" s="222"/>
    </row>
    <row r="72" spans="1:22" x14ac:dyDescent="0.2">
      <c r="A72" t="s">
        <v>877</v>
      </c>
      <c r="B72" s="101">
        <v>7</v>
      </c>
      <c r="C72" s="101">
        <v>-3</v>
      </c>
      <c r="D72" s="101">
        <v>8</v>
      </c>
      <c r="E72" s="101">
        <v>-7</v>
      </c>
      <c r="F72" s="101">
        <v>33</v>
      </c>
      <c r="G72" s="101">
        <v>-22</v>
      </c>
      <c r="H72" s="101">
        <v>-5</v>
      </c>
      <c r="I72" s="102">
        <v>0.18</v>
      </c>
      <c r="J72" s="102">
        <v>0.4</v>
      </c>
      <c r="K72" s="101">
        <v>17.7</v>
      </c>
      <c r="L72" s="101">
        <v>0.5</v>
      </c>
      <c r="M72" s="101" t="s">
        <v>1088</v>
      </c>
      <c r="N72" s="101">
        <v>2000</v>
      </c>
      <c r="O72" s="101" t="s">
        <v>806</v>
      </c>
      <c r="P72" s="101">
        <v>681783</v>
      </c>
      <c r="Q72" t="s">
        <v>865</v>
      </c>
      <c r="R72" t="s">
        <v>723</v>
      </c>
      <c r="S72"/>
      <c r="T72"/>
      <c r="U72"/>
      <c r="V72" s="222"/>
    </row>
    <row r="73" spans="1:22" x14ac:dyDescent="0.2">
      <c r="A73" t="s">
        <v>761</v>
      </c>
      <c r="B73" s="101">
        <v>6</v>
      </c>
      <c r="C73" s="101">
        <v>-3</v>
      </c>
      <c r="D73" s="101">
        <v>7</v>
      </c>
      <c r="E73" s="101">
        <v>-11</v>
      </c>
      <c r="F73" s="101">
        <v>25</v>
      </c>
      <c r="G73" s="101">
        <v>-23</v>
      </c>
      <c r="H73" s="101">
        <v>-5.0999999999999996</v>
      </c>
      <c r="I73" s="102">
        <v>0.21</v>
      </c>
      <c r="J73" s="102">
        <v>0.4</v>
      </c>
      <c r="K73" s="101">
        <v>18.7</v>
      </c>
      <c r="L73" s="101">
        <v>0.4</v>
      </c>
      <c r="M73" s="101" t="s">
        <v>1088</v>
      </c>
      <c r="N73" s="101">
        <v>2000</v>
      </c>
      <c r="O73" s="101" t="s">
        <v>806</v>
      </c>
      <c r="P73" s="101">
        <v>976928</v>
      </c>
      <c r="Q73" t="s">
        <v>831</v>
      </c>
      <c r="R73" t="s">
        <v>723</v>
      </c>
      <c r="S73" t="s">
        <v>1111</v>
      </c>
      <c r="T73"/>
      <c r="U73"/>
      <c r="V73" s="222"/>
    </row>
    <row r="74" spans="1:22" x14ac:dyDescent="0.2">
      <c r="A74" t="s">
        <v>878</v>
      </c>
      <c r="B74" s="101">
        <v>6</v>
      </c>
      <c r="C74" s="101">
        <v>-2</v>
      </c>
      <c r="D74" s="101">
        <v>6</v>
      </c>
      <c r="E74" s="101">
        <v>1</v>
      </c>
      <c r="F74" s="101">
        <v>12</v>
      </c>
      <c r="G74" s="101">
        <v>-23</v>
      </c>
      <c r="H74" s="101">
        <v>-5.2</v>
      </c>
      <c r="I74" s="102">
        <v>0.18</v>
      </c>
      <c r="J74" s="102">
        <v>0.4</v>
      </c>
      <c r="K74" s="101">
        <v>10.7</v>
      </c>
      <c r="L74" s="101">
        <v>0.3</v>
      </c>
      <c r="M74" s="101" t="s">
        <v>1088</v>
      </c>
      <c r="N74" s="101">
        <v>2001</v>
      </c>
      <c r="O74" s="101" t="s">
        <v>806</v>
      </c>
      <c r="P74" s="101">
        <v>908277</v>
      </c>
      <c r="Q74" t="s">
        <v>865</v>
      </c>
      <c r="R74" t="s">
        <v>152</v>
      </c>
      <c r="S74"/>
      <c r="T74"/>
      <c r="U74"/>
      <c r="V74" s="222"/>
    </row>
    <row r="75" spans="1:22" x14ac:dyDescent="0.2">
      <c r="A75" t="s">
        <v>507</v>
      </c>
      <c r="B75" s="101">
        <v>4</v>
      </c>
      <c r="C75" s="101">
        <v>-1</v>
      </c>
      <c r="D75" s="101">
        <v>4</v>
      </c>
      <c r="E75" s="101">
        <v>-2</v>
      </c>
      <c r="F75" s="101">
        <v>4</v>
      </c>
      <c r="G75" s="101">
        <v>-24</v>
      </c>
      <c r="H75" s="101">
        <v>-5.2</v>
      </c>
      <c r="I75" s="102">
        <v>0.19</v>
      </c>
      <c r="J75" s="102">
        <v>0.4</v>
      </c>
      <c r="K75" s="101">
        <v>7.2</v>
      </c>
      <c r="L75" s="101">
        <v>0</v>
      </c>
      <c r="M75" s="101" t="s">
        <v>1088</v>
      </c>
      <c r="N75" s="101">
        <v>2000</v>
      </c>
      <c r="O75" s="101" t="s">
        <v>806</v>
      </c>
      <c r="P75" s="101">
        <v>427310</v>
      </c>
      <c r="Q75" t="s">
        <v>852</v>
      </c>
      <c r="R75" t="s">
        <v>362</v>
      </c>
      <c r="S75"/>
      <c r="T75"/>
      <c r="U75"/>
      <c r="V75" s="222"/>
    </row>
    <row r="76" spans="1:22" x14ac:dyDescent="0.2">
      <c r="A76" t="s">
        <v>898</v>
      </c>
      <c r="B76" s="101">
        <v>7</v>
      </c>
      <c r="C76" s="101">
        <v>-2</v>
      </c>
      <c r="D76" s="101">
        <v>8</v>
      </c>
      <c r="E76" s="101">
        <v>-4</v>
      </c>
      <c r="F76" s="101">
        <v>30</v>
      </c>
      <c r="G76" s="101">
        <v>-24</v>
      </c>
      <c r="H76" s="101">
        <v>-5.3</v>
      </c>
      <c r="I76" s="102">
        <v>0.23</v>
      </c>
      <c r="J76" s="102">
        <v>0.4</v>
      </c>
      <c r="K76" s="101">
        <v>16.399999999999999</v>
      </c>
      <c r="L76" s="101">
        <v>0.5</v>
      </c>
      <c r="M76" s="101" t="s">
        <v>1088</v>
      </c>
      <c r="N76" s="101">
        <v>2000</v>
      </c>
      <c r="O76" s="101" t="s">
        <v>806</v>
      </c>
      <c r="P76" s="101">
        <v>760116</v>
      </c>
      <c r="Q76" t="s">
        <v>899</v>
      </c>
      <c r="R76" t="s">
        <v>779</v>
      </c>
      <c r="S76"/>
      <c r="T76"/>
      <c r="U76"/>
      <c r="V76" s="222"/>
    </row>
    <row r="77" spans="1:22" x14ac:dyDescent="0.2">
      <c r="A77" t="s">
        <v>797</v>
      </c>
      <c r="B77" s="101">
        <v>7</v>
      </c>
      <c r="C77" s="101">
        <v>-1</v>
      </c>
      <c r="D77" s="101">
        <v>7</v>
      </c>
      <c r="E77" s="101">
        <v>-4</v>
      </c>
      <c r="F77" s="101">
        <v>14</v>
      </c>
      <c r="G77" s="101">
        <v>-24</v>
      </c>
      <c r="H77" s="101">
        <v>-5.4</v>
      </c>
      <c r="I77" s="102">
        <v>0.18</v>
      </c>
      <c r="J77" s="102">
        <v>0.4</v>
      </c>
      <c r="K77" s="101">
        <v>11</v>
      </c>
      <c r="L77" s="101">
        <v>0.3</v>
      </c>
      <c r="M77" s="101" t="s">
        <v>1088</v>
      </c>
      <c r="N77" s="101">
        <v>2000</v>
      </c>
      <c r="O77" s="101" t="s">
        <v>806</v>
      </c>
      <c r="P77" s="101">
        <v>296152</v>
      </c>
      <c r="Q77" t="s">
        <v>832</v>
      </c>
      <c r="R77" t="s">
        <v>782</v>
      </c>
      <c r="S77" t="s">
        <v>1111</v>
      </c>
      <c r="T77"/>
      <c r="U77"/>
      <c r="V77" s="222"/>
    </row>
    <row r="78" spans="1:22" x14ac:dyDescent="0.2">
      <c r="A78" t="s">
        <v>876</v>
      </c>
      <c r="B78" s="101">
        <v>6</v>
      </c>
      <c r="C78" s="101">
        <v>-3</v>
      </c>
      <c r="D78" s="101">
        <v>7</v>
      </c>
      <c r="E78" s="101">
        <v>-5</v>
      </c>
      <c r="F78" s="101">
        <v>20</v>
      </c>
      <c r="G78" s="101">
        <v>-25</v>
      </c>
      <c r="H78" s="101">
        <v>-5.6</v>
      </c>
      <c r="I78" s="102">
        <v>0.18</v>
      </c>
      <c r="J78" s="102">
        <v>0.4</v>
      </c>
      <c r="K78" s="101">
        <v>14.2</v>
      </c>
      <c r="L78" s="101">
        <v>0.4</v>
      </c>
      <c r="M78" s="101" t="s">
        <v>1088</v>
      </c>
      <c r="N78" s="101">
        <v>2000</v>
      </c>
      <c r="O78" s="101" t="s">
        <v>806</v>
      </c>
      <c r="P78" s="101">
        <v>645952</v>
      </c>
      <c r="Q78" t="s">
        <v>865</v>
      </c>
      <c r="R78" t="s">
        <v>782</v>
      </c>
      <c r="S78"/>
      <c r="T78"/>
      <c r="U78"/>
      <c r="V78" s="222"/>
    </row>
    <row r="79" spans="1:22" x14ac:dyDescent="0.2">
      <c r="A79" t="s">
        <v>512</v>
      </c>
      <c r="B79" s="101">
        <v>5</v>
      </c>
      <c r="C79" s="101">
        <v>-2</v>
      </c>
      <c r="D79" s="101">
        <v>5</v>
      </c>
      <c r="E79" s="101">
        <v>-5</v>
      </c>
      <c r="F79" s="101">
        <v>7</v>
      </c>
      <c r="G79" s="101">
        <v>-31</v>
      </c>
      <c r="H79" s="101">
        <v>-7.1</v>
      </c>
      <c r="I79" s="102">
        <v>0.19</v>
      </c>
      <c r="J79" s="102">
        <v>0.4</v>
      </c>
      <c r="K79" s="101">
        <v>10.8</v>
      </c>
      <c r="L79" s="101">
        <v>0.1</v>
      </c>
      <c r="M79" s="101" t="s">
        <v>1088</v>
      </c>
      <c r="N79" s="101">
        <v>2000</v>
      </c>
      <c r="O79" s="101" t="s">
        <v>806</v>
      </c>
      <c r="P79" s="101">
        <v>844522</v>
      </c>
      <c r="Q79" t="s">
        <v>852</v>
      </c>
      <c r="R79" t="s">
        <v>509</v>
      </c>
      <c r="S79"/>
      <c r="T79"/>
      <c r="U79"/>
      <c r="V79" s="222"/>
    </row>
    <row r="80" spans="1:22" x14ac:dyDescent="0.2">
      <c r="A80" t="s">
        <v>513</v>
      </c>
      <c r="B80" s="101">
        <v>5</v>
      </c>
      <c r="C80" s="101">
        <v>-2</v>
      </c>
      <c r="D80" s="101">
        <v>5</v>
      </c>
      <c r="E80" s="101">
        <v>-5</v>
      </c>
      <c r="F80" s="101">
        <v>5</v>
      </c>
      <c r="G80" s="101">
        <v>-31</v>
      </c>
      <c r="H80" s="101">
        <v>-7.2</v>
      </c>
      <c r="I80" s="102">
        <v>0.19</v>
      </c>
      <c r="J80" s="102">
        <v>0.4</v>
      </c>
      <c r="K80" s="101">
        <v>10.8</v>
      </c>
      <c r="L80" s="101">
        <v>0.1</v>
      </c>
      <c r="M80" s="101" t="s">
        <v>1088</v>
      </c>
      <c r="N80" s="101">
        <v>2000</v>
      </c>
      <c r="O80" s="101" t="s">
        <v>806</v>
      </c>
      <c r="P80" s="101">
        <v>498972</v>
      </c>
      <c r="Q80" t="s">
        <v>852</v>
      </c>
      <c r="R80" t="s">
        <v>509</v>
      </c>
      <c r="S80"/>
      <c r="T80"/>
      <c r="U80"/>
      <c r="V80" s="222"/>
    </row>
    <row r="81" spans="1:22" x14ac:dyDescent="0.2">
      <c r="A81" t="s">
        <v>518</v>
      </c>
      <c r="B81" s="101">
        <v>5</v>
      </c>
      <c r="C81" s="101">
        <v>-2</v>
      </c>
      <c r="D81" s="101">
        <v>5</v>
      </c>
      <c r="E81" s="101">
        <v>-4</v>
      </c>
      <c r="F81" s="101">
        <v>6</v>
      </c>
      <c r="G81" s="101">
        <v>-32</v>
      </c>
      <c r="H81" s="101">
        <v>-7.5</v>
      </c>
      <c r="I81" s="102">
        <v>0.19</v>
      </c>
      <c r="J81" s="102">
        <v>0.4</v>
      </c>
      <c r="K81" s="101">
        <v>9.3000000000000007</v>
      </c>
      <c r="L81" s="101">
        <v>0.1</v>
      </c>
      <c r="M81" s="101" t="s">
        <v>1088</v>
      </c>
      <c r="N81" s="101">
        <v>2000</v>
      </c>
      <c r="O81" s="101" t="s">
        <v>806</v>
      </c>
      <c r="P81" s="101">
        <v>463141</v>
      </c>
      <c r="Q81" t="s">
        <v>852</v>
      </c>
      <c r="R81" t="s">
        <v>362</v>
      </c>
      <c r="S81"/>
      <c r="T81"/>
      <c r="U81"/>
      <c r="V81" s="222"/>
    </row>
    <row r="82" spans="1:22" x14ac:dyDescent="0.2">
      <c r="A82" t="s">
        <v>874</v>
      </c>
      <c r="B82" s="101">
        <v>2</v>
      </c>
      <c r="C82" s="101">
        <v>-7</v>
      </c>
      <c r="D82" s="101">
        <v>4</v>
      </c>
      <c r="E82" s="101">
        <v>-17</v>
      </c>
      <c r="F82" s="101">
        <v>-11</v>
      </c>
      <c r="G82" s="101">
        <v>-46</v>
      </c>
      <c r="H82" s="101">
        <v>-11.5</v>
      </c>
      <c r="I82" s="102">
        <v>0.18</v>
      </c>
      <c r="J82" s="102">
        <v>0.4</v>
      </c>
      <c r="K82" s="101">
        <v>17.3</v>
      </c>
      <c r="L82" s="101">
        <v>-0.2</v>
      </c>
      <c r="M82" s="101" t="s">
        <v>1088</v>
      </c>
      <c r="N82" s="101">
        <v>2000</v>
      </c>
      <c r="O82" s="101" t="s">
        <v>806</v>
      </c>
      <c r="P82" s="101">
        <v>538462</v>
      </c>
      <c r="Q82" t="s">
        <v>865</v>
      </c>
      <c r="R82" t="s">
        <v>92</v>
      </c>
      <c r="S82"/>
      <c r="T82"/>
      <c r="U82"/>
      <c r="V82" s="222"/>
    </row>
    <row r="83" spans="1:22" x14ac:dyDescent="0.2">
      <c r="A83" t="s">
        <v>1064</v>
      </c>
      <c r="B83" s="101"/>
      <c r="C83" s="101">
        <v>-4</v>
      </c>
      <c r="D83" s="101"/>
      <c r="E83" s="101"/>
      <c r="F83" s="101"/>
      <c r="G83" s="101"/>
      <c r="H83" s="101"/>
      <c r="I83" s="102">
        <v>0.18</v>
      </c>
      <c r="J83" s="102">
        <v>0.4</v>
      </c>
      <c r="K83" s="101"/>
      <c r="L83" s="101"/>
      <c r="M83" s="101" t="s">
        <v>1088</v>
      </c>
      <c r="N83" s="101">
        <v>2012</v>
      </c>
      <c r="O83" s="101" t="s">
        <v>806</v>
      </c>
      <c r="P83" s="101">
        <v>229682</v>
      </c>
      <c r="Q83" t="s">
        <v>865</v>
      </c>
      <c r="R83" t="s">
        <v>152</v>
      </c>
      <c r="S83"/>
      <c r="T83"/>
      <c r="U83"/>
      <c r="V83" s="222"/>
    </row>
    <row r="84" spans="1:22" x14ac:dyDescent="0.2">
      <c r="A84" t="s">
        <v>880</v>
      </c>
      <c r="B84" s="101">
        <v>8</v>
      </c>
      <c r="C84" s="101">
        <v>-1</v>
      </c>
      <c r="D84" s="101">
        <v>8</v>
      </c>
      <c r="E84" s="101">
        <v>12</v>
      </c>
      <c r="F84" s="101">
        <v>18</v>
      </c>
      <c r="G84" s="101"/>
      <c r="H84" s="101"/>
      <c r="I84" s="102">
        <v>0.18</v>
      </c>
      <c r="J84" s="102">
        <v>0.4</v>
      </c>
      <c r="K84" s="101">
        <v>10.8</v>
      </c>
      <c r="L84" s="101">
        <v>0.4</v>
      </c>
      <c r="M84" s="101" t="s">
        <v>1088</v>
      </c>
      <c r="N84" s="101">
        <v>2007</v>
      </c>
      <c r="O84" s="101" t="s">
        <v>806</v>
      </c>
      <c r="P84" s="101">
        <v>520692</v>
      </c>
      <c r="Q84" t="s">
        <v>865</v>
      </c>
      <c r="R84" t="s">
        <v>108</v>
      </c>
      <c r="S84"/>
      <c r="T84"/>
      <c r="U84"/>
      <c r="V84" s="222"/>
    </row>
    <row r="85" spans="1:22" x14ac:dyDescent="0.2">
      <c r="A85" t="s">
        <v>1121</v>
      </c>
      <c r="B85" s="101"/>
      <c r="C85" s="101"/>
      <c r="D85" s="101"/>
      <c r="E85" s="101"/>
      <c r="F85" s="101"/>
      <c r="G85" s="101"/>
      <c r="H85" s="101"/>
      <c r="I85" s="102">
        <v>0.22</v>
      </c>
      <c r="J85" s="102">
        <v>0.4</v>
      </c>
      <c r="K85" s="101"/>
      <c r="L85" s="101"/>
      <c r="M85" s="101" t="s">
        <v>1088</v>
      </c>
      <c r="N85" s="101">
        <v>2012</v>
      </c>
      <c r="O85" s="101" t="s">
        <v>806</v>
      </c>
      <c r="P85" s="101">
        <v>316513</v>
      </c>
      <c r="Q85" t="s">
        <v>736</v>
      </c>
      <c r="R85" t="s">
        <v>108</v>
      </c>
      <c r="S85"/>
      <c r="T85"/>
      <c r="U85"/>
      <c r="V85" s="222"/>
    </row>
    <row r="86" spans="1:22" x14ac:dyDescent="0.2">
      <c r="A86" t="s">
        <v>1122</v>
      </c>
      <c r="B86" s="101"/>
      <c r="C86" s="101"/>
      <c r="D86" s="101"/>
      <c r="E86" s="101"/>
      <c r="F86" s="101"/>
      <c r="G86" s="101"/>
      <c r="H86" s="101"/>
      <c r="I86" s="102">
        <v>0.22</v>
      </c>
      <c r="J86" s="102">
        <v>0.4</v>
      </c>
      <c r="K86" s="101"/>
      <c r="L86" s="101"/>
      <c r="M86" s="101" t="s">
        <v>1088</v>
      </c>
      <c r="N86" s="101">
        <v>2012</v>
      </c>
      <c r="O86" s="101" t="s">
        <v>806</v>
      </c>
      <c r="P86" s="101">
        <v>683318</v>
      </c>
      <c r="Q86" t="s">
        <v>736</v>
      </c>
      <c r="R86" t="s">
        <v>779</v>
      </c>
      <c r="S86"/>
      <c r="T86"/>
      <c r="U86"/>
      <c r="V86" s="222"/>
    </row>
    <row r="87" spans="1:22" x14ac:dyDescent="0.2">
      <c r="A87" t="s">
        <v>374</v>
      </c>
      <c r="B87" s="101">
        <v>1</v>
      </c>
      <c r="C87" s="101">
        <v>-3</v>
      </c>
      <c r="D87" s="101">
        <v>2</v>
      </c>
      <c r="E87" s="101">
        <v>-10</v>
      </c>
      <c r="F87" s="101">
        <v>-4</v>
      </c>
      <c r="G87" s="101">
        <v>-43</v>
      </c>
      <c r="H87" s="101">
        <v>-10.5</v>
      </c>
      <c r="I87" s="102">
        <v>0.2</v>
      </c>
      <c r="J87" s="102">
        <v>0.40719</v>
      </c>
      <c r="K87" s="101">
        <v>13.2</v>
      </c>
      <c r="L87" s="101">
        <v>-0.2</v>
      </c>
      <c r="M87" s="101" t="s">
        <v>1088</v>
      </c>
      <c r="N87" s="101">
        <v>2000</v>
      </c>
      <c r="O87" s="101" t="s">
        <v>806</v>
      </c>
      <c r="P87" s="101">
        <v>629543</v>
      </c>
      <c r="Q87" t="s">
        <v>729</v>
      </c>
      <c r="R87" t="s">
        <v>102</v>
      </c>
      <c r="S87"/>
      <c r="T87"/>
      <c r="U87"/>
      <c r="V87" s="222"/>
    </row>
    <row r="88" spans="1:22" x14ac:dyDescent="0.2">
      <c r="A88" t="s">
        <v>1103</v>
      </c>
      <c r="B88" s="101">
        <v>6</v>
      </c>
      <c r="C88" s="101">
        <v>-3</v>
      </c>
      <c r="D88" s="101">
        <v>7</v>
      </c>
      <c r="E88" s="101"/>
      <c r="F88" s="101"/>
      <c r="G88" s="101"/>
      <c r="H88" s="101"/>
      <c r="I88" s="102">
        <v>0.21</v>
      </c>
      <c r="J88" s="102">
        <v>0.41</v>
      </c>
      <c r="K88" s="101"/>
      <c r="L88" s="101"/>
      <c r="M88" s="101" t="s">
        <v>1088</v>
      </c>
      <c r="N88" s="101">
        <v>2012</v>
      </c>
      <c r="O88" s="101" t="s">
        <v>806</v>
      </c>
      <c r="P88" s="101">
        <v>465914</v>
      </c>
      <c r="Q88" t="s">
        <v>729</v>
      </c>
      <c r="R88" t="s">
        <v>779</v>
      </c>
      <c r="S88"/>
      <c r="T88"/>
      <c r="U88"/>
      <c r="V88" s="222"/>
    </row>
    <row r="89" spans="1:22" x14ac:dyDescent="0.2">
      <c r="A89" t="s">
        <v>559</v>
      </c>
      <c r="B89" s="101">
        <v>1</v>
      </c>
      <c r="C89" s="101">
        <v>1</v>
      </c>
      <c r="D89" s="101">
        <v>1</v>
      </c>
      <c r="E89" s="101">
        <v>7</v>
      </c>
      <c r="F89" s="101">
        <v>5</v>
      </c>
      <c r="G89" s="101">
        <v>15</v>
      </c>
      <c r="H89" s="101">
        <v>2.9</v>
      </c>
      <c r="I89" s="102">
        <v>0.14000000000000001</v>
      </c>
      <c r="J89" s="102">
        <v>0.42</v>
      </c>
      <c r="K89" s="101">
        <v>4</v>
      </c>
      <c r="L89" s="101">
        <v>0.1</v>
      </c>
      <c r="M89" s="101" t="s">
        <v>1088</v>
      </c>
      <c r="N89" s="101">
        <v>2000</v>
      </c>
      <c r="O89" s="101" t="s">
        <v>806</v>
      </c>
      <c r="P89" s="101">
        <v>677534</v>
      </c>
      <c r="Q89" t="s">
        <v>182</v>
      </c>
      <c r="R89" t="s">
        <v>594</v>
      </c>
      <c r="S89"/>
      <c r="T89"/>
      <c r="U89"/>
      <c r="V89" s="222"/>
    </row>
    <row r="90" spans="1:22" x14ac:dyDescent="0.2">
      <c r="A90" t="s">
        <v>118</v>
      </c>
      <c r="B90" s="101">
        <v>1</v>
      </c>
      <c r="C90" s="101">
        <v>1</v>
      </c>
      <c r="D90" s="101">
        <v>1</v>
      </c>
      <c r="E90" s="101">
        <v>3</v>
      </c>
      <c r="F90" s="101">
        <v>5</v>
      </c>
      <c r="G90" s="101">
        <v>10</v>
      </c>
      <c r="H90" s="101">
        <v>1.9</v>
      </c>
      <c r="I90" s="102">
        <v>0.17</v>
      </c>
      <c r="J90" s="102">
        <v>0.42</v>
      </c>
      <c r="K90" s="101">
        <v>0.3</v>
      </c>
      <c r="L90" s="101">
        <v>1.1000000000000001</v>
      </c>
      <c r="M90" s="101" t="s">
        <v>1088</v>
      </c>
      <c r="N90" s="101">
        <v>2000</v>
      </c>
      <c r="O90" s="101" t="s">
        <v>685</v>
      </c>
      <c r="P90" s="101">
        <v>718205</v>
      </c>
      <c r="Q90" t="s">
        <v>729</v>
      </c>
      <c r="R90" t="s">
        <v>536</v>
      </c>
      <c r="S90"/>
      <c r="T90"/>
      <c r="U90"/>
      <c r="V90" s="222"/>
    </row>
    <row r="91" spans="1:22" x14ac:dyDescent="0.2">
      <c r="A91" t="s">
        <v>560</v>
      </c>
      <c r="B91" s="101">
        <v>1</v>
      </c>
      <c r="C91" s="101">
        <v>1</v>
      </c>
      <c r="D91" s="101">
        <v>1</v>
      </c>
      <c r="E91" s="101">
        <v>6</v>
      </c>
      <c r="F91" s="101">
        <v>4</v>
      </c>
      <c r="G91" s="101">
        <v>7</v>
      </c>
      <c r="H91" s="101">
        <v>1.4</v>
      </c>
      <c r="I91" s="102">
        <v>0.14000000000000001</v>
      </c>
      <c r="J91" s="102">
        <v>0.42</v>
      </c>
      <c r="K91" s="101">
        <v>4.3</v>
      </c>
      <c r="L91" s="101">
        <v>0</v>
      </c>
      <c r="M91" s="101" t="s">
        <v>1088</v>
      </c>
      <c r="N91" s="101">
        <v>2001</v>
      </c>
      <c r="O91" s="101" t="s">
        <v>806</v>
      </c>
      <c r="P91" s="101">
        <v>680546</v>
      </c>
      <c r="Q91" t="s">
        <v>182</v>
      </c>
      <c r="R91" t="s">
        <v>594</v>
      </c>
      <c r="S91"/>
      <c r="T91"/>
      <c r="U91"/>
      <c r="V91" s="222"/>
    </row>
    <row r="92" spans="1:22" x14ac:dyDescent="0.2">
      <c r="A92" t="s">
        <v>564</v>
      </c>
      <c r="B92" s="101">
        <v>4</v>
      </c>
      <c r="C92" s="101">
        <v>0</v>
      </c>
      <c r="D92" s="101">
        <v>4</v>
      </c>
      <c r="E92" s="101">
        <v>1</v>
      </c>
      <c r="F92" s="101">
        <v>3</v>
      </c>
      <c r="G92" s="101">
        <v>-10</v>
      </c>
      <c r="H92" s="101">
        <v>-2.1</v>
      </c>
      <c r="I92" s="102">
        <v>0.18</v>
      </c>
      <c r="J92" s="102">
        <v>0.42</v>
      </c>
      <c r="K92" s="101">
        <v>5.8</v>
      </c>
      <c r="L92" s="101">
        <v>0</v>
      </c>
      <c r="M92" s="101" t="s">
        <v>1088</v>
      </c>
      <c r="N92" s="101">
        <v>2000</v>
      </c>
      <c r="O92" s="101" t="s">
        <v>806</v>
      </c>
      <c r="P92" s="101">
        <v>749192</v>
      </c>
      <c r="Q92" t="s">
        <v>182</v>
      </c>
      <c r="R92" t="s">
        <v>314</v>
      </c>
      <c r="S92"/>
      <c r="T92"/>
      <c r="U92"/>
      <c r="V92" s="222"/>
    </row>
    <row r="93" spans="1:22" x14ac:dyDescent="0.2">
      <c r="A93" t="s">
        <v>568</v>
      </c>
      <c r="B93" s="101">
        <v>5</v>
      </c>
      <c r="C93" s="101">
        <v>-3</v>
      </c>
      <c r="D93" s="101">
        <v>6</v>
      </c>
      <c r="E93" s="101">
        <v>-5</v>
      </c>
      <c r="F93" s="101">
        <v>18</v>
      </c>
      <c r="G93" s="101">
        <v>-22</v>
      </c>
      <c r="H93" s="101">
        <v>-5</v>
      </c>
      <c r="I93" s="102">
        <v>0.18</v>
      </c>
      <c r="J93" s="102">
        <v>0.42</v>
      </c>
      <c r="K93" s="101">
        <v>11.9</v>
      </c>
      <c r="L93" s="101">
        <v>0.4</v>
      </c>
      <c r="M93" s="101" t="s">
        <v>1088</v>
      </c>
      <c r="N93" s="101">
        <v>2000</v>
      </c>
      <c r="O93" s="101" t="s">
        <v>806</v>
      </c>
      <c r="P93" s="101">
        <v>785022</v>
      </c>
      <c r="Q93" t="s">
        <v>182</v>
      </c>
      <c r="R93" t="s">
        <v>782</v>
      </c>
      <c r="S93"/>
      <c r="T93"/>
      <c r="U93"/>
      <c r="V93" s="222"/>
    </row>
    <row r="94" spans="1:22" x14ac:dyDescent="0.2">
      <c r="A94" t="s">
        <v>884</v>
      </c>
      <c r="B94" s="101">
        <v>3</v>
      </c>
      <c r="C94" s="101">
        <v>0</v>
      </c>
      <c r="D94" s="101">
        <v>3</v>
      </c>
      <c r="E94" s="101">
        <v>2</v>
      </c>
      <c r="F94" s="101">
        <v>13</v>
      </c>
      <c r="G94" s="101"/>
      <c r="H94" s="101"/>
      <c r="I94" s="102">
        <v>0.21</v>
      </c>
      <c r="J94" s="102">
        <v>0.43652400000000002</v>
      </c>
      <c r="K94" s="101">
        <v>3.4</v>
      </c>
      <c r="L94" s="101">
        <v>0.8</v>
      </c>
      <c r="M94" s="101" t="s">
        <v>1088</v>
      </c>
      <c r="N94" s="101">
        <v>2009</v>
      </c>
      <c r="O94" s="101" t="s">
        <v>685</v>
      </c>
      <c r="P94" s="101">
        <v>891093</v>
      </c>
      <c r="Q94" t="s">
        <v>729</v>
      </c>
      <c r="R94" t="s">
        <v>358</v>
      </c>
      <c r="S94"/>
      <c r="T94"/>
      <c r="U94"/>
      <c r="V94" s="222"/>
    </row>
    <row r="95" spans="1:22" x14ac:dyDescent="0.2">
      <c r="A95" t="s">
        <v>666</v>
      </c>
      <c r="B95" s="101">
        <v>2</v>
      </c>
      <c r="C95" s="101">
        <v>-1</v>
      </c>
      <c r="D95" s="101">
        <v>1</v>
      </c>
      <c r="E95" s="101">
        <v>-5</v>
      </c>
      <c r="F95" s="101">
        <v>-12</v>
      </c>
      <c r="G95" s="101">
        <v>0</v>
      </c>
      <c r="H95" s="101">
        <v>0</v>
      </c>
      <c r="I95" s="102">
        <v>0.21</v>
      </c>
      <c r="J95" s="102">
        <v>0.45</v>
      </c>
      <c r="K95" s="101">
        <v>5.5</v>
      </c>
      <c r="L95" s="101">
        <v>-0.9</v>
      </c>
      <c r="M95" s="101" t="s">
        <v>1089</v>
      </c>
      <c r="N95" s="101">
        <v>2001</v>
      </c>
      <c r="O95" s="101" t="s">
        <v>685</v>
      </c>
      <c r="P95" s="101">
        <v>621631</v>
      </c>
      <c r="Q95" t="s">
        <v>819</v>
      </c>
      <c r="R95" t="s">
        <v>664</v>
      </c>
      <c r="S95"/>
      <c r="T95"/>
      <c r="U95"/>
      <c r="V95" s="222"/>
    </row>
    <row r="96" spans="1:22" x14ac:dyDescent="0.2">
      <c r="A96" t="s">
        <v>849</v>
      </c>
      <c r="B96" s="101">
        <v>-2</v>
      </c>
      <c r="C96" s="101">
        <v>-15</v>
      </c>
      <c r="D96" s="101">
        <v>-2</v>
      </c>
      <c r="E96" s="101">
        <v>-25</v>
      </c>
      <c r="F96" s="101">
        <v>-3</v>
      </c>
      <c r="G96" s="101">
        <v>-38</v>
      </c>
      <c r="H96" s="101">
        <v>-9</v>
      </c>
      <c r="I96" s="102">
        <v>0.26</v>
      </c>
      <c r="J96" s="102">
        <v>0.45400000000000001</v>
      </c>
      <c r="K96" s="101">
        <v>19.7</v>
      </c>
      <c r="L96" s="101">
        <v>0</v>
      </c>
      <c r="M96" s="101" t="s">
        <v>1089</v>
      </c>
      <c r="N96" s="101">
        <v>2005</v>
      </c>
      <c r="O96" s="101" t="s">
        <v>685</v>
      </c>
      <c r="P96" s="101">
        <v>133298</v>
      </c>
      <c r="Q96" t="s">
        <v>106</v>
      </c>
      <c r="R96" t="s">
        <v>250</v>
      </c>
      <c r="S96"/>
      <c r="T96"/>
      <c r="U96"/>
      <c r="V96" s="222"/>
    </row>
    <row r="97" spans="1:22" x14ac:dyDescent="0.2">
      <c r="A97" t="s">
        <v>802</v>
      </c>
      <c r="B97" s="101">
        <v>2</v>
      </c>
      <c r="C97" s="101">
        <v>-5</v>
      </c>
      <c r="D97" s="101">
        <v>4</v>
      </c>
      <c r="E97" s="101">
        <v>-10</v>
      </c>
      <c r="F97" s="101">
        <v>2</v>
      </c>
      <c r="G97" s="101">
        <v>-31</v>
      </c>
      <c r="H97" s="101">
        <v>-7.1</v>
      </c>
      <c r="I97" s="102">
        <v>0.26</v>
      </c>
      <c r="J97" s="102">
        <v>0.46400000000000002</v>
      </c>
      <c r="K97" s="101">
        <v>13.2</v>
      </c>
      <c r="L97" s="101">
        <v>0</v>
      </c>
      <c r="M97" s="101" t="s">
        <v>1089</v>
      </c>
      <c r="N97" s="101">
        <v>2000</v>
      </c>
      <c r="O97" s="101" t="s">
        <v>685</v>
      </c>
      <c r="P97" s="101">
        <v>515387</v>
      </c>
      <c r="Q97" t="s">
        <v>106</v>
      </c>
      <c r="R97" t="s">
        <v>102</v>
      </c>
      <c r="S97"/>
      <c r="T97"/>
      <c r="U97"/>
      <c r="V97" s="222"/>
    </row>
    <row r="98" spans="1:22" x14ac:dyDescent="0.2">
      <c r="A98" t="s">
        <v>538</v>
      </c>
      <c r="B98" s="101">
        <v>-2</v>
      </c>
      <c r="C98" s="101">
        <v>-2</v>
      </c>
      <c r="D98" s="101">
        <v>-2</v>
      </c>
      <c r="E98" s="101">
        <v>0</v>
      </c>
      <c r="F98" s="101">
        <v>-2</v>
      </c>
      <c r="G98" s="101">
        <v>-5</v>
      </c>
      <c r="H98" s="101">
        <v>-1.1000000000000001</v>
      </c>
      <c r="I98" s="102">
        <v>0.23</v>
      </c>
      <c r="J98" s="102">
        <v>0.48</v>
      </c>
      <c r="K98" s="101">
        <v>2.2999999999999998</v>
      </c>
      <c r="L98" s="101">
        <v>-0.9</v>
      </c>
      <c r="M98" s="101" t="s">
        <v>1088</v>
      </c>
      <c r="N98" s="101">
        <v>2001</v>
      </c>
      <c r="O98" s="101" t="s">
        <v>806</v>
      </c>
      <c r="P98" s="101">
        <v>134593</v>
      </c>
      <c r="Q98" t="s">
        <v>756</v>
      </c>
      <c r="R98" t="s">
        <v>536</v>
      </c>
      <c r="S98"/>
      <c r="T98"/>
      <c r="U98"/>
      <c r="V98" s="222"/>
    </row>
    <row r="99" spans="1:22" x14ac:dyDescent="0.2">
      <c r="A99" t="s">
        <v>360</v>
      </c>
      <c r="B99" s="101">
        <v>-1</v>
      </c>
      <c r="C99" s="101">
        <v>0</v>
      </c>
      <c r="D99" s="101">
        <v>0</v>
      </c>
      <c r="E99" s="101">
        <v>0</v>
      </c>
      <c r="F99" s="101">
        <v>2</v>
      </c>
      <c r="G99" s="101">
        <v>-17</v>
      </c>
      <c r="H99" s="101">
        <v>-3.7</v>
      </c>
      <c r="I99" s="102">
        <v>0.22</v>
      </c>
      <c r="J99" s="102">
        <v>0.48</v>
      </c>
      <c r="K99" s="101">
        <v>5.5</v>
      </c>
      <c r="L99" s="101">
        <v>-0.1</v>
      </c>
      <c r="M99" s="101" t="s">
        <v>1088</v>
      </c>
      <c r="N99" s="101">
        <v>2000</v>
      </c>
      <c r="O99" s="101" t="s">
        <v>806</v>
      </c>
      <c r="P99" s="101">
        <v>850602</v>
      </c>
      <c r="Q99" t="s">
        <v>751</v>
      </c>
      <c r="R99" t="s">
        <v>358</v>
      </c>
      <c r="S99"/>
      <c r="T99"/>
      <c r="U99"/>
      <c r="V99" s="222"/>
    </row>
    <row r="100" spans="1:22" x14ac:dyDescent="0.2">
      <c r="A100" t="s">
        <v>361</v>
      </c>
      <c r="B100" s="101">
        <v>0</v>
      </c>
      <c r="C100" s="101">
        <v>-1</v>
      </c>
      <c r="D100" s="101">
        <v>0</v>
      </c>
      <c r="E100" s="101">
        <v>-2</v>
      </c>
      <c r="F100" s="101">
        <v>5</v>
      </c>
      <c r="G100" s="101">
        <v>-26</v>
      </c>
      <c r="H100" s="101">
        <v>-5.9</v>
      </c>
      <c r="I100" s="102">
        <v>0.22</v>
      </c>
      <c r="J100" s="102">
        <v>0.48</v>
      </c>
      <c r="K100" s="101">
        <v>7.7</v>
      </c>
      <c r="L100" s="101">
        <v>0</v>
      </c>
      <c r="M100" s="101" t="s">
        <v>1088</v>
      </c>
      <c r="N100" s="101">
        <v>2000</v>
      </c>
      <c r="O100" s="101" t="s">
        <v>806</v>
      </c>
      <c r="P100" s="101">
        <v>814772</v>
      </c>
      <c r="Q100" t="s">
        <v>751</v>
      </c>
      <c r="R100" t="s">
        <v>358</v>
      </c>
      <c r="S100"/>
      <c r="T100"/>
      <c r="U100"/>
      <c r="V100" s="222"/>
    </row>
    <row r="101" spans="1:22" x14ac:dyDescent="0.2">
      <c r="A101" t="s">
        <v>366</v>
      </c>
      <c r="B101" s="101">
        <v>1</v>
      </c>
      <c r="C101" s="101">
        <v>-3</v>
      </c>
      <c r="D101" s="101">
        <v>1</v>
      </c>
      <c r="E101" s="101">
        <v>-5</v>
      </c>
      <c r="F101" s="101">
        <v>6</v>
      </c>
      <c r="G101" s="101">
        <v>-30</v>
      </c>
      <c r="H101" s="101">
        <v>-6.9</v>
      </c>
      <c r="I101" s="102">
        <v>0.22</v>
      </c>
      <c r="J101" s="102">
        <v>0.48</v>
      </c>
      <c r="K101" s="101">
        <v>10.7</v>
      </c>
      <c r="L101" s="101">
        <v>0.1</v>
      </c>
      <c r="M101" s="101" t="s">
        <v>1088</v>
      </c>
      <c r="N101" s="101">
        <v>2000</v>
      </c>
      <c r="O101" s="101" t="s">
        <v>806</v>
      </c>
      <c r="P101" s="101">
        <v>778944</v>
      </c>
      <c r="Q101" t="s">
        <v>751</v>
      </c>
      <c r="R101" t="s">
        <v>362</v>
      </c>
      <c r="S101"/>
      <c r="T101"/>
      <c r="U101"/>
      <c r="V101" s="222"/>
    </row>
    <row r="102" spans="1:22" x14ac:dyDescent="0.2">
      <c r="A102" t="s">
        <v>365</v>
      </c>
      <c r="B102" s="101">
        <v>1</v>
      </c>
      <c r="C102" s="101">
        <v>-3</v>
      </c>
      <c r="D102" s="101">
        <v>2</v>
      </c>
      <c r="E102" s="101">
        <v>-5</v>
      </c>
      <c r="F102" s="101">
        <v>6</v>
      </c>
      <c r="G102" s="101">
        <v>-30</v>
      </c>
      <c r="H102" s="101">
        <v>-6.9</v>
      </c>
      <c r="I102" s="102">
        <v>0.22</v>
      </c>
      <c r="J102" s="102">
        <v>0.48</v>
      </c>
      <c r="K102" s="101">
        <v>11.1</v>
      </c>
      <c r="L102" s="101">
        <v>0.1</v>
      </c>
      <c r="M102" s="101" t="s">
        <v>1088</v>
      </c>
      <c r="N102" s="101">
        <v>2000</v>
      </c>
      <c r="O102" s="101" t="s">
        <v>806</v>
      </c>
      <c r="P102" s="101">
        <v>743112</v>
      </c>
      <c r="Q102" t="s">
        <v>751</v>
      </c>
      <c r="R102" t="s">
        <v>362</v>
      </c>
      <c r="S102"/>
      <c r="T102"/>
      <c r="U102"/>
      <c r="V102" s="222"/>
    </row>
    <row r="103" spans="1:22" x14ac:dyDescent="0.2">
      <c r="A103" t="s">
        <v>535</v>
      </c>
      <c r="B103" s="101">
        <v>2</v>
      </c>
      <c r="C103" s="101">
        <v>-3</v>
      </c>
      <c r="D103" s="101">
        <v>2</v>
      </c>
      <c r="E103" s="101">
        <v>-5</v>
      </c>
      <c r="F103" s="101">
        <v>6</v>
      </c>
      <c r="G103" s="101">
        <v>-30</v>
      </c>
      <c r="H103" s="101">
        <v>-6.9</v>
      </c>
      <c r="I103" s="102">
        <v>0.22</v>
      </c>
      <c r="J103" s="102">
        <v>0.48</v>
      </c>
      <c r="K103" s="101">
        <v>11.1</v>
      </c>
      <c r="L103" s="101">
        <v>0.1</v>
      </c>
      <c r="M103" s="101" t="s">
        <v>1088</v>
      </c>
      <c r="N103" s="101">
        <v>2000</v>
      </c>
      <c r="O103" s="101" t="s">
        <v>806</v>
      </c>
      <c r="P103" s="101">
        <v>707281</v>
      </c>
      <c r="Q103" t="s">
        <v>751</v>
      </c>
      <c r="R103" t="s">
        <v>362</v>
      </c>
      <c r="S103"/>
      <c r="T103"/>
      <c r="U103"/>
      <c r="V103" s="222"/>
    </row>
    <row r="104" spans="1:22" x14ac:dyDescent="0.2">
      <c r="A104" t="s">
        <v>473</v>
      </c>
      <c r="B104" s="101">
        <v>6</v>
      </c>
      <c r="C104" s="101">
        <v>-2</v>
      </c>
      <c r="D104" s="101">
        <v>7</v>
      </c>
      <c r="E104" s="101">
        <v>-1</v>
      </c>
      <c r="F104" s="101">
        <v>4</v>
      </c>
      <c r="G104" s="101">
        <v>-24</v>
      </c>
      <c r="H104" s="101">
        <v>-5.4</v>
      </c>
      <c r="I104" s="102">
        <v>0.27</v>
      </c>
      <c r="J104" s="102">
        <v>0.48199999999999998</v>
      </c>
      <c r="K104" s="101">
        <v>11.5</v>
      </c>
      <c r="L104" s="101">
        <v>0</v>
      </c>
      <c r="M104" s="101" t="s">
        <v>1089</v>
      </c>
      <c r="N104" s="101">
        <v>2005</v>
      </c>
      <c r="O104" s="101" t="s">
        <v>685</v>
      </c>
      <c r="P104" s="101">
        <v>997460</v>
      </c>
      <c r="Q104" t="s">
        <v>106</v>
      </c>
      <c r="R104" t="s">
        <v>138</v>
      </c>
      <c r="S104"/>
      <c r="T104"/>
      <c r="U104"/>
      <c r="V104" s="222"/>
    </row>
    <row r="105" spans="1:22" x14ac:dyDescent="0.2">
      <c r="A105" t="s">
        <v>534</v>
      </c>
      <c r="B105" s="101">
        <v>2</v>
      </c>
      <c r="C105" s="101">
        <v>-3</v>
      </c>
      <c r="D105" s="101">
        <v>2</v>
      </c>
      <c r="E105" s="101">
        <v>-5</v>
      </c>
      <c r="F105" s="101">
        <v>6</v>
      </c>
      <c r="G105" s="101">
        <v>-30</v>
      </c>
      <c r="H105" s="101">
        <v>-6.8</v>
      </c>
      <c r="I105" s="102">
        <v>0.22</v>
      </c>
      <c r="J105" s="102">
        <v>0.49</v>
      </c>
      <c r="K105" s="101">
        <v>11.1</v>
      </c>
      <c r="L105" s="101">
        <v>0.1</v>
      </c>
      <c r="M105" s="101" t="s">
        <v>1088</v>
      </c>
      <c r="N105" s="101">
        <v>2000</v>
      </c>
      <c r="O105" s="101" t="s">
        <v>806</v>
      </c>
      <c r="P105" s="101">
        <v>671453</v>
      </c>
      <c r="Q105" t="s">
        <v>751</v>
      </c>
      <c r="R105" t="s">
        <v>509</v>
      </c>
      <c r="S105"/>
      <c r="T105"/>
      <c r="U105"/>
      <c r="V105" s="222"/>
    </row>
    <row r="106" spans="1:22" x14ac:dyDescent="0.2">
      <c r="A106" t="s">
        <v>780</v>
      </c>
      <c r="B106" s="101">
        <v>6</v>
      </c>
      <c r="C106" s="101">
        <v>-2</v>
      </c>
      <c r="D106" s="101">
        <v>7</v>
      </c>
      <c r="E106" s="101">
        <v>-7</v>
      </c>
      <c r="F106" s="101">
        <v>32</v>
      </c>
      <c r="G106" s="101">
        <v>-21</v>
      </c>
      <c r="H106" s="101">
        <v>-4.7</v>
      </c>
      <c r="I106" s="102">
        <v>0.25</v>
      </c>
      <c r="J106" s="102">
        <v>0.49769999999999998</v>
      </c>
      <c r="K106" s="101">
        <v>16.8</v>
      </c>
      <c r="L106" s="101">
        <v>0.6</v>
      </c>
      <c r="M106" s="101" t="s">
        <v>1088</v>
      </c>
      <c r="N106" s="101">
        <v>2005</v>
      </c>
      <c r="O106" s="101" t="s">
        <v>806</v>
      </c>
      <c r="P106" s="101">
        <v>577833</v>
      </c>
      <c r="Q106" t="s">
        <v>736</v>
      </c>
      <c r="R106" t="s">
        <v>779</v>
      </c>
      <c r="S106" t="s">
        <v>1111</v>
      </c>
      <c r="T106"/>
      <c r="U106"/>
      <c r="V106" s="222"/>
    </row>
    <row r="107" spans="1:22" x14ac:dyDescent="0.2">
      <c r="A107" t="s">
        <v>526</v>
      </c>
      <c r="B107" s="101">
        <v>-1</v>
      </c>
      <c r="C107" s="101">
        <v>-3</v>
      </c>
      <c r="D107" s="101">
        <v>-1</v>
      </c>
      <c r="E107" s="101">
        <v>-1</v>
      </c>
      <c r="F107" s="101">
        <v>3</v>
      </c>
      <c r="G107" s="101">
        <v>-8</v>
      </c>
      <c r="H107" s="101">
        <v>-1.6</v>
      </c>
      <c r="I107" s="102">
        <v>0.21</v>
      </c>
      <c r="J107" s="102">
        <v>0.49890000000000001</v>
      </c>
      <c r="K107" s="101">
        <v>4.5</v>
      </c>
      <c r="L107" s="101">
        <v>-0.1</v>
      </c>
      <c r="M107" s="101" t="s">
        <v>1088</v>
      </c>
      <c r="N107" s="101">
        <v>2000</v>
      </c>
      <c r="O107" s="101" t="s">
        <v>806</v>
      </c>
      <c r="P107" s="101">
        <v>502633</v>
      </c>
      <c r="Q107" t="s">
        <v>755</v>
      </c>
      <c r="R107" t="s">
        <v>358</v>
      </c>
      <c r="S107"/>
      <c r="T107"/>
      <c r="U107"/>
      <c r="V107" s="222"/>
    </row>
    <row r="108" spans="1:22" x14ac:dyDescent="0.2">
      <c r="A108" t="s">
        <v>392</v>
      </c>
      <c r="B108" s="101">
        <v>1</v>
      </c>
      <c r="C108" s="101">
        <v>1</v>
      </c>
      <c r="D108" s="101">
        <v>1</v>
      </c>
      <c r="E108" s="101">
        <v>6</v>
      </c>
      <c r="F108" s="101">
        <v>12</v>
      </c>
      <c r="G108" s="101">
        <v>28</v>
      </c>
      <c r="H108" s="101">
        <v>5.0999999999999996</v>
      </c>
      <c r="I108" s="102">
        <v>0.18</v>
      </c>
      <c r="J108" s="102">
        <v>0.5</v>
      </c>
      <c r="K108" s="101">
        <v>2</v>
      </c>
      <c r="L108" s="101">
        <v>1.2</v>
      </c>
      <c r="M108" s="101" t="s">
        <v>1088</v>
      </c>
      <c r="N108" s="101">
        <v>2010</v>
      </c>
      <c r="O108" s="101" t="s">
        <v>685</v>
      </c>
      <c r="P108" s="101">
        <v>756866</v>
      </c>
      <c r="Q108" t="s">
        <v>817</v>
      </c>
      <c r="R108" t="s">
        <v>594</v>
      </c>
      <c r="S108"/>
      <c r="T108"/>
      <c r="U108"/>
      <c r="V108" s="222"/>
    </row>
    <row r="109" spans="1:22" x14ac:dyDescent="0.2">
      <c r="A109" t="s">
        <v>926</v>
      </c>
      <c r="B109" s="101">
        <v>2</v>
      </c>
      <c r="C109" s="101">
        <v>1</v>
      </c>
      <c r="D109" s="101">
        <v>2</v>
      </c>
      <c r="E109" s="101">
        <v>3</v>
      </c>
      <c r="F109" s="101">
        <v>6</v>
      </c>
      <c r="G109" s="101">
        <v>15</v>
      </c>
      <c r="H109" s="101">
        <v>2.8</v>
      </c>
      <c r="I109" s="102">
        <v>0.18</v>
      </c>
      <c r="J109" s="102">
        <v>0.5</v>
      </c>
      <c r="K109" s="101">
        <v>0.4</v>
      </c>
      <c r="L109" s="101">
        <v>1.2</v>
      </c>
      <c r="M109" s="101" t="s">
        <v>1088</v>
      </c>
      <c r="N109" s="101">
        <v>2005</v>
      </c>
      <c r="O109" s="101" t="s">
        <v>685</v>
      </c>
      <c r="P109" s="101">
        <v>815894</v>
      </c>
      <c r="Q109" t="s">
        <v>817</v>
      </c>
      <c r="R109" t="s">
        <v>536</v>
      </c>
      <c r="S109"/>
      <c r="T109"/>
      <c r="U109"/>
      <c r="V109" s="222"/>
    </row>
    <row r="110" spans="1:22" x14ac:dyDescent="0.2">
      <c r="A110" t="s">
        <v>659</v>
      </c>
      <c r="B110" s="101">
        <v>-2</v>
      </c>
      <c r="C110" s="101">
        <v>2</v>
      </c>
      <c r="D110" s="101">
        <v>-2</v>
      </c>
      <c r="E110" s="101">
        <v>3</v>
      </c>
      <c r="F110" s="101">
        <v>0</v>
      </c>
      <c r="G110" s="101">
        <v>7</v>
      </c>
      <c r="H110" s="101">
        <v>1.4</v>
      </c>
      <c r="I110" s="102">
        <v>0.18</v>
      </c>
      <c r="J110" s="102">
        <v>0.5</v>
      </c>
      <c r="K110" s="101">
        <v>5</v>
      </c>
      <c r="L110" s="101">
        <v>-0.3</v>
      </c>
      <c r="M110" s="101" t="s">
        <v>1088</v>
      </c>
      <c r="N110" s="101">
        <v>2001</v>
      </c>
      <c r="O110" s="101" t="s">
        <v>806</v>
      </c>
      <c r="P110" s="101">
        <v>242081</v>
      </c>
      <c r="Q110" t="s">
        <v>751</v>
      </c>
      <c r="R110" t="s">
        <v>594</v>
      </c>
      <c r="S110"/>
      <c r="T110"/>
      <c r="U110"/>
      <c r="V110" s="222"/>
    </row>
    <row r="111" spans="1:22" x14ac:dyDescent="0.2">
      <c r="A111" t="s">
        <v>537</v>
      </c>
      <c r="B111" s="101">
        <v>1</v>
      </c>
      <c r="C111" s="101">
        <v>0</v>
      </c>
      <c r="D111" s="101">
        <v>1</v>
      </c>
      <c r="E111" s="101">
        <v>2</v>
      </c>
      <c r="F111" s="101">
        <v>2</v>
      </c>
      <c r="G111" s="101">
        <v>1</v>
      </c>
      <c r="H111" s="101">
        <v>0.3</v>
      </c>
      <c r="I111" s="102">
        <v>0.19</v>
      </c>
      <c r="J111" s="102">
        <v>0.5</v>
      </c>
      <c r="K111" s="101">
        <v>0.6</v>
      </c>
      <c r="L111" s="101">
        <v>-1.1000000000000001</v>
      </c>
      <c r="M111" s="101" t="s">
        <v>1088</v>
      </c>
      <c r="N111" s="101">
        <v>2002</v>
      </c>
      <c r="O111" s="101" t="s">
        <v>806</v>
      </c>
      <c r="P111" s="101">
        <v>843284</v>
      </c>
      <c r="Q111" t="s">
        <v>846</v>
      </c>
      <c r="R111" t="s">
        <v>536</v>
      </c>
      <c r="S111"/>
      <c r="T111"/>
      <c r="U111"/>
      <c r="V111" s="222"/>
    </row>
    <row r="112" spans="1:22" x14ac:dyDescent="0.2">
      <c r="A112" t="s">
        <v>900</v>
      </c>
      <c r="B112" s="101">
        <v>1</v>
      </c>
      <c r="C112" s="101">
        <v>0</v>
      </c>
      <c r="D112" s="101">
        <v>1</v>
      </c>
      <c r="E112" s="101">
        <v>2</v>
      </c>
      <c r="F112" s="101">
        <v>2</v>
      </c>
      <c r="G112" s="101">
        <v>1</v>
      </c>
      <c r="H112" s="101">
        <v>0.2</v>
      </c>
      <c r="I112" s="102">
        <v>0.24</v>
      </c>
      <c r="J112" s="102">
        <v>0.5</v>
      </c>
      <c r="K112" s="101">
        <v>0.5</v>
      </c>
      <c r="L112" s="101">
        <v>-2.1</v>
      </c>
      <c r="M112" s="101" t="s">
        <v>1088</v>
      </c>
      <c r="N112" s="101">
        <v>2000</v>
      </c>
      <c r="O112" s="101" t="s">
        <v>806</v>
      </c>
      <c r="P112" s="101">
        <v>867606</v>
      </c>
      <c r="Q112" t="s">
        <v>899</v>
      </c>
      <c r="R112" t="s">
        <v>536</v>
      </c>
      <c r="S112"/>
      <c r="T112"/>
      <c r="U112"/>
      <c r="V112" s="222"/>
    </row>
    <row r="113" spans="1:22" x14ac:dyDescent="0.2">
      <c r="A113" t="s">
        <v>540</v>
      </c>
      <c r="B113" s="101">
        <v>1</v>
      </c>
      <c r="C113" s="101">
        <v>0</v>
      </c>
      <c r="D113" s="101">
        <v>1</v>
      </c>
      <c r="E113" s="101">
        <v>0</v>
      </c>
      <c r="F113" s="101">
        <v>-1</v>
      </c>
      <c r="G113" s="101">
        <v>-3</v>
      </c>
      <c r="H113" s="101">
        <v>-0.5</v>
      </c>
      <c r="I113" s="102">
        <v>0.17</v>
      </c>
      <c r="J113" s="102">
        <v>0.5</v>
      </c>
      <c r="K113" s="101">
        <v>2</v>
      </c>
      <c r="L113" s="101">
        <v>-0.9</v>
      </c>
      <c r="M113" s="101" t="s">
        <v>1088</v>
      </c>
      <c r="N113" s="101">
        <v>2001</v>
      </c>
      <c r="O113" s="101" t="s">
        <v>806</v>
      </c>
      <c r="P113" s="101">
        <v>613133</v>
      </c>
      <c r="Q113" t="s">
        <v>755</v>
      </c>
      <c r="R113" t="s">
        <v>536</v>
      </c>
      <c r="S113"/>
      <c r="T113"/>
      <c r="U113"/>
      <c r="V113" s="222"/>
    </row>
    <row r="114" spans="1:22" x14ac:dyDescent="0.2">
      <c r="A114" t="s">
        <v>508</v>
      </c>
      <c r="B114" s="101">
        <v>5</v>
      </c>
      <c r="C114" s="101">
        <v>0</v>
      </c>
      <c r="D114" s="101">
        <v>5</v>
      </c>
      <c r="E114" s="101">
        <v>4</v>
      </c>
      <c r="F114" s="101">
        <v>18</v>
      </c>
      <c r="G114" s="101">
        <v>-18</v>
      </c>
      <c r="H114" s="101">
        <v>-3.9</v>
      </c>
      <c r="I114" s="102">
        <v>0.23</v>
      </c>
      <c r="J114" s="102">
        <v>0.5</v>
      </c>
      <c r="K114" s="101">
        <v>7.3</v>
      </c>
      <c r="L114" s="101">
        <v>0.6</v>
      </c>
      <c r="M114" s="101" t="s">
        <v>1088</v>
      </c>
      <c r="N114" s="101">
        <v>2000</v>
      </c>
      <c r="O114" s="101" t="s">
        <v>806</v>
      </c>
      <c r="P114" s="101">
        <v>972679</v>
      </c>
      <c r="Q114" t="s">
        <v>846</v>
      </c>
      <c r="R114" t="s">
        <v>362</v>
      </c>
      <c r="S114"/>
      <c r="T114"/>
      <c r="U114"/>
      <c r="V114" s="222"/>
    </row>
    <row r="115" spans="1:22" x14ac:dyDescent="0.2">
      <c r="A115" t="s">
        <v>511</v>
      </c>
      <c r="B115" s="101">
        <v>6</v>
      </c>
      <c r="C115" s="101">
        <v>-1</v>
      </c>
      <c r="D115" s="101">
        <v>6</v>
      </c>
      <c r="E115" s="101">
        <v>3</v>
      </c>
      <c r="F115" s="101">
        <v>21</v>
      </c>
      <c r="G115" s="101">
        <v>-24</v>
      </c>
      <c r="H115" s="101">
        <v>-5.3</v>
      </c>
      <c r="I115" s="102">
        <v>0.23</v>
      </c>
      <c r="J115" s="102">
        <v>0.5</v>
      </c>
      <c r="K115" s="101">
        <v>9.9</v>
      </c>
      <c r="L115" s="101">
        <v>0.5</v>
      </c>
      <c r="M115" s="101" t="s">
        <v>1088</v>
      </c>
      <c r="N115" s="101">
        <v>2000</v>
      </c>
      <c r="O115" s="101" t="s">
        <v>806</v>
      </c>
      <c r="P115" s="101">
        <v>829358</v>
      </c>
      <c r="Q115" t="s">
        <v>846</v>
      </c>
      <c r="R115" t="s">
        <v>509</v>
      </c>
      <c r="S115"/>
      <c r="T115"/>
      <c r="U115"/>
      <c r="V115" s="222"/>
    </row>
    <row r="116" spans="1:22" x14ac:dyDescent="0.2">
      <c r="A116" t="s">
        <v>510</v>
      </c>
      <c r="B116" s="101">
        <v>6</v>
      </c>
      <c r="C116" s="101">
        <v>-1</v>
      </c>
      <c r="D116" s="101">
        <v>7</v>
      </c>
      <c r="E116" s="101">
        <v>3</v>
      </c>
      <c r="F116" s="101">
        <v>21</v>
      </c>
      <c r="G116" s="101">
        <v>-24</v>
      </c>
      <c r="H116" s="101">
        <v>-5.4</v>
      </c>
      <c r="I116" s="102">
        <v>0.23</v>
      </c>
      <c r="J116" s="102">
        <v>0.5</v>
      </c>
      <c r="K116" s="101">
        <v>10.1</v>
      </c>
      <c r="L116" s="101">
        <v>0.5</v>
      </c>
      <c r="M116" s="101" t="s">
        <v>1088</v>
      </c>
      <c r="N116" s="101">
        <v>2000</v>
      </c>
      <c r="O116" s="101" t="s">
        <v>806</v>
      </c>
      <c r="P116" s="101">
        <v>901017</v>
      </c>
      <c r="Q116" t="s">
        <v>846</v>
      </c>
      <c r="R116" t="s">
        <v>362</v>
      </c>
      <c r="S116"/>
      <c r="T116"/>
      <c r="U116"/>
      <c r="V116" s="222"/>
    </row>
    <row r="117" spans="1:22" x14ac:dyDescent="0.2">
      <c r="A117" t="s">
        <v>193</v>
      </c>
      <c r="B117" s="101">
        <v>2</v>
      </c>
      <c r="C117" s="101">
        <v>-2</v>
      </c>
      <c r="D117" s="101">
        <v>3</v>
      </c>
      <c r="E117" s="101">
        <v>-8</v>
      </c>
      <c r="F117" s="101">
        <v>23</v>
      </c>
      <c r="G117" s="101">
        <v>-27</v>
      </c>
      <c r="H117" s="101">
        <v>-6.2</v>
      </c>
      <c r="I117" s="102">
        <v>0.26</v>
      </c>
      <c r="J117" s="102">
        <v>0.5</v>
      </c>
      <c r="K117" s="101">
        <v>15.8</v>
      </c>
      <c r="L117" s="101">
        <v>0.4</v>
      </c>
      <c r="M117" s="101" t="s">
        <v>1088</v>
      </c>
      <c r="N117" s="101">
        <v>2000</v>
      </c>
      <c r="O117" s="101" t="s">
        <v>806</v>
      </c>
      <c r="P117" s="101">
        <v>661124</v>
      </c>
      <c r="Q117" t="s">
        <v>191</v>
      </c>
      <c r="R117" t="s">
        <v>779</v>
      </c>
      <c r="S117"/>
      <c r="T117"/>
      <c r="U117"/>
      <c r="V117" s="222"/>
    </row>
    <row r="118" spans="1:22" x14ac:dyDescent="0.2">
      <c r="A118" t="s">
        <v>520</v>
      </c>
      <c r="B118" s="101">
        <v>2</v>
      </c>
      <c r="C118" s="101">
        <v>-3</v>
      </c>
      <c r="D118" s="101">
        <v>2</v>
      </c>
      <c r="E118" s="101">
        <v>-5</v>
      </c>
      <c r="F118" s="101">
        <v>6</v>
      </c>
      <c r="G118" s="101">
        <v>-29</v>
      </c>
      <c r="H118" s="101">
        <v>-6.7</v>
      </c>
      <c r="I118" s="102">
        <v>0.22</v>
      </c>
      <c r="J118" s="102">
        <v>0.5</v>
      </c>
      <c r="K118" s="101">
        <v>11.1</v>
      </c>
      <c r="L118" s="101">
        <v>0.1</v>
      </c>
      <c r="M118" s="101" t="s">
        <v>1088</v>
      </c>
      <c r="N118" s="101">
        <v>2000</v>
      </c>
      <c r="O118" s="101" t="s">
        <v>806</v>
      </c>
      <c r="P118" s="101">
        <v>635623</v>
      </c>
      <c r="Q118" t="s">
        <v>751</v>
      </c>
      <c r="R118" t="s">
        <v>509</v>
      </c>
      <c r="S118"/>
      <c r="T118"/>
      <c r="U118"/>
      <c r="V118" s="222"/>
    </row>
    <row r="119" spans="1:22" x14ac:dyDescent="0.2">
      <c r="A119" t="s">
        <v>31</v>
      </c>
      <c r="B119" s="101">
        <v>-2</v>
      </c>
      <c r="C119" s="101">
        <v>3</v>
      </c>
      <c r="D119" s="101">
        <v>-2</v>
      </c>
      <c r="E119" s="101">
        <v>6</v>
      </c>
      <c r="F119" s="101">
        <v>2</v>
      </c>
      <c r="G119" s="101">
        <v>9</v>
      </c>
      <c r="H119" s="101">
        <v>1.8</v>
      </c>
      <c r="I119" s="102">
        <v>0.23</v>
      </c>
      <c r="J119" s="102">
        <v>0.50000299999999998</v>
      </c>
      <c r="K119" s="101">
        <v>6.7</v>
      </c>
      <c r="L119" s="101">
        <v>-0.1</v>
      </c>
      <c r="M119" s="101" t="s">
        <v>1088</v>
      </c>
      <c r="N119" s="101">
        <v>2007</v>
      </c>
      <c r="O119" s="101" t="s">
        <v>806</v>
      </c>
      <c r="P119" s="101">
        <v>554691</v>
      </c>
      <c r="Q119" t="s">
        <v>901</v>
      </c>
      <c r="R119" t="s">
        <v>594</v>
      </c>
      <c r="S119"/>
      <c r="T119"/>
      <c r="U119"/>
      <c r="V119" s="222"/>
    </row>
    <row r="120" spans="1:22" x14ac:dyDescent="0.2">
      <c r="A120" t="s">
        <v>30</v>
      </c>
      <c r="B120" s="101">
        <v>-1</v>
      </c>
      <c r="C120" s="101">
        <v>0</v>
      </c>
      <c r="D120" s="101">
        <v>-1</v>
      </c>
      <c r="E120" s="101">
        <v>0</v>
      </c>
      <c r="F120" s="101">
        <v>-3</v>
      </c>
      <c r="G120" s="101">
        <v>-1</v>
      </c>
      <c r="H120" s="101">
        <v>-0.3</v>
      </c>
      <c r="I120" s="102">
        <v>0.23</v>
      </c>
      <c r="J120" s="102">
        <v>0.50001799999999996</v>
      </c>
      <c r="K120" s="101">
        <v>2.2000000000000002</v>
      </c>
      <c r="L120" s="101">
        <v>-1.1000000000000001</v>
      </c>
      <c r="M120" s="101" t="s">
        <v>1088</v>
      </c>
      <c r="N120" s="101">
        <v>2000</v>
      </c>
      <c r="O120" s="101" t="s">
        <v>806</v>
      </c>
      <c r="P120" s="101">
        <v>361733</v>
      </c>
      <c r="Q120" t="s">
        <v>901</v>
      </c>
      <c r="R120" t="s">
        <v>536</v>
      </c>
      <c r="S120"/>
      <c r="T120"/>
      <c r="U120"/>
      <c r="V120" s="222"/>
    </row>
    <row r="121" spans="1:22" x14ac:dyDescent="0.2">
      <c r="A121" t="s">
        <v>32</v>
      </c>
      <c r="B121" s="101">
        <v>-5</v>
      </c>
      <c r="C121" s="101">
        <v>3</v>
      </c>
      <c r="D121" s="101">
        <v>-5</v>
      </c>
      <c r="E121" s="101">
        <v>3</v>
      </c>
      <c r="F121" s="101">
        <v>-4</v>
      </c>
      <c r="G121" s="101">
        <v>4</v>
      </c>
      <c r="H121" s="101">
        <v>0.7</v>
      </c>
      <c r="I121" s="102">
        <v>0.23</v>
      </c>
      <c r="J121" s="102">
        <v>0.50004300000000002</v>
      </c>
      <c r="K121" s="101">
        <v>8.4</v>
      </c>
      <c r="L121" s="101">
        <v>-0.3</v>
      </c>
      <c r="M121" s="101" t="s">
        <v>1088</v>
      </c>
      <c r="N121" s="101">
        <v>2000</v>
      </c>
      <c r="O121" s="101" t="s">
        <v>806</v>
      </c>
      <c r="P121" s="101">
        <v>325902</v>
      </c>
      <c r="Q121" t="s">
        <v>901</v>
      </c>
      <c r="R121" t="s">
        <v>594</v>
      </c>
      <c r="S121"/>
      <c r="T121"/>
      <c r="U121"/>
      <c r="V121" s="222"/>
    </row>
    <row r="122" spans="1:22" x14ac:dyDescent="0.2">
      <c r="A122" t="s">
        <v>525</v>
      </c>
      <c r="B122" s="101">
        <v>1</v>
      </c>
      <c r="C122" s="101">
        <v>-4</v>
      </c>
      <c r="D122" s="101">
        <v>1</v>
      </c>
      <c r="E122" s="101">
        <v>-3</v>
      </c>
      <c r="F122" s="101">
        <v>10</v>
      </c>
      <c r="G122" s="101">
        <v>-20</v>
      </c>
      <c r="H122" s="101">
        <v>-4.4000000000000004</v>
      </c>
      <c r="I122" s="102">
        <v>0.21</v>
      </c>
      <c r="J122" s="102">
        <v>0.50049999999999994</v>
      </c>
      <c r="K122" s="101">
        <v>6.7</v>
      </c>
      <c r="L122" s="101">
        <v>0.3</v>
      </c>
      <c r="M122" s="101" t="s">
        <v>1088</v>
      </c>
      <c r="N122" s="101">
        <v>2000</v>
      </c>
      <c r="O122" s="101" t="s">
        <v>806</v>
      </c>
      <c r="P122" s="101">
        <v>466805</v>
      </c>
      <c r="Q122" t="s">
        <v>755</v>
      </c>
      <c r="R122" t="s">
        <v>358</v>
      </c>
      <c r="S122"/>
      <c r="T122"/>
      <c r="U122"/>
      <c r="V122" s="222"/>
    </row>
    <row r="123" spans="1:22" x14ac:dyDescent="0.2">
      <c r="A123" t="s">
        <v>527</v>
      </c>
      <c r="B123" s="101">
        <v>3</v>
      </c>
      <c r="C123" s="101">
        <v>-6</v>
      </c>
      <c r="D123" s="101">
        <v>3</v>
      </c>
      <c r="E123" s="101">
        <v>-6</v>
      </c>
      <c r="F123" s="101">
        <v>14</v>
      </c>
      <c r="G123" s="101">
        <v>-23</v>
      </c>
      <c r="H123" s="101">
        <v>-5</v>
      </c>
      <c r="I123" s="102">
        <v>0.21</v>
      </c>
      <c r="J123" s="102">
        <v>0.50160000000000005</v>
      </c>
      <c r="K123" s="101">
        <v>11</v>
      </c>
      <c r="L123" s="101">
        <v>0.3</v>
      </c>
      <c r="M123" s="101" t="s">
        <v>1088</v>
      </c>
      <c r="N123" s="101">
        <v>2000</v>
      </c>
      <c r="O123" s="101" t="s">
        <v>806</v>
      </c>
      <c r="P123" s="101">
        <v>359315</v>
      </c>
      <c r="Q123" t="s">
        <v>755</v>
      </c>
      <c r="R123" t="s">
        <v>362</v>
      </c>
      <c r="S123"/>
      <c r="T123"/>
      <c r="U123"/>
      <c r="V123" s="222"/>
    </row>
    <row r="124" spans="1:22" x14ac:dyDescent="0.2">
      <c r="A124" t="s">
        <v>533</v>
      </c>
      <c r="B124" s="101">
        <v>3</v>
      </c>
      <c r="C124" s="101">
        <v>-6</v>
      </c>
      <c r="D124" s="101">
        <v>3</v>
      </c>
      <c r="E124" s="101">
        <v>-6</v>
      </c>
      <c r="F124" s="101">
        <v>14</v>
      </c>
      <c r="G124" s="101">
        <v>-23</v>
      </c>
      <c r="H124" s="101">
        <v>-5</v>
      </c>
      <c r="I124" s="102">
        <v>0.21</v>
      </c>
      <c r="J124" s="102">
        <v>0.50160000000000005</v>
      </c>
      <c r="K124" s="101">
        <v>11</v>
      </c>
      <c r="L124" s="101">
        <v>0.3</v>
      </c>
      <c r="M124" s="101" t="s">
        <v>1088</v>
      </c>
      <c r="N124" s="101">
        <v>2000</v>
      </c>
      <c r="O124" s="101" t="s">
        <v>806</v>
      </c>
      <c r="P124" s="101">
        <v>323485</v>
      </c>
      <c r="Q124" t="s">
        <v>755</v>
      </c>
      <c r="R124" t="s">
        <v>509</v>
      </c>
      <c r="S124"/>
      <c r="T124"/>
      <c r="U124"/>
      <c r="V124" s="222"/>
    </row>
    <row r="125" spans="1:22" x14ac:dyDescent="0.2">
      <c r="A125" t="s">
        <v>528</v>
      </c>
      <c r="B125" s="101">
        <v>3</v>
      </c>
      <c r="C125" s="101">
        <v>-6</v>
      </c>
      <c r="D125" s="101">
        <v>3</v>
      </c>
      <c r="E125" s="101">
        <v>-6</v>
      </c>
      <c r="F125" s="101">
        <v>14</v>
      </c>
      <c r="G125" s="101">
        <v>-22</v>
      </c>
      <c r="H125" s="101">
        <v>-4.9000000000000004</v>
      </c>
      <c r="I125" s="102">
        <v>0.21</v>
      </c>
      <c r="J125" s="102">
        <v>0.50170000000000003</v>
      </c>
      <c r="K125" s="101">
        <v>11</v>
      </c>
      <c r="L125" s="101">
        <v>0.3</v>
      </c>
      <c r="M125" s="101" t="s">
        <v>1088</v>
      </c>
      <c r="N125" s="101">
        <v>2000</v>
      </c>
      <c r="O125" s="101" t="s">
        <v>806</v>
      </c>
      <c r="P125" s="101">
        <v>395145</v>
      </c>
      <c r="Q125" t="s">
        <v>755</v>
      </c>
      <c r="R125" t="s">
        <v>362</v>
      </c>
      <c r="S125"/>
      <c r="T125"/>
      <c r="U125"/>
      <c r="V125" s="222"/>
    </row>
    <row r="126" spans="1:22" x14ac:dyDescent="0.2">
      <c r="A126" t="s">
        <v>522</v>
      </c>
      <c r="B126" s="101">
        <v>3</v>
      </c>
      <c r="C126" s="101">
        <v>-6</v>
      </c>
      <c r="D126" s="101">
        <v>3</v>
      </c>
      <c r="E126" s="101">
        <v>-6</v>
      </c>
      <c r="F126" s="101">
        <v>14</v>
      </c>
      <c r="G126" s="101">
        <v>-23</v>
      </c>
      <c r="H126" s="101">
        <v>-5</v>
      </c>
      <c r="I126" s="102">
        <v>0.21</v>
      </c>
      <c r="J126" s="102">
        <v>0.50170000000000003</v>
      </c>
      <c r="K126" s="101">
        <v>11</v>
      </c>
      <c r="L126" s="101">
        <v>0.3</v>
      </c>
      <c r="M126" s="101" t="s">
        <v>1088</v>
      </c>
      <c r="N126" s="101">
        <v>2000</v>
      </c>
      <c r="O126" s="101" t="s">
        <v>806</v>
      </c>
      <c r="P126" s="101">
        <v>430975</v>
      </c>
      <c r="Q126" t="s">
        <v>755</v>
      </c>
      <c r="R126" t="s">
        <v>358</v>
      </c>
      <c r="S126"/>
      <c r="T126"/>
      <c r="U126"/>
      <c r="V126" s="222"/>
    </row>
    <row r="127" spans="1:22" x14ac:dyDescent="0.2">
      <c r="A127" t="s">
        <v>532</v>
      </c>
      <c r="B127" s="101">
        <v>3</v>
      </c>
      <c r="C127" s="101">
        <v>-6</v>
      </c>
      <c r="D127" s="101">
        <v>3</v>
      </c>
      <c r="E127" s="101">
        <v>-6</v>
      </c>
      <c r="F127" s="101">
        <v>14</v>
      </c>
      <c r="G127" s="101">
        <v>-22</v>
      </c>
      <c r="H127" s="101">
        <v>-5</v>
      </c>
      <c r="I127" s="102">
        <v>0.21</v>
      </c>
      <c r="J127" s="102">
        <v>0.50170000000000003</v>
      </c>
      <c r="K127" s="101">
        <v>11</v>
      </c>
      <c r="L127" s="101">
        <v>0.3</v>
      </c>
      <c r="M127" s="101" t="s">
        <v>1088</v>
      </c>
      <c r="N127" s="101">
        <v>2000</v>
      </c>
      <c r="O127" s="101" t="s">
        <v>806</v>
      </c>
      <c r="P127" s="101">
        <v>287656</v>
      </c>
      <c r="Q127" t="s">
        <v>755</v>
      </c>
      <c r="R127" t="s">
        <v>509</v>
      </c>
      <c r="S127"/>
      <c r="T127"/>
      <c r="U127"/>
      <c r="V127" s="222"/>
    </row>
    <row r="128" spans="1:22" x14ac:dyDescent="0.2">
      <c r="A128" t="s">
        <v>531</v>
      </c>
      <c r="B128" s="101">
        <v>3</v>
      </c>
      <c r="C128" s="101">
        <v>-6</v>
      </c>
      <c r="D128" s="101">
        <v>3</v>
      </c>
      <c r="E128" s="101">
        <v>-6</v>
      </c>
      <c r="F128" s="101">
        <v>14</v>
      </c>
      <c r="G128" s="101">
        <v>-22</v>
      </c>
      <c r="H128" s="101">
        <v>-4.9000000000000004</v>
      </c>
      <c r="I128" s="102">
        <v>0.21</v>
      </c>
      <c r="J128" s="102">
        <v>0.50190000000000001</v>
      </c>
      <c r="K128" s="101">
        <v>10.9</v>
      </c>
      <c r="L128" s="101">
        <v>0.3</v>
      </c>
      <c r="M128" s="101" t="s">
        <v>1088</v>
      </c>
      <c r="N128" s="101">
        <v>2000</v>
      </c>
      <c r="O128" s="101" t="s">
        <v>806</v>
      </c>
      <c r="P128" s="101">
        <v>251827</v>
      </c>
      <c r="Q128" t="s">
        <v>755</v>
      </c>
      <c r="R128" t="s">
        <v>509</v>
      </c>
      <c r="S128"/>
      <c r="T128"/>
      <c r="U128"/>
      <c r="V128" s="222"/>
    </row>
    <row r="129" spans="1:22" x14ac:dyDescent="0.2">
      <c r="A129" t="s">
        <v>530</v>
      </c>
      <c r="B129" s="101">
        <v>2</v>
      </c>
      <c r="C129" s="101">
        <v>-5</v>
      </c>
      <c r="D129" s="101">
        <v>3</v>
      </c>
      <c r="E129" s="101">
        <v>-8</v>
      </c>
      <c r="F129" s="101">
        <v>8</v>
      </c>
      <c r="G129" s="101">
        <v>-25</v>
      </c>
      <c r="H129" s="101">
        <v>-5.5</v>
      </c>
      <c r="I129" s="102">
        <v>0.21</v>
      </c>
      <c r="J129" s="102">
        <v>0.50209999999999999</v>
      </c>
      <c r="K129" s="101">
        <v>12.5</v>
      </c>
      <c r="L129" s="101">
        <v>0.2</v>
      </c>
      <c r="M129" s="101" t="s">
        <v>1088</v>
      </c>
      <c r="N129" s="101">
        <v>2000</v>
      </c>
      <c r="O129" s="101" t="s">
        <v>806</v>
      </c>
      <c r="P129" s="101">
        <v>215996</v>
      </c>
      <c r="Q129" t="s">
        <v>755</v>
      </c>
      <c r="R129" t="s">
        <v>509</v>
      </c>
      <c r="S129"/>
      <c r="T129"/>
      <c r="U129"/>
      <c r="V129" s="222"/>
    </row>
    <row r="130" spans="1:22" x14ac:dyDescent="0.2">
      <c r="A130" t="s">
        <v>529</v>
      </c>
      <c r="B130" s="101">
        <v>4</v>
      </c>
      <c r="C130" s="101">
        <v>-5</v>
      </c>
      <c r="D130" s="101">
        <v>5</v>
      </c>
      <c r="E130" s="101">
        <v>-6</v>
      </c>
      <c r="F130" s="101">
        <v>10</v>
      </c>
      <c r="G130" s="101">
        <v>-26</v>
      </c>
      <c r="H130" s="101">
        <v>-5.8</v>
      </c>
      <c r="I130" s="102">
        <v>0.21</v>
      </c>
      <c r="J130" s="102">
        <v>0.50290000000000001</v>
      </c>
      <c r="K130" s="101">
        <v>12.6</v>
      </c>
      <c r="L130" s="101">
        <v>0.2</v>
      </c>
      <c r="M130" s="101" t="s">
        <v>1088</v>
      </c>
      <c r="N130" s="101">
        <v>2006</v>
      </c>
      <c r="O130" s="101" t="s">
        <v>806</v>
      </c>
      <c r="P130" s="101">
        <v>167296</v>
      </c>
      <c r="Q130" t="s">
        <v>755</v>
      </c>
      <c r="R130" t="s">
        <v>509</v>
      </c>
      <c r="S130"/>
      <c r="T130"/>
      <c r="U130"/>
      <c r="V130" s="222"/>
    </row>
    <row r="131" spans="1:22" x14ac:dyDescent="0.2">
      <c r="A131" t="s">
        <v>862</v>
      </c>
      <c r="B131" s="101">
        <v>5</v>
      </c>
      <c r="C131" s="101">
        <v>-3</v>
      </c>
      <c r="D131" s="101">
        <v>5</v>
      </c>
      <c r="E131" s="101">
        <v>1</v>
      </c>
      <c r="F131" s="101">
        <v>12</v>
      </c>
      <c r="G131" s="101">
        <v>-25</v>
      </c>
      <c r="H131" s="101">
        <v>-5.7</v>
      </c>
      <c r="I131" s="102">
        <v>0.26</v>
      </c>
      <c r="J131" s="102">
        <v>0.51</v>
      </c>
      <c r="K131" s="101">
        <v>9.6999999999999993</v>
      </c>
      <c r="L131" s="101">
        <v>0.3</v>
      </c>
      <c r="M131" s="101" t="s">
        <v>1088</v>
      </c>
      <c r="N131" s="101">
        <v>2000</v>
      </c>
      <c r="O131" s="101" t="s">
        <v>806</v>
      </c>
      <c r="P131" s="101">
        <v>252411</v>
      </c>
      <c r="Q131" t="s">
        <v>462</v>
      </c>
      <c r="R131" t="s">
        <v>152</v>
      </c>
      <c r="S131"/>
      <c r="T131"/>
      <c r="U131"/>
      <c r="V131" s="222"/>
    </row>
    <row r="132" spans="1:22" x14ac:dyDescent="0.2">
      <c r="A132" t="s">
        <v>593</v>
      </c>
      <c r="B132" s="101">
        <v>1</v>
      </c>
      <c r="C132" s="101">
        <v>0</v>
      </c>
      <c r="D132" s="101">
        <v>1</v>
      </c>
      <c r="E132" s="101">
        <v>1</v>
      </c>
      <c r="F132" s="101">
        <v>-1</v>
      </c>
      <c r="G132" s="101">
        <v>1</v>
      </c>
      <c r="H132" s="101">
        <v>0.2</v>
      </c>
      <c r="I132" s="102">
        <v>0.24</v>
      </c>
      <c r="J132" s="102">
        <v>0.51292099999999996</v>
      </c>
      <c r="K132" s="101">
        <v>1.8</v>
      </c>
      <c r="L132" s="101">
        <v>-0.9</v>
      </c>
      <c r="M132" s="101" t="s">
        <v>1088</v>
      </c>
      <c r="N132" s="101">
        <v>2004</v>
      </c>
      <c r="O132" s="101" t="s">
        <v>806</v>
      </c>
      <c r="P132" s="101">
        <v>654988</v>
      </c>
      <c r="Q132" t="s">
        <v>727</v>
      </c>
      <c r="R132" t="s">
        <v>536</v>
      </c>
      <c r="S132"/>
      <c r="T132"/>
      <c r="U132"/>
      <c r="V132" s="222"/>
    </row>
    <row r="133" spans="1:22" x14ac:dyDescent="0.2">
      <c r="A133" t="s">
        <v>981</v>
      </c>
      <c r="B133" s="101">
        <v>0</v>
      </c>
      <c r="C133" s="101">
        <v>0</v>
      </c>
      <c r="D133" s="101">
        <v>0</v>
      </c>
      <c r="E133" s="101">
        <v>2</v>
      </c>
      <c r="F133" s="101">
        <v>3</v>
      </c>
      <c r="G133" s="101">
        <v>9</v>
      </c>
      <c r="H133" s="101">
        <v>1.7</v>
      </c>
      <c r="I133" s="102">
        <v>0.18</v>
      </c>
      <c r="J133" s="102">
        <v>0.52</v>
      </c>
      <c r="K133" s="101">
        <v>0.3</v>
      </c>
      <c r="L133" s="101">
        <v>-2.1</v>
      </c>
      <c r="M133" s="101" t="s">
        <v>1088</v>
      </c>
      <c r="N133" s="101">
        <v>2000</v>
      </c>
      <c r="O133" s="101" t="s">
        <v>685</v>
      </c>
      <c r="P133" s="101">
        <v>549386</v>
      </c>
      <c r="Q133" t="s">
        <v>411</v>
      </c>
      <c r="R133" t="s">
        <v>536</v>
      </c>
      <c r="S133"/>
      <c r="T133"/>
      <c r="U133"/>
      <c r="V133" s="222"/>
    </row>
    <row r="134" spans="1:22" x14ac:dyDescent="0.2">
      <c r="A134" t="s">
        <v>562</v>
      </c>
      <c r="B134" s="101">
        <v>1</v>
      </c>
      <c r="C134" s="101">
        <v>0</v>
      </c>
      <c r="D134" s="101">
        <v>1</v>
      </c>
      <c r="E134" s="101">
        <v>0</v>
      </c>
      <c r="F134" s="101">
        <v>-2</v>
      </c>
      <c r="G134" s="101">
        <v>0</v>
      </c>
      <c r="H134" s="101">
        <v>-0.1</v>
      </c>
      <c r="I134" s="102">
        <v>0.15</v>
      </c>
      <c r="J134" s="102">
        <v>0.52</v>
      </c>
      <c r="K134" s="101">
        <v>2.4</v>
      </c>
      <c r="L134" s="101">
        <v>-0.8</v>
      </c>
      <c r="M134" s="101" t="s">
        <v>1088</v>
      </c>
      <c r="N134" s="101">
        <v>2000</v>
      </c>
      <c r="O134" s="101" t="s">
        <v>806</v>
      </c>
      <c r="P134" s="101">
        <v>717611</v>
      </c>
      <c r="Q134" t="s">
        <v>182</v>
      </c>
      <c r="R134" t="s">
        <v>536</v>
      </c>
      <c r="S134"/>
      <c r="T134"/>
      <c r="U134"/>
      <c r="V134" s="222"/>
    </row>
    <row r="135" spans="1:22" x14ac:dyDescent="0.2">
      <c r="A135" t="s">
        <v>569</v>
      </c>
      <c r="B135" s="101">
        <v>7</v>
      </c>
      <c r="C135" s="101">
        <v>-4</v>
      </c>
      <c r="D135" s="101">
        <v>8</v>
      </c>
      <c r="E135" s="101">
        <v>-13</v>
      </c>
      <c r="F135" s="101">
        <v>26</v>
      </c>
      <c r="G135" s="101">
        <v>-23</v>
      </c>
      <c r="H135" s="101">
        <v>-5.2</v>
      </c>
      <c r="I135" s="102">
        <v>0.19</v>
      </c>
      <c r="J135" s="102">
        <v>0.52</v>
      </c>
      <c r="K135" s="101">
        <v>17.899999999999999</v>
      </c>
      <c r="L135" s="101">
        <v>0.5</v>
      </c>
      <c r="M135" s="101" t="s">
        <v>1088</v>
      </c>
      <c r="N135" s="101">
        <v>2000</v>
      </c>
      <c r="O135" s="101" t="s">
        <v>806</v>
      </c>
      <c r="P135" s="101">
        <v>789271</v>
      </c>
      <c r="Q135" t="s">
        <v>182</v>
      </c>
      <c r="R135" t="s">
        <v>723</v>
      </c>
      <c r="S135"/>
      <c r="T135"/>
      <c r="U135"/>
      <c r="V135" s="222"/>
    </row>
    <row r="136" spans="1:22" x14ac:dyDescent="0.2">
      <c r="A136" t="s">
        <v>641</v>
      </c>
      <c r="B136" s="101">
        <v>3</v>
      </c>
      <c r="C136" s="101">
        <v>2</v>
      </c>
      <c r="D136" s="101">
        <v>3</v>
      </c>
      <c r="E136" s="101">
        <v>4</v>
      </c>
      <c r="F136" s="101">
        <v>5</v>
      </c>
      <c r="G136" s="101">
        <v>8</v>
      </c>
      <c r="H136" s="101">
        <v>1.5</v>
      </c>
      <c r="I136" s="102">
        <v>0.25</v>
      </c>
      <c r="J136" s="102">
        <v>0.53</v>
      </c>
      <c r="K136" s="101">
        <v>1.7</v>
      </c>
      <c r="L136" s="101">
        <v>0.2</v>
      </c>
      <c r="M136" s="101" t="s">
        <v>1088</v>
      </c>
      <c r="N136" s="101">
        <v>2003</v>
      </c>
      <c r="O136" s="101" t="s">
        <v>806</v>
      </c>
      <c r="P136" s="101">
        <v>384750</v>
      </c>
      <c r="Q136" t="s">
        <v>726</v>
      </c>
      <c r="R136" t="s">
        <v>594</v>
      </c>
      <c r="S136"/>
      <c r="T136"/>
      <c r="U136"/>
      <c r="V136" s="222"/>
    </row>
    <row r="137" spans="1:22" x14ac:dyDescent="0.2">
      <c r="A137" t="s">
        <v>566</v>
      </c>
      <c r="B137" s="101">
        <v>6</v>
      </c>
      <c r="C137" s="101">
        <v>-1</v>
      </c>
      <c r="D137" s="101">
        <v>7</v>
      </c>
      <c r="E137" s="101">
        <v>1</v>
      </c>
      <c r="F137" s="101">
        <v>10</v>
      </c>
      <c r="G137" s="101">
        <v>-24</v>
      </c>
      <c r="H137" s="101">
        <v>-5.4</v>
      </c>
      <c r="I137" s="102">
        <v>0.19</v>
      </c>
      <c r="J137" s="102">
        <v>0.53</v>
      </c>
      <c r="K137" s="101">
        <v>8.9</v>
      </c>
      <c r="L137" s="101">
        <v>0.3</v>
      </c>
      <c r="M137" s="101" t="s">
        <v>1088</v>
      </c>
      <c r="N137" s="101">
        <v>2000</v>
      </c>
      <c r="O137" s="101" t="s">
        <v>806</v>
      </c>
      <c r="P137" s="101">
        <v>753442</v>
      </c>
      <c r="Q137" t="s">
        <v>182</v>
      </c>
      <c r="R137" t="s">
        <v>152</v>
      </c>
      <c r="S137"/>
      <c r="T137"/>
      <c r="U137"/>
      <c r="V137" s="222"/>
    </row>
    <row r="138" spans="1:22" x14ac:dyDescent="0.2">
      <c r="A138" t="s">
        <v>589</v>
      </c>
      <c r="B138" s="101">
        <v>3</v>
      </c>
      <c r="C138" s="101">
        <v>-4</v>
      </c>
      <c r="D138" s="101">
        <v>4</v>
      </c>
      <c r="E138" s="101">
        <v>-11</v>
      </c>
      <c r="F138" s="101">
        <v>-11</v>
      </c>
      <c r="G138" s="101">
        <v>-40</v>
      </c>
      <c r="H138" s="101">
        <v>-9.8000000000000007</v>
      </c>
      <c r="I138" s="102">
        <v>0.19</v>
      </c>
      <c r="J138" s="102">
        <v>0.53</v>
      </c>
      <c r="K138" s="101">
        <v>12.5</v>
      </c>
      <c r="L138" s="101">
        <v>-0.3</v>
      </c>
      <c r="M138" s="101" t="s">
        <v>1088</v>
      </c>
      <c r="N138" s="101">
        <v>2000</v>
      </c>
      <c r="O138" s="101" t="s">
        <v>806</v>
      </c>
      <c r="P138" s="101">
        <v>964171</v>
      </c>
      <c r="Q138" t="s">
        <v>182</v>
      </c>
      <c r="R138" t="s">
        <v>48</v>
      </c>
      <c r="S138"/>
      <c r="T138"/>
      <c r="U138"/>
      <c r="V138" s="222"/>
    </row>
    <row r="139" spans="1:22" x14ac:dyDescent="0.2">
      <c r="A139" t="s">
        <v>883</v>
      </c>
      <c r="B139" s="101">
        <v>5</v>
      </c>
      <c r="C139" s="101">
        <v>-2</v>
      </c>
      <c r="D139" s="101">
        <v>5</v>
      </c>
      <c r="E139" s="101">
        <v>-2</v>
      </c>
      <c r="F139" s="101">
        <v>15</v>
      </c>
      <c r="G139" s="101"/>
      <c r="H139" s="101"/>
      <c r="I139" s="102">
        <v>0.23</v>
      </c>
      <c r="J139" s="102">
        <v>0.53825699999999999</v>
      </c>
      <c r="K139" s="101">
        <v>9.3000000000000007</v>
      </c>
      <c r="L139" s="101">
        <v>0.4</v>
      </c>
      <c r="M139" s="101" t="s">
        <v>1088</v>
      </c>
      <c r="N139" s="101">
        <v>2009</v>
      </c>
      <c r="O139" s="101" t="s">
        <v>685</v>
      </c>
      <c r="P139" s="101">
        <v>855262</v>
      </c>
      <c r="Q139" t="s">
        <v>729</v>
      </c>
      <c r="R139" t="s">
        <v>362</v>
      </c>
      <c r="S139"/>
      <c r="T139"/>
      <c r="U139"/>
      <c r="V139" s="222"/>
    </row>
    <row r="140" spans="1:22" x14ac:dyDescent="0.2">
      <c r="A140" t="s">
        <v>885</v>
      </c>
      <c r="B140" s="101">
        <v>6</v>
      </c>
      <c r="C140" s="101">
        <v>-3</v>
      </c>
      <c r="D140" s="101">
        <v>7</v>
      </c>
      <c r="E140" s="101">
        <v>-3</v>
      </c>
      <c r="F140" s="101">
        <v>16</v>
      </c>
      <c r="G140" s="101"/>
      <c r="H140" s="101"/>
      <c r="I140" s="102">
        <v>0.24</v>
      </c>
      <c r="J140" s="102">
        <v>0.55562599999999995</v>
      </c>
      <c r="K140" s="101">
        <v>11.8</v>
      </c>
      <c r="L140" s="101">
        <v>0.3</v>
      </c>
      <c r="M140" s="101" t="s">
        <v>1088</v>
      </c>
      <c r="N140" s="101">
        <v>2009</v>
      </c>
      <c r="O140" s="101" t="s">
        <v>685</v>
      </c>
      <c r="P140" s="101">
        <v>747774</v>
      </c>
      <c r="Q140" t="s">
        <v>729</v>
      </c>
      <c r="R140" t="s">
        <v>509</v>
      </c>
      <c r="S140"/>
      <c r="T140"/>
      <c r="U140"/>
      <c r="V140" s="222"/>
    </row>
    <row r="141" spans="1:22" x14ac:dyDescent="0.2">
      <c r="A141" t="s">
        <v>881</v>
      </c>
      <c r="B141" s="101">
        <v>6</v>
      </c>
      <c r="C141" s="101">
        <v>-3</v>
      </c>
      <c r="D141" s="101">
        <v>7</v>
      </c>
      <c r="E141" s="101">
        <v>-3</v>
      </c>
      <c r="F141" s="101">
        <v>16</v>
      </c>
      <c r="G141" s="101"/>
      <c r="H141" s="101"/>
      <c r="I141" s="102">
        <v>0.24</v>
      </c>
      <c r="J141" s="102">
        <v>0.55737599999999998</v>
      </c>
      <c r="K141" s="101">
        <v>11.8</v>
      </c>
      <c r="L141" s="101">
        <v>0.3</v>
      </c>
      <c r="M141" s="101" t="s">
        <v>1088</v>
      </c>
      <c r="N141" s="101">
        <v>2009</v>
      </c>
      <c r="O141" s="101" t="s">
        <v>685</v>
      </c>
      <c r="P141" s="101">
        <v>783605</v>
      </c>
      <c r="Q141" t="s">
        <v>729</v>
      </c>
      <c r="R141" t="s">
        <v>509</v>
      </c>
      <c r="S141"/>
      <c r="T141"/>
      <c r="U141"/>
      <c r="V141" s="222"/>
    </row>
    <row r="142" spans="1:22" x14ac:dyDescent="0.2">
      <c r="A142" t="s">
        <v>519</v>
      </c>
      <c r="B142" s="101">
        <v>2</v>
      </c>
      <c r="C142" s="101">
        <v>-3</v>
      </c>
      <c r="D142" s="101">
        <v>2</v>
      </c>
      <c r="E142" s="101">
        <v>-4</v>
      </c>
      <c r="F142" s="101">
        <v>7</v>
      </c>
      <c r="G142" s="101">
        <v>-27</v>
      </c>
      <c r="H142" s="101">
        <v>-6.2</v>
      </c>
      <c r="I142" s="102">
        <v>0.23</v>
      </c>
      <c r="J142" s="102">
        <v>0.56000000000000005</v>
      </c>
      <c r="K142" s="101">
        <v>11.1</v>
      </c>
      <c r="L142" s="101">
        <v>0.1</v>
      </c>
      <c r="M142" s="101" t="s">
        <v>1088</v>
      </c>
      <c r="N142" s="101">
        <v>2001</v>
      </c>
      <c r="O142" s="101" t="s">
        <v>806</v>
      </c>
      <c r="P142" s="101">
        <v>832360</v>
      </c>
      <c r="Q142" t="s">
        <v>751</v>
      </c>
      <c r="R142" t="s">
        <v>509</v>
      </c>
      <c r="S142"/>
      <c r="T142"/>
      <c r="U142"/>
      <c r="V142" s="222"/>
    </row>
    <row r="143" spans="1:22" x14ac:dyDescent="0.2">
      <c r="A143" t="s">
        <v>882</v>
      </c>
      <c r="B143" s="101">
        <v>6</v>
      </c>
      <c r="C143" s="101">
        <v>-3</v>
      </c>
      <c r="D143" s="101">
        <v>7</v>
      </c>
      <c r="E143" s="101">
        <v>-3</v>
      </c>
      <c r="F143" s="101">
        <v>16</v>
      </c>
      <c r="G143" s="101"/>
      <c r="H143" s="101"/>
      <c r="I143" s="102">
        <v>0.24</v>
      </c>
      <c r="J143" s="102">
        <v>0.56440699999999999</v>
      </c>
      <c r="K143" s="101">
        <v>11.8</v>
      </c>
      <c r="L143" s="101">
        <v>0.3</v>
      </c>
      <c r="M143" s="101" t="s">
        <v>1088</v>
      </c>
      <c r="N143" s="101">
        <v>2009</v>
      </c>
      <c r="O143" s="101" t="s">
        <v>685</v>
      </c>
      <c r="P143" s="101">
        <v>819433</v>
      </c>
      <c r="Q143" t="s">
        <v>729</v>
      </c>
      <c r="R143" t="s">
        <v>362</v>
      </c>
      <c r="S143"/>
      <c r="T143"/>
      <c r="U143"/>
      <c r="V143" s="222"/>
    </row>
    <row r="144" spans="1:22" x14ac:dyDescent="0.2">
      <c r="A144" t="s">
        <v>7</v>
      </c>
      <c r="B144" s="101">
        <v>4</v>
      </c>
      <c r="C144" s="101">
        <v>-3</v>
      </c>
      <c r="D144" s="101">
        <v>5</v>
      </c>
      <c r="E144" s="101">
        <v>-1</v>
      </c>
      <c r="F144" s="101">
        <v>5</v>
      </c>
      <c r="G144" s="101">
        <v>-26</v>
      </c>
      <c r="H144" s="101">
        <v>-5.8</v>
      </c>
      <c r="I144" s="102">
        <v>0.28000000000000003</v>
      </c>
      <c r="J144" s="102">
        <v>0.56999999999999995</v>
      </c>
      <c r="K144" s="101">
        <v>10.1</v>
      </c>
      <c r="L144" s="101">
        <v>0.1</v>
      </c>
      <c r="M144" s="101" t="s">
        <v>1088</v>
      </c>
      <c r="N144" s="101">
        <v>2002</v>
      </c>
      <c r="O144" s="101" t="s">
        <v>806</v>
      </c>
      <c r="P144" s="101">
        <v>613729</v>
      </c>
      <c r="Q144" t="s">
        <v>462</v>
      </c>
      <c r="R144" t="s">
        <v>152</v>
      </c>
      <c r="S144" t="s">
        <v>1111</v>
      </c>
      <c r="T144"/>
      <c r="U144"/>
      <c r="V144" s="222"/>
    </row>
    <row r="145" spans="1:22" x14ac:dyDescent="0.2">
      <c r="A145" t="s">
        <v>599</v>
      </c>
      <c r="B145" s="101">
        <v>1</v>
      </c>
      <c r="C145" s="101">
        <v>2</v>
      </c>
      <c r="D145" s="101">
        <v>1</v>
      </c>
      <c r="E145" s="101">
        <v>6</v>
      </c>
      <c r="F145" s="101">
        <v>2</v>
      </c>
      <c r="G145" s="101">
        <v>12</v>
      </c>
      <c r="H145" s="101">
        <v>2.2999999999999998</v>
      </c>
      <c r="I145" s="102">
        <v>0.24</v>
      </c>
      <c r="J145" s="102">
        <v>0.6</v>
      </c>
      <c r="K145" s="101">
        <v>7</v>
      </c>
      <c r="L145" s="101">
        <v>0</v>
      </c>
      <c r="M145" s="101" t="s">
        <v>1088</v>
      </c>
      <c r="N145" s="101">
        <v>2000</v>
      </c>
      <c r="O145" s="101" t="s">
        <v>806</v>
      </c>
      <c r="P145" s="101">
        <v>726117</v>
      </c>
      <c r="Q145" t="s">
        <v>732</v>
      </c>
      <c r="R145" t="s">
        <v>594</v>
      </c>
      <c r="S145"/>
      <c r="T145"/>
      <c r="U145"/>
      <c r="V145" s="222"/>
    </row>
    <row r="146" spans="1:22" x14ac:dyDescent="0.2">
      <c r="A146" t="s">
        <v>663</v>
      </c>
      <c r="B146" s="101">
        <v>0</v>
      </c>
      <c r="C146" s="101">
        <v>2</v>
      </c>
      <c r="D146" s="101">
        <v>0</v>
      </c>
      <c r="E146" s="101">
        <v>5</v>
      </c>
      <c r="F146" s="101">
        <v>10</v>
      </c>
      <c r="G146" s="101">
        <v>11</v>
      </c>
      <c r="H146" s="101">
        <v>2.1</v>
      </c>
      <c r="I146" s="102">
        <v>0.24</v>
      </c>
      <c r="J146" s="102">
        <v>0.6</v>
      </c>
      <c r="K146" s="101">
        <v>4.9000000000000004</v>
      </c>
      <c r="L146" s="101">
        <v>0.4</v>
      </c>
      <c r="M146" s="101" t="s">
        <v>1088</v>
      </c>
      <c r="N146" s="101">
        <v>2001</v>
      </c>
      <c r="O146" s="101" t="s">
        <v>806</v>
      </c>
      <c r="P146" s="101">
        <v>469817</v>
      </c>
      <c r="Q146" t="s">
        <v>732</v>
      </c>
      <c r="R146" t="s">
        <v>660</v>
      </c>
      <c r="S146"/>
      <c r="T146"/>
      <c r="U146"/>
      <c r="V146" s="222"/>
    </row>
    <row r="147" spans="1:22" x14ac:dyDescent="0.2">
      <c r="A147" t="s">
        <v>545</v>
      </c>
      <c r="B147" s="101">
        <v>1</v>
      </c>
      <c r="C147" s="101">
        <v>0</v>
      </c>
      <c r="D147" s="101">
        <v>1</v>
      </c>
      <c r="E147" s="101">
        <v>1</v>
      </c>
      <c r="F147" s="101">
        <v>-4</v>
      </c>
      <c r="G147" s="101">
        <v>-1</v>
      </c>
      <c r="H147" s="101">
        <v>-0.2</v>
      </c>
      <c r="I147" s="102">
        <v>0.24</v>
      </c>
      <c r="J147" s="102">
        <v>0.6</v>
      </c>
      <c r="K147" s="101">
        <v>2.8</v>
      </c>
      <c r="L147" s="101">
        <v>-1</v>
      </c>
      <c r="M147" s="101" t="s">
        <v>1088</v>
      </c>
      <c r="N147" s="101">
        <v>2000</v>
      </c>
      <c r="O147" s="101" t="s">
        <v>806</v>
      </c>
      <c r="P147" s="101">
        <v>331983</v>
      </c>
      <c r="Q147" t="s">
        <v>732</v>
      </c>
      <c r="R147" t="s">
        <v>536</v>
      </c>
      <c r="S147"/>
      <c r="T147"/>
      <c r="U147"/>
      <c r="V147" s="222"/>
    </row>
    <row r="148" spans="1:22" x14ac:dyDescent="0.2">
      <c r="A148" t="s">
        <v>307</v>
      </c>
      <c r="B148" s="101">
        <v>2</v>
      </c>
      <c r="C148" s="101">
        <v>0</v>
      </c>
      <c r="D148" s="101">
        <v>2</v>
      </c>
      <c r="E148" s="101">
        <v>-1</v>
      </c>
      <c r="F148" s="101">
        <v>7</v>
      </c>
      <c r="G148" s="101">
        <v>-1</v>
      </c>
      <c r="H148" s="101">
        <v>-0.2</v>
      </c>
      <c r="I148" s="102">
        <v>0.28999999999999998</v>
      </c>
      <c r="J148" s="102">
        <v>0.6</v>
      </c>
      <c r="K148" s="101">
        <v>4.9000000000000004</v>
      </c>
      <c r="L148" s="101">
        <v>0.2</v>
      </c>
      <c r="M148" s="101" t="s">
        <v>1088</v>
      </c>
      <c r="N148" s="101">
        <v>2000</v>
      </c>
      <c r="O148" s="101" t="s">
        <v>806</v>
      </c>
      <c r="P148" s="101">
        <v>981175</v>
      </c>
      <c r="Q148" t="s">
        <v>798</v>
      </c>
      <c r="R148" t="s">
        <v>306</v>
      </c>
      <c r="S148" t="s">
        <v>1111</v>
      </c>
      <c r="T148"/>
      <c r="U148"/>
      <c r="V148" s="222"/>
    </row>
    <row r="149" spans="1:22" x14ac:dyDescent="0.2">
      <c r="A149" t="s">
        <v>389</v>
      </c>
      <c r="B149" s="101">
        <v>0</v>
      </c>
      <c r="C149" s="101">
        <v>1</v>
      </c>
      <c r="D149" s="101">
        <v>0</v>
      </c>
      <c r="E149" s="101">
        <v>1</v>
      </c>
      <c r="F149" s="101">
        <v>-1</v>
      </c>
      <c r="G149" s="101">
        <v>-2</v>
      </c>
      <c r="H149" s="101">
        <v>-0.3</v>
      </c>
      <c r="I149" s="102">
        <v>0.28000000000000003</v>
      </c>
      <c r="J149" s="102">
        <v>0.6</v>
      </c>
      <c r="K149" s="101">
        <v>1.9</v>
      </c>
      <c r="L149" s="101">
        <v>-0.9</v>
      </c>
      <c r="M149" s="101" t="s">
        <v>1088</v>
      </c>
      <c r="N149" s="101">
        <v>2000</v>
      </c>
      <c r="O149" s="101" t="s">
        <v>806</v>
      </c>
      <c r="P149" s="101">
        <v>308908</v>
      </c>
      <c r="Q149" t="s">
        <v>724</v>
      </c>
      <c r="R149" t="s">
        <v>536</v>
      </c>
      <c r="S149" t="s">
        <v>1111</v>
      </c>
      <c r="T149"/>
      <c r="U149"/>
      <c r="V149" s="222"/>
    </row>
    <row r="150" spans="1:22" x14ac:dyDescent="0.2">
      <c r="A150" t="s">
        <v>308</v>
      </c>
      <c r="B150" s="101">
        <v>3</v>
      </c>
      <c r="C150" s="101">
        <v>-2</v>
      </c>
      <c r="D150" s="101">
        <v>4</v>
      </c>
      <c r="E150" s="101">
        <v>-5</v>
      </c>
      <c r="F150" s="101">
        <v>12</v>
      </c>
      <c r="G150" s="101">
        <v>-14</v>
      </c>
      <c r="H150" s="101">
        <v>-3</v>
      </c>
      <c r="I150" s="102">
        <v>0.28999999999999998</v>
      </c>
      <c r="J150" s="102">
        <v>0.6</v>
      </c>
      <c r="K150" s="101">
        <v>9.5</v>
      </c>
      <c r="L150" s="101">
        <v>0.3</v>
      </c>
      <c r="M150" s="101" t="s">
        <v>1088</v>
      </c>
      <c r="N150" s="101">
        <v>2000</v>
      </c>
      <c r="O150" s="101" t="s">
        <v>806</v>
      </c>
      <c r="P150" s="101">
        <v>117002</v>
      </c>
      <c r="Q150" t="s">
        <v>798</v>
      </c>
      <c r="R150" t="s">
        <v>306</v>
      </c>
      <c r="S150" t="s">
        <v>1111</v>
      </c>
      <c r="T150"/>
      <c r="U150"/>
      <c r="V150" s="222"/>
    </row>
    <row r="151" spans="1:22" x14ac:dyDescent="0.2">
      <c r="A151" t="s">
        <v>887</v>
      </c>
      <c r="B151" s="101">
        <v>4</v>
      </c>
      <c r="C151" s="101">
        <v>-6</v>
      </c>
      <c r="D151" s="101">
        <v>5</v>
      </c>
      <c r="E151" s="101">
        <v>-6</v>
      </c>
      <c r="F151" s="101">
        <v>50</v>
      </c>
      <c r="G151" s="101">
        <v>-17</v>
      </c>
      <c r="H151" s="101">
        <v>-3.5</v>
      </c>
      <c r="I151" s="102">
        <v>0.21</v>
      </c>
      <c r="J151" s="102">
        <v>0.6</v>
      </c>
      <c r="K151" s="101">
        <v>19.7</v>
      </c>
      <c r="L151" s="101">
        <v>0.7</v>
      </c>
      <c r="M151" s="101" t="s">
        <v>1088</v>
      </c>
      <c r="N151" s="101">
        <v>2004</v>
      </c>
      <c r="O151" s="101" t="s">
        <v>806</v>
      </c>
      <c r="P151" s="101">
        <v>269357</v>
      </c>
      <c r="Q151" t="s">
        <v>865</v>
      </c>
      <c r="R151" t="s">
        <v>776</v>
      </c>
      <c r="S151"/>
      <c r="T151"/>
      <c r="U151"/>
      <c r="V151" s="222"/>
    </row>
    <row r="152" spans="1:22" x14ac:dyDescent="0.2">
      <c r="A152" t="s">
        <v>799</v>
      </c>
      <c r="B152" s="101">
        <v>5</v>
      </c>
      <c r="C152" s="101">
        <v>-3</v>
      </c>
      <c r="D152" s="101">
        <v>5</v>
      </c>
      <c r="E152" s="101">
        <v>-8</v>
      </c>
      <c r="F152" s="101">
        <v>17</v>
      </c>
      <c r="G152" s="101">
        <v>-23</v>
      </c>
      <c r="H152" s="101">
        <v>-5</v>
      </c>
      <c r="I152" s="102">
        <v>0.28999999999999998</v>
      </c>
      <c r="J152" s="102">
        <v>0.6</v>
      </c>
      <c r="K152" s="101">
        <v>13.5</v>
      </c>
      <c r="L152" s="101">
        <v>0.3</v>
      </c>
      <c r="M152" s="101" t="s">
        <v>1088</v>
      </c>
      <c r="N152" s="101">
        <v>2000</v>
      </c>
      <c r="O152" s="101" t="s">
        <v>806</v>
      </c>
      <c r="P152" s="101">
        <v>152835</v>
      </c>
      <c r="Q152" t="s">
        <v>798</v>
      </c>
      <c r="R152" t="s">
        <v>782</v>
      </c>
      <c r="S152" t="s">
        <v>1111</v>
      </c>
      <c r="T152"/>
      <c r="U152"/>
      <c r="V152" s="222"/>
    </row>
    <row r="153" spans="1:22" x14ac:dyDescent="0.2">
      <c r="A153" t="s">
        <v>315</v>
      </c>
      <c r="B153" s="101">
        <v>1</v>
      </c>
      <c r="C153" s="101">
        <v>-4</v>
      </c>
      <c r="D153" s="101">
        <v>1</v>
      </c>
      <c r="E153" s="101">
        <v>-11</v>
      </c>
      <c r="F153" s="101">
        <v>-25</v>
      </c>
      <c r="G153" s="101">
        <v>-33</v>
      </c>
      <c r="H153" s="101">
        <v>-7.6</v>
      </c>
      <c r="I153" s="102">
        <v>0.22</v>
      </c>
      <c r="J153" s="102">
        <v>0.6</v>
      </c>
      <c r="K153" s="101">
        <v>10.199999999999999</v>
      </c>
      <c r="L153" s="101">
        <v>-1</v>
      </c>
      <c r="M153" s="101" t="s">
        <v>1088</v>
      </c>
      <c r="N153" s="101">
        <v>2000</v>
      </c>
      <c r="O153" s="101" t="s">
        <v>806</v>
      </c>
      <c r="P153" s="101">
        <v>319822</v>
      </c>
      <c r="Q153" t="s">
        <v>852</v>
      </c>
      <c r="R153" t="s">
        <v>314</v>
      </c>
      <c r="S153"/>
      <c r="T153"/>
      <c r="U153"/>
      <c r="V153" s="222"/>
    </row>
    <row r="154" spans="1:22" x14ac:dyDescent="0.2">
      <c r="A154" t="s">
        <v>886</v>
      </c>
      <c r="B154" s="101">
        <v>5</v>
      </c>
      <c r="C154" s="101">
        <v>-3</v>
      </c>
      <c r="D154" s="101">
        <v>5</v>
      </c>
      <c r="E154" s="101">
        <v>-2</v>
      </c>
      <c r="F154" s="101">
        <v>5</v>
      </c>
      <c r="G154" s="101"/>
      <c r="H154" s="101"/>
      <c r="I154" s="102">
        <v>0.21</v>
      </c>
      <c r="J154" s="102">
        <v>0.6</v>
      </c>
      <c r="K154" s="101">
        <v>10.7</v>
      </c>
      <c r="L154" s="101">
        <v>0.1</v>
      </c>
      <c r="M154" s="101" t="s">
        <v>1088</v>
      </c>
      <c r="N154" s="101">
        <v>2008</v>
      </c>
      <c r="O154" s="101" t="s">
        <v>806</v>
      </c>
      <c r="P154" s="101">
        <v>823096</v>
      </c>
      <c r="Q154" t="s">
        <v>865</v>
      </c>
      <c r="R154" t="s">
        <v>138</v>
      </c>
      <c r="S154"/>
      <c r="T154"/>
      <c r="U154"/>
      <c r="V154" s="222"/>
    </row>
    <row r="155" spans="1:22" x14ac:dyDescent="0.2">
      <c r="A155" t="s">
        <v>264</v>
      </c>
      <c r="B155" s="101">
        <v>0</v>
      </c>
      <c r="C155" s="101">
        <v>1</v>
      </c>
      <c r="D155" s="101">
        <v>0</v>
      </c>
      <c r="E155" s="101">
        <v>-2</v>
      </c>
      <c r="F155" s="101">
        <v>-4</v>
      </c>
      <c r="G155" s="101">
        <v>5</v>
      </c>
      <c r="H155" s="101">
        <v>1</v>
      </c>
      <c r="I155" s="102">
        <v>0.26</v>
      </c>
      <c r="J155" s="102">
        <v>0.60280699999999998</v>
      </c>
      <c r="K155" s="101">
        <v>7.9</v>
      </c>
      <c r="L155" s="101">
        <v>-0.2</v>
      </c>
      <c r="M155" s="101" t="s">
        <v>1090</v>
      </c>
      <c r="N155" s="101">
        <v>2001</v>
      </c>
      <c r="O155" s="101" t="s">
        <v>685</v>
      </c>
      <c r="P155" s="101">
        <v>111518</v>
      </c>
      <c r="Q155" t="s">
        <v>807</v>
      </c>
      <c r="R155" t="s">
        <v>678</v>
      </c>
      <c r="S155"/>
      <c r="T155"/>
      <c r="U155"/>
      <c r="V155" s="222"/>
    </row>
    <row r="156" spans="1:22" x14ac:dyDescent="0.2">
      <c r="A156" t="s">
        <v>158</v>
      </c>
      <c r="B156" s="101">
        <v>1</v>
      </c>
      <c r="C156" s="101">
        <v>-3</v>
      </c>
      <c r="D156" s="101">
        <v>2</v>
      </c>
      <c r="E156" s="101">
        <v>7</v>
      </c>
      <c r="F156" s="101">
        <v>33</v>
      </c>
      <c r="G156" s="101">
        <v>23</v>
      </c>
      <c r="H156" s="101">
        <v>4.2</v>
      </c>
      <c r="I156" s="102">
        <v>0.31</v>
      </c>
      <c r="J156" s="102">
        <v>0.60699999999999998</v>
      </c>
      <c r="K156" s="101">
        <v>9.4</v>
      </c>
      <c r="L156" s="101">
        <v>0.9</v>
      </c>
      <c r="M156" s="101" t="s">
        <v>1089</v>
      </c>
      <c r="N156" s="101">
        <v>2000</v>
      </c>
      <c r="O156" s="101" t="s">
        <v>685</v>
      </c>
      <c r="P156" s="101">
        <v>479550</v>
      </c>
      <c r="Q156" t="s">
        <v>106</v>
      </c>
      <c r="R156" t="s">
        <v>152</v>
      </c>
      <c r="S156"/>
      <c r="T156"/>
      <c r="U156"/>
      <c r="V156" s="222"/>
    </row>
    <row r="157" spans="1:22" x14ac:dyDescent="0.2">
      <c r="A157" t="s">
        <v>13</v>
      </c>
      <c r="B157" s="101">
        <v>0</v>
      </c>
      <c r="C157" s="101">
        <v>2</v>
      </c>
      <c r="D157" s="101">
        <v>-1</v>
      </c>
      <c r="E157" s="101">
        <v>3</v>
      </c>
      <c r="F157" s="101">
        <v>-10</v>
      </c>
      <c r="G157" s="101">
        <v>-8</v>
      </c>
      <c r="H157" s="101">
        <v>-1.7</v>
      </c>
      <c r="I157" s="102">
        <v>0.26</v>
      </c>
      <c r="J157" s="102">
        <v>0.61</v>
      </c>
      <c r="K157" s="101">
        <v>8.3000000000000007</v>
      </c>
      <c r="L157" s="101">
        <v>-0.6</v>
      </c>
      <c r="M157" s="101" t="s">
        <v>1088</v>
      </c>
      <c r="N157" s="101">
        <v>2000</v>
      </c>
      <c r="O157" s="101" t="s">
        <v>806</v>
      </c>
      <c r="P157" s="101">
        <v>901603</v>
      </c>
      <c r="Q157" t="s">
        <v>462</v>
      </c>
      <c r="R157" t="s">
        <v>594</v>
      </c>
      <c r="S157"/>
      <c r="T157"/>
      <c r="U157"/>
      <c r="V157" s="222"/>
    </row>
    <row r="158" spans="1:22" x14ac:dyDescent="0.2">
      <c r="A158" t="s">
        <v>721</v>
      </c>
      <c r="B158" s="101">
        <v>7</v>
      </c>
      <c r="C158" s="101">
        <v>-2</v>
      </c>
      <c r="D158" s="101">
        <v>8</v>
      </c>
      <c r="E158" s="101">
        <v>-5</v>
      </c>
      <c r="F158" s="101">
        <v>32</v>
      </c>
      <c r="G158" s="101">
        <v>-24</v>
      </c>
      <c r="H158" s="101">
        <v>-5.4</v>
      </c>
      <c r="I158" s="102">
        <v>0.3</v>
      </c>
      <c r="J158" s="102">
        <v>0.61287700000000001</v>
      </c>
      <c r="K158" s="101">
        <v>17</v>
      </c>
      <c r="L158" s="101">
        <v>0.5</v>
      </c>
      <c r="M158" s="101" t="s">
        <v>1088</v>
      </c>
      <c r="N158" s="101">
        <v>2000</v>
      </c>
      <c r="O158" s="101" t="s">
        <v>806</v>
      </c>
      <c r="P158" s="101">
        <v>838441</v>
      </c>
      <c r="Q158" t="s">
        <v>727</v>
      </c>
      <c r="R158" t="s">
        <v>779</v>
      </c>
      <c r="S158"/>
      <c r="T158"/>
      <c r="U158"/>
      <c r="V158" s="222"/>
    </row>
    <row r="159" spans="1:22" x14ac:dyDescent="0.2">
      <c r="A159" t="s">
        <v>288</v>
      </c>
      <c r="B159" s="101">
        <v>7</v>
      </c>
      <c r="C159" s="101">
        <v>6</v>
      </c>
      <c r="D159" s="101">
        <v>8</v>
      </c>
      <c r="E159" s="101">
        <v>17</v>
      </c>
      <c r="F159" s="101">
        <v>30</v>
      </c>
      <c r="G159" s="101">
        <v>24</v>
      </c>
      <c r="H159" s="101">
        <v>4.4000000000000004</v>
      </c>
      <c r="I159" s="102">
        <v>0.31</v>
      </c>
      <c r="J159" s="102">
        <v>0.61799999999999999</v>
      </c>
      <c r="K159" s="101">
        <v>10.4</v>
      </c>
      <c r="L159" s="101">
        <v>0.8</v>
      </c>
      <c r="M159" s="101" t="s">
        <v>1089</v>
      </c>
      <c r="N159" s="101">
        <v>2001</v>
      </c>
      <c r="O159" s="101" t="s">
        <v>685</v>
      </c>
      <c r="P159" s="101">
        <v>416982</v>
      </c>
      <c r="Q159" t="s">
        <v>106</v>
      </c>
      <c r="R159" t="s">
        <v>282</v>
      </c>
      <c r="S159"/>
      <c r="T159"/>
      <c r="U159"/>
      <c r="V159" s="222"/>
    </row>
    <row r="160" spans="1:22" x14ac:dyDescent="0.2">
      <c r="A160" t="s">
        <v>665</v>
      </c>
      <c r="B160" s="101">
        <v>1</v>
      </c>
      <c r="C160" s="101">
        <v>-1</v>
      </c>
      <c r="D160" s="101">
        <v>1</v>
      </c>
      <c r="E160" s="101">
        <v>0</v>
      </c>
      <c r="F160" s="101">
        <v>-13</v>
      </c>
      <c r="G160" s="101">
        <v>19</v>
      </c>
      <c r="H160" s="101">
        <v>3.5</v>
      </c>
      <c r="I160" s="102">
        <v>0.28000000000000003</v>
      </c>
      <c r="J160" s="102">
        <v>0.65</v>
      </c>
      <c r="K160" s="101">
        <v>7.1</v>
      </c>
      <c r="L160" s="101">
        <v>-0.7</v>
      </c>
      <c r="M160" s="101" t="s">
        <v>1089</v>
      </c>
      <c r="N160" s="101">
        <v>2000</v>
      </c>
      <c r="O160" s="101" t="s">
        <v>685</v>
      </c>
      <c r="P160" s="101">
        <v>426726</v>
      </c>
      <c r="Q160" t="s">
        <v>819</v>
      </c>
      <c r="R160" t="s">
        <v>664</v>
      </c>
      <c r="S160"/>
      <c r="T160"/>
      <c r="U160"/>
      <c r="V160" s="222"/>
    </row>
    <row r="161" spans="1:22" x14ac:dyDescent="0.2">
      <c r="A161" t="s">
        <v>179</v>
      </c>
      <c r="B161" s="101">
        <v>7</v>
      </c>
      <c r="C161" s="101">
        <v>-6</v>
      </c>
      <c r="D161" s="101">
        <v>8</v>
      </c>
      <c r="E161" s="101">
        <v>14</v>
      </c>
      <c r="F161" s="101">
        <v>24</v>
      </c>
      <c r="G161" s="101">
        <v>-4</v>
      </c>
      <c r="H161" s="101">
        <v>-0.8</v>
      </c>
      <c r="I161" s="102">
        <v>0.26</v>
      </c>
      <c r="J161" s="102">
        <v>0.65017800000000003</v>
      </c>
      <c r="K161" s="101">
        <v>12.6</v>
      </c>
      <c r="L161" s="101">
        <v>0.5</v>
      </c>
      <c r="M161" s="101" t="s">
        <v>1088</v>
      </c>
      <c r="N161" s="101">
        <v>2006</v>
      </c>
      <c r="O161" s="101" t="s">
        <v>806</v>
      </c>
      <c r="P161" s="101">
        <v>399865</v>
      </c>
      <c r="Q161" t="s">
        <v>729</v>
      </c>
      <c r="R161" t="s">
        <v>273</v>
      </c>
      <c r="S161"/>
      <c r="T161"/>
      <c r="U161"/>
      <c r="V161" s="222"/>
    </row>
    <row r="162" spans="1:22" x14ac:dyDescent="0.2">
      <c r="A162" t="s">
        <v>105</v>
      </c>
      <c r="B162" s="101">
        <v>2</v>
      </c>
      <c r="C162" s="101">
        <v>-3</v>
      </c>
      <c r="D162" s="101">
        <v>3</v>
      </c>
      <c r="E162" s="101">
        <v>-10</v>
      </c>
      <c r="F162" s="101">
        <v>-8</v>
      </c>
      <c r="G162" s="101">
        <v>-44</v>
      </c>
      <c r="H162" s="101">
        <v>-11</v>
      </c>
      <c r="I162" s="102">
        <v>0.3</v>
      </c>
      <c r="J162" s="102">
        <v>0.67930000000000001</v>
      </c>
      <c r="K162" s="101">
        <v>13.7</v>
      </c>
      <c r="L162" s="101">
        <v>-0.2</v>
      </c>
      <c r="M162" s="101" t="s">
        <v>1088</v>
      </c>
      <c r="N162" s="101">
        <v>2000</v>
      </c>
      <c r="O162" s="101" t="s">
        <v>806</v>
      </c>
      <c r="P162" s="101">
        <v>570630</v>
      </c>
      <c r="Q162" t="s">
        <v>736</v>
      </c>
      <c r="R162" t="s">
        <v>102</v>
      </c>
      <c r="S162" t="s">
        <v>1111</v>
      </c>
      <c r="T162"/>
      <c r="U162"/>
      <c r="V162" s="222"/>
    </row>
    <row r="163" spans="1:22" x14ac:dyDescent="0.2">
      <c r="A163" t="s">
        <v>249</v>
      </c>
      <c r="B163" s="101">
        <v>3</v>
      </c>
      <c r="C163" s="101">
        <v>-5</v>
      </c>
      <c r="D163" s="101">
        <v>4</v>
      </c>
      <c r="E163" s="101">
        <v>0</v>
      </c>
      <c r="F163" s="101">
        <v>-12</v>
      </c>
      <c r="G163" s="101">
        <v>-38</v>
      </c>
      <c r="H163" s="101">
        <v>-9.3000000000000007</v>
      </c>
      <c r="I163" s="102">
        <v>0.3</v>
      </c>
      <c r="J163" s="102">
        <v>0.67949999999999999</v>
      </c>
      <c r="K163" s="101">
        <v>13.3</v>
      </c>
      <c r="L163" s="101">
        <v>-0.4</v>
      </c>
      <c r="M163" s="101" t="s">
        <v>1088</v>
      </c>
      <c r="N163" s="101">
        <v>2000</v>
      </c>
      <c r="O163" s="101" t="s">
        <v>806</v>
      </c>
      <c r="P163" s="101">
        <v>606467</v>
      </c>
      <c r="Q163" t="s">
        <v>736</v>
      </c>
      <c r="R163" t="s">
        <v>237</v>
      </c>
      <c r="S163" t="s">
        <v>1111</v>
      </c>
      <c r="T163"/>
      <c r="U163"/>
      <c r="V163" s="222"/>
    </row>
    <row r="164" spans="1:22" x14ac:dyDescent="0.2">
      <c r="A164" t="s">
        <v>601</v>
      </c>
      <c r="B164" s="101">
        <v>-7</v>
      </c>
      <c r="C164" s="101">
        <v>-4</v>
      </c>
      <c r="D164" s="101">
        <v>-7</v>
      </c>
      <c r="E164" s="101">
        <v>2</v>
      </c>
      <c r="F164" s="101">
        <v>-5</v>
      </c>
      <c r="G164" s="101">
        <v>-3</v>
      </c>
      <c r="H164" s="101">
        <v>-0.6</v>
      </c>
      <c r="I164" s="102">
        <v>0.3</v>
      </c>
      <c r="J164" s="102">
        <v>0.68</v>
      </c>
      <c r="K164" s="101">
        <v>7.1</v>
      </c>
      <c r="L164" s="101">
        <v>-0.4</v>
      </c>
      <c r="M164" s="101" t="s">
        <v>1088</v>
      </c>
      <c r="N164" s="101">
        <v>2005</v>
      </c>
      <c r="O164" s="101" t="s">
        <v>806</v>
      </c>
      <c r="P164" s="101">
        <v>483099</v>
      </c>
      <c r="Q164" t="s">
        <v>756</v>
      </c>
      <c r="R164" t="s">
        <v>594</v>
      </c>
      <c r="S164"/>
      <c r="T164"/>
      <c r="U164"/>
      <c r="V164" s="222"/>
    </row>
    <row r="165" spans="1:22" x14ac:dyDescent="0.2">
      <c r="A165" t="s">
        <v>142</v>
      </c>
      <c r="B165" s="101">
        <v>6</v>
      </c>
      <c r="C165" s="101">
        <v>-2</v>
      </c>
      <c r="D165" s="101">
        <v>5</v>
      </c>
      <c r="E165" s="101">
        <v>-1</v>
      </c>
      <c r="F165" s="101">
        <v>17</v>
      </c>
      <c r="G165" s="101">
        <v>-21</v>
      </c>
      <c r="H165" s="101">
        <v>-4.5</v>
      </c>
      <c r="I165" s="102">
        <v>0.3</v>
      </c>
      <c r="J165" s="102">
        <v>0.68020000000000003</v>
      </c>
      <c r="K165" s="101">
        <v>15.1</v>
      </c>
      <c r="L165" s="101">
        <v>0.3</v>
      </c>
      <c r="M165" s="101" t="s">
        <v>1088</v>
      </c>
      <c r="N165" s="101">
        <v>2000</v>
      </c>
      <c r="O165" s="101" t="s">
        <v>806</v>
      </c>
      <c r="P165" s="101">
        <v>642298</v>
      </c>
      <c r="Q165" t="s">
        <v>736</v>
      </c>
      <c r="R165" t="s">
        <v>138</v>
      </c>
      <c r="S165" t="s">
        <v>1111</v>
      </c>
      <c r="T165"/>
      <c r="U165"/>
      <c r="V165" s="222"/>
    </row>
    <row r="166" spans="1:22" x14ac:dyDescent="0.2">
      <c r="A166" t="s">
        <v>393</v>
      </c>
      <c r="B166" s="101">
        <v>3</v>
      </c>
      <c r="C166" s="101">
        <v>-1</v>
      </c>
      <c r="D166" s="101">
        <v>2</v>
      </c>
      <c r="E166" s="101">
        <v>-4</v>
      </c>
      <c r="F166" s="101">
        <v>-6</v>
      </c>
      <c r="G166" s="101">
        <v>16</v>
      </c>
      <c r="H166" s="101">
        <v>3</v>
      </c>
      <c r="I166" s="102">
        <v>0.3</v>
      </c>
      <c r="J166" s="102">
        <v>0.69</v>
      </c>
      <c r="K166" s="101">
        <v>5.8</v>
      </c>
      <c r="L166" s="101">
        <v>-0.5</v>
      </c>
      <c r="M166" s="101" t="s">
        <v>1089</v>
      </c>
      <c r="N166" s="101">
        <v>2010</v>
      </c>
      <c r="O166" s="101" t="s">
        <v>685</v>
      </c>
      <c r="P166" s="101">
        <v>203000</v>
      </c>
      <c r="Q166" t="s">
        <v>316</v>
      </c>
      <c r="R166" t="s">
        <v>664</v>
      </c>
      <c r="S166"/>
      <c r="T166"/>
      <c r="U166"/>
      <c r="V166" s="222"/>
    </row>
    <row r="167" spans="1:22" x14ac:dyDescent="0.2">
      <c r="A167" t="s">
        <v>110</v>
      </c>
      <c r="B167" s="101">
        <v>9</v>
      </c>
      <c r="C167" s="101">
        <v>0</v>
      </c>
      <c r="D167" s="101">
        <v>9</v>
      </c>
      <c r="E167" s="101">
        <v>13</v>
      </c>
      <c r="F167" s="101">
        <v>32</v>
      </c>
      <c r="G167" s="101">
        <v>-12</v>
      </c>
      <c r="H167" s="101">
        <v>-2.6</v>
      </c>
      <c r="I167" s="102">
        <v>0.3</v>
      </c>
      <c r="J167" s="102">
        <v>0.69369999999999998</v>
      </c>
      <c r="K167" s="101">
        <v>10.4</v>
      </c>
      <c r="L167" s="101">
        <v>0.8</v>
      </c>
      <c r="M167" s="101" t="s">
        <v>1088</v>
      </c>
      <c r="N167" s="101">
        <v>2000</v>
      </c>
      <c r="O167" s="101" t="s">
        <v>806</v>
      </c>
      <c r="P167" s="101">
        <v>678128</v>
      </c>
      <c r="Q167" t="s">
        <v>736</v>
      </c>
      <c r="R167" t="s">
        <v>108</v>
      </c>
      <c r="S167" t="s">
        <v>1111</v>
      </c>
      <c r="T167"/>
      <c r="U167"/>
      <c r="V167" s="222"/>
    </row>
    <row r="168" spans="1:22" x14ac:dyDescent="0.2">
      <c r="A168" t="s">
        <v>597</v>
      </c>
      <c r="B168" s="101">
        <v>1</v>
      </c>
      <c r="C168" s="101">
        <v>1</v>
      </c>
      <c r="D168" s="101">
        <v>1</v>
      </c>
      <c r="E168" s="101">
        <v>6</v>
      </c>
      <c r="F168" s="101">
        <v>2</v>
      </c>
      <c r="G168" s="101">
        <v>9</v>
      </c>
      <c r="H168" s="101">
        <v>1.7</v>
      </c>
      <c r="I168" s="102">
        <v>0.24</v>
      </c>
      <c r="J168" s="102">
        <v>0.7</v>
      </c>
      <c r="K168" s="101">
        <v>4.0999999999999996</v>
      </c>
      <c r="L168" s="101">
        <v>-0.2</v>
      </c>
      <c r="M168" s="101" t="s">
        <v>1088</v>
      </c>
      <c r="N168" s="101">
        <v>2002</v>
      </c>
      <c r="O168" s="101" t="s">
        <v>806</v>
      </c>
      <c r="P168" s="101">
        <v>807453</v>
      </c>
      <c r="Q168" t="s">
        <v>846</v>
      </c>
      <c r="R168" t="s">
        <v>594</v>
      </c>
      <c r="S168"/>
      <c r="T168"/>
      <c r="U168"/>
      <c r="V168" s="222"/>
    </row>
    <row r="169" spans="1:22" x14ac:dyDescent="0.2">
      <c r="A169" t="s">
        <v>598</v>
      </c>
      <c r="B169" s="101">
        <v>1</v>
      </c>
      <c r="C169" s="101">
        <v>0</v>
      </c>
      <c r="D169" s="101">
        <v>1</v>
      </c>
      <c r="E169" s="101">
        <v>2</v>
      </c>
      <c r="F169" s="101">
        <v>-1</v>
      </c>
      <c r="G169" s="101">
        <v>3</v>
      </c>
      <c r="H169" s="101">
        <v>0.5</v>
      </c>
      <c r="I169" s="102">
        <v>0.24</v>
      </c>
      <c r="J169" s="102">
        <v>0.7</v>
      </c>
      <c r="K169" s="101">
        <v>2.2000000000000002</v>
      </c>
      <c r="L169" s="101">
        <v>-0.8</v>
      </c>
      <c r="M169" s="101" t="s">
        <v>1088</v>
      </c>
      <c r="N169" s="101">
        <v>2005</v>
      </c>
      <c r="O169" s="101" t="s">
        <v>806</v>
      </c>
      <c r="P169" s="101">
        <v>413260</v>
      </c>
      <c r="Q169" t="s">
        <v>846</v>
      </c>
      <c r="R169" t="s">
        <v>594</v>
      </c>
      <c r="S169"/>
      <c r="T169"/>
      <c r="U169"/>
      <c r="V169" s="222"/>
    </row>
    <row r="170" spans="1:22" x14ac:dyDescent="0.2">
      <c r="A170" t="s">
        <v>136</v>
      </c>
      <c r="B170" s="101">
        <v>4</v>
      </c>
      <c r="C170" s="101">
        <v>-2</v>
      </c>
      <c r="D170" s="101">
        <v>4</v>
      </c>
      <c r="E170" s="101">
        <v>10</v>
      </c>
      <c r="F170" s="101">
        <v>25</v>
      </c>
      <c r="G170" s="101">
        <v>-6</v>
      </c>
      <c r="H170" s="101">
        <v>-1.3</v>
      </c>
      <c r="I170" s="102">
        <v>0.21</v>
      </c>
      <c r="J170" s="102">
        <v>0.7</v>
      </c>
      <c r="K170" s="101">
        <v>9.1</v>
      </c>
      <c r="L170" s="101">
        <v>0.7</v>
      </c>
      <c r="M170" s="101" t="s">
        <v>1088</v>
      </c>
      <c r="N170" s="101">
        <v>2000</v>
      </c>
      <c r="O170" s="101" t="s">
        <v>806</v>
      </c>
      <c r="P170" s="101">
        <v>650200</v>
      </c>
      <c r="Q170" t="s">
        <v>832</v>
      </c>
      <c r="R170" t="s">
        <v>108</v>
      </c>
      <c r="S170" t="s">
        <v>1111</v>
      </c>
      <c r="T170"/>
      <c r="U170"/>
      <c r="V170" s="222"/>
    </row>
    <row r="171" spans="1:22" x14ac:dyDescent="0.2">
      <c r="A171" t="s">
        <v>278</v>
      </c>
      <c r="B171" s="101">
        <v>11</v>
      </c>
      <c r="C171" s="101">
        <v>-2</v>
      </c>
      <c r="D171" s="101">
        <v>11</v>
      </c>
      <c r="E171" s="101">
        <v>12</v>
      </c>
      <c r="F171" s="101">
        <v>30</v>
      </c>
      <c r="G171" s="101">
        <v>-11</v>
      </c>
      <c r="H171" s="101">
        <v>-2.2999999999999998</v>
      </c>
      <c r="I171" s="102">
        <v>0.21</v>
      </c>
      <c r="J171" s="102">
        <v>0.7</v>
      </c>
      <c r="K171" s="101">
        <v>10.5</v>
      </c>
      <c r="L171" s="101">
        <v>0.8</v>
      </c>
      <c r="M171" s="101" t="s">
        <v>1088</v>
      </c>
      <c r="N171" s="101">
        <v>2000</v>
      </c>
      <c r="O171" s="101" t="s">
        <v>806</v>
      </c>
      <c r="P171" s="101">
        <v>435222</v>
      </c>
      <c r="Q171" t="s">
        <v>832</v>
      </c>
      <c r="R171" t="s">
        <v>273</v>
      </c>
      <c r="S171" t="s">
        <v>1111</v>
      </c>
      <c r="T171"/>
      <c r="U171"/>
      <c r="V171" s="222"/>
    </row>
    <row r="172" spans="1:22" x14ac:dyDescent="0.2">
      <c r="A172" t="s">
        <v>311</v>
      </c>
      <c r="B172" s="101">
        <v>4</v>
      </c>
      <c r="C172" s="101">
        <v>-1</v>
      </c>
      <c r="D172" s="101">
        <v>5</v>
      </c>
      <c r="E172" s="101">
        <v>-1</v>
      </c>
      <c r="F172" s="101">
        <v>12</v>
      </c>
      <c r="G172" s="101">
        <v>-13</v>
      </c>
      <c r="H172" s="101">
        <v>-2.8</v>
      </c>
      <c r="I172" s="102">
        <v>0.21</v>
      </c>
      <c r="J172" s="102">
        <v>0.7</v>
      </c>
      <c r="K172" s="101">
        <v>7.6</v>
      </c>
      <c r="L172" s="101">
        <v>0.4</v>
      </c>
      <c r="M172" s="101" t="s">
        <v>1088</v>
      </c>
      <c r="N172" s="101">
        <v>2000</v>
      </c>
      <c r="O172" s="101" t="s">
        <v>806</v>
      </c>
      <c r="P172" s="101">
        <v>542712</v>
      </c>
      <c r="Q172" t="s">
        <v>832</v>
      </c>
      <c r="R172" t="s">
        <v>306</v>
      </c>
      <c r="S172" t="s">
        <v>1111</v>
      </c>
      <c r="T172"/>
      <c r="U172"/>
      <c r="V172" s="222"/>
    </row>
    <row r="173" spans="1:22" x14ac:dyDescent="0.2">
      <c r="A173" t="s">
        <v>1045</v>
      </c>
      <c r="B173" s="101">
        <v>1</v>
      </c>
      <c r="C173" s="101">
        <v>-6</v>
      </c>
      <c r="D173" s="101">
        <v>2</v>
      </c>
      <c r="E173" s="101">
        <v>-16</v>
      </c>
      <c r="F173" s="101">
        <v>12</v>
      </c>
      <c r="G173" s="101">
        <v>-33</v>
      </c>
      <c r="H173" s="101">
        <v>-7.7</v>
      </c>
      <c r="I173" s="102">
        <v>0.23</v>
      </c>
      <c r="J173" s="102">
        <v>0.7</v>
      </c>
      <c r="K173" s="101">
        <v>19.3</v>
      </c>
      <c r="L173" s="101">
        <v>0.2</v>
      </c>
      <c r="M173" s="101" t="s">
        <v>1088</v>
      </c>
      <c r="N173" s="101">
        <v>2000</v>
      </c>
      <c r="O173" s="101" t="s">
        <v>806</v>
      </c>
      <c r="P173" s="101">
        <v>104844</v>
      </c>
      <c r="Q173" t="s">
        <v>852</v>
      </c>
      <c r="R173" t="s">
        <v>723</v>
      </c>
      <c r="S173"/>
      <c r="T173"/>
      <c r="U173"/>
      <c r="V173" s="222"/>
    </row>
    <row r="174" spans="1:22" x14ac:dyDescent="0.2">
      <c r="A174" t="s">
        <v>61</v>
      </c>
      <c r="B174" s="101">
        <v>3</v>
      </c>
      <c r="C174" s="101">
        <v>-3</v>
      </c>
      <c r="D174" s="101">
        <v>4</v>
      </c>
      <c r="E174" s="101">
        <v>-11</v>
      </c>
      <c r="F174" s="101">
        <v>-10</v>
      </c>
      <c r="G174" s="101">
        <v>-41</v>
      </c>
      <c r="H174" s="101">
        <v>-9.9</v>
      </c>
      <c r="I174" s="102">
        <v>0.21</v>
      </c>
      <c r="J174" s="102">
        <v>0.7</v>
      </c>
      <c r="K174" s="101">
        <v>12.8</v>
      </c>
      <c r="L174" s="101">
        <v>-0.3</v>
      </c>
      <c r="M174" s="101" t="s">
        <v>1088</v>
      </c>
      <c r="N174" s="101">
        <v>2000</v>
      </c>
      <c r="O174" s="101" t="s">
        <v>806</v>
      </c>
      <c r="P174" s="101">
        <v>686030</v>
      </c>
      <c r="Q174" t="s">
        <v>832</v>
      </c>
      <c r="R174" t="s">
        <v>48</v>
      </c>
      <c r="S174" t="s">
        <v>1111</v>
      </c>
      <c r="T174"/>
      <c r="U174"/>
      <c r="V174" s="222"/>
    </row>
    <row r="175" spans="1:22" x14ac:dyDescent="0.2">
      <c r="A175" t="s">
        <v>1006</v>
      </c>
      <c r="B175" s="101">
        <v>1</v>
      </c>
      <c r="C175" s="101">
        <v>2</v>
      </c>
      <c r="D175" s="101">
        <v>1</v>
      </c>
      <c r="E175" s="101">
        <v>8</v>
      </c>
      <c r="F175" s="101">
        <v>14</v>
      </c>
      <c r="G175" s="101">
        <v>24</v>
      </c>
      <c r="H175" s="101">
        <v>4.5</v>
      </c>
      <c r="I175" s="102">
        <v>0.28000000000000003</v>
      </c>
      <c r="J175" s="102">
        <v>0.70399999999999996</v>
      </c>
      <c r="K175" s="101">
        <v>4.0999999999999996</v>
      </c>
      <c r="L175" s="101">
        <v>0.8</v>
      </c>
      <c r="M175" s="101" t="s">
        <v>1088</v>
      </c>
      <c r="N175" s="101">
        <v>2009</v>
      </c>
      <c r="O175" s="101" t="s">
        <v>806</v>
      </c>
      <c r="P175" s="101">
        <v>189662</v>
      </c>
      <c r="Q175" t="s">
        <v>816</v>
      </c>
      <c r="R175" t="s">
        <v>660</v>
      </c>
      <c r="S175"/>
      <c r="T175"/>
      <c r="U175"/>
      <c r="V175" s="222"/>
    </row>
    <row r="176" spans="1:22" x14ac:dyDescent="0.2">
      <c r="A176" t="s">
        <v>146</v>
      </c>
      <c r="B176" s="101">
        <v>6</v>
      </c>
      <c r="C176" s="101">
        <v>-3</v>
      </c>
      <c r="D176" s="101">
        <v>6</v>
      </c>
      <c r="E176" s="101">
        <v>-8</v>
      </c>
      <c r="F176" s="101">
        <v>6</v>
      </c>
      <c r="G176" s="101">
        <v>-9</v>
      </c>
      <c r="H176" s="101">
        <v>-1.9</v>
      </c>
      <c r="I176" s="102">
        <v>0.21</v>
      </c>
      <c r="J176" s="102">
        <v>0.71</v>
      </c>
      <c r="K176" s="101">
        <v>14.5</v>
      </c>
      <c r="L176" s="101">
        <v>0.1</v>
      </c>
      <c r="M176" s="101" t="s">
        <v>1088</v>
      </c>
      <c r="N176" s="101">
        <v>2000</v>
      </c>
      <c r="O176" s="101" t="s">
        <v>806</v>
      </c>
      <c r="P176" s="101">
        <v>471052</v>
      </c>
      <c r="Q176" t="s">
        <v>832</v>
      </c>
      <c r="R176" t="s">
        <v>138</v>
      </c>
      <c r="S176" t="s">
        <v>1111</v>
      </c>
      <c r="T176"/>
      <c r="U176"/>
      <c r="V176" s="222"/>
    </row>
    <row r="177" spans="1:22" x14ac:dyDescent="0.2">
      <c r="A177" t="s">
        <v>774</v>
      </c>
      <c r="B177" s="101">
        <v>6</v>
      </c>
      <c r="C177" s="101">
        <v>-3</v>
      </c>
      <c r="D177" s="101">
        <v>7</v>
      </c>
      <c r="E177" s="101">
        <v>-11</v>
      </c>
      <c r="F177" s="101">
        <v>23</v>
      </c>
      <c r="G177" s="101">
        <v>-25</v>
      </c>
      <c r="H177" s="101">
        <v>-5.5</v>
      </c>
      <c r="I177" s="102">
        <v>0.21</v>
      </c>
      <c r="J177" s="102">
        <v>0.71</v>
      </c>
      <c r="K177" s="101">
        <v>18.3</v>
      </c>
      <c r="L177" s="101">
        <v>0.4</v>
      </c>
      <c r="M177" s="101" t="s">
        <v>1088</v>
      </c>
      <c r="N177" s="101">
        <v>2000</v>
      </c>
      <c r="O177" s="101" t="s">
        <v>806</v>
      </c>
      <c r="P177" s="101">
        <v>721860</v>
      </c>
      <c r="Q177" t="s">
        <v>832</v>
      </c>
      <c r="R177" t="s">
        <v>723</v>
      </c>
      <c r="S177" t="s">
        <v>1111</v>
      </c>
      <c r="T177"/>
      <c r="U177"/>
      <c r="V177" s="222"/>
    </row>
    <row r="178" spans="1:22" x14ac:dyDescent="0.2">
      <c r="A178" t="s">
        <v>165</v>
      </c>
      <c r="B178" s="101">
        <v>2</v>
      </c>
      <c r="C178" s="101">
        <v>-4</v>
      </c>
      <c r="D178" s="101">
        <v>2</v>
      </c>
      <c r="E178" s="101">
        <v>-6</v>
      </c>
      <c r="F178" s="101">
        <v>5</v>
      </c>
      <c r="G178" s="101">
        <v>-26</v>
      </c>
      <c r="H178" s="101">
        <v>-5.8</v>
      </c>
      <c r="I178" s="102">
        <v>0.21</v>
      </c>
      <c r="J178" s="102">
        <v>0.71</v>
      </c>
      <c r="K178" s="101">
        <v>9.1</v>
      </c>
      <c r="L178" s="101">
        <v>0.1</v>
      </c>
      <c r="M178" s="101" t="s">
        <v>1088</v>
      </c>
      <c r="N178" s="101">
        <v>2000</v>
      </c>
      <c r="O178" s="101" t="s">
        <v>806</v>
      </c>
      <c r="P178" s="101">
        <v>399394</v>
      </c>
      <c r="Q178" t="s">
        <v>832</v>
      </c>
      <c r="R178" t="s">
        <v>152</v>
      </c>
      <c r="S178" t="s">
        <v>1111</v>
      </c>
      <c r="T178"/>
      <c r="U178"/>
      <c r="V178" s="222"/>
    </row>
    <row r="179" spans="1:22" x14ac:dyDescent="0.2">
      <c r="A179" t="s">
        <v>558</v>
      </c>
      <c r="B179" s="101">
        <v>0</v>
      </c>
      <c r="C179" s="101">
        <v>2</v>
      </c>
      <c r="D179" s="101">
        <v>0</v>
      </c>
      <c r="E179" s="101">
        <v>4</v>
      </c>
      <c r="F179" s="101">
        <v>9</v>
      </c>
      <c r="G179" s="101">
        <v>15</v>
      </c>
      <c r="H179" s="101">
        <v>2.8</v>
      </c>
      <c r="I179" s="102">
        <v>0.17</v>
      </c>
      <c r="J179" s="102">
        <v>0.72</v>
      </c>
      <c r="K179" s="101">
        <v>5.0999999999999996</v>
      </c>
      <c r="L179" s="101">
        <v>0.3</v>
      </c>
      <c r="M179" s="101" t="s">
        <v>1088</v>
      </c>
      <c r="N179" s="101">
        <v>2003</v>
      </c>
      <c r="O179" s="101" t="s">
        <v>806</v>
      </c>
      <c r="P179" s="101">
        <v>666552</v>
      </c>
      <c r="Q179" t="s">
        <v>182</v>
      </c>
      <c r="R179" t="s">
        <v>660</v>
      </c>
      <c r="S179"/>
      <c r="T179"/>
      <c r="U179"/>
      <c r="V179" s="222"/>
    </row>
    <row r="180" spans="1:22" x14ac:dyDescent="0.2">
      <c r="A180" t="s">
        <v>586</v>
      </c>
      <c r="B180" s="101">
        <v>7</v>
      </c>
      <c r="C180" s="101">
        <v>-3</v>
      </c>
      <c r="D180" s="101">
        <v>8</v>
      </c>
      <c r="E180" s="101">
        <v>-11</v>
      </c>
      <c r="F180" s="101">
        <v>22</v>
      </c>
      <c r="G180" s="101">
        <v>-29</v>
      </c>
      <c r="H180" s="101">
        <v>-6.5</v>
      </c>
      <c r="I180" s="102">
        <v>0.22</v>
      </c>
      <c r="J180" s="102">
        <v>0.72</v>
      </c>
      <c r="K180" s="101">
        <v>17.600000000000001</v>
      </c>
      <c r="L180" s="101">
        <v>0.4</v>
      </c>
      <c r="M180" s="101" t="s">
        <v>1088</v>
      </c>
      <c r="N180" s="101">
        <v>2003</v>
      </c>
      <c r="O180" s="101" t="s">
        <v>806</v>
      </c>
      <c r="P180" s="101">
        <v>902783</v>
      </c>
      <c r="Q180" t="s">
        <v>182</v>
      </c>
      <c r="R180" t="s">
        <v>723</v>
      </c>
      <c r="S180" t="s">
        <v>1111</v>
      </c>
      <c r="T180"/>
      <c r="U180"/>
      <c r="V180" s="222"/>
    </row>
    <row r="181" spans="1:22" x14ac:dyDescent="0.2">
      <c r="A181" t="s">
        <v>244</v>
      </c>
      <c r="B181" s="101">
        <v>3</v>
      </c>
      <c r="C181" s="101">
        <v>-5</v>
      </c>
      <c r="D181" s="101">
        <v>4</v>
      </c>
      <c r="E181" s="101">
        <v>-5</v>
      </c>
      <c r="F181" s="101">
        <v>-19</v>
      </c>
      <c r="G181" s="101">
        <v>-42</v>
      </c>
      <c r="H181" s="101">
        <v>-10.4</v>
      </c>
      <c r="I181" s="102">
        <v>0.22</v>
      </c>
      <c r="J181" s="102">
        <v>0.72</v>
      </c>
      <c r="K181" s="101">
        <v>13.3</v>
      </c>
      <c r="L181" s="101">
        <v>-0.6</v>
      </c>
      <c r="M181" s="101" t="s">
        <v>1088</v>
      </c>
      <c r="N181" s="101">
        <v>2000</v>
      </c>
      <c r="O181" s="101" t="s">
        <v>806</v>
      </c>
      <c r="P181" s="101">
        <v>506881</v>
      </c>
      <c r="Q181" t="s">
        <v>832</v>
      </c>
      <c r="R181" t="s">
        <v>237</v>
      </c>
      <c r="S181" t="s">
        <v>1111</v>
      </c>
      <c r="T181"/>
      <c r="U181"/>
      <c r="V181" s="222"/>
    </row>
    <row r="182" spans="1:22" x14ac:dyDescent="0.2">
      <c r="A182" t="s">
        <v>602</v>
      </c>
      <c r="B182" s="101">
        <v>2</v>
      </c>
      <c r="C182" s="101">
        <v>1</v>
      </c>
      <c r="D182" s="101">
        <v>2</v>
      </c>
      <c r="E182" s="101">
        <v>4</v>
      </c>
      <c r="F182" s="101">
        <v>7</v>
      </c>
      <c r="G182" s="101">
        <v>9</v>
      </c>
      <c r="H182" s="101">
        <v>1.7</v>
      </c>
      <c r="I182" s="102">
        <v>0.31</v>
      </c>
      <c r="J182" s="102">
        <v>0.72967700000000002</v>
      </c>
      <c r="K182" s="101">
        <v>2.2000000000000002</v>
      </c>
      <c r="L182" s="101">
        <v>0.4</v>
      </c>
      <c r="M182" s="101" t="s">
        <v>1088</v>
      </c>
      <c r="N182" s="101">
        <v>2000</v>
      </c>
      <c r="O182" s="101" t="s">
        <v>806</v>
      </c>
      <c r="P182" s="101">
        <v>112755</v>
      </c>
      <c r="Q182" t="s">
        <v>727</v>
      </c>
      <c r="R182" t="s">
        <v>594</v>
      </c>
      <c r="S182"/>
      <c r="T182"/>
      <c r="U182"/>
      <c r="V182" s="222"/>
    </row>
    <row r="183" spans="1:22" x14ac:dyDescent="0.2">
      <c r="A183" t="s">
        <v>843</v>
      </c>
      <c r="B183" s="101">
        <v>0</v>
      </c>
      <c r="C183" s="101">
        <v>2</v>
      </c>
      <c r="D183" s="101">
        <v>0</v>
      </c>
      <c r="E183" s="101">
        <v>8</v>
      </c>
      <c r="F183" s="101">
        <v>21</v>
      </c>
      <c r="G183" s="101">
        <v>32</v>
      </c>
      <c r="H183" s="101">
        <v>5.7</v>
      </c>
      <c r="I183" s="102">
        <v>0.21</v>
      </c>
      <c r="J183" s="102">
        <v>0.75</v>
      </c>
      <c r="K183" s="101">
        <v>4.0999999999999996</v>
      </c>
      <c r="L183" s="101">
        <v>1.2</v>
      </c>
      <c r="M183" s="101" t="s">
        <v>1088</v>
      </c>
      <c r="N183" s="101">
        <v>2008</v>
      </c>
      <c r="O183" s="101" t="s">
        <v>685</v>
      </c>
      <c r="P183" s="101">
        <v>131409</v>
      </c>
      <c r="Q183" t="s">
        <v>553</v>
      </c>
      <c r="R183" t="s">
        <v>660</v>
      </c>
      <c r="S183"/>
      <c r="T183"/>
      <c r="U183"/>
      <c r="V183" s="222"/>
    </row>
    <row r="184" spans="1:22" x14ac:dyDescent="0.2">
      <c r="A184" t="s">
        <v>450</v>
      </c>
      <c r="B184" s="101">
        <v>0</v>
      </c>
      <c r="C184" s="101">
        <v>2</v>
      </c>
      <c r="D184" s="101">
        <v>1</v>
      </c>
      <c r="E184" s="101">
        <v>7</v>
      </c>
      <c r="F184" s="101">
        <v>15</v>
      </c>
      <c r="G184" s="101">
        <v>21</v>
      </c>
      <c r="H184" s="101">
        <v>3.8</v>
      </c>
      <c r="I184" s="102">
        <v>0.25</v>
      </c>
      <c r="J184" s="102">
        <v>0.75</v>
      </c>
      <c r="K184" s="101">
        <v>4</v>
      </c>
      <c r="L184" s="101">
        <v>0.8</v>
      </c>
      <c r="M184" s="101" t="s">
        <v>1088</v>
      </c>
      <c r="N184" s="101">
        <v>2003</v>
      </c>
      <c r="O184" s="101" t="s">
        <v>685</v>
      </c>
      <c r="P184" s="101">
        <v>496497</v>
      </c>
      <c r="Q184" t="s">
        <v>848</v>
      </c>
      <c r="R184" t="s">
        <v>660</v>
      </c>
      <c r="S184"/>
      <c r="T184"/>
      <c r="U184"/>
      <c r="V184" s="222"/>
    </row>
    <row r="185" spans="1:22" x14ac:dyDescent="0.2">
      <c r="A185" t="s">
        <v>658</v>
      </c>
      <c r="B185" s="101">
        <v>0</v>
      </c>
      <c r="C185" s="101">
        <v>2</v>
      </c>
      <c r="D185" s="101">
        <v>0</v>
      </c>
      <c r="E185" s="101">
        <v>5</v>
      </c>
      <c r="F185" s="101">
        <v>-1</v>
      </c>
      <c r="G185" s="101">
        <v>6</v>
      </c>
      <c r="H185" s="101">
        <v>1.2</v>
      </c>
      <c r="I185" s="102">
        <v>0.21</v>
      </c>
      <c r="J185" s="102">
        <v>0.75</v>
      </c>
      <c r="K185" s="101">
        <v>8</v>
      </c>
      <c r="L185" s="101">
        <v>-0.2</v>
      </c>
      <c r="M185" s="101" t="s">
        <v>1088</v>
      </c>
      <c r="N185" s="101">
        <v>2001</v>
      </c>
      <c r="O185" s="101" t="s">
        <v>806</v>
      </c>
      <c r="P185" s="101">
        <v>648964</v>
      </c>
      <c r="Q185" t="s">
        <v>755</v>
      </c>
      <c r="R185" t="s">
        <v>594</v>
      </c>
      <c r="S185"/>
      <c r="T185"/>
      <c r="U185"/>
      <c r="V185" s="222"/>
    </row>
    <row r="186" spans="1:22" x14ac:dyDescent="0.2">
      <c r="A186" t="s">
        <v>982</v>
      </c>
      <c r="B186" s="101">
        <v>0</v>
      </c>
      <c r="C186" s="101">
        <v>3</v>
      </c>
      <c r="D186" s="101">
        <v>1</v>
      </c>
      <c r="E186" s="101">
        <v>8</v>
      </c>
      <c r="F186" s="101">
        <v>17</v>
      </c>
      <c r="G186" s="101">
        <v>32</v>
      </c>
      <c r="H186" s="101">
        <v>5.8</v>
      </c>
      <c r="I186" s="102">
        <v>0.21</v>
      </c>
      <c r="J186" s="102">
        <v>0.76</v>
      </c>
      <c r="K186" s="101">
        <v>4.5</v>
      </c>
      <c r="L186" s="101">
        <v>0.9</v>
      </c>
      <c r="M186" s="101" t="s">
        <v>1088</v>
      </c>
      <c r="N186" s="101">
        <v>2000</v>
      </c>
      <c r="O186" s="101" t="s">
        <v>685</v>
      </c>
      <c r="P186" s="101">
        <v>513556</v>
      </c>
      <c r="Q186" t="s">
        <v>411</v>
      </c>
      <c r="R186" t="s">
        <v>594</v>
      </c>
      <c r="S186"/>
      <c r="T186"/>
      <c r="U186"/>
      <c r="V186" s="222"/>
    </row>
    <row r="187" spans="1:22" x14ac:dyDescent="0.2">
      <c r="A187" t="s">
        <v>561</v>
      </c>
      <c r="B187" s="101">
        <v>4</v>
      </c>
      <c r="C187" s="101">
        <v>-3</v>
      </c>
      <c r="D187" s="101">
        <v>5</v>
      </c>
      <c r="E187" s="101">
        <v>-3</v>
      </c>
      <c r="F187" s="101">
        <v>9</v>
      </c>
      <c r="G187" s="101">
        <v>-26</v>
      </c>
      <c r="H187" s="101">
        <v>-5.8</v>
      </c>
      <c r="I187" s="102">
        <v>0.22</v>
      </c>
      <c r="J187" s="102">
        <v>0.76</v>
      </c>
      <c r="K187" s="101">
        <v>8.5</v>
      </c>
      <c r="L187" s="101">
        <v>0.2</v>
      </c>
      <c r="M187" s="101" t="s">
        <v>1088</v>
      </c>
      <c r="N187" s="101">
        <v>2003</v>
      </c>
      <c r="O187" s="101" t="s">
        <v>806</v>
      </c>
      <c r="P187" s="101">
        <v>702381</v>
      </c>
      <c r="Q187" t="s">
        <v>182</v>
      </c>
      <c r="R187" t="s">
        <v>152</v>
      </c>
      <c r="S187" t="s">
        <v>1111</v>
      </c>
      <c r="T187"/>
      <c r="U187"/>
      <c r="V187" s="222"/>
    </row>
    <row r="188" spans="1:22" x14ac:dyDescent="0.2">
      <c r="A188" t="s">
        <v>1005</v>
      </c>
      <c r="B188" s="101">
        <v>1</v>
      </c>
      <c r="C188" s="101">
        <v>1</v>
      </c>
      <c r="D188" s="101">
        <v>1</v>
      </c>
      <c r="E188" s="101">
        <v>6</v>
      </c>
      <c r="F188" s="101">
        <v>13</v>
      </c>
      <c r="G188" s="101">
        <v>26</v>
      </c>
      <c r="H188" s="101">
        <v>4.8</v>
      </c>
      <c r="I188" s="102">
        <v>0.3</v>
      </c>
      <c r="J188" s="102">
        <v>0.76700000000000002</v>
      </c>
      <c r="K188" s="101">
        <v>2.6</v>
      </c>
      <c r="L188" s="101">
        <v>1</v>
      </c>
      <c r="M188" s="101" t="s">
        <v>1088</v>
      </c>
      <c r="N188" s="101">
        <v>2003</v>
      </c>
      <c r="O188" s="101" t="s">
        <v>685</v>
      </c>
      <c r="P188" s="101">
        <v>734558</v>
      </c>
      <c r="Q188" t="s">
        <v>1004</v>
      </c>
      <c r="R188" t="s">
        <v>594</v>
      </c>
      <c r="S188"/>
      <c r="T188"/>
      <c r="U188"/>
      <c r="V188" s="222"/>
    </row>
    <row r="189" spans="1:22" x14ac:dyDescent="0.2">
      <c r="A189" t="s">
        <v>14</v>
      </c>
      <c r="B189" s="101">
        <v>-6</v>
      </c>
      <c r="C189" s="101">
        <v>-10</v>
      </c>
      <c r="D189" s="101">
        <v>-7</v>
      </c>
      <c r="E189" s="101">
        <v>-8</v>
      </c>
      <c r="F189" s="101"/>
      <c r="G189" s="101"/>
      <c r="H189" s="101"/>
      <c r="I189" s="102">
        <v>0.28000000000000003</v>
      </c>
      <c r="J189" s="102">
        <v>0.77</v>
      </c>
      <c r="K189" s="101"/>
      <c r="L189" s="101"/>
      <c r="M189" s="101" t="s">
        <v>1088</v>
      </c>
      <c r="N189" s="101">
        <v>2010</v>
      </c>
      <c r="O189" s="101" t="s">
        <v>806</v>
      </c>
      <c r="P189" s="101">
        <v>110098</v>
      </c>
      <c r="Q189" t="s">
        <v>729</v>
      </c>
      <c r="R189" t="s">
        <v>291</v>
      </c>
      <c r="S189"/>
      <c r="T189"/>
      <c r="U189"/>
      <c r="V189" s="222"/>
    </row>
    <row r="190" spans="1:22" x14ac:dyDescent="0.2">
      <c r="A190" t="s">
        <v>117</v>
      </c>
      <c r="B190" s="101">
        <v>2</v>
      </c>
      <c r="C190" s="101">
        <v>2</v>
      </c>
      <c r="D190" s="101">
        <v>2</v>
      </c>
      <c r="E190" s="101">
        <v>9</v>
      </c>
      <c r="F190" s="101">
        <v>16</v>
      </c>
      <c r="G190" s="101">
        <v>30</v>
      </c>
      <c r="H190" s="101">
        <v>5.5</v>
      </c>
      <c r="I190" s="102">
        <v>0.25</v>
      </c>
      <c r="J190" s="102">
        <v>0.78</v>
      </c>
      <c r="K190" s="101">
        <v>3.2</v>
      </c>
      <c r="L190" s="101">
        <v>1.1000000000000001</v>
      </c>
      <c r="M190" s="101" t="s">
        <v>1088</v>
      </c>
      <c r="N190" s="101">
        <v>2000</v>
      </c>
      <c r="O190" s="101" t="s">
        <v>685</v>
      </c>
      <c r="P190" s="101">
        <v>682377</v>
      </c>
      <c r="Q190" t="s">
        <v>729</v>
      </c>
      <c r="R190" t="s">
        <v>594</v>
      </c>
      <c r="S190"/>
      <c r="T190"/>
      <c r="U190"/>
      <c r="V190" s="222"/>
    </row>
    <row r="191" spans="1:22" x14ac:dyDescent="0.2">
      <c r="A191" t="s">
        <v>15</v>
      </c>
      <c r="B191" s="101">
        <v>3</v>
      </c>
      <c r="C191" s="101">
        <v>8</v>
      </c>
      <c r="D191" s="101">
        <v>4</v>
      </c>
      <c r="E191" s="101">
        <v>13</v>
      </c>
      <c r="F191" s="101">
        <v>5</v>
      </c>
      <c r="G191" s="101">
        <v>41</v>
      </c>
      <c r="H191" s="101">
        <v>7.1</v>
      </c>
      <c r="I191" s="102">
        <v>0.34</v>
      </c>
      <c r="J191" s="102">
        <v>0.78600000000000003</v>
      </c>
      <c r="K191" s="101">
        <v>11.7</v>
      </c>
      <c r="L191" s="101">
        <v>0.1</v>
      </c>
      <c r="M191" s="101" t="s">
        <v>1091</v>
      </c>
      <c r="N191" s="101">
        <v>2003</v>
      </c>
      <c r="O191" s="101" t="s">
        <v>685</v>
      </c>
      <c r="P191" s="101">
        <v>316752</v>
      </c>
      <c r="Q191" t="s">
        <v>451</v>
      </c>
      <c r="R191" t="s">
        <v>678</v>
      </c>
      <c r="S191"/>
      <c r="T191"/>
      <c r="U191"/>
      <c r="V191" s="222"/>
    </row>
    <row r="192" spans="1:22" x14ac:dyDescent="0.2">
      <c r="A192" t="s">
        <v>682</v>
      </c>
      <c r="B192" s="101">
        <v>1</v>
      </c>
      <c r="C192" s="101">
        <v>1</v>
      </c>
      <c r="D192" s="101">
        <v>1</v>
      </c>
      <c r="E192" s="101">
        <v>1</v>
      </c>
      <c r="F192" s="101">
        <v>-7</v>
      </c>
      <c r="G192" s="101">
        <v>24</v>
      </c>
      <c r="H192" s="101">
        <v>4.3</v>
      </c>
      <c r="I192" s="102">
        <v>0.33</v>
      </c>
      <c r="J192" s="102">
        <v>0.79</v>
      </c>
      <c r="K192" s="101">
        <v>6.2</v>
      </c>
      <c r="L192" s="101">
        <v>-0.5</v>
      </c>
      <c r="M192" s="101" t="s">
        <v>1089</v>
      </c>
      <c r="N192" s="101">
        <v>2000</v>
      </c>
      <c r="O192" s="101" t="s">
        <v>685</v>
      </c>
      <c r="P192" s="101">
        <v>515973</v>
      </c>
      <c r="Q192" t="s">
        <v>63</v>
      </c>
      <c r="R192" t="s">
        <v>678</v>
      </c>
      <c r="S192"/>
      <c r="T192"/>
      <c r="U192"/>
      <c r="V192" s="222"/>
    </row>
    <row r="193" spans="1:22" x14ac:dyDescent="0.2">
      <c r="A193" t="s">
        <v>674</v>
      </c>
      <c r="B193" s="101">
        <v>5</v>
      </c>
      <c r="C193" s="101">
        <v>3</v>
      </c>
      <c r="D193" s="101">
        <v>5</v>
      </c>
      <c r="E193" s="101">
        <v>6</v>
      </c>
      <c r="F193" s="101">
        <v>-2</v>
      </c>
      <c r="G193" s="101">
        <v>8</v>
      </c>
      <c r="H193" s="101">
        <v>1.5</v>
      </c>
      <c r="I193" s="102">
        <v>0.26</v>
      </c>
      <c r="J193" s="102">
        <v>0.8</v>
      </c>
      <c r="K193" s="101">
        <v>9.5</v>
      </c>
      <c r="L193" s="101">
        <v>-0.2</v>
      </c>
      <c r="M193" s="101" t="s">
        <v>1090</v>
      </c>
      <c r="N193" s="101">
        <v>2006</v>
      </c>
      <c r="O193" s="101" t="s">
        <v>685</v>
      </c>
      <c r="P193" s="101">
        <v>252296</v>
      </c>
      <c r="Q193" t="s">
        <v>851</v>
      </c>
      <c r="R193" t="s">
        <v>678</v>
      </c>
      <c r="S193"/>
      <c r="T193"/>
      <c r="U193"/>
      <c r="V193" s="222"/>
    </row>
    <row r="194" spans="1:22" x14ac:dyDescent="0.2">
      <c r="A194" t="s">
        <v>130</v>
      </c>
      <c r="B194" s="101">
        <v>2</v>
      </c>
      <c r="C194" s="101">
        <v>0</v>
      </c>
      <c r="D194" s="101">
        <v>2</v>
      </c>
      <c r="E194" s="101">
        <v>3</v>
      </c>
      <c r="F194" s="101">
        <v>11</v>
      </c>
      <c r="G194" s="101">
        <v>-2</v>
      </c>
      <c r="H194" s="101">
        <v>-0.3</v>
      </c>
      <c r="I194" s="102">
        <v>0.22</v>
      </c>
      <c r="J194" s="102">
        <v>0.8</v>
      </c>
      <c r="K194" s="101">
        <v>3.6</v>
      </c>
      <c r="L194" s="101">
        <v>0.6</v>
      </c>
      <c r="M194" s="101" t="s">
        <v>1088</v>
      </c>
      <c r="N194" s="101">
        <v>2004</v>
      </c>
      <c r="O194" s="101" t="s">
        <v>806</v>
      </c>
      <c r="P194" s="101">
        <v>121780</v>
      </c>
      <c r="Q194" t="s">
        <v>182</v>
      </c>
      <c r="R194" t="s">
        <v>306</v>
      </c>
      <c r="S194" t="s">
        <v>1111</v>
      </c>
      <c r="T194"/>
      <c r="U194"/>
      <c r="V194" s="222"/>
    </row>
    <row r="195" spans="1:22" x14ac:dyDescent="0.2">
      <c r="A195" t="s">
        <v>1104</v>
      </c>
      <c r="B195" s="101">
        <v>6</v>
      </c>
      <c r="C195" s="101">
        <v>2</v>
      </c>
      <c r="D195" s="101">
        <v>6</v>
      </c>
      <c r="E195" s="101"/>
      <c r="F195" s="101"/>
      <c r="G195" s="101"/>
      <c r="H195" s="101"/>
      <c r="I195" s="102">
        <v>0.31</v>
      </c>
      <c r="J195" s="102">
        <v>0.8</v>
      </c>
      <c r="K195" s="101"/>
      <c r="L195" s="101"/>
      <c r="M195" s="101" t="s">
        <v>1090</v>
      </c>
      <c r="N195" s="101">
        <v>2012</v>
      </c>
      <c r="O195" s="101" t="s">
        <v>685</v>
      </c>
      <c r="P195" s="101">
        <v>980284</v>
      </c>
      <c r="Q195" t="s">
        <v>570</v>
      </c>
      <c r="R195" t="s">
        <v>678</v>
      </c>
      <c r="S195"/>
      <c r="T195"/>
      <c r="U195"/>
      <c r="V195" s="222"/>
    </row>
    <row r="196" spans="1:22" x14ac:dyDescent="0.2">
      <c r="A196" t="s">
        <v>1096</v>
      </c>
      <c r="B196" s="101"/>
      <c r="C196" s="101"/>
      <c r="D196" s="101"/>
      <c r="E196" s="101"/>
      <c r="F196" s="101"/>
      <c r="G196" s="101"/>
      <c r="H196" s="101"/>
      <c r="I196" s="102">
        <v>0.35</v>
      </c>
      <c r="J196" s="102">
        <v>0.8</v>
      </c>
      <c r="K196" s="101"/>
      <c r="L196" s="101"/>
      <c r="M196" s="101" t="s">
        <v>1088</v>
      </c>
      <c r="N196" s="101">
        <v>2012</v>
      </c>
      <c r="O196" s="101" t="s">
        <v>806</v>
      </c>
      <c r="P196" s="101">
        <v>832717</v>
      </c>
      <c r="Q196" t="s">
        <v>36</v>
      </c>
      <c r="R196" t="s">
        <v>678</v>
      </c>
      <c r="S196"/>
      <c r="T196"/>
      <c r="U196"/>
      <c r="V196" s="222"/>
    </row>
    <row r="197" spans="1:22" x14ac:dyDescent="0.2">
      <c r="A197" t="s">
        <v>90</v>
      </c>
      <c r="B197" s="101">
        <v>-5</v>
      </c>
      <c r="C197" s="101">
        <v>-3</v>
      </c>
      <c r="D197" s="101">
        <v>-5</v>
      </c>
      <c r="E197" s="101">
        <v>-10</v>
      </c>
      <c r="F197" s="101">
        <v>-30</v>
      </c>
      <c r="G197" s="101"/>
      <c r="H197" s="101"/>
      <c r="I197" s="102">
        <v>0.41</v>
      </c>
      <c r="J197" s="102">
        <v>0.8</v>
      </c>
      <c r="K197" s="101">
        <v>10.8</v>
      </c>
      <c r="L197" s="101">
        <v>-1.2</v>
      </c>
      <c r="M197" s="101" t="s">
        <v>1089</v>
      </c>
      <c r="N197" s="101">
        <v>2009</v>
      </c>
      <c r="O197" s="101" t="s">
        <v>685</v>
      </c>
      <c r="P197" s="101">
        <v>785436</v>
      </c>
      <c r="Q197" t="s">
        <v>89</v>
      </c>
      <c r="R197" t="s">
        <v>291</v>
      </c>
      <c r="S197"/>
      <c r="T197"/>
      <c r="U197"/>
      <c r="V197" s="222"/>
    </row>
    <row r="198" spans="1:22" x14ac:dyDescent="0.2">
      <c r="A198" t="s">
        <v>677</v>
      </c>
      <c r="B198" s="101">
        <v>0</v>
      </c>
      <c r="C198" s="101">
        <v>0</v>
      </c>
      <c r="D198" s="101">
        <v>0</v>
      </c>
      <c r="E198" s="101">
        <v>1</v>
      </c>
      <c r="F198" s="101">
        <v>-8</v>
      </c>
      <c r="G198" s="101">
        <v>22</v>
      </c>
      <c r="H198" s="101">
        <v>4</v>
      </c>
      <c r="I198" s="102">
        <v>0.34</v>
      </c>
      <c r="J198" s="102">
        <v>0.81</v>
      </c>
      <c r="K198" s="101">
        <v>6.5</v>
      </c>
      <c r="L198" s="101">
        <v>-0.5</v>
      </c>
      <c r="M198" s="101" t="s">
        <v>1089</v>
      </c>
      <c r="N198" s="101">
        <v>2000</v>
      </c>
      <c r="O198" s="101" t="s">
        <v>685</v>
      </c>
      <c r="P198" s="101">
        <v>587634</v>
      </c>
      <c r="Q198" t="s">
        <v>63</v>
      </c>
      <c r="R198" t="s">
        <v>664</v>
      </c>
      <c r="S198"/>
      <c r="T198"/>
      <c r="U198"/>
      <c r="V198" s="222"/>
    </row>
    <row r="199" spans="1:22" x14ac:dyDescent="0.2">
      <c r="A199" t="s">
        <v>889</v>
      </c>
      <c r="B199" s="101">
        <v>-2</v>
      </c>
      <c r="C199" s="101">
        <v>-1</v>
      </c>
      <c r="D199" s="101">
        <v>-2</v>
      </c>
      <c r="E199" s="101">
        <v>-6</v>
      </c>
      <c r="F199" s="101">
        <v>-7</v>
      </c>
      <c r="G199" s="101">
        <v>-7</v>
      </c>
      <c r="H199" s="101">
        <v>-1.4</v>
      </c>
      <c r="I199" s="102">
        <v>0.38</v>
      </c>
      <c r="J199" s="102">
        <v>0.82</v>
      </c>
      <c r="K199" s="101"/>
      <c r="L199" s="101"/>
      <c r="M199" s="101" t="s">
        <v>1089</v>
      </c>
      <c r="N199" s="101">
        <v>2011</v>
      </c>
      <c r="O199" s="101" t="s">
        <v>685</v>
      </c>
      <c r="P199" s="101">
        <v>857037</v>
      </c>
      <c r="Q199" t="s">
        <v>132</v>
      </c>
      <c r="R199" t="s">
        <v>314</v>
      </c>
      <c r="S199"/>
      <c r="T199"/>
      <c r="U199"/>
      <c r="V199" s="222"/>
    </row>
    <row r="200" spans="1:22" x14ac:dyDescent="0.2">
      <c r="A200" t="s">
        <v>667</v>
      </c>
      <c r="B200" s="101">
        <v>5</v>
      </c>
      <c r="C200" s="101">
        <v>0</v>
      </c>
      <c r="D200" s="101">
        <v>4</v>
      </c>
      <c r="E200" s="101">
        <v>0</v>
      </c>
      <c r="F200" s="101">
        <v>2</v>
      </c>
      <c r="G200" s="101">
        <v>19</v>
      </c>
      <c r="H200" s="101">
        <v>3.6</v>
      </c>
      <c r="I200" s="102">
        <v>0.34</v>
      </c>
      <c r="J200" s="102">
        <v>0.85</v>
      </c>
      <c r="K200" s="101">
        <v>5.6</v>
      </c>
      <c r="L200" s="101">
        <v>-0.1</v>
      </c>
      <c r="M200" s="101" t="s">
        <v>1089</v>
      </c>
      <c r="N200" s="101">
        <v>2000</v>
      </c>
      <c r="O200" s="101" t="s">
        <v>685</v>
      </c>
      <c r="P200" s="101">
        <v>390898</v>
      </c>
      <c r="Q200" t="s">
        <v>819</v>
      </c>
      <c r="R200" t="s">
        <v>664</v>
      </c>
      <c r="S200"/>
      <c r="T200"/>
      <c r="U200"/>
      <c r="V200" s="222"/>
    </row>
    <row r="201" spans="1:22" x14ac:dyDescent="0.2">
      <c r="A201" t="s">
        <v>463</v>
      </c>
      <c r="B201" s="101">
        <v>8</v>
      </c>
      <c r="C201" s="101">
        <v>-1</v>
      </c>
      <c r="D201" s="101">
        <v>8</v>
      </c>
      <c r="E201" s="101">
        <v>1</v>
      </c>
      <c r="F201" s="101"/>
      <c r="G201" s="101"/>
      <c r="H201" s="101"/>
      <c r="I201" s="102">
        <v>0.35</v>
      </c>
      <c r="J201" s="102">
        <v>0.86</v>
      </c>
      <c r="K201" s="101"/>
      <c r="L201" s="101"/>
      <c r="M201" s="101" t="s">
        <v>1088</v>
      </c>
      <c r="N201" s="101">
        <v>2009</v>
      </c>
      <c r="O201" s="101" t="s">
        <v>685</v>
      </c>
      <c r="P201" s="101">
        <v>959098</v>
      </c>
      <c r="Q201" t="s">
        <v>819</v>
      </c>
      <c r="R201" t="s">
        <v>678</v>
      </c>
      <c r="S201"/>
      <c r="T201"/>
      <c r="U201"/>
      <c r="V201" s="222"/>
    </row>
    <row r="202" spans="1:22" x14ac:dyDescent="0.2">
      <c r="A202" t="s">
        <v>38</v>
      </c>
      <c r="B202" s="101">
        <v>2</v>
      </c>
      <c r="C202" s="101">
        <v>7</v>
      </c>
      <c r="D202" s="101">
        <v>4</v>
      </c>
      <c r="E202" s="101">
        <v>10</v>
      </c>
      <c r="F202" s="101">
        <v>3</v>
      </c>
      <c r="G202" s="101">
        <v>40</v>
      </c>
      <c r="H202" s="101">
        <v>6.9</v>
      </c>
      <c r="I202" s="102">
        <v>0.38</v>
      </c>
      <c r="J202" s="102">
        <v>0.88820200000000005</v>
      </c>
      <c r="K202" s="101">
        <v>11</v>
      </c>
      <c r="L202" s="101">
        <v>0.1</v>
      </c>
      <c r="M202" s="101" t="s">
        <v>1091</v>
      </c>
      <c r="N202" s="101">
        <v>2000</v>
      </c>
      <c r="O202" s="101" t="s">
        <v>685</v>
      </c>
      <c r="P202" s="101">
        <v>483800</v>
      </c>
      <c r="Q202" t="s">
        <v>464</v>
      </c>
      <c r="R202" t="s">
        <v>678</v>
      </c>
      <c r="S202"/>
      <c r="T202"/>
      <c r="U202"/>
      <c r="V202" s="222"/>
    </row>
    <row r="203" spans="1:22" x14ac:dyDescent="0.2">
      <c r="A203" t="s">
        <v>905</v>
      </c>
      <c r="B203" s="101">
        <v>1</v>
      </c>
      <c r="C203" s="101">
        <v>0</v>
      </c>
      <c r="D203" s="101">
        <v>2</v>
      </c>
      <c r="E203" s="101">
        <v>0</v>
      </c>
      <c r="F203" s="101">
        <v>4</v>
      </c>
      <c r="G203" s="101">
        <v>-1</v>
      </c>
      <c r="H203" s="101">
        <v>-0.2</v>
      </c>
      <c r="I203" s="102">
        <v>0.35</v>
      </c>
      <c r="J203" s="102">
        <v>0.9</v>
      </c>
      <c r="K203" s="101">
        <v>3.5</v>
      </c>
      <c r="L203" s="101">
        <v>-0.1</v>
      </c>
      <c r="M203" s="101" t="s">
        <v>1088</v>
      </c>
      <c r="N203" s="101">
        <v>2000</v>
      </c>
      <c r="O203" s="101" t="s">
        <v>806</v>
      </c>
      <c r="P203" s="101">
        <v>403642</v>
      </c>
      <c r="Q203" t="s">
        <v>732</v>
      </c>
      <c r="R203" t="s">
        <v>306</v>
      </c>
      <c r="S203"/>
      <c r="T203"/>
      <c r="U203"/>
      <c r="V203" s="222"/>
    </row>
    <row r="204" spans="1:22" x14ac:dyDescent="0.2">
      <c r="A204" t="s">
        <v>670</v>
      </c>
      <c r="B204" s="101">
        <v>3</v>
      </c>
      <c r="C204" s="101">
        <v>-1</v>
      </c>
      <c r="D204" s="101">
        <v>3</v>
      </c>
      <c r="E204" s="101">
        <v>2</v>
      </c>
      <c r="F204" s="101">
        <v>-4</v>
      </c>
      <c r="G204" s="101">
        <v>-4</v>
      </c>
      <c r="H204" s="101">
        <v>-0.9</v>
      </c>
      <c r="I204" s="102">
        <v>0.38</v>
      </c>
      <c r="J204" s="102">
        <v>0.9</v>
      </c>
      <c r="K204" s="101">
        <v>6.7</v>
      </c>
      <c r="L204" s="101">
        <v>-0.3</v>
      </c>
      <c r="M204" s="101" t="s">
        <v>1089</v>
      </c>
      <c r="N204" s="101">
        <v>2000</v>
      </c>
      <c r="O204" s="101" t="s">
        <v>685</v>
      </c>
      <c r="P204" s="101">
        <v>203836</v>
      </c>
      <c r="Q204" t="s">
        <v>838</v>
      </c>
      <c r="R204" t="s">
        <v>664</v>
      </c>
      <c r="S204"/>
      <c r="T204"/>
      <c r="U204"/>
      <c r="V204" s="222"/>
    </row>
    <row r="205" spans="1:22" x14ac:dyDescent="0.2">
      <c r="A205" t="s">
        <v>669</v>
      </c>
      <c r="B205" s="101">
        <v>0</v>
      </c>
      <c r="C205" s="101">
        <v>0</v>
      </c>
      <c r="D205" s="101">
        <v>0</v>
      </c>
      <c r="E205" s="101">
        <v>1</v>
      </c>
      <c r="F205" s="101"/>
      <c r="G205" s="101"/>
      <c r="H205" s="101"/>
      <c r="I205" s="102">
        <v>0.38</v>
      </c>
      <c r="J205" s="102">
        <v>0.9</v>
      </c>
      <c r="K205" s="101"/>
      <c r="L205" s="101"/>
      <c r="M205" s="101" t="s">
        <v>1089</v>
      </c>
      <c r="N205" s="101">
        <v>2011</v>
      </c>
      <c r="O205" s="101" t="s">
        <v>685</v>
      </c>
      <c r="P205" s="101">
        <v>288001</v>
      </c>
      <c r="Q205" t="s">
        <v>132</v>
      </c>
      <c r="R205" t="s">
        <v>664</v>
      </c>
      <c r="S205"/>
      <c r="T205"/>
      <c r="U205"/>
      <c r="V205" s="222"/>
    </row>
    <row r="206" spans="1:22" x14ac:dyDescent="0.2">
      <c r="A206" t="s">
        <v>16</v>
      </c>
      <c r="B206" s="101">
        <v>0</v>
      </c>
      <c r="C206" s="101">
        <v>-9</v>
      </c>
      <c r="D206" s="101">
        <v>2</v>
      </c>
      <c r="E206" s="101">
        <v>-3</v>
      </c>
      <c r="F206" s="101"/>
      <c r="G206" s="101"/>
      <c r="H206" s="101"/>
      <c r="I206" s="102">
        <v>0.49</v>
      </c>
      <c r="J206" s="102">
        <v>0.9</v>
      </c>
      <c r="K206" s="101"/>
      <c r="L206" s="101"/>
      <c r="M206" s="101" t="s">
        <v>1088</v>
      </c>
      <c r="N206" s="101">
        <v>2010</v>
      </c>
      <c r="O206" s="101" t="s">
        <v>806</v>
      </c>
      <c r="P206" s="101">
        <v>476895</v>
      </c>
      <c r="Q206" t="s">
        <v>17</v>
      </c>
      <c r="R206" t="s">
        <v>723</v>
      </c>
      <c r="S206"/>
      <c r="T206"/>
      <c r="U206"/>
      <c r="V206" s="222"/>
    </row>
    <row r="207" spans="1:22" x14ac:dyDescent="0.2">
      <c r="A207" t="s">
        <v>984</v>
      </c>
      <c r="B207" s="101">
        <v>2</v>
      </c>
      <c r="C207" s="101">
        <v>-7</v>
      </c>
      <c r="D207" s="101">
        <v>4</v>
      </c>
      <c r="E207" s="101">
        <v>-6</v>
      </c>
      <c r="F207" s="101">
        <v>31</v>
      </c>
      <c r="G207" s="101">
        <v>-13</v>
      </c>
      <c r="H207" s="101">
        <v>-2.7</v>
      </c>
      <c r="I207" s="102">
        <v>0.33</v>
      </c>
      <c r="J207" s="102">
        <v>0.94</v>
      </c>
      <c r="K207" s="101">
        <v>16</v>
      </c>
      <c r="L207" s="101">
        <v>0.5</v>
      </c>
      <c r="M207" s="101" t="s">
        <v>1088</v>
      </c>
      <c r="N207" s="101">
        <v>2000</v>
      </c>
      <c r="O207" s="101" t="s">
        <v>685</v>
      </c>
      <c r="P207" s="101">
        <v>585216</v>
      </c>
      <c r="Q207" t="s">
        <v>411</v>
      </c>
      <c r="R207" t="s">
        <v>779</v>
      </c>
      <c r="S207"/>
      <c r="T207"/>
      <c r="U207"/>
      <c r="V207" s="222"/>
    </row>
    <row r="208" spans="1:22" x14ac:dyDescent="0.2">
      <c r="A208" t="s">
        <v>684</v>
      </c>
      <c r="B208" s="101">
        <v>4</v>
      </c>
      <c r="C208" s="101">
        <v>8</v>
      </c>
      <c r="D208" s="101">
        <v>5</v>
      </c>
      <c r="E208" s="101">
        <v>17</v>
      </c>
      <c r="F208" s="101">
        <v>6</v>
      </c>
      <c r="G208" s="101">
        <v>33</v>
      </c>
      <c r="H208" s="101">
        <v>5.9</v>
      </c>
      <c r="I208" s="102">
        <v>0.4</v>
      </c>
      <c r="J208" s="102">
        <v>0.98</v>
      </c>
      <c r="K208" s="101">
        <v>14.7</v>
      </c>
      <c r="L208" s="101">
        <v>0.2</v>
      </c>
      <c r="M208" s="101" t="s">
        <v>1091</v>
      </c>
      <c r="N208" s="101">
        <v>2000</v>
      </c>
      <c r="O208" s="101" t="s">
        <v>685</v>
      </c>
      <c r="P208" s="101">
        <v>551804</v>
      </c>
      <c r="Q208" t="s">
        <v>63</v>
      </c>
      <c r="R208" t="s">
        <v>678</v>
      </c>
      <c r="S208"/>
      <c r="T208"/>
      <c r="U208"/>
      <c r="V208" s="222"/>
    </row>
    <row r="209" spans="1:22" x14ac:dyDescent="0.2">
      <c r="A209" t="s">
        <v>10</v>
      </c>
      <c r="B209" s="101">
        <v>2</v>
      </c>
      <c r="C209" s="101">
        <v>-3</v>
      </c>
      <c r="D209" s="101">
        <v>2</v>
      </c>
      <c r="E209" s="101">
        <v>0</v>
      </c>
      <c r="F209" s="101">
        <v>10</v>
      </c>
      <c r="G209" s="101">
        <v>1</v>
      </c>
      <c r="H209" s="101">
        <v>0.1</v>
      </c>
      <c r="I209" s="102">
        <v>0.41</v>
      </c>
      <c r="J209" s="102">
        <v>0.98</v>
      </c>
      <c r="K209" s="101">
        <v>4.9000000000000004</v>
      </c>
      <c r="L209" s="101">
        <v>0.4</v>
      </c>
      <c r="M209" s="101" t="s">
        <v>1088</v>
      </c>
      <c r="N209" s="101">
        <v>2005</v>
      </c>
      <c r="O209" s="101" t="s">
        <v>806</v>
      </c>
      <c r="P209" s="101">
        <v>963462</v>
      </c>
      <c r="Q209" t="s">
        <v>462</v>
      </c>
      <c r="R209" t="s">
        <v>306</v>
      </c>
      <c r="S209"/>
      <c r="T209"/>
      <c r="U209"/>
      <c r="V209" s="222"/>
    </row>
    <row r="210" spans="1:22" x14ac:dyDescent="0.2">
      <c r="A210" t="s">
        <v>326</v>
      </c>
      <c r="B210" s="101">
        <v>12</v>
      </c>
      <c r="C210" s="101">
        <v>-2</v>
      </c>
      <c r="D210" s="101">
        <v>12</v>
      </c>
      <c r="E210" s="101">
        <v>-11</v>
      </c>
      <c r="F210" s="101">
        <v>14</v>
      </c>
      <c r="G210" s="101">
        <v>31</v>
      </c>
      <c r="H210" s="101">
        <v>5.5</v>
      </c>
      <c r="I210" s="102">
        <v>0.4</v>
      </c>
      <c r="J210" s="102">
        <v>1</v>
      </c>
      <c r="K210" s="101">
        <v>12.8</v>
      </c>
      <c r="L210" s="101">
        <v>0.3</v>
      </c>
      <c r="M210" s="101" t="s">
        <v>1089</v>
      </c>
      <c r="N210" s="101">
        <v>2010</v>
      </c>
      <c r="O210" s="101" t="s">
        <v>685</v>
      </c>
      <c r="P210" s="101">
        <v>955435</v>
      </c>
      <c r="Q210" t="s">
        <v>316</v>
      </c>
      <c r="R210" t="s">
        <v>664</v>
      </c>
      <c r="S210"/>
      <c r="T210"/>
      <c r="U210"/>
      <c r="V210" s="222"/>
    </row>
    <row r="211" spans="1:22" x14ac:dyDescent="0.2">
      <c r="A211" t="s">
        <v>668</v>
      </c>
      <c r="B211" s="101">
        <v>7</v>
      </c>
      <c r="C211" s="101">
        <v>-2</v>
      </c>
      <c r="D211" s="101">
        <v>6</v>
      </c>
      <c r="E211" s="101">
        <v>-5</v>
      </c>
      <c r="F211" s="101">
        <v>19</v>
      </c>
      <c r="G211" s="101">
        <v>23</v>
      </c>
      <c r="H211" s="101">
        <v>4.3</v>
      </c>
      <c r="I211" s="102">
        <v>0.39</v>
      </c>
      <c r="J211" s="102">
        <v>1</v>
      </c>
      <c r="K211" s="101">
        <v>10.6</v>
      </c>
      <c r="L211" s="101">
        <v>0.5</v>
      </c>
      <c r="M211" s="101" t="s">
        <v>1089</v>
      </c>
      <c r="N211" s="101">
        <v>2001</v>
      </c>
      <c r="O211" s="101" t="s">
        <v>685</v>
      </c>
      <c r="P211" s="101">
        <v>549972</v>
      </c>
      <c r="Q211" t="s">
        <v>819</v>
      </c>
      <c r="R211" t="s">
        <v>664</v>
      </c>
      <c r="S211"/>
      <c r="T211"/>
      <c r="U211"/>
      <c r="V211" s="222"/>
    </row>
    <row r="212" spans="1:22" x14ac:dyDescent="0.2">
      <c r="A212" t="s">
        <v>159</v>
      </c>
      <c r="B212" s="101">
        <v>3</v>
      </c>
      <c r="C212" s="101">
        <v>-7</v>
      </c>
      <c r="D212" s="101">
        <v>2</v>
      </c>
      <c r="E212" s="101">
        <v>-4</v>
      </c>
      <c r="F212" s="101">
        <v>23</v>
      </c>
      <c r="G212" s="101">
        <v>-8</v>
      </c>
      <c r="H212" s="101">
        <v>-1.7</v>
      </c>
      <c r="I212" s="102">
        <v>0.34</v>
      </c>
      <c r="J212" s="102">
        <v>1</v>
      </c>
      <c r="K212" s="101">
        <v>12.8</v>
      </c>
      <c r="L212" s="101">
        <v>0.5</v>
      </c>
      <c r="M212" s="101" t="s">
        <v>1090</v>
      </c>
      <c r="N212" s="101">
        <v>2002</v>
      </c>
      <c r="O212" s="101" t="s">
        <v>685</v>
      </c>
      <c r="P212" s="101">
        <v>984187</v>
      </c>
      <c r="Q212" t="s">
        <v>851</v>
      </c>
      <c r="R212" t="s">
        <v>152</v>
      </c>
      <c r="S212"/>
      <c r="T212"/>
      <c r="U212"/>
      <c r="V212" s="222"/>
    </row>
    <row r="213" spans="1:22" x14ac:dyDescent="0.2">
      <c r="A213" t="s">
        <v>840</v>
      </c>
      <c r="B213" s="101">
        <v>2</v>
      </c>
      <c r="C213" s="101">
        <v>2</v>
      </c>
      <c r="D213" s="101">
        <v>2</v>
      </c>
      <c r="E213" s="101">
        <v>4</v>
      </c>
      <c r="F213" s="101">
        <v>-3</v>
      </c>
      <c r="G213" s="101">
        <v>-10</v>
      </c>
      <c r="H213" s="101">
        <v>-2.1</v>
      </c>
      <c r="I213" s="102">
        <v>0.41</v>
      </c>
      <c r="J213" s="102">
        <v>1</v>
      </c>
      <c r="K213" s="101">
        <v>6.3</v>
      </c>
      <c r="L213" s="101">
        <v>-0.3</v>
      </c>
      <c r="M213" s="101" t="s">
        <v>1089</v>
      </c>
      <c r="N213" s="101">
        <v>2000</v>
      </c>
      <c r="O213" s="101" t="s">
        <v>685</v>
      </c>
      <c r="P213" s="101">
        <v>132175</v>
      </c>
      <c r="Q213" t="s">
        <v>838</v>
      </c>
      <c r="R213" t="s">
        <v>678</v>
      </c>
      <c r="S213"/>
      <c r="T213"/>
      <c r="U213"/>
      <c r="V213" s="222"/>
    </row>
    <row r="214" spans="1:22" x14ac:dyDescent="0.2">
      <c r="A214" t="s">
        <v>571</v>
      </c>
      <c r="B214" s="101">
        <v>8</v>
      </c>
      <c r="C214" s="101">
        <v>-2</v>
      </c>
      <c r="D214" s="101">
        <v>8</v>
      </c>
      <c r="E214" s="101">
        <v>0</v>
      </c>
      <c r="F214" s="101">
        <v>16</v>
      </c>
      <c r="G214" s="101">
        <v>-17</v>
      </c>
      <c r="H214" s="101">
        <v>-3.6</v>
      </c>
      <c r="I214" s="102">
        <v>0.45</v>
      </c>
      <c r="J214" s="102">
        <v>1</v>
      </c>
      <c r="K214" s="101">
        <v>13</v>
      </c>
      <c r="L214" s="101">
        <v>0.3</v>
      </c>
      <c r="M214" s="101" t="s">
        <v>1090</v>
      </c>
      <c r="N214" s="101">
        <v>2007</v>
      </c>
      <c r="O214" s="101" t="s">
        <v>685</v>
      </c>
      <c r="P214" s="101">
        <v>282632</v>
      </c>
      <c r="Q214" t="s">
        <v>570</v>
      </c>
      <c r="R214" t="s">
        <v>152</v>
      </c>
      <c r="S214"/>
      <c r="T214"/>
      <c r="U214"/>
      <c r="V214" s="222"/>
    </row>
    <row r="215" spans="1:22" x14ac:dyDescent="0.2">
      <c r="A215" t="s">
        <v>1105</v>
      </c>
      <c r="B215" s="101">
        <v>12</v>
      </c>
      <c r="C215" s="101">
        <v>-3</v>
      </c>
      <c r="D215" s="101">
        <v>13</v>
      </c>
      <c r="E215" s="101">
        <v>-7</v>
      </c>
      <c r="F215" s="101">
        <v>13</v>
      </c>
      <c r="G215" s="101">
        <v>-21</v>
      </c>
      <c r="H215" s="101">
        <v>-4.5</v>
      </c>
      <c r="I215" s="102">
        <v>0.4</v>
      </c>
      <c r="J215" s="102">
        <v>1</v>
      </c>
      <c r="K215" s="101">
        <v>17.8</v>
      </c>
      <c r="L215" s="101">
        <v>0.2</v>
      </c>
      <c r="M215" s="101" t="s">
        <v>1090</v>
      </c>
      <c r="N215" s="101">
        <v>2012</v>
      </c>
      <c r="O215" s="101" t="s">
        <v>685</v>
      </c>
      <c r="P215" s="101">
        <v>116111</v>
      </c>
      <c r="Q215" t="s">
        <v>570</v>
      </c>
      <c r="R215" t="s">
        <v>250</v>
      </c>
      <c r="S215"/>
      <c r="T215"/>
      <c r="U215"/>
      <c r="V215" s="222"/>
    </row>
    <row r="216" spans="1:22" x14ac:dyDescent="0.2">
      <c r="A216" t="s">
        <v>160</v>
      </c>
      <c r="B216" s="101">
        <v>7</v>
      </c>
      <c r="C216" s="101">
        <v>-3</v>
      </c>
      <c r="D216" s="101">
        <v>7</v>
      </c>
      <c r="E216" s="101">
        <v>-9</v>
      </c>
      <c r="F216" s="101">
        <v>16</v>
      </c>
      <c r="G216" s="101">
        <v>-21</v>
      </c>
      <c r="H216" s="101">
        <v>-4.5999999999999996</v>
      </c>
      <c r="I216" s="102">
        <v>0.34</v>
      </c>
      <c r="J216" s="102">
        <v>1</v>
      </c>
      <c r="K216" s="101">
        <v>16.399999999999999</v>
      </c>
      <c r="L216" s="101">
        <v>0.3</v>
      </c>
      <c r="M216" s="101" t="s">
        <v>1090</v>
      </c>
      <c r="N216" s="101">
        <v>2002</v>
      </c>
      <c r="O216" s="101" t="s">
        <v>685</v>
      </c>
      <c r="P216" s="101">
        <v>120014</v>
      </c>
      <c r="Q216" t="s">
        <v>851</v>
      </c>
      <c r="R216" t="s">
        <v>152</v>
      </c>
      <c r="S216"/>
      <c r="T216"/>
      <c r="U216"/>
      <c r="V216" s="222"/>
    </row>
    <row r="217" spans="1:22" x14ac:dyDescent="0.2">
      <c r="A217" t="s">
        <v>983</v>
      </c>
      <c r="B217" s="101">
        <v>1</v>
      </c>
      <c r="C217" s="101">
        <v>1</v>
      </c>
      <c r="D217" s="101">
        <v>1</v>
      </c>
      <c r="E217" s="101"/>
      <c r="F217" s="101"/>
      <c r="G217" s="101"/>
      <c r="H217" s="101"/>
      <c r="I217" s="102">
        <v>0.26</v>
      </c>
      <c r="J217" s="102">
        <v>1.0101709999999999</v>
      </c>
      <c r="K217" s="101"/>
      <c r="L217" s="101"/>
      <c r="M217" s="101" t="s">
        <v>1088</v>
      </c>
      <c r="N217" s="101">
        <v>2011</v>
      </c>
      <c r="O217" s="101" t="s">
        <v>685</v>
      </c>
      <c r="P217" s="101">
        <v>191437</v>
      </c>
      <c r="Q217" t="s">
        <v>411</v>
      </c>
      <c r="R217" t="s">
        <v>678</v>
      </c>
      <c r="S217"/>
      <c r="T217"/>
      <c r="U217"/>
      <c r="V217" s="222"/>
    </row>
    <row r="218" spans="1:22" x14ac:dyDescent="0.2">
      <c r="A218" t="s">
        <v>73</v>
      </c>
      <c r="B218" s="101">
        <v>3</v>
      </c>
      <c r="C218" s="101">
        <v>-7</v>
      </c>
      <c r="D218" s="101">
        <v>4</v>
      </c>
      <c r="E218" s="101">
        <v>-13</v>
      </c>
      <c r="F218" s="101">
        <v>35</v>
      </c>
      <c r="G218" s="101"/>
      <c r="H218" s="101"/>
      <c r="I218" s="102">
        <v>0.4</v>
      </c>
      <c r="J218" s="102">
        <v>1.0149999999999999</v>
      </c>
      <c r="K218" s="101">
        <v>20.8</v>
      </c>
      <c r="L218" s="101">
        <v>0.5</v>
      </c>
      <c r="M218" s="101" t="s">
        <v>1088</v>
      </c>
      <c r="N218" s="101">
        <v>2008</v>
      </c>
      <c r="O218" s="101" t="s">
        <v>806</v>
      </c>
      <c r="P218" s="101">
        <v>490292</v>
      </c>
      <c r="Q218" t="s">
        <v>753</v>
      </c>
      <c r="R218" t="s">
        <v>723</v>
      </c>
      <c r="S218"/>
      <c r="T218"/>
      <c r="U218"/>
      <c r="V218" s="222"/>
    </row>
    <row r="219" spans="1:22" x14ac:dyDescent="0.2">
      <c r="A219" t="s">
        <v>240</v>
      </c>
      <c r="B219" s="101">
        <v>9</v>
      </c>
      <c r="C219" s="101">
        <v>-4</v>
      </c>
      <c r="D219" s="101">
        <v>8</v>
      </c>
      <c r="E219" s="101">
        <v>-9</v>
      </c>
      <c r="F219" s="101">
        <v>26</v>
      </c>
      <c r="G219" s="101">
        <v>2</v>
      </c>
      <c r="H219" s="101">
        <v>0.4</v>
      </c>
      <c r="I219" s="102">
        <v>0.42</v>
      </c>
      <c r="J219" s="102">
        <v>1.02</v>
      </c>
      <c r="K219" s="101">
        <v>14.8</v>
      </c>
      <c r="L219" s="101">
        <v>0.5</v>
      </c>
      <c r="M219" s="101" t="s">
        <v>1089</v>
      </c>
      <c r="N219" s="101">
        <v>2007</v>
      </c>
      <c r="O219" s="101" t="s">
        <v>685</v>
      </c>
      <c r="P219" s="101">
        <v>335463</v>
      </c>
      <c r="Q219" t="s">
        <v>376</v>
      </c>
      <c r="R219" t="s">
        <v>678</v>
      </c>
      <c r="S219"/>
      <c r="T219"/>
      <c r="U219"/>
      <c r="V219" s="222"/>
    </row>
    <row r="220" spans="1:22" x14ac:dyDescent="0.2">
      <c r="A220" t="s">
        <v>1038</v>
      </c>
      <c r="B220" s="101">
        <v>4</v>
      </c>
      <c r="C220" s="101">
        <v>4</v>
      </c>
      <c r="D220" s="101">
        <v>4</v>
      </c>
      <c r="E220" s="101">
        <v>9</v>
      </c>
      <c r="F220" s="101">
        <v>-6</v>
      </c>
      <c r="G220" s="101">
        <v>-5</v>
      </c>
      <c r="H220" s="101">
        <v>-1.1000000000000001</v>
      </c>
      <c r="I220" s="102">
        <v>0.43</v>
      </c>
      <c r="J220" s="102">
        <v>1.03</v>
      </c>
      <c r="K220" s="101">
        <v>9.8000000000000007</v>
      </c>
      <c r="L220" s="101">
        <v>-0.3</v>
      </c>
      <c r="M220" s="101" t="s">
        <v>1092</v>
      </c>
      <c r="N220" s="101">
        <v>2006</v>
      </c>
      <c r="O220" s="101" t="s">
        <v>685</v>
      </c>
      <c r="P220" s="101">
        <v>551093</v>
      </c>
      <c r="Q220" t="s">
        <v>805</v>
      </c>
      <c r="R220" t="s">
        <v>664</v>
      </c>
      <c r="S220"/>
      <c r="T220"/>
      <c r="U220"/>
      <c r="V220" s="222"/>
    </row>
    <row r="221" spans="1:22" x14ac:dyDescent="0.2">
      <c r="A221" t="s">
        <v>1046</v>
      </c>
      <c r="B221" s="101">
        <v>3</v>
      </c>
      <c r="C221" s="101">
        <v>-5</v>
      </c>
      <c r="D221" s="101">
        <v>3</v>
      </c>
      <c r="E221" s="101">
        <v>-10</v>
      </c>
      <c r="F221" s="101"/>
      <c r="G221" s="101"/>
      <c r="H221" s="101"/>
      <c r="I221" s="102">
        <v>0.28000000000000003</v>
      </c>
      <c r="J221" s="102">
        <v>1.03</v>
      </c>
      <c r="K221" s="101"/>
      <c r="L221" s="101"/>
      <c r="M221" s="101" t="s">
        <v>1088</v>
      </c>
      <c r="N221" s="101">
        <v>2011</v>
      </c>
      <c r="O221" s="101" t="s">
        <v>806</v>
      </c>
      <c r="P221" s="101">
        <v>459891</v>
      </c>
      <c r="Q221" t="s">
        <v>852</v>
      </c>
      <c r="R221" t="s">
        <v>168</v>
      </c>
      <c r="S221"/>
      <c r="T221"/>
      <c r="U221"/>
      <c r="V221" s="222"/>
    </row>
    <row r="222" spans="1:22" x14ac:dyDescent="0.2">
      <c r="A222" t="s">
        <v>785</v>
      </c>
      <c r="B222" s="101">
        <v>8</v>
      </c>
      <c r="C222" s="101">
        <v>0</v>
      </c>
      <c r="D222" s="101">
        <v>8</v>
      </c>
      <c r="E222" s="101">
        <v>5</v>
      </c>
      <c r="F222" s="101">
        <v>27</v>
      </c>
      <c r="G222" s="101">
        <v>20</v>
      </c>
      <c r="H222" s="101">
        <v>3.7</v>
      </c>
      <c r="I222" s="102">
        <v>0.39</v>
      </c>
      <c r="J222" s="102">
        <v>1.04</v>
      </c>
      <c r="K222" s="101">
        <v>6</v>
      </c>
      <c r="L222" s="101">
        <v>1.1000000000000001</v>
      </c>
      <c r="M222" s="101" t="s">
        <v>1088</v>
      </c>
      <c r="N222" s="101">
        <v>2009</v>
      </c>
      <c r="O222" s="101" t="s">
        <v>685</v>
      </c>
      <c r="P222" s="101">
        <v>408898</v>
      </c>
      <c r="Q222" t="s">
        <v>742</v>
      </c>
      <c r="R222" t="s">
        <v>678</v>
      </c>
      <c r="S222"/>
      <c r="T222"/>
      <c r="U222"/>
      <c r="V222" s="222"/>
    </row>
    <row r="223" spans="1:22" x14ac:dyDescent="0.2">
      <c r="A223" t="s">
        <v>596</v>
      </c>
      <c r="B223" s="101">
        <v>6</v>
      </c>
      <c r="C223" s="101">
        <v>0</v>
      </c>
      <c r="D223" s="101">
        <v>6</v>
      </c>
      <c r="E223" s="101">
        <v>1</v>
      </c>
      <c r="F223" s="101">
        <v>16</v>
      </c>
      <c r="G223" s="101">
        <v>-6</v>
      </c>
      <c r="H223" s="101">
        <v>-1.2</v>
      </c>
      <c r="I223" s="102">
        <v>0.37</v>
      </c>
      <c r="J223" s="102">
        <v>1.0507</v>
      </c>
      <c r="K223" s="101">
        <v>7.9</v>
      </c>
      <c r="L223" s="101">
        <v>0.5</v>
      </c>
      <c r="M223" s="101" t="s">
        <v>1088</v>
      </c>
      <c r="N223" s="101">
        <v>2004</v>
      </c>
      <c r="O223" s="101" t="s">
        <v>806</v>
      </c>
      <c r="P223" s="101">
        <v>104786</v>
      </c>
      <c r="Q223" t="s">
        <v>736</v>
      </c>
      <c r="R223" t="s">
        <v>678</v>
      </c>
      <c r="S223"/>
      <c r="T223"/>
      <c r="U223"/>
      <c r="V223" s="222"/>
    </row>
    <row r="224" spans="1:22" x14ac:dyDescent="0.2">
      <c r="A224" t="s">
        <v>906</v>
      </c>
      <c r="B224" s="101">
        <v>4</v>
      </c>
      <c r="C224" s="101">
        <v>-8</v>
      </c>
      <c r="D224" s="101">
        <v>4</v>
      </c>
      <c r="E224" s="101">
        <v>-5</v>
      </c>
      <c r="F224" s="101">
        <v>18</v>
      </c>
      <c r="G224" s="101">
        <v>-12</v>
      </c>
      <c r="H224" s="101">
        <v>-2.4</v>
      </c>
      <c r="I224" s="102">
        <v>0.28999999999999998</v>
      </c>
      <c r="J224" s="102">
        <v>1.07</v>
      </c>
      <c r="K224" s="101">
        <v>12.8</v>
      </c>
      <c r="L224" s="101">
        <v>0.4</v>
      </c>
      <c r="M224" s="101" t="s">
        <v>1090</v>
      </c>
      <c r="N224" s="101">
        <v>2008</v>
      </c>
      <c r="O224" s="101" t="s">
        <v>685</v>
      </c>
      <c r="P224" s="101">
        <v>352468</v>
      </c>
      <c r="Q224" t="s">
        <v>907</v>
      </c>
      <c r="R224" t="s">
        <v>152</v>
      </c>
      <c r="S224" t="s">
        <v>1111</v>
      </c>
      <c r="T224"/>
      <c r="U224"/>
      <c r="V224" s="222"/>
    </row>
    <row r="225" spans="1:22" x14ac:dyDescent="0.2">
      <c r="A225" t="s">
        <v>908</v>
      </c>
      <c r="B225" s="101">
        <v>0</v>
      </c>
      <c r="C225" s="101">
        <v>-13</v>
      </c>
      <c r="D225" s="101">
        <v>0</v>
      </c>
      <c r="E225" s="101">
        <v>-24</v>
      </c>
      <c r="F225" s="101">
        <v>-18</v>
      </c>
      <c r="G225" s="101">
        <v>-40</v>
      </c>
      <c r="H225" s="101">
        <v>-9.8000000000000007</v>
      </c>
      <c r="I225" s="102">
        <v>0.48</v>
      </c>
      <c r="J225" s="102">
        <v>1.104009</v>
      </c>
      <c r="K225" s="101">
        <v>17.399999999999999</v>
      </c>
      <c r="L225" s="101">
        <v>-0.4</v>
      </c>
      <c r="M225" s="101" t="s">
        <v>1089</v>
      </c>
      <c r="N225" s="101">
        <v>2008</v>
      </c>
      <c r="O225" s="101" t="s">
        <v>685</v>
      </c>
      <c r="P225" s="101">
        <v>989491</v>
      </c>
      <c r="Q225" t="s">
        <v>480</v>
      </c>
      <c r="R225" t="s">
        <v>152</v>
      </c>
      <c r="S225"/>
      <c r="T225"/>
      <c r="U225"/>
      <c r="V225" s="222"/>
    </row>
    <row r="226" spans="1:22" x14ac:dyDescent="0.2">
      <c r="A226" t="s">
        <v>985</v>
      </c>
      <c r="B226" s="101">
        <v>-6</v>
      </c>
      <c r="C226" s="101">
        <v>-12</v>
      </c>
      <c r="D226" s="101">
        <v>-4</v>
      </c>
      <c r="E226" s="101">
        <v>-24</v>
      </c>
      <c r="F226" s="101">
        <v>-24</v>
      </c>
      <c r="G226" s="101">
        <v>-48</v>
      </c>
      <c r="H226" s="101">
        <v>-12.2</v>
      </c>
      <c r="I226" s="102">
        <v>0.33</v>
      </c>
      <c r="J226" s="102">
        <v>1.1399999999999999</v>
      </c>
      <c r="K226" s="101">
        <v>17.2</v>
      </c>
      <c r="L226" s="101">
        <v>-0.5</v>
      </c>
      <c r="M226" s="101" t="s">
        <v>1089</v>
      </c>
      <c r="N226" s="101">
        <v>2004</v>
      </c>
      <c r="O226" s="101" t="s">
        <v>685</v>
      </c>
      <c r="P226" s="101">
        <v>844464</v>
      </c>
      <c r="Q226" t="s">
        <v>411</v>
      </c>
      <c r="R226" t="s">
        <v>102</v>
      </c>
      <c r="S226"/>
      <c r="T226"/>
      <c r="U226"/>
      <c r="V226" s="222"/>
    </row>
    <row r="227" spans="1:22" x14ac:dyDescent="0.2">
      <c r="A227" t="s">
        <v>679</v>
      </c>
      <c r="B227" s="101">
        <v>0</v>
      </c>
      <c r="C227" s="101">
        <v>-2</v>
      </c>
      <c r="D227" s="101">
        <v>-1</v>
      </c>
      <c r="E227" s="101">
        <v>-3</v>
      </c>
      <c r="F227" s="101">
        <v>-15</v>
      </c>
      <c r="G227" s="101">
        <v>9</v>
      </c>
      <c r="H227" s="101">
        <v>1.7</v>
      </c>
      <c r="I227" s="102">
        <v>0.48</v>
      </c>
      <c r="J227" s="102">
        <v>1.19</v>
      </c>
      <c r="K227" s="101">
        <v>5.9</v>
      </c>
      <c r="L227" s="101">
        <v>-1.1000000000000001</v>
      </c>
      <c r="M227" s="101" t="s">
        <v>1089</v>
      </c>
      <c r="N227" s="101">
        <v>2004</v>
      </c>
      <c r="O227" s="101" t="s">
        <v>685</v>
      </c>
      <c r="P227" s="101">
        <v>808634</v>
      </c>
      <c r="Q227" t="s">
        <v>1079</v>
      </c>
      <c r="R227" t="s">
        <v>678</v>
      </c>
      <c r="S227"/>
      <c r="T227"/>
      <c r="U227"/>
      <c r="V227" s="222"/>
    </row>
    <row r="228" spans="1:22" x14ac:dyDescent="0.2">
      <c r="A228" t="s">
        <v>11</v>
      </c>
      <c r="B228" s="101">
        <v>3</v>
      </c>
      <c r="C228" s="101">
        <v>-4</v>
      </c>
      <c r="D228" s="101">
        <v>3</v>
      </c>
      <c r="E228" s="101">
        <v>-2</v>
      </c>
      <c r="F228" s="101">
        <v>16</v>
      </c>
      <c r="G228" s="101">
        <v>-1</v>
      </c>
      <c r="H228" s="101">
        <v>-0.1</v>
      </c>
      <c r="I228" s="102">
        <v>0.47</v>
      </c>
      <c r="J228" s="102">
        <v>1.19</v>
      </c>
      <c r="K228" s="101">
        <v>7.1</v>
      </c>
      <c r="L228" s="101">
        <v>0.5</v>
      </c>
      <c r="M228" s="101" t="s">
        <v>1088</v>
      </c>
      <c r="N228" s="101">
        <v>2005</v>
      </c>
      <c r="O228" s="101" t="s">
        <v>806</v>
      </c>
      <c r="P228" s="101">
        <v>927632</v>
      </c>
      <c r="Q228" t="s">
        <v>462</v>
      </c>
      <c r="R228" t="s">
        <v>306</v>
      </c>
      <c r="S228"/>
      <c r="T228"/>
      <c r="U228"/>
      <c r="V228" s="222"/>
    </row>
    <row r="229" spans="1:22" x14ac:dyDescent="0.2">
      <c r="A229" t="s">
        <v>338</v>
      </c>
      <c r="B229" s="101">
        <v>3</v>
      </c>
      <c r="C229" s="101">
        <v>-4</v>
      </c>
      <c r="D229" s="101">
        <v>3</v>
      </c>
      <c r="E229" s="101">
        <v>-3</v>
      </c>
      <c r="F229" s="101">
        <v>20</v>
      </c>
      <c r="G229" s="101">
        <v>-8</v>
      </c>
      <c r="H229" s="101">
        <v>-1.6</v>
      </c>
      <c r="I229" s="102">
        <v>0.36</v>
      </c>
      <c r="J229" s="102">
        <v>1.19</v>
      </c>
      <c r="K229" s="101">
        <v>10.6</v>
      </c>
      <c r="L229" s="101">
        <v>0.5</v>
      </c>
      <c r="M229" s="101" t="s">
        <v>1088</v>
      </c>
      <c r="N229" s="101">
        <v>2000</v>
      </c>
      <c r="O229" s="101" t="s">
        <v>685</v>
      </c>
      <c r="P229" s="101">
        <v>159509</v>
      </c>
      <c r="Q229" t="s">
        <v>925</v>
      </c>
      <c r="R229" t="s">
        <v>306</v>
      </c>
      <c r="S229"/>
      <c r="T229"/>
      <c r="U229"/>
      <c r="V229" s="222"/>
    </row>
    <row r="230" spans="1:22" x14ac:dyDescent="0.2">
      <c r="A230" t="s">
        <v>396</v>
      </c>
      <c r="B230" s="101">
        <v>1</v>
      </c>
      <c r="C230" s="101">
        <v>1</v>
      </c>
      <c r="D230" s="101">
        <v>0</v>
      </c>
      <c r="E230" s="101">
        <v>1</v>
      </c>
      <c r="F230" s="101"/>
      <c r="G230" s="101"/>
      <c r="H230" s="101"/>
      <c r="I230" s="102">
        <v>0.45</v>
      </c>
      <c r="J230" s="102">
        <v>1.19</v>
      </c>
      <c r="K230" s="101"/>
      <c r="L230" s="101"/>
      <c r="M230" s="101" t="s">
        <v>1089</v>
      </c>
      <c r="N230" s="101">
        <v>2010</v>
      </c>
      <c r="O230" s="101" t="s">
        <v>685</v>
      </c>
      <c r="P230" s="101">
        <v>259499</v>
      </c>
      <c r="Q230" t="s">
        <v>94</v>
      </c>
      <c r="R230" t="s">
        <v>678</v>
      </c>
      <c r="S230"/>
      <c r="T230"/>
      <c r="U230"/>
      <c r="V230" s="222"/>
    </row>
    <row r="231" spans="1:22" x14ac:dyDescent="0.2">
      <c r="A231" t="s">
        <v>1123</v>
      </c>
      <c r="B231" s="101"/>
      <c r="C231" s="101"/>
      <c r="D231" s="101"/>
      <c r="E231" s="101"/>
      <c r="F231" s="101"/>
      <c r="G231" s="101"/>
      <c r="H231" s="101"/>
      <c r="I231" s="102">
        <v>0.27</v>
      </c>
      <c r="J231" s="102">
        <v>1.2</v>
      </c>
      <c r="K231" s="101"/>
      <c r="L231" s="101"/>
      <c r="M231" s="101" t="s">
        <v>1088</v>
      </c>
      <c r="N231" s="101">
        <v>2012</v>
      </c>
      <c r="O231" s="101" t="s">
        <v>806</v>
      </c>
      <c r="P231" s="101">
        <v>320762</v>
      </c>
      <c r="Q231" t="s">
        <v>182</v>
      </c>
      <c r="R231" t="s">
        <v>509</v>
      </c>
      <c r="S231"/>
      <c r="T231"/>
      <c r="U231"/>
      <c r="V231" s="222"/>
    </row>
    <row r="232" spans="1:22" x14ac:dyDescent="0.2">
      <c r="A232" t="s">
        <v>1106</v>
      </c>
      <c r="B232" s="101"/>
      <c r="C232" s="101"/>
      <c r="D232" s="101"/>
      <c r="E232" s="101"/>
      <c r="F232" s="101"/>
      <c r="G232" s="101"/>
      <c r="H232" s="101"/>
      <c r="I232" s="102">
        <v>0.41</v>
      </c>
      <c r="J232" s="102">
        <v>1.2</v>
      </c>
      <c r="K232" s="101"/>
      <c r="L232" s="101"/>
      <c r="M232" s="101" t="s">
        <v>1088</v>
      </c>
      <c r="N232" s="101">
        <v>2012</v>
      </c>
      <c r="O232" s="101" t="s">
        <v>685</v>
      </c>
      <c r="P232" s="101">
        <v>299511</v>
      </c>
      <c r="Q232" t="s">
        <v>891</v>
      </c>
      <c r="R232" t="s">
        <v>678</v>
      </c>
      <c r="S232"/>
      <c r="T232"/>
      <c r="U232"/>
      <c r="V232" s="222"/>
    </row>
    <row r="233" spans="1:22" x14ac:dyDescent="0.2">
      <c r="A233" t="s">
        <v>1112</v>
      </c>
      <c r="B233" s="101"/>
      <c r="C233" s="101"/>
      <c r="D233" s="101"/>
      <c r="E233" s="101"/>
      <c r="F233" s="101"/>
      <c r="G233" s="101"/>
      <c r="H233" s="101"/>
      <c r="I233" s="102">
        <v>0.52</v>
      </c>
      <c r="J233" s="102">
        <v>1.2</v>
      </c>
      <c r="K233" s="101"/>
      <c r="L233" s="101"/>
      <c r="M233" s="101" t="s">
        <v>1089</v>
      </c>
      <c r="N233" s="101">
        <v>2012</v>
      </c>
      <c r="O233" s="101" t="s">
        <v>685</v>
      </c>
      <c r="P233" s="101">
        <v>849711</v>
      </c>
      <c r="Q233" t="s">
        <v>499</v>
      </c>
      <c r="R233" t="s">
        <v>250</v>
      </c>
      <c r="S233"/>
      <c r="T233"/>
      <c r="U233"/>
      <c r="V233" s="222"/>
    </row>
    <row r="234" spans="1:22" x14ac:dyDescent="0.2">
      <c r="A234" t="s">
        <v>581</v>
      </c>
      <c r="B234" s="101">
        <v>1</v>
      </c>
      <c r="C234" s="101">
        <v>-3</v>
      </c>
      <c r="D234" s="101">
        <v>2</v>
      </c>
      <c r="E234" s="101">
        <v>-9</v>
      </c>
      <c r="F234" s="101"/>
      <c r="G234" s="101"/>
      <c r="H234" s="101"/>
      <c r="I234" s="102">
        <v>1.19</v>
      </c>
      <c r="J234" s="102">
        <v>1.2</v>
      </c>
      <c r="K234" s="101"/>
      <c r="L234" s="101"/>
      <c r="M234" s="101" t="s">
        <v>1088</v>
      </c>
      <c r="N234" s="101">
        <v>2010</v>
      </c>
      <c r="O234" s="101" t="s">
        <v>806</v>
      </c>
      <c r="P234" s="101">
        <v>626291</v>
      </c>
      <c r="Q234" t="s">
        <v>786</v>
      </c>
      <c r="R234" t="s">
        <v>305</v>
      </c>
      <c r="S234"/>
      <c r="T234"/>
      <c r="U234"/>
      <c r="V234" s="222"/>
    </row>
    <row r="235" spans="1:22" x14ac:dyDescent="0.2">
      <c r="A235" t="s">
        <v>643</v>
      </c>
      <c r="B235" s="101">
        <v>6</v>
      </c>
      <c r="C235" s="101">
        <v>-3</v>
      </c>
      <c r="D235" s="101">
        <v>8</v>
      </c>
      <c r="E235" s="101">
        <v>-2</v>
      </c>
      <c r="F235" s="101">
        <v>10</v>
      </c>
      <c r="G235" s="101">
        <v>-19</v>
      </c>
      <c r="H235" s="101">
        <v>-4.2</v>
      </c>
      <c r="I235" s="102">
        <v>0.52</v>
      </c>
      <c r="J235" s="102">
        <v>1.2010940000000001</v>
      </c>
      <c r="K235" s="101">
        <v>11.8</v>
      </c>
      <c r="L235" s="101">
        <v>0.3</v>
      </c>
      <c r="M235" s="101" t="s">
        <v>1091</v>
      </c>
      <c r="N235" s="101">
        <v>2000</v>
      </c>
      <c r="O235" s="101" t="s">
        <v>685</v>
      </c>
      <c r="P235" s="101">
        <v>555466</v>
      </c>
      <c r="Q235" t="s">
        <v>464</v>
      </c>
      <c r="R235" t="s">
        <v>152</v>
      </c>
      <c r="S235"/>
      <c r="T235"/>
      <c r="U235"/>
      <c r="V235" s="222"/>
    </row>
    <row r="236" spans="1:22" x14ac:dyDescent="0.2">
      <c r="A236" t="s">
        <v>498</v>
      </c>
      <c r="B236" s="101">
        <v>-8</v>
      </c>
      <c r="C236" s="101">
        <v>-16</v>
      </c>
      <c r="D236" s="101">
        <v>-7</v>
      </c>
      <c r="E236" s="101">
        <v>-30</v>
      </c>
      <c r="F236" s="101"/>
      <c r="G236" s="101"/>
      <c r="H236" s="101"/>
      <c r="I236" s="102">
        <v>0.52</v>
      </c>
      <c r="J236" s="102">
        <v>1.21</v>
      </c>
      <c r="K236" s="101"/>
      <c r="L236" s="101"/>
      <c r="M236" s="101" t="s">
        <v>1089</v>
      </c>
      <c r="N236" s="101">
        <v>2011</v>
      </c>
      <c r="O236" s="101" t="s">
        <v>685</v>
      </c>
      <c r="P236" s="101">
        <v>157438</v>
      </c>
      <c r="Q236" t="s">
        <v>499</v>
      </c>
      <c r="R236" t="s">
        <v>250</v>
      </c>
      <c r="S236"/>
      <c r="T236"/>
      <c r="U236"/>
      <c r="V236" s="222"/>
    </row>
    <row r="237" spans="1:22" x14ac:dyDescent="0.2">
      <c r="A237" t="s">
        <v>261</v>
      </c>
      <c r="B237" s="101">
        <v>7</v>
      </c>
      <c r="C237" s="101">
        <v>-9</v>
      </c>
      <c r="D237" s="101">
        <v>9</v>
      </c>
      <c r="E237" s="101">
        <v>-10</v>
      </c>
      <c r="F237" s="101">
        <v>38</v>
      </c>
      <c r="G237" s="101">
        <v>-19</v>
      </c>
      <c r="H237" s="101">
        <v>-4.2</v>
      </c>
      <c r="I237" s="102">
        <v>0.49</v>
      </c>
      <c r="J237" s="102">
        <v>1.2119059999999999</v>
      </c>
      <c r="K237" s="101">
        <v>21.8</v>
      </c>
      <c r="L237" s="101">
        <v>0.5</v>
      </c>
      <c r="M237" s="101" t="s">
        <v>1090</v>
      </c>
      <c r="N237" s="101">
        <v>2001</v>
      </c>
      <c r="O237" s="101" t="s">
        <v>685</v>
      </c>
      <c r="P237" s="101">
        <v>183178</v>
      </c>
      <c r="Q237" t="s">
        <v>807</v>
      </c>
      <c r="R237" t="s">
        <v>250</v>
      </c>
      <c r="S237"/>
      <c r="T237"/>
      <c r="U237"/>
      <c r="V237" s="222"/>
    </row>
    <row r="238" spans="1:22" x14ac:dyDescent="0.2">
      <c r="A238" t="s">
        <v>737</v>
      </c>
      <c r="B238" s="101">
        <v>5</v>
      </c>
      <c r="C238" s="101">
        <v>-3</v>
      </c>
      <c r="D238" s="101">
        <v>7</v>
      </c>
      <c r="E238" s="101">
        <v>-7</v>
      </c>
      <c r="F238" s="101">
        <v>30</v>
      </c>
      <c r="G238" s="101">
        <v>-24</v>
      </c>
      <c r="H238" s="101">
        <v>-5.2</v>
      </c>
      <c r="I238" s="102">
        <v>0.45</v>
      </c>
      <c r="J238" s="102">
        <v>1.2179</v>
      </c>
      <c r="K238" s="101">
        <v>16.5</v>
      </c>
      <c r="L238" s="101">
        <v>0.5</v>
      </c>
      <c r="M238" s="101" t="s">
        <v>1088</v>
      </c>
      <c r="N238" s="101">
        <v>2000</v>
      </c>
      <c r="O238" s="101" t="s">
        <v>806</v>
      </c>
      <c r="P238" s="101">
        <v>928937</v>
      </c>
      <c r="Q238" t="s">
        <v>736</v>
      </c>
      <c r="R238" t="s">
        <v>723</v>
      </c>
      <c r="S238"/>
      <c r="T238"/>
      <c r="U238"/>
      <c r="V238" s="222"/>
    </row>
    <row r="239" spans="1:22" x14ac:dyDescent="0.2">
      <c r="A239" t="s">
        <v>577</v>
      </c>
      <c r="B239" s="101">
        <v>2</v>
      </c>
      <c r="C239" s="101">
        <v>1</v>
      </c>
      <c r="D239" s="101">
        <v>2</v>
      </c>
      <c r="E239" s="101">
        <v>3</v>
      </c>
      <c r="F239" s="101">
        <v>7</v>
      </c>
      <c r="G239" s="101">
        <v>1</v>
      </c>
      <c r="H239" s="101">
        <v>0.1</v>
      </c>
      <c r="I239" s="102">
        <v>0.27</v>
      </c>
      <c r="J239" s="102">
        <v>1.22</v>
      </c>
      <c r="K239" s="101">
        <v>3.5</v>
      </c>
      <c r="L239" s="101">
        <v>0.3</v>
      </c>
      <c r="M239" s="101" t="s">
        <v>1088</v>
      </c>
      <c r="N239" s="101">
        <v>2004</v>
      </c>
      <c r="O239" s="101" t="s">
        <v>806</v>
      </c>
      <c r="P239" s="101">
        <v>855387</v>
      </c>
      <c r="Q239" t="s">
        <v>182</v>
      </c>
      <c r="R239" t="s">
        <v>362</v>
      </c>
      <c r="S239"/>
      <c r="T239"/>
      <c r="U239"/>
      <c r="V239" s="222"/>
    </row>
    <row r="240" spans="1:22" x14ac:dyDescent="0.2">
      <c r="A240" t="s">
        <v>735</v>
      </c>
      <c r="B240" s="101">
        <v>7</v>
      </c>
      <c r="C240" s="101">
        <v>-7</v>
      </c>
      <c r="D240" s="101">
        <v>9</v>
      </c>
      <c r="E240" s="101">
        <v>-5</v>
      </c>
      <c r="F240" s="101">
        <v>62</v>
      </c>
      <c r="G240" s="101">
        <v>-5</v>
      </c>
      <c r="H240" s="101">
        <v>-1</v>
      </c>
      <c r="I240" s="102">
        <v>0.38</v>
      </c>
      <c r="J240" s="102">
        <v>1.22</v>
      </c>
      <c r="K240" s="101">
        <v>21.4</v>
      </c>
      <c r="L240" s="101">
        <v>0.8</v>
      </c>
      <c r="M240" s="101" t="s">
        <v>1088</v>
      </c>
      <c r="N240" s="101">
        <v>2000</v>
      </c>
      <c r="O240" s="101" t="s">
        <v>806</v>
      </c>
      <c r="P240" s="101">
        <v>291906</v>
      </c>
      <c r="Q240" t="s">
        <v>734</v>
      </c>
      <c r="R240" t="s">
        <v>723</v>
      </c>
      <c r="S240"/>
      <c r="T240"/>
      <c r="U240"/>
      <c r="V240" s="222"/>
    </row>
    <row r="241" spans="1:22" x14ac:dyDescent="0.2">
      <c r="A241" t="s">
        <v>574</v>
      </c>
      <c r="B241" s="101">
        <v>3</v>
      </c>
      <c r="C241" s="101">
        <v>0</v>
      </c>
      <c r="D241" s="101">
        <v>3</v>
      </c>
      <c r="E241" s="101">
        <v>2</v>
      </c>
      <c r="F241" s="101">
        <v>11</v>
      </c>
      <c r="G241" s="101">
        <v>-8</v>
      </c>
      <c r="H241" s="101">
        <v>-1.7</v>
      </c>
      <c r="I241" s="102">
        <v>0.27</v>
      </c>
      <c r="J241" s="102">
        <v>1.22</v>
      </c>
      <c r="K241" s="101">
        <v>4.9000000000000004</v>
      </c>
      <c r="L241" s="101">
        <v>0.5</v>
      </c>
      <c r="M241" s="101" t="s">
        <v>1088</v>
      </c>
      <c r="N241" s="101">
        <v>2004</v>
      </c>
      <c r="O241" s="101" t="s">
        <v>806</v>
      </c>
      <c r="P241" s="101">
        <v>819557</v>
      </c>
      <c r="Q241" t="s">
        <v>182</v>
      </c>
      <c r="R241" t="s">
        <v>362</v>
      </c>
      <c r="S241"/>
      <c r="T241"/>
      <c r="U241"/>
      <c r="V241" s="222"/>
    </row>
    <row r="242" spans="1:22" x14ac:dyDescent="0.2">
      <c r="A242" t="s">
        <v>567</v>
      </c>
      <c r="B242" s="101">
        <v>4</v>
      </c>
      <c r="C242" s="101">
        <v>-1</v>
      </c>
      <c r="D242" s="101">
        <v>5</v>
      </c>
      <c r="E242" s="101">
        <v>-1</v>
      </c>
      <c r="F242" s="101">
        <v>15</v>
      </c>
      <c r="G242" s="101">
        <v>-16</v>
      </c>
      <c r="H242" s="101">
        <v>-3.5</v>
      </c>
      <c r="I242" s="102">
        <v>0.27</v>
      </c>
      <c r="J242" s="102">
        <v>1.22</v>
      </c>
      <c r="K242" s="101">
        <v>8.1</v>
      </c>
      <c r="L242" s="101">
        <v>0.5</v>
      </c>
      <c r="M242" s="101" t="s">
        <v>1088</v>
      </c>
      <c r="N242" s="101">
        <v>2004</v>
      </c>
      <c r="O242" s="101" t="s">
        <v>806</v>
      </c>
      <c r="P242" s="101">
        <v>783720</v>
      </c>
      <c r="Q242" t="s">
        <v>182</v>
      </c>
      <c r="R242" t="s">
        <v>509</v>
      </c>
      <c r="S242"/>
      <c r="T242"/>
      <c r="U242"/>
      <c r="V242" s="222"/>
    </row>
    <row r="243" spans="1:22" x14ac:dyDescent="0.2">
      <c r="A243" t="s">
        <v>563</v>
      </c>
      <c r="B243" s="101">
        <v>5</v>
      </c>
      <c r="C243" s="101">
        <v>-2</v>
      </c>
      <c r="D243" s="101">
        <v>5</v>
      </c>
      <c r="E243" s="101">
        <v>-3</v>
      </c>
      <c r="F243" s="101">
        <v>15</v>
      </c>
      <c r="G243" s="101">
        <v>-20</v>
      </c>
      <c r="H243" s="101">
        <v>-4.3</v>
      </c>
      <c r="I243" s="102">
        <v>0.27</v>
      </c>
      <c r="J243" s="102">
        <v>1.22</v>
      </c>
      <c r="K243" s="101">
        <v>9.8000000000000007</v>
      </c>
      <c r="L243" s="101">
        <v>0.4</v>
      </c>
      <c r="M243" s="101" t="s">
        <v>1088</v>
      </c>
      <c r="N243" s="101">
        <v>2004</v>
      </c>
      <c r="O243" s="101" t="s">
        <v>806</v>
      </c>
      <c r="P243" s="101">
        <v>747899</v>
      </c>
      <c r="Q243" t="s">
        <v>182</v>
      </c>
      <c r="R243" t="s">
        <v>509</v>
      </c>
      <c r="S243"/>
      <c r="T243"/>
      <c r="U243"/>
      <c r="V243" s="222"/>
    </row>
    <row r="244" spans="1:22" x14ac:dyDescent="0.2">
      <c r="A244" t="s">
        <v>195</v>
      </c>
      <c r="B244" s="101">
        <v>4</v>
      </c>
      <c r="C244" s="101">
        <v>-1</v>
      </c>
      <c r="D244" s="101">
        <v>3</v>
      </c>
      <c r="E244" s="101">
        <v>1</v>
      </c>
      <c r="F244" s="101">
        <v>-8</v>
      </c>
      <c r="G244" s="101">
        <v>11</v>
      </c>
      <c r="H244" s="101">
        <v>2.2000000000000002</v>
      </c>
      <c r="I244" s="102">
        <v>0.49</v>
      </c>
      <c r="J244" s="102">
        <v>1.2250000000000001</v>
      </c>
      <c r="K244" s="101">
        <v>6.5</v>
      </c>
      <c r="L244" s="101">
        <v>-0.6</v>
      </c>
      <c r="M244" s="101" t="s">
        <v>1089</v>
      </c>
      <c r="N244" s="101">
        <v>2003</v>
      </c>
      <c r="O244" s="101" t="s">
        <v>685</v>
      </c>
      <c r="P244" s="101">
        <v>280925</v>
      </c>
      <c r="Q244" t="s">
        <v>451</v>
      </c>
      <c r="R244" t="s">
        <v>664</v>
      </c>
      <c r="S244"/>
      <c r="T244"/>
      <c r="U244"/>
      <c r="V244" s="222"/>
    </row>
    <row r="245" spans="1:22" x14ac:dyDescent="0.2">
      <c r="A245" t="s">
        <v>39</v>
      </c>
      <c r="B245" s="101">
        <v>7</v>
      </c>
      <c r="C245" s="101">
        <v>-2</v>
      </c>
      <c r="D245" s="101">
        <v>9</v>
      </c>
      <c r="E245" s="101">
        <v>9</v>
      </c>
      <c r="F245" s="101">
        <v>29</v>
      </c>
      <c r="G245" s="101">
        <v>-1</v>
      </c>
      <c r="H245" s="101">
        <v>-0.2</v>
      </c>
      <c r="I245" s="102">
        <v>0.53</v>
      </c>
      <c r="J245" s="102">
        <v>1.2351669999999999</v>
      </c>
      <c r="K245" s="101">
        <v>10.9</v>
      </c>
      <c r="L245" s="101">
        <v>0.8</v>
      </c>
      <c r="M245" s="101" t="s">
        <v>1091</v>
      </c>
      <c r="N245" s="101">
        <v>2000</v>
      </c>
      <c r="O245" s="101" t="s">
        <v>685</v>
      </c>
      <c r="P245" s="101">
        <v>304659</v>
      </c>
      <c r="Q245" t="s">
        <v>464</v>
      </c>
      <c r="R245" t="s">
        <v>108</v>
      </c>
      <c r="S245"/>
      <c r="T245"/>
      <c r="U245"/>
      <c r="V245" s="222"/>
    </row>
    <row r="246" spans="1:22" x14ac:dyDescent="0.2">
      <c r="A246" t="s">
        <v>1098</v>
      </c>
      <c r="B246" s="101">
        <v>3</v>
      </c>
      <c r="C246" s="101">
        <v>3</v>
      </c>
      <c r="D246" s="101">
        <v>3</v>
      </c>
      <c r="E246" s="101">
        <v>3</v>
      </c>
      <c r="F246" s="101"/>
      <c r="G246" s="101"/>
      <c r="H246" s="101"/>
      <c r="I246" s="102">
        <v>0.53</v>
      </c>
      <c r="J246" s="102">
        <v>1.24</v>
      </c>
      <c r="K246" s="101"/>
      <c r="L246" s="101"/>
      <c r="M246" s="101" t="s">
        <v>1088</v>
      </c>
      <c r="N246" s="101">
        <v>2011</v>
      </c>
      <c r="O246" s="101" t="s">
        <v>685</v>
      </c>
      <c r="P246" s="101">
        <v>272831</v>
      </c>
      <c r="Q246" t="s">
        <v>486</v>
      </c>
      <c r="R246" t="s">
        <v>152</v>
      </c>
      <c r="S246"/>
      <c r="T246"/>
      <c r="U246"/>
      <c r="V246" s="222"/>
    </row>
    <row r="247" spans="1:22" x14ac:dyDescent="0.2">
      <c r="A247" t="s">
        <v>346</v>
      </c>
      <c r="B247" s="101">
        <v>5</v>
      </c>
      <c r="C247" s="101">
        <v>0</v>
      </c>
      <c r="D247" s="101">
        <v>5</v>
      </c>
      <c r="E247" s="101">
        <v>5</v>
      </c>
      <c r="F247" s="101">
        <v>24</v>
      </c>
      <c r="G247" s="101">
        <v>36</v>
      </c>
      <c r="H247" s="101">
        <v>6.4</v>
      </c>
      <c r="I247" s="102">
        <v>0.34</v>
      </c>
      <c r="J247" s="102">
        <v>1.25</v>
      </c>
      <c r="K247" s="101">
        <v>3.1</v>
      </c>
      <c r="L247" s="101">
        <v>1.8</v>
      </c>
      <c r="M247" s="101" t="s">
        <v>1088</v>
      </c>
      <c r="N247" s="101">
        <v>2010</v>
      </c>
      <c r="O247" s="101" t="s">
        <v>685</v>
      </c>
      <c r="P247" s="101">
        <v>537639</v>
      </c>
      <c r="Q247" t="s">
        <v>925</v>
      </c>
      <c r="R247" t="s">
        <v>678</v>
      </c>
      <c r="S247"/>
      <c r="T247"/>
      <c r="U247"/>
      <c r="V247" s="222"/>
    </row>
    <row r="248" spans="1:22" x14ac:dyDescent="0.2">
      <c r="A248" t="s">
        <v>310</v>
      </c>
      <c r="B248" s="101">
        <v>5</v>
      </c>
      <c r="C248" s="101">
        <v>0</v>
      </c>
      <c r="D248" s="101">
        <v>5</v>
      </c>
      <c r="E248" s="101">
        <v>3</v>
      </c>
      <c r="F248" s="101">
        <v>19</v>
      </c>
      <c r="G248" s="101">
        <v>-12</v>
      </c>
      <c r="H248" s="101">
        <v>-2.6</v>
      </c>
      <c r="I248" s="102">
        <v>0.4</v>
      </c>
      <c r="J248" s="102">
        <v>1.25</v>
      </c>
      <c r="K248" s="101">
        <v>7.8</v>
      </c>
      <c r="L248" s="101">
        <v>0.6</v>
      </c>
      <c r="M248" s="101" t="s">
        <v>1088</v>
      </c>
      <c r="N248" s="101">
        <v>2002</v>
      </c>
      <c r="O248" s="101" t="s">
        <v>806</v>
      </c>
      <c r="P248" s="101">
        <v>879114</v>
      </c>
      <c r="Q248" t="s">
        <v>846</v>
      </c>
      <c r="R248" t="s">
        <v>306</v>
      </c>
      <c r="S248"/>
      <c r="T248"/>
      <c r="U248"/>
      <c r="V248" s="222"/>
    </row>
    <row r="249" spans="1:22" x14ac:dyDescent="0.2">
      <c r="A249" t="s">
        <v>1008</v>
      </c>
      <c r="B249" s="101">
        <v>4</v>
      </c>
      <c r="C249" s="101">
        <v>-4</v>
      </c>
      <c r="D249" s="101">
        <v>4</v>
      </c>
      <c r="E249" s="101">
        <v>0</v>
      </c>
      <c r="F249" s="101">
        <v>17</v>
      </c>
      <c r="G249" s="101">
        <v>-18</v>
      </c>
      <c r="H249" s="101">
        <v>-3.8</v>
      </c>
      <c r="I249" s="102">
        <v>0.47</v>
      </c>
      <c r="J249" s="102">
        <v>1.25</v>
      </c>
      <c r="K249" s="101">
        <v>10.6</v>
      </c>
      <c r="L249" s="101">
        <v>0.4</v>
      </c>
      <c r="M249" s="101" t="s">
        <v>1088</v>
      </c>
      <c r="N249" s="101">
        <v>2003</v>
      </c>
      <c r="O249" s="101" t="s">
        <v>806</v>
      </c>
      <c r="P249" s="101">
        <v>936781</v>
      </c>
      <c r="Q249" t="s">
        <v>816</v>
      </c>
      <c r="R249" t="s">
        <v>152</v>
      </c>
      <c r="S249" t="s">
        <v>1111</v>
      </c>
      <c r="T249"/>
      <c r="U249"/>
      <c r="V249" s="222"/>
    </row>
    <row r="250" spans="1:22" x14ac:dyDescent="0.2">
      <c r="A250" t="s">
        <v>1007</v>
      </c>
      <c r="B250" s="101">
        <v>5</v>
      </c>
      <c r="C250" s="101">
        <v>-3</v>
      </c>
      <c r="D250" s="101">
        <v>6</v>
      </c>
      <c r="E250" s="101">
        <v>-9</v>
      </c>
      <c r="F250" s="101">
        <v>25</v>
      </c>
      <c r="G250" s="101">
        <v>-21</v>
      </c>
      <c r="H250" s="101">
        <v>-4.7</v>
      </c>
      <c r="I250" s="102">
        <v>0.47</v>
      </c>
      <c r="J250" s="102">
        <v>1.25</v>
      </c>
      <c r="K250" s="101">
        <v>18.399999999999999</v>
      </c>
      <c r="L250" s="101">
        <v>0.4</v>
      </c>
      <c r="M250" s="101" t="s">
        <v>1088</v>
      </c>
      <c r="N250" s="101">
        <v>2000</v>
      </c>
      <c r="O250" s="101" t="s">
        <v>806</v>
      </c>
      <c r="P250" s="101">
        <v>730366</v>
      </c>
      <c r="Q250" t="s">
        <v>816</v>
      </c>
      <c r="R250" t="s">
        <v>723</v>
      </c>
      <c r="S250" t="s">
        <v>1111</v>
      </c>
      <c r="T250"/>
      <c r="U250"/>
      <c r="V250" s="222"/>
    </row>
    <row r="251" spans="1:22" x14ac:dyDescent="0.2">
      <c r="A251" t="s">
        <v>107</v>
      </c>
      <c r="B251" s="101">
        <v>-4</v>
      </c>
      <c r="C251" s="101">
        <v>-12</v>
      </c>
      <c r="D251" s="101">
        <v>-2</v>
      </c>
      <c r="E251" s="101">
        <v>-22</v>
      </c>
      <c r="F251" s="101">
        <v>-20</v>
      </c>
      <c r="G251" s="101">
        <v>-46</v>
      </c>
      <c r="H251" s="101">
        <v>-11.8</v>
      </c>
      <c r="I251" s="102">
        <v>0.51</v>
      </c>
      <c r="J251" s="102">
        <v>1.25</v>
      </c>
      <c r="K251" s="101">
        <v>18.3</v>
      </c>
      <c r="L251" s="101">
        <v>-0.4</v>
      </c>
      <c r="M251" s="101" t="s">
        <v>1089</v>
      </c>
      <c r="N251" s="101">
        <v>2000</v>
      </c>
      <c r="O251" s="101" t="s">
        <v>685</v>
      </c>
      <c r="P251" s="101">
        <v>507475</v>
      </c>
      <c r="Q251" t="s">
        <v>94</v>
      </c>
      <c r="R251" t="s">
        <v>102</v>
      </c>
      <c r="S251"/>
      <c r="T251"/>
      <c r="U251"/>
      <c r="V251" s="222"/>
    </row>
    <row r="252" spans="1:22" x14ac:dyDescent="0.2">
      <c r="A252" t="s">
        <v>623</v>
      </c>
      <c r="B252" s="101">
        <v>9</v>
      </c>
      <c r="C252" s="101">
        <v>5</v>
      </c>
      <c r="D252" s="101">
        <v>9</v>
      </c>
      <c r="E252" s="101">
        <v>4</v>
      </c>
      <c r="F252" s="101"/>
      <c r="G252" s="101"/>
      <c r="H252" s="101"/>
      <c r="I252" s="102">
        <v>0.54</v>
      </c>
      <c r="J252" s="102">
        <v>1.25</v>
      </c>
      <c r="K252" s="101"/>
      <c r="L252" s="101"/>
      <c r="M252" s="101" t="s">
        <v>1088</v>
      </c>
      <c r="N252" s="101">
        <v>2010</v>
      </c>
      <c r="O252" s="101" t="s">
        <v>806</v>
      </c>
      <c r="P252" s="101">
        <v>806034</v>
      </c>
      <c r="Q252" t="s">
        <v>624</v>
      </c>
      <c r="R252" t="s">
        <v>152</v>
      </c>
      <c r="S252"/>
      <c r="T252"/>
      <c r="U252"/>
      <c r="V252" s="222"/>
    </row>
    <row r="253" spans="1:22" x14ac:dyDescent="0.2">
      <c r="A253" t="s">
        <v>818</v>
      </c>
      <c r="B253" s="101">
        <v>3</v>
      </c>
      <c r="C253" s="101">
        <v>-9</v>
      </c>
      <c r="D253" s="101">
        <v>4</v>
      </c>
      <c r="E253" s="101">
        <v>-12</v>
      </c>
      <c r="F253" s="101">
        <v>27</v>
      </c>
      <c r="G253" s="101">
        <v>-34</v>
      </c>
      <c r="H253" s="101">
        <v>-8</v>
      </c>
      <c r="I253" s="102">
        <v>0.54</v>
      </c>
      <c r="J253" s="102">
        <v>1.26</v>
      </c>
      <c r="K253" s="101">
        <v>16.7</v>
      </c>
      <c r="L253" s="101">
        <v>0.5</v>
      </c>
      <c r="M253" s="101" t="s">
        <v>1088</v>
      </c>
      <c r="N253" s="101">
        <v>2000</v>
      </c>
      <c r="O253" s="101" t="s">
        <v>806</v>
      </c>
      <c r="P253" s="101">
        <v>739458</v>
      </c>
      <c r="Q253" t="s">
        <v>726</v>
      </c>
      <c r="R253" t="s">
        <v>723</v>
      </c>
      <c r="S253" t="s">
        <v>1111</v>
      </c>
      <c r="T253"/>
      <c r="U253"/>
      <c r="V253" s="222"/>
    </row>
    <row r="254" spans="1:22" x14ac:dyDescent="0.2">
      <c r="A254" t="s">
        <v>1065</v>
      </c>
      <c r="B254" s="101">
        <v>3</v>
      </c>
      <c r="C254" s="101">
        <v>-6</v>
      </c>
      <c r="D254" s="101">
        <v>3</v>
      </c>
      <c r="E254" s="101">
        <v>2</v>
      </c>
      <c r="F254" s="101">
        <v>20</v>
      </c>
      <c r="G254" s="101"/>
      <c r="H254" s="101"/>
      <c r="I254" s="102">
        <v>0.54</v>
      </c>
      <c r="J254" s="102">
        <v>1.2663</v>
      </c>
      <c r="K254" s="101">
        <v>10.7</v>
      </c>
      <c r="L254" s="101">
        <v>0.5</v>
      </c>
      <c r="M254" s="101" t="s">
        <v>1091</v>
      </c>
      <c r="N254" s="101">
        <v>2012</v>
      </c>
      <c r="O254" s="101" t="s">
        <v>685</v>
      </c>
      <c r="P254" s="101">
        <v>448910</v>
      </c>
      <c r="Q254" t="s">
        <v>464</v>
      </c>
      <c r="R254" t="s">
        <v>108</v>
      </c>
      <c r="S254"/>
      <c r="T254"/>
      <c r="U254"/>
      <c r="V254" s="222"/>
    </row>
    <row r="255" spans="1:22" x14ac:dyDescent="0.2">
      <c r="A255" t="s">
        <v>9</v>
      </c>
      <c r="B255" s="101">
        <v>1</v>
      </c>
      <c r="C255" s="101">
        <v>-3</v>
      </c>
      <c r="D255" s="101">
        <v>2</v>
      </c>
      <c r="E255" s="101">
        <v>-3</v>
      </c>
      <c r="F255" s="101">
        <v>23</v>
      </c>
      <c r="G255" s="101">
        <v>-1</v>
      </c>
      <c r="H255" s="101">
        <v>-0.2</v>
      </c>
      <c r="I255" s="102">
        <v>0.5</v>
      </c>
      <c r="J255" s="102">
        <v>1.27</v>
      </c>
      <c r="K255" s="101">
        <v>10.1</v>
      </c>
      <c r="L255" s="101">
        <v>0.6</v>
      </c>
      <c r="M255" s="101" t="s">
        <v>1088</v>
      </c>
      <c r="N255" s="101">
        <v>2000</v>
      </c>
      <c r="O255" s="101" t="s">
        <v>806</v>
      </c>
      <c r="P255" s="101">
        <v>829945</v>
      </c>
      <c r="Q255" t="s">
        <v>462</v>
      </c>
      <c r="R255" t="s">
        <v>305</v>
      </c>
      <c r="S255"/>
      <c r="T255"/>
      <c r="U255"/>
      <c r="V255" s="222"/>
    </row>
    <row r="256" spans="1:22" x14ac:dyDescent="0.2">
      <c r="A256" t="s">
        <v>644</v>
      </c>
      <c r="B256" s="101">
        <v>1</v>
      </c>
      <c r="C256" s="101">
        <v>-7</v>
      </c>
      <c r="D256" s="101">
        <v>2</v>
      </c>
      <c r="E256" s="101">
        <v>-20</v>
      </c>
      <c r="F256" s="101">
        <v>-9</v>
      </c>
      <c r="G256" s="101">
        <v>-28</v>
      </c>
      <c r="H256" s="101">
        <v>-6.5</v>
      </c>
      <c r="I256" s="102">
        <v>0.54</v>
      </c>
      <c r="J256" s="102">
        <v>1.2755259999999999</v>
      </c>
      <c r="K256" s="101">
        <v>15.8</v>
      </c>
      <c r="L256" s="101">
        <v>-0.2</v>
      </c>
      <c r="M256" s="101" t="s">
        <v>1091</v>
      </c>
      <c r="N256" s="101">
        <v>2000</v>
      </c>
      <c r="O256" s="101" t="s">
        <v>685</v>
      </c>
      <c r="P256" s="101">
        <v>232991</v>
      </c>
      <c r="Q256" t="s">
        <v>464</v>
      </c>
      <c r="R256" t="s">
        <v>168</v>
      </c>
      <c r="S256"/>
      <c r="T256"/>
      <c r="U256"/>
      <c r="V256" s="222"/>
    </row>
    <row r="257" spans="1:22" x14ac:dyDescent="0.2">
      <c r="A257" t="s">
        <v>825</v>
      </c>
      <c r="B257" s="101">
        <v>5</v>
      </c>
      <c r="C257" s="101">
        <v>-1</v>
      </c>
      <c r="D257" s="101">
        <v>6</v>
      </c>
      <c r="E257" s="101">
        <v>-1</v>
      </c>
      <c r="F257" s="101">
        <v>4</v>
      </c>
      <c r="G257" s="101">
        <v>7</v>
      </c>
      <c r="H257" s="101">
        <v>1.3</v>
      </c>
      <c r="I257" s="102">
        <v>0.51</v>
      </c>
      <c r="J257" s="102">
        <v>1.2756000000000001</v>
      </c>
      <c r="K257" s="101">
        <v>7</v>
      </c>
      <c r="L257" s="101">
        <v>0.1</v>
      </c>
      <c r="M257" s="101" t="s">
        <v>1089</v>
      </c>
      <c r="N257" s="101">
        <v>2008</v>
      </c>
      <c r="O257" s="101" t="s">
        <v>685</v>
      </c>
      <c r="P257" s="101">
        <v>945162</v>
      </c>
      <c r="Q257" t="s">
        <v>821</v>
      </c>
      <c r="R257" t="s">
        <v>678</v>
      </c>
      <c r="S257"/>
      <c r="T257"/>
      <c r="U257"/>
      <c r="V257" s="222"/>
    </row>
    <row r="258" spans="1:22" x14ac:dyDescent="0.2">
      <c r="A258" t="s">
        <v>894</v>
      </c>
      <c r="B258" s="101">
        <v>2</v>
      </c>
      <c r="C258" s="101">
        <v>5</v>
      </c>
      <c r="D258" s="101">
        <v>2</v>
      </c>
      <c r="E258" s="101">
        <v>8</v>
      </c>
      <c r="F258" s="101">
        <v>6</v>
      </c>
      <c r="G258" s="101">
        <v>20</v>
      </c>
      <c r="H258" s="101">
        <v>3.8</v>
      </c>
      <c r="I258" s="102">
        <v>0.52</v>
      </c>
      <c r="J258" s="102">
        <v>1.29</v>
      </c>
      <c r="K258" s="101">
        <v>9.6</v>
      </c>
      <c r="L258" s="101">
        <v>0.1</v>
      </c>
      <c r="M258" s="101" t="s">
        <v>1091</v>
      </c>
      <c r="N258" s="101">
        <v>2006</v>
      </c>
      <c r="O258" s="101" t="s">
        <v>685</v>
      </c>
      <c r="P258" s="101">
        <v>336115</v>
      </c>
      <c r="Q258" t="s">
        <v>805</v>
      </c>
      <c r="R258" t="s">
        <v>678</v>
      </c>
      <c r="S258"/>
      <c r="T258"/>
      <c r="U258"/>
      <c r="V258" s="222"/>
    </row>
    <row r="259" spans="1:22" x14ac:dyDescent="0.2">
      <c r="A259" t="s">
        <v>72</v>
      </c>
      <c r="B259" s="101">
        <v>2</v>
      </c>
      <c r="C259" s="101">
        <v>-2</v>
      </c>
      <c r="D259" s="101">
        <v>2</v>
      </c>
      <c r="E259" s="101">
        <v>-5</v>
      </c>
      <c r="F259" s="101">
        <v>-7</v>
      </c>
      <c r="G259" s="101">
        <v>-1</v>
      </c>
      <c r="H259" s="101">
        <v>-0.2</v>
      </c>
      <c r="I259" s="102">
        <v>0.55000000000000004</v>
      </c>
      <c r="J259" s="102">
        <v>1.3</v>
      </c>
      <c r="K259" s="101">
        <v>5.0999999999999996</v>
      </c>
      <c r="L259" s="101">
        <v>-0.6</v>
      </c>
      <c r="M259" s="101" t="s">
        <v>1089</v>
      </c>
      <c r="N259" s="101">
        <v>2008</v>
      </c>
      <c r="O259" s="101" t="s">
        <v>685</v>
      </c>
      <c r="P259" s="101">
        <v>271064</v>
      </c>
      <c r="Q259" t="s">
        <v>376</v>
      </c>
      <c r="R259" t="s">
        <v>314</v>
      </c>
      <c r="S259"/>
      <c r="T259"/>
      <c r="U259"/>
      <c r="V259" s="222"/>
    </row>
    <row r="260" spans="1:22" x14ac:dyDescent="0.2">
      <c r="A260" t="s">
        <v>752</v>
      </c>
      <c r="B260" s="101">
        <v>3</v>
      </c>
      <c r="C260" s="101">
        <v>-4</v>
      </c>
      <c r="D260" s="101">
        <v>4</v>
      </c>
      <c r="E260" s="101">
        <v>-9</v>
      </c>
      <c r="F260" s="101">
        <v>32</v>
      </c>
      <c r="G260" s="101">
        <v>-22</v>
      </c>
      <c r="H260" s="101">
        <v>-4.9000000000000004</v>
      </c>
      <c r="I260" s="102">
        <v>0.38</v>
      </c>
      <c r="J260" s="102">
        <v>1.3</v>
      </c>
      <c r="K260" s="101">
        <v>17.5</v>
      </c>
      <c r="L260" s="101">
        <v>0.5</v>
      </c>
      <c r="M260" s="101" t="s">
        <v>1088</v>
      </c>
      <c r="N260" s="101">
        <v>2000</v>
      </c>
      <c r="O260" s="101" t="s">
        <v>806</v>
      </c>
      <c r="P260" s="101">
        <v>528133</v>
      </c>
      <c r="Q260" t="s">
        <v>751</v>
      </c>
      <c r="R260" t="s">
        <v>723</v>
      </c>
      <c r="S260"/>
      <c r="T260"/>
      <c r="U260"/>
      <c r="V260" s="222"/>
    </row>
    <row r="261" spans="1:22" x14ac:dyDescent="0.2">
      <c r="A261" t="s">
        <v>279</v>
      </c>
      <c r="B261" s="101">
        <v>6</v>
      </c>
      <c r="C261" s="101">
        <v>-2</v>
      </c>
      <c r="D261" s="101">
        <v>7</v>
      </c>
      <c r="E261" s="101">
        <v>-4</v>
      </c>
      <c r="F261" s="101">
        <v>22</v>
      </c>
      <c r="G261" s="101">
        <v>-25</v>
      </c>
      <c r="H261" s="101">
        <v>-5.6</v>
      </c>
      <c r="I261" s="102">
        <v>0.41</v>
      </c>
      <c r="J261" s="102">
        <v>1.3</v>
      </c>
      <c r="K261" s="101">
        <v>14.7</v>
      </c>
      <c r="L261" s="101">
        <v>0.4</v>
      </c>
      <c r="M261" s="101" t="s">
        <v>1088</v>
      </c>
      <c r="N261" s="101">
        <v>2002</v>
      </c>
      <c r="O261" s="101" t="s">
        <v>806</v>
      </c>
      <c r="P261" s="101">
        <v>158261</v>
      </c>
      <c r="Q261" t="s">
        <v>846</v>
      </c>
      <c r="R261" t="s">
        <v>723</v>
      </c>
      <c r="S261"/>
      <c r="T261"/>
      <c r="U261"/>
      <c r="V261" s="222"/>
    </row>
    <row r="262" spans="1:22" x14ac:dyDescent="0.2">
      <c r="A262" t="s">
        <v>44</v>
      </c>
      <c r="B262" s="101">
        <v>6</v>
      </c>
      <c r="C262" s="101">
        <v>-5</v>
      </c>
      <c r="D262" s="101">
        <v>7</v>
      </c>
      <c r="E262" s="101">
        <v>-11</v>
      </c>
      <c r="F262" s="101">
        <v>6</v>
      </c>
      <c r="G262" s="101">
        <v>-35</v>
      </c>
      <c r="H262" s="101">
        <v>-8.3000000000000007</v>
      </c>
      <c r="I262" s="102">
        <v>0.41</v>
      </c>
      <c r="J262" s="102">
        <v>1.3</v>
      </c>
      <c r="K262" s="101">
        <v>17.2</v>
      </c>
      <c r="L262" s="101">
        <v>0.1</v>
      </c>
      <c r="M262" s="101" t="s">
        <v>1088</v>
      </c>
      <c r="N262" s="101">
        <v>2005</v>
      </c>
      <c r="O262" s="101" t="s">
        <v>806</v>
      </c>
      <c r="P262" s="101">
        <v>484923</v>
      </c>
      <c r="Q262" t="s">
        <v>846</v>
      </c>
      <c r="R262" t="s">
        <v>800</v>
      </c>
      <c r="S262"/>
      <c r="T262"/>
      <c r="U262"/>
      <c r="V262" s="222"/>
    </row>
    <row r="263" spans="1:22" x14ac:dyDescent="0.2">
      <c r="A263" t="s">
        <v>419</v>
      </c>
      <c r="B263" s="101">
        <v>7</v>
      </c>
      <c r="C263" s="101">
        <v>-4</v>
      </c>
      <c r="D263" s="101">
        <v>8</v>
      </c>
      <c r="E263" s="101">
        <v>-11</v>
      </c>
      <c r="F263" s="101"/>
      <c r="G263" s="101"/>
      <c r="H263" s="101"/>
      <c r="I263" s="102">
        <v>0.72</v>
      </c>
      <c r="J263" s="102">
        <v>1.3</v>
      </c>
      <c r="K263" s="101"/>
      <c r="L263" s="101"/>
      <c r="M263" s="101" t="s">
        <v>1088</v>
      </c>
      <c r="N263" s="101">
        <v>2011</v>
      </c>
      <c r="O263" s="101" t="s">
        <v>806</v>
      </c>
      <c r="P263" s="101">
        <v>584979</v>
      </c>
      <c r="Q263" t="s">
        <v>420</v>
      </c>
      <c r="R263" t="s">
        <v>723</v>
      </c>
      <c r="S263"/>
      <c r="T263"/>
      <c r="U263"/>
      <c r="V263" s="222"/>
    </row>
    <row r="264" spans="1:22" x14ac:dyDescent="0.2">
      <c r="A264" t="s">
        <v>680</v>
      </c>
      <c r="B264" s="101">
        <v>3</v>
      </c>
      <c r="C264" s="101">
        <v>6</v>
      </c>
      <c r="D264" s="101">
        <v>3</v>
      </c>
      <c r="E264" s="101">
        <v>8</v>
      </c>
      <c r="F264" s="101">
        <v>4</v>
      </c>
      <c r="G264" s="101">
        <v>28</v>
      </c>
      <c r="H264" s="101">
        <v>5.0999999999999996</v>
      </c>
      <c r="I264" s="102">
        <v>0.45</v>
      </c>
      <c r="J264" s="102">
        <v>1.31</v>
      </c>
      <c r="K264" s="101">
        <v>9.3000000000000007</v>
      </c>
      <c r="L264" s="101">
        <v>0.1</v>
      </c>
      <c r="M264" s="101" t="s">
        <v>1091</v>
      </c>
      <c r="N264" s="101">
        <v>2000</v>
      </c>
      <c r="O264" s="101" t="s">
        <v>685</v>
      </c>
      <c r="P264" s="101">
        <v>370239</v>
      </c>
      <c r="Q264" t="s">
        <v>368</v>
      </c>
      <c r="R264" t="s">
        <v>678</v>
      </c>
      <c r="S264"/>
      <c r="T264"/>
      <c r="U264"/>
      <c r="V264" s="222"/>
    </row>
    <row r="265" spans="1:22" x14ac:dyDescent="0.2">
      <c r="A265" t="s">
        <v>294</v>
      </c>
      <c r="B265" s="101">
        <v>4</v>
      </c>
      <c r="C265" s="101">
        <v>-2</v>
      </c>
      <c r="D265" s="101">
        <v>5</v>
      </c>
      <c r="E265" s="101">
        <v>-12</v>
      </c>
      <c r="F265" s="101">
        <v>70</v>
      </c>
      <c r="G265" s="101">
        <v>-12</v>
      </c>
      <c r="H265" s="101">
        <v>-2.5</v>
      </c>
      <c r="I265" s="102">
        <v>0.38</v>
      </c>
      <c r="J265" s="102">
        <v>1.31</v>
      </c>
      <c r="K265" s="101">
        <v>20.399999999999999</v>
      </c>
      <c r="L265" s="101">
        <v>0.9</v>
      </c>
      <c r="M265" s="101" t="s">
        <v>1088</v>
      </c>
      <c r="N265" s="101">
        <v>2001</v>
      </c>
      <c r="O265" s="101" t="s">
        <v>806</v>
      </c>
      <c r="P265" s="101">
        <v>313742</v>
      </c>
      <c r="Q265" t="s">
        <v>751</v>
      </c>
      <c r="R265" t="s">
        <v>291</v>
      </c>
      <c r="S265"/>
      <c r="T265"/>
      <c r="U265"/>
      <c r="V265" s="222"/>
    </row>
    <row r="266" spans="1:22" x14ac:dyDescent="0.2">
      <c r="A266" t="s">
        <v>847</v>
      </c>
      <c r="B266" s="101">
        <v>4</v>
      </c>
      <c r="C266" s="101">
        <v>-4</v>
      </c>
      <c r="D266" s="101">
        <v>5</v>
      </c>
      <c r="E266" s="101">
        <v>-2</v>
      </c>
      <c r="F266" s="101">
        <v>16</v>
      </c>
      <c r="G266" s="101"/>
      <c r="H266" s="101"/>
      <c r="I266" s="102">
        <v>0.41</v>
      </c>
      <c r="J266" s="102">
        <v>1.31</v>
      </c>
      <c r="K266" s="101">
        <v>9.3000000000000007</v>
      </c>
      <c r="L266" s="101">
        <v>0.4</v>
      </c>
      <c r="M266" s="101" t="s">
        <v>1088</v>
      </c>
      <c r="N266" s="101">
        <v>2007</v>
      </c>
      <c r="O266" s="101" t="s">
        <v>685</v>
      </c>
      <c r="P266" s="101">
        <v>537696</v>
      </c>
      <c r="Q266" t="s">
        <v>848</v>
      </c>
      <c r="R266" t="s">
        <v>509</v>
      </c>
      <c r="S266"/>
      <c r="T266"/>
      <c r="U266"/>
      <c r="V266" s="222"/>
    </row>
    <row r="267" spans="1:22" x14ac:dyDescent="0.2">
      <c r="A267" t="s">
        <v>1011</v>
      </c>
      <c r="B267" s="101">
        <v>6</v>
      </c>
      <c r="C267" s="101">
        <v>-1</v>
      </c>
      <c r="D267" s="101">
        <v>6</v>
      </c>
      <c r="E267" s="101">
        <v>-6</v>
      </c>
      <c r="F267" s="101">
        <v>24</v>
      </c>
      <c r="G267" s="101">
        <v>4</v>
      </c>
      <c r="H267" s="101">
        <v>0.9</v>
      </c>
      <c r="I267" s="102">
        <v>0.49</v>
      </c>
      <c r="J267" s="102">
        <v>1.3180000000000001</v>
      </c>
      <c r="K267" s="101">
        <v>14.3</v>
      </c>
      <c r="L267" s="101">
        <v>0.5</v>
      </c>
      <c r="M267" s="101" t="s">
        <v>1088</v>
      </c>
      <c r="N267" s="101">
        <v>2003</v>
      </c>
      <c r="O267" s="101" t="s">
        <v>685</v>
      </c>
      <c r="P267" s="101">
        <v>586982</v>
      </c>
      <c r="Q267" t="s">
        <v>1004</v>
      </c>
      <c r="R267" t="s">
        <v>138</v>
      </c>
      <c r="S267"/>
      <c r="T267"/>
      <c r="U267"/>
      <c r="V267" s="222"/>
    </row>
    <row r="268" spans="1:22" x14ac:dyDescent="0.2">
      <c r="A268" t="s">
        <v>1009</v>
      </c>
      <c r="B268" s="101">
        <v>3</v>
      </c>
      <c r="C268" s="101">
        <v>-10</v>
      </c>
      <c r="D268" s="101">
        <v>4</v>
      </c>
      <c r="E268" s="101">
        <v>-17</v>
      </c>
      <c r="F268" s="101">
        <v>11</v>
      </c>
      <c r="G268" s="101">
        <v>-19</v>
      </c>
      <c r="H268" s="101">
        <v>-4.0999999999999996</v>
      </c>
      <c r="I268" s="102">
        <v>0.5</v>
      </c>
      <c r="J268" s="102">
        <v>1.321</v>
      </c>
      <c r="K268" s="101">
        <v>18.3</v>
      </c>
      <c r="L268" s="101">
        <v>0.2</v>
      </c>
      <c r="M268" s="101" t="s">
        <v>1088</v>
      </c>
      <c r="N268" s="101">
        <v>2010</v>
      </c>
      <c r="O268" s="101" t="s">
        <v>685</v>
      </c>
      <c r="P268" s="101">
        <v>242495</v>
      </c>
      <c r="Q268" t="s">
        <v>1004</v>
      </c>
      <c r="R268" t="s">
        <v>800</v>
      </c>
      <c r="S268"/>
      <c r="T268"/>
      <c r="U268"/>
      <c r="V268" s="222"/>
    </row>
    <row r="269" spans="1:22" x14ac:dyDescent="0.2">
      <c r="A269" t="s">
        <v>1010</v>
      </c>
      <c r="B269" s="101">
        <v>3</v>
      </c>
      <c r="C269" s="101">
        <v>-5</v>
      </c>
      <c r="D269" s="101">
        <v>3</v>
      </c>
      <c r="E269" s="101">
        <v>-3</v>
      </c>
      <c r="F269" s="101">
        <v>15</v>
      </c>
      <c r="G269" s="101">
        <v>-17</v>
      </c>
      <c r="H269" s="101">
        <v>-3.7</v>
      </c>
      <c r="I269" s="102">
        <v>0.5</v>
      </c>
      <c r="J269" s="102">
        <v>1.3220000000000001</v>
      </c>
      <c r="K269" s="101">
        <v>11</v>
      </c>
      <c r="L269" s="101">
        <v>0.4</v>
      </c>
      <c r="M269" s="101" t="s">
        <v>1088</v>
      </c>
      <c r="N269" s="101">
        <v>2011</v>
      </c>
      <c r="O269" s="101" t="s">
        <v>685</v>
      </c>
      <c r="P269" s="101">
        <v>503573</v>
      </c>
      <c r="Q269" t="s">
        <v>1004</v>
      </c>
      <c r="R269" t="s">
        <v>152</v>
      </c>
      <c r="S269"/>
      <c r="T269"/>
      <c r="U269"/>
      <c r="V269" s="222"/>
    </row>
    <row r="270" spans="1:22" x14ac:dyDescent="0.2">
      <c r="A270" t="s">
        <v>823</v>
      </c>
      <c r="B270" s="101">
        <v>-1</v>
      </c>
      <c r="C270" s="101">
        <v>-2</v>
      </c>
      <c r="D270" s="101">
        <v>-2</v>
      </c>
      <c r="E270" s="101">
        <v>-9</v>
      </c>
      <c r="F270" s="101">
        <v>-9</v>
      </c>
      <c r="G270" s="101">
        <v>-14</v>
      </c>
      <c r="H270" s="101">
        <v>-2.9</v>
      </c>
      <c r="I270" s="102">
        <v>0.53</v>
      </c>
      <c r="J270" s="102">
        <v>1.3228</v>
      </c>
      <c r="K270" s="101">
        <v>9.9</v>
      </c>
      <c r="L270" s="101">
        <v>-0.4</v>
      </c>
      <c r="M270" s="101" t="s">
        <v>1089</v>
      </c>
      <c r="N270" s="101">
        <v>2008</v>
      </c>
      <c r="O270" s="101" t="s">
        <v>685</v>
      </c>
      <c r="P270" s="101">
        <v>873505</v>
      </c>
      <c r="Q270" t="s">
        <v>821</v>
      </c>
      <c r="R270" t="s">
        <v>664</v>
      </c>
      <c r="S270"/>
      <c r="T270"/>
      <c r="U270"/>
      <c r="V270" s="222"/>
    </row>
    <row r="271" spans="1:22" x14ac:dyDescent="0.2">
      <c r="A271" t="s">
        <v>858</v>
      </c>
      <c r="B271" s="101">
        <v>3</v>
      </c>
      <c r="C271" s="101">
        <v>-6</v>
      </c>
      <c r="D271" s="101">
        <v>4</v>
      </c>
      <c r="E271" s="101">
        <v>-11</v>
      </c>
      <c r="F271" s="101">
        <v>30</v>
      </c>
      <c r="G271" s="101">
        <v>-16</v>
      </c>
      <c r="H271" s="101">
        <v>-3.4</v>
      </c>
      <c r="I271" s="102">
        <v>0.52</v>
      </c>
      <c r="J271" s="102">
        <v>1.33</v>
      </c>
      <c r="K271" s="101">
        <v>18.899999999999999</v>
      </c>
      <c r="L271" s="101">
        <v>0.5</v>
      </c>
      <c r="M271" s="101" t="s">
        <v>1088</v>
      </c>
      <c r="N271" s="101">
        <v>2000</v>
      </c>
      <c r="O271" s="101" t="s">
        <v>806</v>
      </c>
      <c r="P271" s="101">
        <v>973263</v>
      </c>
      <c r="Q271" t="s">
        <v>462</v>
      </c>
      <c r="R271" t="s">
        <v>723</v>
      </c>
      <c r="S271"/>
      <c r="T271"/>
      <c r="U271"/>
      <c r="V271" s="222"/>
    </row>
    <row r="272" spans="1:22" x14ac:dyDescent="0.2">
      <c r="A272" t="s">
        <v>580</v>
      </c>
      <c r="B272" s="101">
        <v>3</v>
      </c>
      <c r="C272" s="101">
        <v>9</v>
      </c>
      <c r="D272" s="101">
        <v>4</v>
      </c>
      <c r="E272" s="101">
        <v>15</v>
      </c>
      <c r="F272" s="101">
        <v>-2</v>
      </c>
      <c r="G272" s="101"/>
      <c r="H272" s="101"/>
      <c r="I272" s="102">
        <v>0.53</v>
      </c>
      <c r="J272" s="102">
        <v>1.35</v>
      </c>
      <c r="K272" s="101">
        <v>16</v>
      </c>
      <c r="L272" s="101">
        <v>0</v>
      </c>
      <c r="M272" s="101" t="s">
        <v>1091</v>
      </c>
      <c r="N272" s="101">
        <v>2009</v>
      </c>
      <c r="O272" s="101" t="s">
        <v>685</v>
      </c>
      <c r="P272" s="101">
        <v>303230</v>
      </c>
      <c r="Q272" t="s">
        <v>868</v>
      </c>
      <c r="R272" t="s">
        <v>152</v>
      </c>
      <c r="S272"/>
      <c r="T272"/>
      <c r="U272"/>
      <c r="V272" s="222"/>
    </row>
    <row r="273" spans="1:22" x14ac:dyDescent="0.2">
      <c r="A273" t="s">
        <v>893</v>
      </c>
      <c r="B273" s="101">
        <v>2</v>
      </c>
      <c r="C273" s="101">
        <v>-1</v>
      </c>
      <c r="D273" s="101">
        <v>2</v>
      </c>
      <c r="E273" s="101">
        <v>-7</v>
      </c>
      <c r="F273" s="101"/>
      <c r="G273" s="101"/>
      <c r="H273" s="101"/>
      <c r="I273" s="102">
        <v>0.54</v>
      </c>
      <c r="J273" s="102">
        <v>1.35</v>
      </c>
      <c r="K273" s="101"/>
      <c r="L273" s="101"/>
      <c r="M273" s="101" t="s">
        <v>1089</v>
      </c>
      <c r="N273" s="101">
        <v>2011</v>
      </c>
      <c r="O273" s="101" t="s">
        <v>685</v>
      </c>
      <c r="P273" s="101">
        <v>140434</v>
      </c>
      <c r="Q273" t="s">
        <v>132</v>
      </c>
      <c r="R273" t="s">
        <v>678</v>
      </c>
      <c r="S273"/>
      <c r="T273"/>
      <c r="U273"/>
      <c r="V273" s="222"/>
    </row>
    <row r="274" spans="1:22" x14ac:dyDescent="0.2">
      <c r="A274" t="s">
        <v>40</v>
      </c>
      <c r="B274" s="101">
        <v>7</v>
      </c>
      <c r="C274" s="101">
        <v>-10</v>
      </c>
      <c r="D274" s="101">
        <v>6</v>
      </c>
      <c r="E274" s="101">
        <v>-19</v>
      </c>
      <c r="F274" s="101">
        <v>16</v>
      </c>
      <c r="G274" s="101">
        <v>-29</v>
      </c>
      <c r="H274" s="101">
        <v>-6.5</v>
      </c>
      <c r="I274" s="102">
        <v>0.56999999999999995</v>
      </c>
      <c r="J274" s="102">
        <v>1.3534360000000001</v>
      </c>
      <c r="K274" s="101">
        <v>23.5</v>
      </c>
      <c r="L274" s="101">
        <v>0.3</v>
      </c>
      <c r="M274" s="101" t="s">
        <v>1091</v>
      </c>
      <c r="N274" s="101">
        <v>2000</v>
      </c>
      <c r="O274" s="101" t="s">
        <v>685</v>
      </c>
      <c r="P274" s="101">
        <v>376319</v>
      </c>
      <c r="Q274" t="s">
        <v>464</v>
      </c>
      <c r="R274" t="s">
        <v>218</v>
      </c>
      <c r="S274"/>
      <c r="T274"/>
      <c r="U274"/>
      <c r="V274" s="222"/>
    </row>
    <row r="275" spans="1:22" x14ac:dyDescent="0.2">
      <c r="A275" t="s">
        <v>1037</v>
      </c>
      <c r="B275" s="101">
        <v>7</v>
      </c>
      <c r="C275" s="101">
        <v>-1</v>
      </c>
      <c r="D275" s="101">
        <v>8</v>
      </c>
      <c r="E275" s="101">
        <v>3</v>
      </c>
      <c r="F275" s="101">
        <v>-8</v>
      </c>
      <c r="G275" s="101">
        <v>15</v>
      </c>
      <c r="H275" s="101">
        <v>2.8</v>
      </c>
      <c r="I275" s="102">
        <v>0.54</v>
      </c>
      <c r="J275" s="102">
        <v>1.37</v>
      </c>
      <c r="K275" s="101">
        <v>9.5</v>
      </c>
      <c r="L275" s="101">
        <v>-0.4</v>
      </c>
      <c r="M275" s="101" t="s">
        <v>1092</v>
      </c>
      <c r="N275" s="101">
        <v>2006</v>
      </c>
      <c r="O275" s="101" t="s">
        <v>685</v>
      </c>
      <c r="P275" s="101">
        <v>479436</v>
      </c>
      <c r="Q275" t="s">
        <v>805</v>
      </c>
      <c r="R275" t="s">
        <v>678</v>
      </c>
      <c r="S275"/>
      <c r="T275"/>
      <c r="U275"/>
      <c r="V275" s="222"/>
    </row>
    <row r="276" spans="1:22" x14ac:dyDescent="0.2">
      <c r="A276" t="s">
        <v>403</v>
      </c>
      <c r="B276" s="101">
        <v>2</v>
      </c>
      <c r="C276" s="101">
        <v>3</v>
      </c>
      <c r="D276" s="101">
        <v>2</v>
      </c>
      <c r="E276" s="101">
        <v>4</v>
      </c>
      <c r="F276" s="101">
        <v>-27</v>
      </c>
      <c r="G276" s="101"/>
      <c r="H276" s="101"/>
      <c r="I276" s="102">
        <v>0.54</v>
      </c>
      <c r="J276" s="102">
        <v>1.37</v>
      </c>
      <c r="K276" s="101">
        <v>18.2</v>
      </c>
      <c r="L276" s="101">
        <v>-0.5</v>
      </c>
      <c r="M276" s="101" t="s">
        <v>1089</v>
      </c>
      <c r="N276" s="101">
        <v>2010</v>
      </c>
      <c r="O276" s="101" t="s">
        <v>685</v>
      </c>
      <c r="P276" s="101">
        <v>809699</v>
      </c>
      <c r="Q276" t="s">
        <v>132</v>
      </c>
      <c r="R276" t="s">
        <v>250</v>
      </c>
      <c r="S276"/>
      <c r="T276"/>
      <c r="U276"/>
      <c r="V276" s="222"/>
    </row>
    <row r="277" spans="1:22" x14ac:dyDescent="0.2">
      <c r="A277" t="s">
        <v>355</v>
      </c>
      <c r="B277" s="101">
        <v>1</v>
      </c>
      <c r="C277" s="101">
        <v>2</v>
      </c>
      <c r="D277" s="101">
        <v>1</v>
      </c>
      <c r="E277" s="101">
        <v>0</v>
      </c>
      <c r="F277" s="101">
        <v>-6</v>
      </c>
      <c r="G277" s="101">
        <v>8</v>
      </c>
      <c r="H277" s="101">
        <v>1.5</v>
      </c>
      <c r="I277" s="102">
        <v>0.56999999999999995</v>
      </c>
      <c r="J277" s="102">
        <v>1.39</v>
      </c>
      <c r="K277" s="101">
        <v>5.6</v>
      </c>
      <c r="L277" s="101">
        <v>-0.6</v>
      </c>
      <c r="M277" s="101" t="s">
        <v>1089</v>
      </c>
      <c r="N277" s="101">
        <v>2000</v>
      </c>
      <c r="O277" s="101" t="s">
        <v>685</v>
      </c>
      <c r="P277" s="101">
        <v>480145</v>
      </c>
      <c r="Q277" t="s">
        <v>63</v>
      </c>
      <c r="R277" t="s">
        <v>314</v>
      </c>
      <c r="S277"/>
      <c r="T277"/>
      <c r="U277"/>
      <c r="V277" s="222"/>
    </row>
    <row r="278" spans="1:22" x14ac:dyDescent="0.2">
      <c r="A278" t="s">
        <v>820</v>
      </c>
      <c r="B278" s="101">
        <v>4</v>
      </c>
      <c r="C278" s="101">
        <v>-5</v>
      </c>
      <c r="D278" s="101">
        <v>4</v>
      </c>
      <c r="E278" s="101">
        <v>-4</v>
      </c>
      <c r="F278" s="101">
        <v>66</v>
      </c>
      <c r="G278" s="101"/>
      <c r="H278" s="101"/>
      <c r="I278" s="102">
        <v>0.56999999999999995</v>
      </c>
      <c r="J278" s="102">
        <v>1.3947000000000001</v>
      </c>
      <c r="K278" s="101">
        <v>18.600000000000001</v>
      </c>
      <c r="L278" s="101">
        <v>0.9</v>
      </c>
      <c r="M278" s="101" t="s">
        <v>1088</v>
      </c>
      <c r="N278" s="101">
        <v>2008</v>
      </c>
      <c r="O278" s="101" t="s">
        <v>685</v>
      </c>
      <c r="P278" s="101">
        <v>420463</v>
      </c>
      <c r="Q278" t="s">
        <v>819</v>
      </c>
      <c r="R278" t="s">
        <v>776</v>
      </c>
      <c r="S278"/>
      <c r="T278"/>
      <c r="U278"/>
      <c r="V278" s="222"/>
    </row>
    <row r="279" spans="1:22" x14ac:dyDescent="0.2">
      <c r="A279" t="s">
        <v>810</v>
      </c>
      <c r="B279" s="101">
        <v>4</v>
      </c>
      <c r="C279" s="101">
        <v>-1</v>
      </c>
      <c r="D279" s="101">
        <v>4</v>
      </c>
      <c r="E279" s="101">
        <v>0</v>
      </c>
      <c r="F279" s="101">
        <v>-2</v>
      </c>
      <c r="G279" s="101">
        <v>7</v>
      </c>
      <c r="H279" s="101">
        <v>1.4</v>
      </c>
      <c r="I279" s="102">
        <v>0.56999999999999995</v>
      </c>
      <c r="J279" s="102">
        <v>1.4</v>
      </c>
      <c r="K279" s="101">
        <v>6.1</v>
      </c>
      <c r="L279" s="101">
        <v>-0.3</v>
      </c>
      <c r="M279" s="101" t="s">
        <v>1089</v>
      </c>
      <c r="N279" s="101">
        <v>2002</v>
      </c>
      <c r="O279" s="101" t="s">
        <v>685</v>
      </c>
      <c r="P279" s="101">
        <v>543892</v>
      </c>
      <c r="Q279" t="s">
        <v>809</v>
      </c>
      <c r="R279" t="s">
        <v>664</v>
      </c>
      <c r="S279"/>
      <c r="T279"/>
      <c r="U279"/>
      <c r="V279" s="222"/>
    </row>
    <row r="280" spans="1:22" x14ac:dyDescent="0.2">
      <c r="A280" t="s">
        <v>357</v>
      </c>
      <c r="B280" s="101">
        <v>2</v>
      </c>
      <c r="C280" s="101">
        <v>1</v>
      </c>
      <c r="D280" s="101">
        <v>3</v>
      </c>
      <c r="E280" s="101">
        <v>1</v>
      </c>
      <c r="F280" s="101">
        <v>2</v>
      </c>
      <c r="G280" s="101">
        <v>5</v>
      </c>
      <c r="H280" s="101">
        <v>1</v>
      </c>
      <c r="I280" s="102">
        <v>0.56999999999999995</v>
      </c>
      <c r="J280" s="102">
        <v>1.4</v>
      </c>
      <c r="K280" s="101">
        <v>5.6</v>
      </c>
      <c r="L280" s="101">
        <v>-0.1</v>
      </c>
      <c r="M280" s="101" t="s">
        <v>1089</v>
      </c>
      <c r="N280" s="101">
        <v>2000</v>
      </c>
      <c r="O280" s="101" t="s">
        <v>685</v>
      </c>
      <c r="P280" s="101">
        <v>444315</v>
      </c>
      <c r="Q280" t="s">
        <v>63</v>
      </c>
      <c r="R280" t="s">
        <v>314</v>
      </c>
      <c r="S280"/>
      <c r="T280"/>
      <c r="U280"/>
      <c r="V280" s="222"/>
    </row>
    <row r="281" spans="1:22" x14ac:dyDescent="0.2">
      <c r="A281" t="s">
        <v>276</v>
      </c>
      <c r="B281" s="101">
        <v>9</v>
      </c>
      <c r="C281" s="101">
        <v>-3</v>
      </c>
      <c r="D281" s="101">
        <v>10</v>
      </c>
      <c r="E281" s="101">
        <v>11</v>
      </c>
      <c r="F281" s="101">
        <v>38</v>
      </c>
      <c r="G281" s="101">
        <v>0</v>
      </c>
      <c r="H281" s="101">
        <v>0.1</v>
      </c>
      <c r="I281" s="102">
        <v>0.49</v>
      </c>
      <c r="J281" s="102">
        <v>1.4</v>
      </c>
      <c r="K281" s="101">
        <v>12.2</v>
      </c>
      <c r="L281" s="101">
        <v>0.8</v>
      </c>
      <c r="M281" s="101" t="s">
        <v>1088</v>
      </c>
      <c r="N281" s="101">
        <v>2000</v>
      </c>
      <c r="O281" s="101" t="s">
        <v>806</v>
      </c>
      <c r="P281" s="101">
        <v>439471</v>
      </c>
      <c r="Q281" t="s">
        <v>732</v>
      </c>
      <c r="R281" t="s">
        <v>273</v>
      </c>
      <c r="S281"/>
      <c r="T281"/>
      <c r="U281"/>
      <c r="V281" s="222"/>
    </row>
    <row r="282" spans="1:22" x14ac:dyDescent="0.2">
      <c r="A282" t="s">
        <v>910</v>
      </c>
      <c r="B282" s="101">
        <v>3</v>
      </c>
      <c r="C282" s="101">
        <v>-1</v>
      </c>
      <c r="D282" s="101">
        <v>3</v>
      </c>
      <c r="E282" s="101">
        <v>-4</v>
      </c>
      <c r="F282" s="101">
        <v>8</v>
      </c>
      <c r="G282" s="101">
        <v>-10</v>
      </c>
      <c r="H282" s="101">
        <v>-2</v>
      </c>
      <c r="I282" s="102">
        <v>0.49</v>
      </c>
      <c r="J282" s="102">
        <v>1.4</v>
      </c>
      <c r="K282" s="101">
        <v>6.5</v>
      </c>
      <c r="L282" s="101">
        <v>0.2</v>
      </c>
      <c r="M282" s="101" t="s">
        <v>1088</v>
      </c>
      <c r="N282" s="101">
        <v>2000</v>
      </c>
      <c r="O282" s="101" t="s">
        <v>806</v>
      </c>
      <c r="P282" s="101">
        <v>546960</v>
      </c>
      <c r="Q282" t="s">
        <v>732</v>
      </c>
      <c r="R282" t="s">
        <v>306</v>
      </c>
      <c r="S282"/>
      <c r="T282"/>
      <c r="U282"/>
      <c r="V282" s="222"/>
    </row>
    <row r="283" spans="1:22" x14ac:dyDescent="0.2">
      <c r="A283" t="s">
        <v>778</v>
      </c>
      <c r="B283" s="101">
        <v>3</v>
      </c>
      <c r="C283" s="101">
        <v>-3</v>
      </c>
      <c r="D283" s="101">
        <v>4</v>
      </c>
      <c r="E283" s="101">
        <v>-6</v>
      </c>
      <c r="F283" s="101">
        <v>44</v>
      </c>
      <c r="G283" s="101">
        <v>-17</v>
      </c>
      <c r="H283" s="101">
        <v>-3.6</v>
      </c>
      <c r="I283" s="102">
        <v>0.49</v>
      </c>
      <c r="J283" s="102">
        <v>1.4</v>
      </c>
      <c r="K283" s="101">
        <v>18.399999999999999</v>
      </c>
      <c r="L283" s="101">
        <v>0.7</v>
      </c>
      <c r="M283" s="101" t="s">
        <v>1088</v>
      </c>
      <c r="N283" s="101">
        <v>2002</v>
      </c>
      <c r="O283" s="101" t="s">
        <v>806</v>
      </c>
      <c r="P283" s="101">
        <v>103606</v>
      </c>
      <c r="Q283" t="s">
        <v>732</v>
      </c>
      <c r="R283" t="s">
        <v>776</v>
      </c>
      <c r="S283"/>
      <c r="T283"/>
      <c r="U283"/>
      <c r="V283" s="222"/>
    </row>
    <row r="284" spans="1:22" x14ac:dyDescent="0.2">
      <c r="A284" t="s">
        <v>923</v>
      </c>
      <c r="B284" s="101">
        <v>2</v>
      </c>
      <c r="C284" s="101">
        <v>-7</v>
      </c>
      <c r="D284" s="101">
        <v>2</v>
      </c>
      <c r="E284" s="101">
        <v>8</v>
      </c>
      <c r="F284" s="101">
        <v>12</v>
      </c>
      <c r="G284" s="101">
        <v>-17</v>
      </c>
      <c r="H284" s="101">
        <v>-3.7</v>
      </c>
      <c r="I284" s="102">
        <v>0.56999999999999995</v>
      </c>
      <c r="J284" s="102">
        <v>1.4</v>
      </c>
      <c r="K284" s="101">
        <v>11.6</v>
      </c>
      <c r="L284" s="101">
        <v>0.3</v>
      </c>
      <c r="M284" s="101" t="s">
        <v>1088</v>
      </c>
      <c r="N284" s="101">
        <v>2000</v>
      </c>
      <c r="O284" s="101" t="s">
        <v>806</v>
      </c>
      <c r="P284" s="101">
        <v>939264</v>
      </c>
      <c r="Q284" t="s">
        <v>899</v>
      </c>
      <c r="R284" t="s">
        <v>273</v>
      </c>
      <c r="S284"/>
      <c r="T284"/>
      <c r="U284"/>
      <c r="V284" s="222"/>
    </row>
    <row r="285" spans="1:22" x14ac:dyDescent="0.2">
      <c r="A285" t="s">
        <v>121</v>
      </c>
      <c r="B285" s="101">
        <v>9</v>
      </c>
      <c r="C285" s="101">
        <v>0</v>
      </c>
      <c r="D285" s="101">
        <v>8</v>
      </c>
      <c r="E285" s="101">
        <v>11</v>
      </c>
      <c r="F285" s="101">
        <v>26</v>
      </c>
      <c r="G285" s="101">
        <v>-19</v>
      </c>
      <c r="H285" s="101">
        <v>-4</v>
      </c>
      <c r="I285" s="102">
        <v>0.49</v>
      </c>
      <c r="J285" s="102">
        <v>1.4</v>
      </c>
      <c r="K285" s="101">
        <v>9.5</v>
      </c>
      <c r="L285" s="101">
        <v>0.7</v>
      </c>
      <c r="M285" s="101" t="s">
        <v>1088</v>
      </c>
      <c r="N285" s="101">
        <v>2000</v>
      </c>
      <c r="O285" s="101" t="s">
        <v>806</v>
      </c>
      <c r="P285" s="101">
        <v>511139</v>
      </c>
      <c r="Q285" t="s">
        <v>732</v>
      </c>
      <c r="R285" t="s">
        <v>108</v>
      </c>
      <c r="S285"/>
      <c r="T285"/>
      <c r="U285"/>
      <c r="V285" s="222"/>
    </row>
    <row r="286" spans="1:22" x14ac:dyDescent="0.2">
      <c r="A286" t="s">
        <v>395</v>
      </c>
      <c r="B286" s="101">
        <v>2</v>
      </c>
      <c r="C286" s="101">
        <v>-3</v>
      </c>
      <c r="D286" s="101">
        <v>3</v>
      </c>
      <c r="E286" s="101">
        <v>-7</v>
      </c>
      <c r="F286" s="101">
        <v>22</v>
      </c>
      <c r="G286" s="101">
        <v>-23</v>
      </c>
      <c r="H286" s="101">
        <v>-5.0999999999999996</v>
      </c>
      <c r="I286" s="102">
        <v>0.41</v>
      </c>
      <c r="J286" s="102">
        <v>1.4</v>
      </c>
      <c r="K286" s="101">
        <v>16.100000000000001</v>
      </c>
      <c r="L286" s="101">
        <v>0.4</v>
      </c>
      <c r="M286" s="101" t="s">
        <v>1088</v>
      </c>
      <c r="N286" s="101">
        <v>2000</v>
      </c>
      <c r="O286" s="101" t="s">
        <v>806</v>
      </c>
      <c r="P286" s="101">
        <v>393314</v>
      </c>
      <c r="Q286" t="s">
        <v>925</v>
      </c>
      <c r="R286" t="s">
        <v>723</v>
      </c>
      <c r="S286"/>
      <c r="T286"/>
      <c r="U286"/>
      <c r="V286" s="222"/>
    </row>
    <row r="287" spans="1:22" x14ac:dyDescent="0.2">
      <c r="A287" t="s">
        <v>796</v>
      </c>
      <c r="B287" s="101">
        <v>6</v>
      </c>
      <c r="C287" s="101">
        <v>-1</v>
      </c>
      <c r="D287" s="101">
        <v>6</v>
      </c>
      <c r="E287" s="101">
        <v>3</v>
      </c>
      <c r="F287" s="101">
        <v>25</v>
      </c>
      <c r="G287" s="101">
        <v>-23</v>
      </c>
      <c r="H287" s="101">
        <v>-5.0999999999999996</v>
      </c>
      <c r="I287" s="102">
        <v>0.43</v>
      </c>
      <c r="J287" s="102">
        <v>1.4</v>
      </c>
      <c r="K287" s="101">
        <v>10.8</v>
      </c>
      <c r="L287" s="101">
        <v>0.6</v>
      </c>
      <c r="M287" s="101" t="s">
        <v>1088</v>
      </c>
      <c r="N287" s="101">
        <v>2002</v>
      </c>
      <c r="O287" s="101" t="s">
        <v>806</v>
      </c>
      <c r="P287" s="101">
        <v>301580</v>
      </c>
      <c r="Q287" t="s">
        <v>846</v>
      </c>
      <c r="R287" t="s">
        <v>782</v>
      </c>
      <c r="S287"/>
      <c r="T287"/>
      <c r="U287"/>
      <c r="V287" s="222"/>
    </row>
    <row r="288" spans="1:22" x14ac:dyDescent="0.2">
      <c r="A288" t="s">
        <v>909</v>
      </c>
      <c r="B288" s="101">
        <v>5</v>
      </c>
      <c r="C288" s="101">
        <v>-3</v>
      </c>
      <c r="D288" s="101">
        <v>6</v>
      </c>
      <c r="E288" s="101">
        <v>-9</v>
      </c>
      <c r="F288" s="101">
        <v>14</v>
      </c>
      <c r="G288" s="101">
        <v>-25</v>
      </c>
      <c r="H288" s="101">
        <v>-5.6</v>
      </c>
      <c r="I288" s="102">
        <v>0.49</v>
      </c>
      <c r="J288" s="102">
        <v>1.4</v>
      </c>
      <c r="K288" s="101">
        <v>13.4</v>
      </c>
      <c r="L288" s="101">
        <v>0.3</v>
      </c>
      <c r="M288" s="101" t="s">
        <v>1088</v>
      </c>
      <c r="N288" s="101">
        <v>2000</v>
      </c>
      <c r="O288" s="101" t="s">
        <v>806</v>
      </c>
      <c r="P288" s="101">
        <v>367813</v>
      </c>
      <c r="Q288" t="s">
        <v>732</v>
      </c>
      <c r="R288" t="s">
        <v>782</v>
      </c>
      <c r="S288"/>
      <c r="T288"/>
      <c r="U288"/>
      <c r="V288" s="222"/>
    </row>
    <row r="289" spans="1:22" x14ac:dyDescent="0.2">
      <c r="A289" t="s">
        <v>197</v>
      </c>
      <c r="B289" s="101">
        <v>0</v>
      </c>
      <c r="C289" s="101">
        <v>-3</v>
      </c>
      <c r="D289" s="101">
        <v>1</v>
      </c>
      <c r="E289" s="101">
        <v>-13</v>
      </c>
      <c r="F289" s="101">
        <v>21</v>
      </c>
      <c r="G289" s="101">
        <v>-27</v>
      </c>
      <c r="H289" s="101">
        <v>-6</v>
      </c>
      <c r="I289" s="102">
        <v>0.52</v>
      </c>
      <c r="J289" s="102">
        <v>1.4</v>
      </c>
      <c r="K289" s="101">
        <v>16.399999999999999</v>
      </c>
      <c r="L289" s="101">
        <v>0.4</v>
      </c>
      <c r="M289" s="101" t="s">
        <v>1088</v>
      </c>
      <c r="N289" s="101">
        <v>2006</v>
      </c>
      <c r="O289" s="101" t="s">
        <v>806</v>
      </c>
      <c r="P289" s="101">
        <v>636092</v>
      </c>
      <c r="Q289" t="s">
        <v>191</v>
      </c>
      <c r="R289" t="s">
        <v>723</v>
      </c>
      <c r="S289"/>
      <c r="T289"/>
      <c r="U289"/>
      <c r="V289" s="222"/>
    </row>
    <row r="290" spans="1:22" x14ac:dyDescent="0.2">
      <c r="A290" t="s">
        <v>167</v>
      </c>
      <c r="B290" s="101">
        <v>4</v>
      </c>
      <c r="C290" s="101">
        <v>-4</v>
      </c>
      <c r="D290" s="101">
        <v>5</v>
      </c>
      <c r="E290" s="101">
        <v>-3</v>
      </c>
      <c r="F290" s="101">
        <v>10</v>
      </c>
      <c r="G290" s="101">
        <v>-29</v>
      </c>
      <c r="H290" s="101">
        <v>-6.6</v>
      </c>
      <c r="I290" s="102">
        <v>0.49</v>
      </c>
      <c r="J290" s="102">
        <v>1.4</v>
      </c>
      <c r="K290" s="101">
        <v>10</v>
      </c>
      <c r="L290" s="101">
        <v>0.2</v>
      </c>
      <c r="M290" s="101" t="s">
        <v>1088</v>
      </c>
      <c r="N290" s="101">
        <v>2000</v>
      </c>
      <c r="O290" s="101" t="s">
        <v>806</v>
      </c>
      <c r="P290" s="101">
        <v>475301</v>
      </c>
      <c r="Q290" t="s">
        <v>732</v>
      </c>
      <c r="R290" t="s">
        <v>152</v>
      </c>
      <c r="S290"/>
      <c r="T290"/>
      <c r="U290"/>
      <c r="V290" s="222"/>
    </row>
    <row r="291" spans="1:22" x14ac:dyDescent="0.2">
      <c r="A291" t="s">
        <v>733</v>
      </c>
      <c r="B291" s="101">
        <v>6</v>
      </c>
      <c r="C291" s="101">
        <v>-3</v>
      </c>
      <c r="D291" s="101">
        <v>7</v>
      </c>
      <c r="E291" s="101">
        <v>-13</v>
      </c>
      <c r="F291" s="101">
        <v>19</v>
      </c>
      <c r="G291" s="101">
        <v>-29</v>
      </c>
      <c r="H291" s="101">
        <v>-6.7</v>
      </c>
      <c r="I291" s="102">
        <v>0.49</v>
      </c>
      <c r="J291" s="102">
        <v>1.4</v>
      </c>
      <c r="K291" s="101">
        <v>18.3</v>
      </c>
      <c r="L291" s="101">
        <v>0.3</v>
      </c>
      <c r="M291" s="101" t="s">
        <v>1088</v>
      </c>
      <c r="N291" s="101">
        <v>2000</v>
      </c>
      <c r="O291" s="101" t="s">
        <v>806</v>
      </c>
      <c r="P291" s="101">
        <v>690289</v>
      </c>
      <c r="Q291" t="s">
        <v>732</v>
      </c>
      <c r="R291" t="s">
        <v>723</v>
      </c>
      <c r="S291"/>
      <c r="T291"/>
      <c r="U291"/>
      <c r="V291" s="222"/>
    </row>
    <row r="292" spans="1:22" x14ac:dyDescent="0.2">
      <c r="A292" t="s">
        <v>725</v>
      </c>
      <c r="B292" s="101">
        <v>2</v>
      </c>
      <c r="C292" s="101">
        <v>-4</v>
      </c>
      <c r="D292" s="101">
        <v>4</v>
      </c>
      <c r="E292" s="101">
        <v>-10</v>
      </c>
      <c r="F292" s="101">
        <v>26</v>
      </c>
      <c r="G292" s="101">
        <v>-32</v>
      </c>
      <c r="H292" s="101">
        <v>-7.4</v>
      </c>
      <c r="I292" s="102">
        <v>0.59</v>
      </c>
      <c r="J292" s="102">
        <v>1.4</v>
      </c>
      <c r="K292" s="101">
        <v>16.3</v>
      </c>
      <c r="L292" s="101">
        <v>0.5</v>
      </c>
      <c r="M292" s="101" t="s">
        <v>1088</v>
      </c>
      <c r="N292" s="101">
        <v>2000</v>
      </c>
      <c r="O292" s="101" t="s">
        <v>806</v>
      </c>
      <c r="P292" s="101">
        <v>344739</v>
      </c>
      <c r="Q292" t="s">
        <v>724</v>
      </c>
      <c r="R292" t="s">
        <v>723</v>
      </c>
      <c r="S292" t="s">
        <v>1111</v>
      </c>
      <c r="T292"/>
      <c r="U292"/>
      <c r="V292" s="222"/>
    </row>
    <row r="293" spans="1:22" x14ac:dyDescent="0.2">
      <c r="A293" t="s">
        <v>248</v>
      </c>
      <c r="B293" s="101">
        <v>5</v>
      </c>
      <c r="C293" s="101">
        <v>-4</v>
      </c>
      <c r="D293" s="101">
        <v>6</v>
      </c>
      <c r="E293" s="101">
        <v>0</v>
      </c>
      <c r="F293" s="101">
        <v>-9</v>
      </c>
      <c r="G293" s="101">
        <v>-33</v>
      </c>
      <c r="H293" s="101">
        <v>-7.7</v>
      </c>
      <c r="I293" s="102">
        <v>0.49</v>
      </c>
      <c r="J293" s="102">
        <v>1.4</v>
      </c>
      <c r="K293" s="101">
        <v>14.8</v>
      </c>
      <c r="L293" s="101">
        <v>-0.2</v>
      </c>
      <c r="M293" s="101" t="s">
        <v>1088</v>
      </c>
      <c r="N293" s="101">
        <v>2000</v>
      </c>
      <c r="O293" s="101" t="s">
        <v>806</v>
      </c>
      <c r="P293" s="101">
        <v>582791</v>
      </c>
      <c r="Q293" t="s">
        <v>732</v>
      </c>
      <c r="R293" t="s">
        <v>237</v>
      </c>
      <c r="S293"/>
      <c r="T293"/>
      <c r="U293"/>
      <c r="V293" s="222"/>
    </row>
    <row r="294" spans="1:22" x14ac:dyDescent="0.2">
      <c r="A294" t="s">
        <v>938</v>
      </c>
      <c r="B294" s="101">
        <v>4</v>
      </c>
      <c r="C294" s="101">
        <v>-6</v>
      </c>
      <c r="D294" s="101">
        <v>5</v>
      </c>
      <c r="E294" s="101">
        <v>-16</v>
      </c>
      <c r="F294" s="101">
        <v>25</v>
      </c>
      <c r="G294" s="101">
        <v>-34</v>
      </c>
      <c r="H294" s="101">
        <v>-7.8</v>
      </c>
      <c r="I294" s="102">
        <v>0.56999999999999995</v>
      </c>
      <c r="J294" s="102">
        <v>1.4</v>
      </c>
      <c r="K294" s="101">
        <v>19.100000000000001</v>
      </c>
      <c r="L294" s="101">
        <v>0.4</v>
      </c>
      <c r="M294" s="101" t="s">
        <v>1088</v>
      </c>
      <c r="N294" s="101">
        <v>2000</v>
      </c>
      <c r="O294" s="101" t="s">
        <v>806</v>
      </c>
      <c r="P294" s="101">
        <v>903435</v>
      </c>
      <c r="Q294" t="s">
        <v>899</v>
      </c>
      <c r="R294" t="s">
        <v>776</v>
      </c>
      <c r="S294"/>
      <c r="T294"/>
      <c r="U294"/>
      <c r="V294" s="222"/>
    </row>
    <row r="295" spans="1:22" x14ac:dyDescent="0.2">
      <c r="A295" t="s">
        <v>74</v>
      </c>
      <c r="B295" s="101">
        <v>0</v>
      </c>
      <c r="C295" s="101">
        <v>-3</v>
      </c>
      <c r="D295" s="101">
        <v>1</v>
      </c>
      <c r="E295" s="101">
        <v>-7</v>
      </c>
      <c r="F295" s="101">
        <v>-2</v>
      </c>
      <c r="G295" s="101">
        <v>-43</v>
      </c>
      <c r="H295" s="101">
        <v>-10.5</v>
      </c>
      <c r="I295" s="102">
        <v>0.59</v>
      </c>
      <c r="J295" s="102">
        <v>1.4</v>
      </c>
      <c r="K295" s="101">
        <v>13.6</v>
      </c>
      <c r="L295" s="101">
        <v>-0.1</v>
      </c>
      <c r="M295" s="101" t="s">
        <v>1088</v>
      </c>
      <c r="N295" s="101">
        <v>2000</v>
      </c>
      <c r="O295" s="101" t="s">
        <v>806</v>
      </c>
      <c r="P295" s="101">
        <v>273078</v>
      </c>
      <c r="Q295" t="s">
        <v>724</v>
      </c>
      <c r="R295" t="s">
        <v>48</v>
      </c>
      <c r="S295" t="s">
        <v>1111</v>
      </c>
      <c r="T295"/>
      <c r="U295"/>
      <c r="V295" s="222"/>
    </row>
    <row r="296" spans="1:22" x14ac:dyDescent="0.2">
      <c r="A296" t="s">
        <v>53</v>
      </c>
      <c r="B296" s="101">
        <v>6</v>
      </c>
      <c r="C296" s="101">
        <v>-3</v>
      </c>
      <c r="D296" s="101">
        <v>6</v>
      </c>
      <c r="E296" s="101">
        <v>-6</v>
      </c>
      <c r="F296" s="101">
        <v>2</v>
      </c>
      <c r="G296" s="101">
        <v>-46</v>
      </c>
      <c r="H296" s="101">
        <v>-11.7</v>
      </c>
      <c r="I296" s="102">
        <v>0.43</v>
      </c>
      <c r="J296" s="102">
        <v>1.4</v>
      </c>
      <c r="K296" s="101">
        <v>13.5</v>
      </c>
      <c r="L296" s="101">
        <v>0</v>
      </c>
      <c r="M296" s="101" t="s">
        <v>1088</v>
      </c>
      <c r="N296" s="101">
        <v>2002</v>
      </c>
      <c r="O296" s="101" t="s">
        <v>806</v>
      </c>
      <c r="P296" s="101">
        <v>122432</v>
      </c>
      <c r="Q296" t="s">
        <v>846</v>
      </c>
      <c r="R296" t="s">
        <v>48</v>
      </c>
      <c r="S296"/>
      <c r="T296"/>
      <c r="U296"/>
      <c r="V296" s="222"/>
    </row>
    <row r="297" spans="1:22" x14ac:dyDescent="0.2">
      <c r="A297" t="s">
        <v>55</v>
      </c>
      <c r="B297" s="101">
        <v>2</v>
      </c>
      <c r="C297" s="101">
        <v>-5</v>
      </c>
      <c r="D297" s="101">
        <v>3</v>
      </c>
      <c r="E297" s="101">
        <v>-16</v>
      </c>
      <c r="F297" s="101">
        <v>-8</v>
      </c>
      <c r="G297" s="101">
        <v>-46</v>
      </c>
      <c r="H297" s="101">
        <v>-11.7</v>
      </c>
      <c r="I297" s="102">
        <v>0.49</v>
      </c>
      <c r="J297" s="102">
        <v>1.4</v>
      </c>
      <c r="K297" s="101">
        <v>15</v>
      </c>
      <c r="L297" s="101">
        <v>-0.2</v>
      </c>
      <c r="M297" s="101" t="s">
        <v>1088</v>
      </c>
      <c r="N297" s="101">
        <v>2000</v>
      </c>
      <c r="O297" s="101" t="s">
        <v>806</v>
      </c>
      <c r="P297" s="101">
        <v>654459</v>
      </c>
      <c r="Q297" t="s">
        <v>732</v>
      </c>
      <c r="R297" t="s">
        <v>48</v>
      </c>
      <c r="S297"/>
      <c r="T297"/>
      <c r="U297"/>
      <c r="V297" s="222"/>
    </row>
    <row r="298" spans="1:22" x14ac:dyDescent="0.2">
      <c r="A298" t="s">
        <v>1124</v>
      </c>
      <c r="B298" s="101"/>
      <c r="C298" s="101"/>
      <c r="D298" s="101"/>
      <c r="E298" s="101"/>
      <c r="F298" s="101"/>
      <c r="G298" s="101"/>
      <c r="H298" s="101"/>
      <c r="I298" s="102">
        <v>0.49</v>
      </c>
      <c r="J298" s="102">
        <v>1.4</v>
      </c>
      <c r="K298" s="101"/>
      <c r="L298" s="101"/>
      <c r="M298" s="101" t="s">
        <v>1088</v>
      </c>
      <c r="N298" s="101">
        <v>2012</v>
      </c>
      <c r="O298" s="101" t="s">
        <v>806</v>
      </c>
      <c r="P298" s="101">
        <v>611657</v>
      </c>
      <c r="Q298" t="s">
        <v>732</v>
      </c>
      <c r="R298" t="s">
        <v>800</v>
      </c>
      <c r="S298"/>
      <c r="T298"/>
      <c r="U298"/>
      <c r="V298" s="222"/>
    </row>
    <row r="299" spans="1:22" x14ac:dyDescent="0.2">
      <c r="A299" t="s">
        <v>837</v>
      </c>
      <c r="B299" s="101">
        <v>2</v>
      </c>
      <c r="C299" s="101">
        <v>-3</v>
      </c>
      <c r="D299" s="101">
        <v>3</v>
      </c>
      <c r="E299" s="101">
        <v>-11</v>
      </c>
      <c r="F299" s="101">
        <v>27</v>
      </c>
      <c r="G299" s="101">
        <v>-27</v>
      </c>
      <c r="H299" s="101">
        <v>-6.1</v>
      </c>
      <c r="I299" s="102">
        <v>0.42</v>
      </c>
      <c r="J299" s="102">
        <v>1.400706</v>
      </c>
      <c r="K299" s="101">
        <v>17.5</v>
      </c>
      <c r="L299" s="101">
        <v>0.4</v>
      </c>
      <c r="M299" s="101" t="s">
        <v>1088</v>
      </c>
      <c r="N299" s="101">
        <v>2000</v>
      </c>
      <c r="O299" s="101" t="s">
        <v>806</v>
      </c>
      <c r="P299" s="101">
        <v>916189</v>
      </c>
      <c r="Q299" t="s">
        <v>729</v>
      </c>
      <c r="R299" t="s">
        <v>723</v>
      </c>
      <c r="S299"/>
      <c r="T299"/>
      <c r="U299"/>
      <c r="V299" s="222"/>
    </row>
    <row r="300" spans="1:22" x14ac:dyDescent="0.2">
      <c r="A300" t="s">
        <v>380</v>
      </c>
      <c r="B300" s="101">
        <v>0</v>
      </c>
      <c r="C300" s="101">
        <v>-2</v>
      </c>
      <c r="D300" s="101">
        <v>0</v>
      </c>
      <c r="E300" s="101">
        <v>-4</v>
      </c>
      <c r="F300" s="101">
        <v>2</v>
      </c>
      <c r="G300" s="101">
        <v>-17</v>
      </c>
      <c r="H300" s="101">
        <v>-3.7</v>
      </c>
      <c r="I300" s="102">
        <v>0.42</v>
      </c>
      <c r="J300" s="102">
        <v>1.4011089999999999</v>
      </c>
      <c r="K300" s="101">
        <v>6.9</v>
      </c>
      <c r="L300" s="101">
        <v>-0.1</v>
      </c>
      <c r="M300" s="101" t="s">
        <v>1088</v>
      </c>
      <c r="N300" s="101">
        <v>2000</v>
      </c>
      <c r="O300" s="101" t="s">
        <v>806</v>
      </c>
      <c r="P300" s="101">
        <v>665372</v>
      </c>
      <c r="Q300" t="s">
        <v>729</v>
      </c>
      <c r="R300" t="s">
        <v>306</v>
      </c>
      <c r="S300"/>
      <c r="T300"/>
      <c r="U300"/>
      <c r="V300" s="222"/>
    </row>
    <row r="301" spans="1:22" x14ac:dyDescent="0.2">
      <c r="A301" t="s">
        <v>199</v>
      </c>
      <c r="B301" s="101">
        <v>0</v>
      </c>
      <c r="C301" s="101">
        <v>-6</v>
      </c>
      <c r="D301" s="101">
        <v>1</v>
      </c>
      <c r="E301" s="101">
        <v>-10</v>
      </c>
      <c r="F301" s="101">
        <v>2</v>
      </c>
      <c r="G301" s="101">
        <v>-37</v>
      </c>
      <c r="H301" s="101">
        <v>-8.6999999999999993</v>
      </c>
      <c r="I301" s="102">
        <v>0.59</v>
      </c>
      <c r="J301" s="102">
        <v>1.4019999999999999</v>
      </c>
      <c r="K301" s="101">
        <v>12.8</v>
      </c>
      <c r="L301" s="101">
        <v>0</v>
      </c>
      <c r="M301" s="101" t="s">
        <v>1089</v>
      </c>
      <c r="N301" s="101">
        <v>2003</v>
      </c>
      <c r="O301" s="101" t="s">
        <v>685</v>
      </c>
      <c r="P301" s="101">
        <v>810465</v>
      </c>
      <c r="Q301" t="s">
        <v>451</v>
      </c>
      <c r="R301" t="s">
        <v>48</v>
      </c>
      <c r="S301" t="s">
        <v>1111</v>
      </c>
      <c r="T301"/>
      <c r="U301"/>
      <c r="V301" s="222"/>
    </row>
    <row r="302" spans="1:22" x14ac:dyDescent="0.2">
      <c r="A302" t="s">
        <v>497</v>
      </c>
      <c r="B302" s="101">
        <v>4</v>
      </c>
      <c r="C302" s="101">
        <v>-7</v>
      </c>
      <c r="D302" s="101">
        <v>4</v>
      </c>
      <c r="E302" s="101">
        <v>-15</v>
      </c>
      <c r="F302" s="101">
        <v>7</v>
      </c>
      <c r="G302" s="101">
        <v>-47</v>
      </c>
      <c r="H302" s="101">
        <v>-11.8</v>
      </c>
      <c r="I302" s="102">
        <v>0.59</v>
      </c>
      <c r="J302" s="102">
        <v>1.4070149999999999</v>
      </c>
      <c r="K302" s="101">
        <v>15</v>
      </c>
      <c r="L302" s="101">
        <v>0.1</v>
      </c>
      <c r="M302" s="101" t="s">
        <v>1089</v>
      </c>
      <c r="N302" s="101">
        <v>2011</v>
      </c>
      <c r="O302" s="101" t="s">
        <v>685</v>
      </c>
      <c r="P302" s="101">
        <v>891036</v>
      </c>
      <c r="Q302" t="s">
        <v>464</v>
      </c>
      <c r="R302" t="s">
        <v>98</v>
      </c>
      <c r="S302"/>
      <c r="T302"/>
      <c r="U302"/>
      <c r="V302" s="222"/>
    </row>
    <row r="303" spans="1:22" x14ac:dyDescent="0.2">
      <c r="A303" t="s">
        <v>465</v>
      </c>
      <c r="B303" s="101">
        <v>1</v>
      </c>
      <c r="C303" s="101">
        <v>-5</v>
      </c>
      <c r="D303" s="101">
        <v>2</v>
      </c>
      <c r="E303" s="101">
        <v>-13</v>
      </c>
      <c r="F303" s="101">
        <v>15</v>
      </c>
      <c r="G303" s="101">
        <v>-31</v>
      </c>
      <c r="H303" s="101">
        <v>-7.1</v>
      </c>
      <c r="I303" s="102">
        <v>0.36</v>
      </c>
      <c r="J303" s="102">
        <v>1.41</v>
      </c>
      <c r="K303" s="101">
        <v>16.899999999999999</v>
      </c>
      <c r="L303" s="101">
        <v>0.3</v>
      </c>
      <c r="M303" s="101" t="s">
        <v>1088</v>
      </c>
      <c r="N303" s="101">
        <v>2000</v>
      </c>
      <c r="O303" s="101" t="s">
        <v>806</v>
      </c>
      <c r="P303" s="101">
        <v>363564</v>
      </c>
      <c r="Q303" t="s">
        <v>755</v>
      </c>
      <c r="R303" t="s">
        <v>723</v>
      </c>
      <c r="S303"/>
      <c r="T303"/>
      <c r="U303"/>
      <c r="V303" s="222"/>
    </row>
    <row r="304" spans="1:22" x14ac:dyDescent="0.2">
      <c r="A304" t="s">
        <v>758</v>
      </c>
      <c r="B304" s="101">
        <v>1</v>
      </c>
      <c r="C304" s="101">
        <v>-4</v>
      </c>
      <c r="D304" s="101">
        <v>2</v>
      </c>
      <c r="E304" s="101">
        <v>-17</v>
      </c>
      <c r="F304" s="101">
        <v>16</v>
      </c>
      <c r="G304" s="101">
        <v>-31</v>
      </c>
      <c r="H304" s="101">
        <v>-7.2</v>
      </c>
      <c r="I304" s="102">
        <v>0.36</v>
      </c>
      <c r="J304" s="102">
        <v>1.41</v>
      </c>
      <c r="K304" s="101">
        <v>19.399999999999999</v>
      </c>
      <c r="L304" s="101">
        <v>0.3</v>
      </c>
      <c r="M304" s="101" t="s">
        <v>1088</v>
      </c>
      <c r="N304" s="101">
        <v>2003</v>
      </c>
      <c r="O304" s="101" t="s">
        <v>806</v>
      </c>
      <c r="P304" s="101">
        <v>254185</v>
      </c>
      <c r="Q304" t="s">
        <v>755</v>
      </c>
      <c r="R304" t="s">
        <v>723</v>
      </c>
      <c r="S304"/>
      <c r="T304"/>
      <c r="U304"/>
      <c r="V304" s="222"/>
    </row>
    <row r="305" spans="1:22" x14ac:dyDescent="0.2">
      <c r="A305" t="s">
        <v>842</v>
      </c>
      <c r="B305" s="101">
        <v>4</v>
      </c>
      <c r="C305" s="101">
        <v>-7</v>
      </c>
      <c r="D305" s="101">
        <v>5</v>
      </c>
      <c r="E305" s="101">
        <v>-15</v>
      </c>
      <c r="F305" s="101">
        <v>7</v>
      </c>
      <c r="G305" s="101">
        <v>-35</v>
      </c>
      <c r="H305" s="101">
        <v>-8.4</v>
      </c>
      <c r="I305" s="102">
        <v>0.36</v>
      </c>
      <c r="J305" s="102">
        <v>1.41</v>
      </c>
      <c r="K305" s="101">
        <v>19.100000000000001</v>
      </c>
      <c r="L305" s="101">
        <v>0.1</v>
      </c>
      <c r="M305" s="101" t="s">
        <v>1088</v>
      </c>
      <c r="N305" s="101">
        <v>2008</v>
      </c>
      <c r="O305" s="101" t="s">
        <v>806</v>
      </c>
      <c r="P305" s="101">
        <v>552869</v>
      </c>
      <c r="Q305" t="s">
        <v>755</v>
      </c>
      <c r="R305" t="s">
        <v>800</v>
      </c>
      <c r="S305"/>
      <c r="T305"/>
      <c r="U305"/>
      <c r="V305" s="222"/>
    </row>
    <row r="306" spans="1:22" x14ac:dyDescent="0.2">
      <c r="A306" t="s">
        <v>741</v>
      </c>
      <c r="B306" s="101">
        <v>9</v>
      </c>
      <c r="C306" s="101">
        <v>-5</v>
      </c>
      <c r="D306" s="101">
        <v>11</v>
      </c>
      <c r="E306" s="101">
        <v>-5</v>
      </c>
      <c r="F306" s="101">
        <v>74</v>
      </c>
      <c r="G306" s="101"/>
      <c r="H306" s="101"/>
      <c r="I306" s="102">
        <v>0.42</v>
      </c>
      <c r="J306" s="102">
        <v>1.41</v>
      </c>
      <c r="K306" s="101">
        <v>20</v>
      </c>
      <c r="L306" s="101">
        <v>1</v>
      </c>
      <c r="M306" s="101" t="s">
        <v>1088</v>
      </c>
      <c r="N306" s="101">
        <v>2009</v>
      </c>
      <c r="O306" s="101" t="s">
        <v>806</v>
      </c>
      <c r="P306" s="101">
        <v>140491</v>
      </c>
      <c r="Q306" t="s">
        <v>734</v>
      </c>
      <c r="R306" t="s">
        <v>800</v>
      </c>
      <c r="S306"/>
      <c r="T306"/>
      <c r="U306"/>
      <c r="V306" s="222"/>
    </row>
    <row r="307" spans="1:22" x14ac:dyDescent="0.2">
      <c r="A307" t="s">
        <v>356</v>
      </c>
      <c r="B307" s="101">
        <v>4</v>
      </c>
      <c r="C307" s="101">
        <v>0</v>
      </c>
      <c r="D307" s="101">
        <v>4</v>
      </c>
      <c r="E307" s="101">
        <v>2</v>
      </c>
      <c r="F307" s="101">
        <v>9</v>
      </c>
      <c r="G307" s="101">
        <v>2</v>
      </c>
      <c r="H307" s="101">
        <v>0.3</v>
      </c>
      <c r="I307" s="102">
        <v>0.57999999999999996</v>
      </c>
      <c r="J307" s="102">
        <v>1.42</v>
      </c>
      <c r="K307" s="101">
        <v>6.5</v>
      </c>
      <c r="L307" s="101">
        <v>0.3</v>
      </c>
      <c r="M307" s="101" t="s">
        <v>1089</v>
      </c>
      <c r="N307" s="101">
        <v>2000</v>
      </c>
      <c r="O307" s="101" t="s">
        <v>685</v>
      </c>
      <c r="P307" s="101">
        <v>408484</v>
      </c>
      <c r="Q307" t="s">
        <v>63</v>
      </c>
      <c r="R307" t="s">
        <v>314</v>
      </c>
      <c r="S307"/>
      <c r="T307"/>
      <c r="U307"/>
      <c r="V307" s="222"/>
    </row>
    <row r="308" spans="1:22" x14ac:dyDescent="0.2">
      <c r="A308" t="s">
        <v>1125</v>
      </c>
      <c r="B308" s="101">
        <v>1</v>
      </c>
      <c r="C308" s="101">
        <v>-2</v>
      </c>
      <c r="D308" s="101">
        <v>1</v>
      </c>
      <c r="E308" s="101">
        <v>0</v>
      </c>
      <c r="F308" s="101"/>
      <c r="G308" s="101"/>
      <c r="H308" s="101"/>
      <c r="I308" s="102">
        <v>0.6</v>
      </c>
      <c r="J308" s="102">
        <v>1.423</v>
      </c>
      <c r="K308" s="101"/>
      <c r="L308" s="101"/>
      <c r="M308" s="101" t="s">
        <v>1088</v>
      </c>
      <c r="N308" s="101">
        <v>2012</v>
      </c>
      <c r="O308" s="101" t="s">
        <v>685</v>
      </c>
      <c r="P308" s="101">
        <v>133116</v>
      </c>
      <c r="Q308" t="s">
        <v>411</v>
      </c>
      <c r="R308" t="s">
        <v>306</v>
      </c>
      <c r="S308"/>
      <c r="T308"/>
      <c r="U308"/>
      <c r="V308" s="222"/>
    </row>
    <row r="309" spans="1:22" x14ac:dyDescent="0.2">
      <c r="A309" t="s">
        <v>196</v>
      </c>
      <c r="B309" s="101">
        <v>5</v>
      </c>
      <c r="C309" s="101">
        <v>-2</v>
      </c>
      <c r="D309" s="101">
        <v>4</v>
      </c>
      <c r="E309" s="101">
        <v>-3</v>
      </c>
      <c r="F309" s="101">
        <v>-6</v>
      </c>
      <c r="G309" s="101">
        <v>14</v>
      </c>
      <c r="H309" s="101">
        <v>2.7</v>
      </c>
      <c r="I309" s="102">
        <v>0.56000000000000005</v>
      </c>
      <c r="J309" s="102">
        <v>1.427</v>
      </c>
      <c r="K309" s="101">
        <v>6.4</v>
      </c>
      <c r="L309" s="101">
        <v>-0.4</v>
      </c>
      <c r="M309" s="101" t="s">
        <v>1089</v>
      </c>
      <c r="N309" s="101">
        <v>2003</v>
      </c>
      <c r="O309" s="101" t="s">
        <v>685</v>
      </c>
      <c r="P309" s="101">
        <v>352583</v>
      </c>
      <c r="Q309" t="s">
        <v>451</v>
      </c>
      <c r="R309" t="s">
        <v>678</v>
      </c>
      <c r="S309"/>
      <c r="T309"/>
      <c r="U309"/>
      <c r="V309" s="222"/>
    </row>
    <row r="310" spans="1:22" x14ac:dyDescent="0.2">
      <c r="A310" t="s">
        <v>1083</v>
      </c>
      <c r="B310" s="101">
        <v>5</v>
      </c>
      <c r="C310" s="101">
        <v>-8</v>
      </c>
      <c r="D310" s="101">
        <v>5</v>
      </c>
      <c r="E310" s="101">
        <v>7</v>
      </c>
      <c r="F310" s="101">
        <v>25</v>
      </c>
      <c r="G310" s="101">
        <v>1</v>
      </c>
      <c r="H310" s="101">
        <v>0.2</v>
      </c>
      <c r="I310" s="102">
        <v>0.3</v>
      </c>
      <c r="J310" s="102">
        <v>1.43</v>
      </c>
      <c r="K310" s="101">
        <v>12.2</v>
      </c>
      <c r="L310" s="101">
        <v>0.6</v>
      </c>
      <c r="M310" s="101" t="s">
        <v>1088</v>
      </c>
      <c r="N310" s="101">
        <v>2000</v>
      </c>
      <c r="O310" s="101" t="s">
        <v>806</v>
      </c>
      <c r="P310" s="101">
        <v>283408</v>
      </c>
      <c r="Q310" t="s">
        <v>182</v>
      </c>
      <c r="R310" t="s">
        <v>291</v>
      </c>
      <c r="S310"/>
      <c r="T310"/>
      <c r="U310"/>
      <c r="V310" s="222"/>
    </row>
    <row r="311" spans="1:22" x14ac:dyDescent="0.2">
      <c r="A311" t="s">
        <v>112</v>
      </c>
      <c r="B311" s="101">
        <v>8</v>
      </c>
      <c r="C311" s="101">
        <v>1</v>
      </c>
      <c r="D311" s="101">
        <v>8</v>
      </c>
      <c r="E311" s="101">
        <v>9</v>
      </c>
      <c r="F311" s="101">
        <v>21</v>
      </c>
      <c r="G311" s="101">
        <v>-1</v>
      </c>
      <c r="H311" s="101">
        <v>-0.1</v>
      </c>
      <c r="I311" s="102">
        <v>0.57999999999999996</v>
      </c>
      <c r="J311" s="102">
        <v>1.43</v>
      </c>
      <c r="K311" s="101">
        <v>9.1</v>
      </c>
      <c r="L311" s="101">
        <v>0.6</v>
      </c>
      <c r="M311" s="101" t="s">
        <v>1091</v>
      </c>
      <c r="N311" s="101">
        <v>2000</v>
      </c>
      <c r="O311" s="101" t="s">
        <v>685</v>
      </c>
      <c r="P311" s="101">
        <v>300996</v>
      </c>
      <c r="Q311" t="s">
        <v>63</v>
      </c>
      <c r="R311" t="s">
        <v>108</v>
      </c>
      <c r="S311"/>
      <c r="T311"/>
      <c r="U311"/>
      <c r="V311" s="222"/>
    </row>
    <row r="312" spans="1:22" x14ac:dyDescent="0.2">
      <c r="A312" t="s">
        <v>554</v>
      </c>
      <c r="B312" s="101">
        <v>5</v>
      </c>
      <c r="C312" s="101">
        <v>-1</v>
      </c>
      <c r="D312" s="101">
        <v>5</v>
      </c>
      <c r="E312" s="101">
        <v>11</v>
      </c>
      <c r="F312" s="101">
        <v>25</v>
      </c>
      <c r="G312" s="101">
        <v>-6</v>
      </c>
      <c r="H312" s="101">
        <v>-1.3</v>
      </c>
      <c r="I312" s="102">
        <v>0.3</v>
      </c>
      <c r="J312" s="102">
        <v>1.43</v>
      </c>
      <c r="K312" s="101">
        <v>9.3000000000000007</v>
      </c>
      <c r="L312" s="101">
        <v>0.7</v>
      </c>
      <c r="M312" s="101" t="s">
        <v>1088</v>
      </c>
      <c r="N312" s="101">
        <v>2000</v>
      </c>
      <c r="O312" s="101" t="s">
        <v>806</v>
      </c>
      <c r="P312" s="101">
        <v>319236</v>
      </c>
      <c r="Q312" t="s">
        <v>182</v>
      </c>
      <c r="R312" t="s">
        <v>108</v>
      </c>
      <c r="S312"/>
      <c r="T312"/>
      <c r="U312"/>
      <c r="V312" s="222"/>
    </row>
    <row r="313" spans="1:22" x14ac:dyDescent="0.2">
      <c r="A313" t="s">
        <v>587</v>
      </c>
      <c r="B313" s="101">
        <v>6</v>
      </c>
      <c r="C313" s="101">
        <v>4</v>
      </c>
      <c r="D313" s="101">
        <v>6</v>
      </c>
      <c r="E313" s="101">
        <v>8</v>
      </c>
      <c r="F313" s="101">
        <v>16</v>
      </c>
      <c r="G313" s="101">
        <v>-6</v>
      </c>
      <c r="H313" s="101">
        <v>-1.3</v>
      </c>
      <c r="I313" s="102">
        <v>0.3</v>
      </c>
      <c r="J313" s="102">
        <v>1.43</v>
      </c>
      <c r="K313" s="101">
        <v>9.6999999999999993</v>
      </c>
      <c r="L313" s="101">
        <v>0.4</v>
      </c>
      <c r="M313" s="101" t="s">
        <v>1088</v>
      </c>
      <c r="N313" s="101">
        <v>2000</v>
      </c>
      <c r="O313" s="101" t="s">
        <v>806</v>
      </c>
      <c r="P313" s="101">
        <v>928341</v>
      </c>
      <c r="Q313" t="s">
        <v>182</v>
      </c>
      <c r="R313" t="s">
        <v>282</v>
      </c>
      <c r="S313"/>
      <c r="T313"/>
      <c r="U313"/>
      <c r="V313" s="222"/>
    </row>
    <row r="314" spans="1:22" x14ac:dyDescent="0.2">
      <c r="A314" t="s">
        <v>120</v>
      </c>
      <c r="B314" s="101">
        <v>10</v>
      </c>
      <c r="C314" s="101">
        <v>0</v>
      </c>
      <c r="D314" s="101">
        <v>12</v>
      </c>
      <c r="E314" s="101">
        <v>12</v>
      </c>
      <c r="F314" s="101">
        <v>32</v>
      </c>
      <c r="G314" s="101">
        <v>-9</v>
      </c>
      <c r="H314" s="101">
        <v>-1.9</v>
      </c>
      <c r="I314" s="102">
        <v>0.6</v>
      </c>
      <c r="J314" s="102">
        <v>1.43</v>
      </c>
      <c r="K314" s="101">
        <v>11.2</v>
      </c>
      <c r="L314" s="101">
        <v>0.8</v>
      </c>
      <c r="M314" s="101" t="s">
        <v>1091</v>
      </c>
      <c r="N314" s="101">
        <v>2000</v>
      </c>
      <c r="O314" s="101" t="s">
        <v>685</v>
      </c>
      <c r="P314" s="101">
        <v>616797</v>
      </c>
      <c r="Q314" t="s">
        <v>811</v>
      </c>
      <c r="R314" t="s">
        <v>108</v>
      </c>
      <c r="S314"/>
      <c r="T314"/>
      <c r="U314"/>
      <c r="V314" s="222"/>
    </row>
    <row r="315" spans="1:22" x14ac:dyDescent="0.2">
      <c r="A315" t="s">
        <v>547</v>
      </c>
      <c r="B315" s="101">
        <v>4</v>
      </c>
      <c r="C315" s="101">
        <v>-4</v>
      </c>
      <c r="D315" s="101">
        <v>4</v>
      </c>
      <c r="E315" s="101">
        <v>-9</v>
      </c>
      <c r="F315" s="101">
        <v>9</v>
      </c>
      <c r="G315" s="101">
        <v>-11</v>
      </c>
      <c r="H315" s="101">
        <v>-2.4</v>
      </c>
      <c r="I315" s="102">
        <v>0.3</v>
      </c>
      <c r="J315" s="102">
        <v>1.43</v>
      </c>
      <c r="K315" s="101">
        <v>14.7</v>
      </c>
      <c r="L315" s="101">
        <v>0.2</v>
      </c>
      <c r="M315" s="101" t="s">
        <v>1088</v>
      </c>
      <c r="N315" s="101">
        <v>2000</v>
      </c>
      <c r="O315" s="101" t="s">
        <v>806</v>
      </c>
      <c r="P315" s="101">
        <v>104257</v>
      </c>
      <c r="Q315" t="s">
        <v>182</v>
      </c>
      <c r="R315" t="s">
        <v>138</v>
      </c>
      <c r="S315"/>
      <c r="T315"/>
      <c r="U315"/>
      <c r="V315" s="222"/>
    </row>
    <row r="316" spans="1:22" x14ac:dyDescent="0.2">
      <c r="A316" t="s">
        <v>578</v>
      </c>
      <c r="B316" s="101">
        <v>7</v>
      </c>
      <c r="C316" s="101">
        <v>-4</v>
      </c>
      <c r="D316" s="101">
        <v>8</v>
      </c>
      <c r="E316" s="101">
        <v>-7</v>
      </c>
      <c r="F316" s="101">
        <v>46</v>
      </c>
      <c r="G316" s="101">
        <v>-22</v>
      </c>
      <c r="H316" s="101">
        <v>-4.8</v>
      </c>
      <c r="I316" s="102">
        <v>0.3</v>
      </c>
      <c r="J316" s="102">
        <v>1.43</v>
      </c>
      <c r="K316" s="101">
        <v>18.2</v>
      </c>
      <c r="L316" s="101">
        <v>0.7</v>
      </c>
      <c r="M316" s="101" t="s">
        <v>1088</v>
      </c>
      <c r="N316" s="101">
        <v>2000</v>
      </c>
      <c r="O316" s="101" t="s">
        <v>806</v>
      </c>
      <c r="P316" s="101">
        <v>856682</v>
      </c>
      <c r="Q316" t="s">
        <v>182</v>
      </c>
      <c r="R316" t="s">
        <v>776</v>
      </c>
      <c r="S316"/>
      <c r="T316"/>
      <c r="U316"/>
      <c r="V316" s="222"/>
    </row>
    <row r="317" spans="1:22" x14ac:dyDescent="0.2">
      <c r="A317" t="s">
        <v>590</v>
      </c>
      <c r="B317" s="101">
        <v>11</v>
      </c>
      <c r="C317" s="101">
        <v>4</v>
      </c>
      <c r="D317" s="101">
        <v>12</v>
      </c>
      <c r="E317" s="101">
        <v>4</v>
      </c>
      <c r="F317" s="101">
        <v>35</v>
      </c>
      <c r="G317" s="101">
        <v>-23</v>
      </c>
      <c r="H317" s="101">
        <v>-5.0999999999999996</v>
      </c>
      <c r="I317" s="102">
        <v>0.3</v>
      </c>
      <c r="J317" s="102">
        <v>1.43</v>
      </c>
      <c r="K317" s="101">
        <v>10.3</v>
      </c>
      <c r="L317" s="101">
        <v>0.9</v>
      </c>
      <c r="M317" s="101" t="s">
        <v>1088</v>
      </c>
      <c r="N317" s="101">
        <v>2000</v>
      </c>
      <c r="O317" s="101" t="s">
        <v>806</v>
      </c>
      <c r="P317" s="101">
        <v>968420</v>
      </c>
      <c r="Q317" t="s">
        <v>182</v>
      </c>
      <c r="R317" t="s">
        <v>291</v>
      </c>
      <c r="S317"/>
      <c r="T317"/>
      <c r="U317"/>
      <c r="V317" s="222"/>
    </row>
    <row r="318" spans="1:22" x14ac:dyDescent="0.2">
      <c r="A318" t="s">
        <v>588</v>
      </c>
      <c r="B318" s="101">
        <v>2</v>
      </c>
      <c r="C318" s="101">
        <v>-6</v>
      </c>
      <c r="D318" s="101">
        <v>4</v>
      </c>
      <c r="E318" s="101">
        <v>-18</v>
      </c>
      <c r="F318" s="101">
        <v>27</v>
      </c>
      <c r="G318" s="101">
        <v>-25</v>
      </c>
      <c r="H318" s="101">
        <v>-5.6</v>
      </c>
      <c r="I318" s="102">
        <v>0.3</v>
      </c>
      <c r="J318" s="102">
        <v>1.43</v>
      </c>
      <c r="K318" s="101">
        <v>21.4</v>
      </c>
      <c r="L318" s="101">
        <v>0.4</v>
      </c>
      <c r="M318" s="101" t="s">
        <v>1088</v>
      </c>
      <c r="N318" s="101">
        <v>2001</v>
      </c>
      <c r="O318" s="101" t="s">
        <v>806</v>
      </c>
      <c r="P318" s="101">
        <v>939850</v>
      </c>
      <c r="Q318" t="s">
        <v>182</v>
      </c>
      <c r="R318" t="s">
        <v>723</v>
      </c>
      <c r="S318"/>
      <c r="T318"/>
      <c r="U318"/>
      <c r="V318" s="222"/>
    </row>
    <row r="319" spans="1:22" x14ac:dyDescent="0.2">
      <c r="A319" t="s">
        <v>548</v>
      </c>
      <c r="B319" s="101">
        <v>5</v>
      </c>
      <c r="C319" s="101">
        <v>-3</v>
      </c>
      <c r="D319" s="101">
        <v>5</v>
      </c>
      <c r="E319" s="101">
        <v>-6</v>
      </c>
      <c r="F319" s="101">
        <v>15</v>
      </c>
      <c r="G319" s="101">
        <v>-26</v>
      </c>
      <c r="H319" s="101">
        <v>-5.8</v>
      </c>
      <c r="I319" s="102">
        <v>0.3</v>
      </c>
      <c r="J319" s="102">
        <v>1.43</v>
      </c>
      <c r="K319" s="101">
        <v>12</v>
      </c>
      <c r="L319" s="101">
        <v>0.4</v>
      </c>
      <c r="M319" s="101" t="s">
        <v>1088</v>
      </c>
      <c r="N319" s="101">
        <v>2000</v>
      </c>
      <c r="O319" s="101" t="s">
        <v>806</v>
      </c>
      <c r="P319" s="101">
        <v>175919</v>
      </c>
      <c r="Q319" t="s">
        <v>182</v>
      </c>
      <c r="R319" t="s">
        <v>782</v>
      </c>
      <c r="S319"/>
      <c r="T319"/>
      <c r="U319"/>
      <c r="V319" s="222"/>
    </row>
    <row r="320" spans="1:22" x14ac:dyDescent="0.2">
      <c r="A320" t="s">
        <v>557</v>
      </c>
      <c r="B320" s="101">
        <v>6</v>
      </c>
      <c r="C320" s="101">
        <v>-3</v>
      </c>
      <c r="D320" s="101">
        <v>6</v>
      </c>
      <c r="E320" s="101">
        <v>-6</v>
      </c>
      <c r="F320" s="101">
        <v>16</v>
      </c>
      <c r="G320" s="101">
        <v>-27</v>
      </c>
      <c r="H320" s="101">
        <v>-6</v>
      </c>
      <c r="I320" s="102">
        <v>0.3</v>
      </c>
      <c r="J320" s="102">
        <v>1.43</v>
      </c>
      <c r="K320" s="101">
        <v>12.2</v>
      </c>
      <c r="L320" s="101">
        <v>0.4</v>
      </c>
      <c r="M320" s="101" t="s">
        <v>1088</v>
      </c>
      <c r="N320" s="101">
        <v>2000</v>
      </c>
      <c r="O320" s="101" t="s">
        <v>806</v>
      </c>
      <c r="P320" s="101">
        <v>641704</v>
      </c>
      <c r="Q320" t="s">
        <v>182</v>
      </c>
      <c r="R320" t="s">
        <v>782</v>
      </c>
      <c r="S320" t="s">
        <v>1111</v>
      </c>
      <c r="T320"/>
      <c r="U320"/>
      <c r="V320" s="222"/>
    </row>
    <row r="321" spans="1:22" x14ac:dyDescent="0.2">
      <c r="A321" t="s">
        <v>575</v>
      </c>
      <c r="B321" s="101">
        <v>7</v>
      </c>
      <c r="C321" s="101">
        <v>-4</v>
      </c>
      <c r="D321" s="101">
        <v>8</v>
      </c>
      <c r="E321" s="101">
        <v>-9</v>
      </c>
      <c r="F321" s="101">
        <v>8</v>
      </c>
      <c r="G321" s="101">
        <v>-33</v>
      </c>
      <c r="H321" s="101">
        <v>-7.7</v>
      </c>
      <c r="I321" s="102">
        <v>0.3</v>
      </c>
      <c r="J321" s="102">
        <v>1.43</v>
      </c>
      <c r="K321" s="101">
        <v>15.8</v>
      </c>
      <c r="L321" s="101">
        <v>0.2</v>
      </c>
      <c r="M321" s="101" t="s">
        <v>1088</v>
      </c>
      <c r="N321" s="101">
        <v>2000</v>
      </c>
      <c r="O321" s="101" t="s">
        <v>806</v>
      </c>
      <c r="P321" s="101">
        <v>820852</v>
      </c>
      <c r="Q321" t="s">
        <v>182</v>
      </c>
      <c r="R321" t="s">
        <v>800</v>
      </c>
      <c r="S321"/>
      <c r="T321"/>
      <c r="U321"/>
      <c r="V321" s="222"/>
    </row>
    <row r="322" spans="1:22" x14ac:dyDescent="0.2">
      <c r="A322" t="s">
        <v>576</v>
      </c>
      <c r="B322" s="101">
        <v>10</v>
      </c>
      <c r="C322" s="101">
        <v>-6</v>
      </c>
      <c r="D322" s="101">
        <v>11</v>
      </c>
      <c r="E322" s="101">
        <v>-15</v>
      </c>
      <c r="F322" s="101">
        <v>23</v>
      </c>
      <c r="G322" s="101">
        <v>-33</v>
      </c>
      <c r="H322" s="101">
        <v>-7.8</v>
      </c>
      <c r="I322" s="102">
        <v>0.3</v>
      </c>
      <c r="J322" s="102">
        <v>1.43</v>
      </c>
      <c r="K322" s="101">
        <v>21.2</v>
      </c>
      <c r="L322" s="101">
        <v>0.4</v>
      </c>
      <c r="M322" s="101" t="s">
        <v>1088</v>
      </c>
      <c r="N322" s="101">
        <v>2000</v>
      </c>
      <c r="O322" s="101" t="s">
        <v>806</v>
      </c>
      <c r="P322" s="101">
        <v>825109</v>
      </c>
      <c r="Q322" t="s">
        <v>182</v>
      </c>
      <c r="R322" t="s">
        <v>218</v>
      </c>
      <c r="S322"/>
      <c r="T322"/>
      <c r="U322"/>
      <c r="V322" s="222"/>
    </row>
    <row r="323" spans="1:22" x14ac:dyDescent="0.2">
      <c r="A323" t="s">
        <v>585</v>
      </c>
      <c r="B323" s="101">
        <v>13</v>
      </c>
      <c r="C323" s="101">
        <v>-3</v>
      </c>
      <c r="D323" s="101">
        <v>14</v>
      </c>
      <c r="E323" s="101">
        <v>-13</v>
      </c>
      <c r="F323" s="101">
        <v>11</v>
      </c>
      <c r="G323" s="101">
        <v>-43</v>
      </c>
      <c r="H323" s="101">
        <v>-10.6</v>
      </c>
      <c r="I323" s="102">
        <v>0.3</v>
      </c>
      <c r="J323" s="102">
        <v>1.43</v>
      </c>
      <c r="K323" s="101">
        <v>17.2</v>
      </c>
      <c r="L323" s="101">
        <v>0.2</v>
      </c>
      <c r="M323" s="101" t="s">
        <v>1088</v>
      </c>
      <c r="N323" s="101">
        <v>2000</v>
      </c>
      <c r="O323" s="101" t="s">
        <v>806</v>
      </c>
      <c r="P323" s="101">
        <v>896761</v>
      </c>
      <c r="Q323" t="s">
        <v>182</v>
      </c>
      <c r="R323" t="s">
        <v>98</v>
      </c>
      <c r="S323"/>
      <c r="T323"/>
      <c r="U323"/>
      <c r="V323" s="222"/>
    </row>
    <row r="324" spans="1:22" x14ac:dyDescent="0.2">
      <c r="A324" t="s">
        <v>556</v>
      </c>
      <c r="B324" s="101">
        <v>3</v>
      </c>
      <c r="C324" s="101">
        <v>-6</v>
      </c>
      <c r="D324" s="101">
        <v>3</v>
      </c>
      <c r="E324" s="101">
        <v>-19</v>
      </c>
      <c r="F324" s="101">
        <v>-23</v>
      </c>
      <c r="G324" s="101">
        <v>-44</v>
      </c>
      <c r="H324" s="101">
        <v>-10.8</v>
      </c>
      <c r="I324" s="102">
        <v>0.3</v>
      </c>
      <c r="J324" s="102">
        <v>1.43</v>
      </c>
      <c r="K324" s="101">
        <v>14.2</v>
      </c>
      <c r="L324" s="101">
        <v>-0.6</v>
      </c>
      <c r="M324" s="101" t="s">
        <v>1088</v>
      </c>
      <c r="N324" s="101">
        <v>2006</v>
      </c>
      <c r="O324" s="101" t="s">
        <v>806</v>
      </c>
      <c r="P324" s="101">
        <v>384693</v>
      </c>
      <c r="Q324" t="s">
        <v>182</v>
      </c>
      <c r="R324" t="s">
        <v>152</v>
      </c>
      <c r="S324"/>
      <c r="T324"/>
      <c r="U324"/>
      <c r="V324" s="222"/>
    </row>
    <row r="325" spans="1:22" x14ac:dyDescent="0.2">
      <c r="A325" t="s">
        <v>579</v>
      </c>
      <c r="B325" s="101">
        <v>10</v>
      </c>
      <c r="C325" s="101">
        <v>-6</v>
      </c>
      <c r="D325" s="101">
        <v>11</v>
      </c>
      <c r="E325" s="101">
        <v>-12</v>
      </c>
      <c r="F325" s="101">
        <v>27</v>
      </c>
      <c r="G325" s="101">
        <v>-30</v>
      </c>
      <c r="H325" s="101">
        <v>-6.8</v>
      </c>
      <c r="I325" s="102">
        <v>0.3</v>
      </c>
      <c r="J325" s="102">
        <v>1.44</v>
      </c>
      <c r="K325" s="101">
        <v>20</v>
      </c>
      <c r="L325" s="101">
        <v>0.4</v>
      </c>
      <c r="M325" s="101" t="s">
        <v>1088</v>
      </c>
      <c r="N325" s="101">
        <v>2000</v>
      </c>
      <c r="O325" s="101" t="s">
        <v>806</v>
      </c>
      <c r="P325" s="101">
        <v>860932</v>
      </c>
      <c r="Q325" t="s">
        <v>182</v>
      </c>
      <c r="R325" t="s">
        <v>800</v>
      </c>
      <c r="S325"/>
      <c r="T325"/>
      <c r="U325"/>
      <c r="V325" s="222"/>
    </row>
    <row r="326" spans="1:22" x14ac:dyDescent="0.2">
      <c r="A326" t="s">
        <v>550</v>
      </c>
      <c r="B326" s="101">
        <v>4</v>
      </c>
      <c r="C326" s="101">
        <v>-4</v>
      </c>
      <c r="D326" s="101">
        <v>4</v>
      </c>
      <c r="E326" s="101">
        <v>-3</v>
      </c>
      <c r="F326" s="101">
        <v>-10</v>
      </c>
      <c r="G326" s="101">
        <v>-37</v>
      </c>
      <c r="H326" s="101">
        <v>-8.8000000000000007</v>
      </c>
      <c r="I326" s="102">
        <v>0.3</v>
      </c>
      <c r="J326" s="102">
        <v>1.44</v>
      </c>
      <c r="K326" s="101">
        <v>14.1</v>
      </c>
      <c r="L326" s="101">
        <v>-0.3</v>
      </c>
      <c r="M326" s="101" t="s">
        <v>1088</v>
      </c>
      <c r="N326" s="101">
        <v>2000</v>
      </c>
      <c r="O326" s="101" t="s">
        <v>806</v>
      </c>
      <c r="P326" s="101">
        <v>211748</v>
      </c>
      <c r="Q326" t="s">
        <v>182</v>
      </c>
      <c r="R326" t="s">
        <v>237</v>
      </c>
      <c r="S326"/>
      <c r="T326"/>
      <c r="U326"/>
      <c r="V326" s="222"/>
    </row>
    <row r="327" spans="1:22" x14ac:dyDescent="0.2">
      <c r="A327" t="s">
        <v>551</v>
      </c>
      <c r="B327" s="101">
        <v>11</v>
      </c>
      <c r="C327" s="101">
        <v>-5</v>
      </c>
      <c r="D327" s="101">
        <v>11</v>
      </c>
      <c r="E327" s="101">
        <v>-10</v>
      </c>
      <c r="F327" s="101">
        <v>-13</v>
      </c>
      <c r="G327" s="101">
        <v>-59</v>
      </c>
      <c r="H327" s="101">
        <v>-16.2</v>
      </c>
      <c r="I327" s="102">
        <v>0.3</v>
      </c>
      <c r="J327" s="102">
        <v>1.44</v>
      </c>
      <c r="K327" s="101">
        <v>14.9</v>
      </c>
      <c r="L327" s="101">
        <v>-0.3</v>
      </c>
      <c r="M327" s="101" t="s">
        <v>1088</v>
      </c>
      <c r="N327" s="101">
        <v>2000</v>
      </c>
      <c r="O327" s="101" t="s">
        <v>806</v>
      </c>
      <c r="P327" s="101">
        <v>247577</v>
      </c>
      <c r="Q327" t="s">
        <v>182</v>
      </c>
      <c r="R327" t="s">
        <v>291</v>
      </c>
      <c r="S327"/>
      <c r="T327"/>
      <c r="U327"/>
      <c r="V327" s="222"/>
    </row>
    <row r="328" spans="1:22" x14ac:dyDescent="0.2">
      <c r="A328" t="s">
        <v>351</v>
      </c>
      <c r="B328" s="101">
        <v>4</v>
      </c>
      <c r="C328" s="101">
        <v>-3</v>
      </c>
      <c r="D328" s="101">
        <v>4</v>
      </c>
      <c r="E328" s="101">
        <v>5</v>
      </c>
      <c r="F328" s="101">
        <v>18</v>
      </c>
      <c r="G328" s="101">
        <v>-16</v>
      </c>
      <c r="H328" s="101">
        <v>-3.5</v>
      </c>
      <c r="I328" s="102">
        <v>0.42</v>
      </c>
      <c r="J328" s="102">
        <v>1.45</v>
      </c>
      <c r="K328" s="101">
        <v>11.4</v>
      </c>
      <c r="L328" s="101">
        <v>0.4</v>
      </c>
      <c r="M328" s="101" t="s">
        <v>1088</v>
      </c>
      <c r="N328" s="101">
        <v>2000</v>
      </c>
      <c r="O328" s="101" t="s">
        <v>685</v>
      </c>
      <c r="P328" s="101">
        <v>914358</v>
      </c>
      <c r="Q328" t="s">
        <v>925</v>
      </c>
      <c r="R328" t="s">
        <v>273</v>
      </c>
      <c r="S328"/>
      <c r="T328"/>
      <c r="U328"/>
      <c r="V328" s="222"/>
    </row>
    <row r="329" spans="1:22" x14ac:dyDescent="0.2">
      <c r="A329" t="s">
        <v>52</v>
      </c>
      <c r="B329" s="101">
        <v>0</v>
      </c>
      <c r="C329" s="101">
        <v>-5</v>
      </c>
      <c r="D329" s="101">
        <v>0</v>
      </c>
      <c r="E329" s="101">
        <v>-15</v>
      </c>
      <c r="F329" s="101">
        <v>-20</v>
      </c>
      <c r="G329" s="101">
        <v>-58</v>
      </c>
      <c r="H329" s="101">
        <v>-15.9</v>
      </c>
      <c r="I329" s="102">
        <v>0.57999999999999996</v>
      </c>
      <c r="J329" s="102">
        <v>1.460005</v>
      </c>
      <c r="K329" s="101">
        <v>14.4</v>
      </c>
      <c r="L329" s="101">
        <v>-0.5</v>
      </c>
      <c r="M329" s="101" t="s">
        <v>1088</v>
      </c>
      <c r="N329" s="101">
        <v>2000</v>
      </c>
      <c r="O329" s="101" t="s">
        <v>806</v>
      </c>
      <c r="P329" s="101">
        <v>148585</v>
      </c>
      <c r="Q329" t="s">
        <v>727</v>
      </c>
      <c r="R329" t="s">
        <v>48</v>
      </c>
      <c r="S329"/>
      <c r="T329"/>
      <c r="U329"/>
      <c r="V329" s="222"/>
    </row>
    <row r="330" spans="1:22" x14ac:dyDescent="0.2">
      <c r="A330" t="s">
        <v>171</v>
      </c>
      <c r="B330" s="101">
        <v>5</v>
      </c>
      <c r="C330" s="101">
        <v>-5</v>
      </c>
      <c r="D330" s="101">
        <v>6</v>
      </c>
      <c r="E330" s="101">
        <v>-5</v>
      </c>
      <c r="F330" s="101">
        <v>10</v>
      </c>
      <c r="G330" s="101">
        <v>-46</v>
      </c>
      <c r="H330" s="101">
        <v>-11.4</v>
      </c>
      <c r="I330" s="102">
        <v>0.61</v>
      </c>
      <c r="J330" s="102">
        <v>1.4699</v>
      </c>
      <c r="K330" s="101">
        <v>11.8</v>
      </c>
      <c r="L330" s="101">
        <v>0.2</v>
      </c>
      <c r="M330" s="101" t="s">
        <v>1089</v>
      </c>
      <c r="N330" s="101">
        <v>2008</v>
      </c>
      <c r="O330" s="101" t="s">
        <v>685</v>
      </c>
      <c r="P330" s="101">
        <v>188482</v>
      </c>
      <c r="Q330" t="s">
        <v>821</v>
      </c>
      <c r="R330" t="s">
        <v>48</v>
      </c>
      <c r="S330"/>
      <c r="T330"/>
      <c r="U330"/>
      <c r="V330" s="222"/>
    </row>
    <row r="331" spans="1:22" x14ac:dyDescent="0.2">
      <c r="A331" t="s">
        <v>242</v>
      </c>
      <c r="B331" s="101">
        <v>3</v>
      </c>
      <c r="C331" s="101">
        <v>-4</v>
      </c>
      <c r="D331" s="101">
        <v>5</v>
      </c>
      <c r="E331" s="101">
        <v>2</v>
      </c>
      <c r="F331" s="101">
        <v>-10</v>
      </c>
      <c r="G331" s="101">
        <v>-37</v>
      </c>
      <c r="H331" s="101">
        <v>-8.9</v>
      </c>
      <c r="I331" s="102">
        <v>0.61</v>
      </c>
      <c r="J331" s="102">
        <v>1.47</v>
      </c>
      <c r="K331" s="101">
        <v>14.9</v>
      </c>
      <c r="L331" s="101">
        <v>-0.2</v>
      </c>
      <c r="M331" s="101" t="s">
        <v>1093</v>
      </c>
      <c r="N331" s="101">
        <v>2000</v>
      </c>
      <c r="O331" s="101" t="s">
        <v>685</v>
      </c>
      <c r="P331" s="101">
        <v>365981</v>
      </c>
      <c r="Q331" t="s">
        <v>811</v>
      </c>
      <c r="R331" t="s">
        <v>237</v>
      </c>
      <c r="S331"/>
      <c r="T331"/>
      <c r="U331"/>
      <c r="V331" s="222"/>
    </row>
    <row r="332" spans="1:22" x14ac:dyDescent="0.2">
      <c r="A332" t="s">
        <v>95</v>
      </c>
      <c r="B332" s="101">
        <v>-3</v>
      </c>
      <c r="C332" s="101">
        <v>-12</v>
      </c>
      <c r="D332" s="101">
        <v>-1</v>
      </c>
      <c r="E332" s="101">
        <v>-25</v>
      </c>
      <c r="F332" s="101">
        <v>-15</v>
      </c>
      <c r="G332" s="101">
        <v>-52</v>
      </c>
      <c r="H332" s="101">
        <v>-13.6</v>
      </c>
      <c r="I332" s="102">
        <v>0.61</v>
      </c>
      <c r="J332" s="102">
        <v>1.47</v>
      </c>
      <c r="K332" s="101">
        <v>18.100000000000001</v>
      </c>
      <c r="L332" s="101">
        <v>-0.3</v>
      </c>
      <c r="M332" s="101" t="s">
        <v>1089</v>
      </c>
      <c r="N332" s="101">
        <v>2000</v>
      </c>
      <c r="O332" s="101" t="s">
        <v>685</v>
      </c>
      <c r="P332" s="101">
        <v>151001</v>
      </c>
      <c r="Q332" t="s">
        <v>811</v>
      </c>
      <c r="R332" t="s">
        <v>92</v>
      </c>
      <c r="S332"/>
      <c r="T332"/>
      <c r="U332"/>
      <c r="V332" s="222"/>
    </row>
    <row r="333" spans="1:22" x14ac:dyDescent="0.2">
      <c r="A333" t="s">
        <v>145</v>
      </c>
      <c r="B333" s="101">
        <v>6</v>
      </c>
      <c r="C333" s="101">
        <v>-1</v>
      </c>
      <c r="D333" s="101">
        <v>7</v>
      </c>
      <c r="E333" s="101">
        <v>0</v>
      </c>
      <c r="F333" s="101">
        <v>29</v>
      </c>
      <c r="G333" s="101">
        <v>6</v>
      </c>
      <c r="H333" s="101">
        <v>1.1000000000000001</v>
      </c>
      <c r="I333" s="102">
        <v>0.62</v>
      </c>
      <c r="J333" s="102">
        <v>1.48</v>
      </c>
      <c r="K333" s="101">
        <v>14.2</v>
      </c>
      <c r="L333" s="101">
        <v>0.6</v>
      </c>
      <c r="M333" s="101" t="s">
        <v>1091</v>
      </c>
      <c r="N333" s="101">
        <v>2000</v>
      </c>
      <c r="O333" s="101" t="s">
        <v>685</v>
      </c>
      <c r="P333" s="101">
        <v>401810</v>
      </c>
      <c r="Q333" t="s">
        <v>811</v>
      </c>
      <c r="R333" t="s">
        <v>138</v>
      </c>
      <c r="S333"/>
      <c r="T333"/>
      <c r="U333"/>
      <c r="V333" s="222"/>
    </row>
    <row r="334" spans="1:22" x14ac:dyDescent="0.2">
      <c r="A334" t="s">
        <v>64</v>
      </c>
      <c r="B334" s="101">
        <v>4</v>
      </c>
      <c r="C334" s="101">
        <v>-6</v>
      </c>
      <c r="D334" s="101">
        <v>4</v>
      </c>
      <c r="E334" s="101">
        <v>-3</v>
      </c>
      <c r="F334" s="101">
        <v>23</v>
      </c>
      <c r="G334" s="101">
        <v>-8</v>
      </c>
      <c r="H334" s="101">
        <v>-1.6</v>
      </c>
      <c r="I334" s="102">
        <v>0.6</v>
      </c>
      <c r="J334" s="102">
        <v>1.48</v>
      </c>
      <c r="K334" s="101">
        <v>12.4</v>
      </c>
      <c r="L334" s="101">
        <v>0.5</v>
      </c>
      <c r="M334" s="101" t="s">
        <v>1089</v>
      </c>
      <c r="N334" s="101">
        <v>2000</v>
      </c>
      <c r="O334" s="101" t="s">
        <v>685</v>
      </c>
      <c r="P334" s="101">
        <v>336826</v>
      </c>
      <c r="Q334" t="s">
        <v>63</v>
      </c>
      <c r="R334" t="s">
        <v>48</v>
      </c>
      <c r="S334"/>
      <c r="T334"/>
      <c r="U334"/>
      <c r="V334" s="222"/>
    </row>
    <row r="335" spans="1:22" x14ac:dyDescent="0.2">
      <c r="A335" t="s">
        <v>8</v>
      </c>
      <c r="B335" s="101">
        <v>4</v>
      </c>
      <c r="C335" s="101">
        <v>-7</v>
      </c>
      <c r="D335" s="101">
        <v>5</v>
      </c>
      <c r="E335" s="101">
        <v>-4</v>
      </c>
      <c r="F335" s="101">
        <v>20</v>
      </c>
      <c r="G335" s="101">
        <v>-15</v>
      </c>
      <c r="H335" s="101">
        <v>-3.3</v>
      </c>
      <c r="I335" s="102">
        <v>0.56000000000000005</v>
      </c>
      <c r="J335" s="102">
        <v>1.48</v>
      </c>
      <c r="K335" s="101">
        <v>11.7</v>
      </c>
      <c r="L335" s="101">
        <v>0.4</v>
      </c>
      <c r="M335" s="101" t="s">
        <v>1088</v>
      </c>
      <c r="N335" s="101">
        <v>2005</v>
      </c>
      <c r="O335" s="101" t="s">
        <v>806</v>
      </c>
      <c r="P335" s="101">
        <v>891804</v>
      </c>
      <c r="Q335" t="s">
        <v>462</v>
      </c>
      <c r="R335" t="s">
        <v>152</v>
      </c>
      <c r="S335"/>
      <c r="T335"/>
      <c r="U335"/>
      <c r="V335" s="222"/>
    </row>
    <row r="336" spans="1:22" x14ac:dyDescent="0.2">
      <c r="A336" t="s">
        <v>153</v>
      </c>
      <c r="B336" s="101">
        <v>6</v>
      </c>
      <c r="C336" s="101">
        <v>-2</v>
      </c>
      <c r="D336" s="101">
        <v>8</v>
      </c>
      <c r="E336" s="101">
        <v>1</v>
      </c>
      <c r="F336" s="101">
        <v>16</v>
      </c>
      <c r="G336" s="101">
        <v>-26</v>
      </c>
      <c r="H336" s="101">
        <v>-5.7</v>
      </c>
      <c r="I336" s="102">
        <v>0.62</v>
      </c>
      <c r="J336" s="102">
        <v>1.48</v>
      </c>
      <c r="K336" s="101">
        <v>10.5</v>
      </c>
      <c r="L336" s="101">
        <v>0.4</v>
      </c>
      <c r="M336" s="101" t="s">
        <v>1091</v>
      </c>
      <c r="N336" s="101">
        <v>2000</v>
      </c>
      <c r="O336" s="101" t="s">
        <v>685</v>
      </c>
      <c r="P336" s="101">
        <v>294322</v>
      </c>
      <c r="Q336" t="s">
        <v>811</v>
      </c>
      <c r="R336" t="s">
        <v>152</v>
      </c>
      <c r="S336"/>
      <c r="T336"/>
      <c r="U336"/>
      <c r="V336" s="222"/>
    </row>
    <row r="337" spans="1:22" x14ac:dyDescent="0.2">
      <c r="A337" t="s">
        <v>67</v>
      </c>
      <c r="B337" s="101">
        <v>0</v>
      </c>
      <c r="C337" s="101">
        <v>-7</v>
      </c>
      <c r="D337" s="101">
        <v>2</v>
      </c>
      <c r="E337" s="101">
        <v>-13</v>
      </c>
      <c r="F337" s="101">
        <v>0</v>
      </c>
      <c r="G337" s="101">
        <v>-46</v>
      </c>
      <c r="H337" s="101">
        <v>-11.5</v>
      </c>
      <c r="I337" s="102">
        <v>0.62</v>
      </c>
      <c r="J337" s="102">
        <v>1.48</v>
      </c>
      <c r="K337" s="101">
        <v>13.4</v>
      </c>
      <c r="L337" s="101">
        <v>0</v>
      </c>
      <c r="M337" s="101" t="s">
        <v>1089</v>
      </c>
      <c r="N337" s="101">
        <v>2000</v>
      </c>
      <c r="O337" s="101" t="s">
        <v>685</v>
      </c>
      <c r="P337" s="101">
        <v>473470</v>
      </c>
      <c r="Q337" t="s">
        <v>811</v>
      </c>
      <c r="R337" t="s">
        <v>48</v>
      </c>
      <c r="S337"/>
      <c r="T337"/>
      <c r="U337"/>
      <c r="V337" s="222"/>
    </row>
    <row r="338" spans="1:22" x14ac:dyDescent="0.2">
      <c r="A338" t="s">
        <v>91</v>
      </c>
      <c r="B338" s="101">
        <v>-32</v>
      </c>
      <c r="C338" s="101">
        <v>-25</v>
      </c>
      <c r="D338" s="101">
        <v>-32</v>
      </c>
      <c r="E338" s="101">
        <v>-46</v>
      </c>
      <c r="F338" s="101">
        <v>-51</v>
      </c>
      <c r="G338" s="101"/>
      <c r="H338" s="101"/>
      <c r="I338" s="102">
        <v>0.59</v>
      </c>
      <c r="J338" s="102">
        <v>1.48</v>
      </c>
      <c r="K338" s="101">
        <v>17.2</v>
      </c>
      <c r="L338" s="101">
        <v>-1.3</v>
      </c>
      <c r="M338" s="101" t="s">
        <v>1089</v>
      </c>
      <c r="N338" s="101">
        <v>2009</v>
      </c>
      <c r="O338" s="101" t="s">
        <v>685</v>
      </c>
      <c r="P338" s="101">
        <v>749606</v>
      </c>
      <c r="Q338" t="s">
        <v>89</v>
      </c>
      <c r="R338" t="s">
        <v>314</v>
      </c>
      <c r="S338"/>
      <c r="T338"/>
      <c r="U338"/>
      <c r="V338" s="222"/>
    </row>
    <row r="339" spans="1:22" x14ac:dyDescent="0.2">
      <c r="A339" t="s">
        <v>345</v>
      </c>
      <c r="B339" s="101">
        <v>6</v>
      </c>
      <c r="C339" s="101">
        <v>-3</v>
      </c>
      <c r="D339" s="101">
        <v>7</v>
      </c>
      <c r="E339" s="101">
        <v>-3</v>
      </c>
      <c r="F339" s="101">
        <v>30</v>
      </c>
      <c r="G339" s="101">
        <v>-14</v>
      </c>
      <c r="H339" s="101">
        <v>-3.1</v>
      </c>
      <c r="I339" s="102">
        <v>0.43</v>
      </c>
      <c r="J339" s="102">
        <v>1.49</v>
      </c>
      <c r="K339" s="101">
        <v>15.5</v>
      </c>
      <c r="L339" s="101">
        <v>0.6</v>
      </c>
      <c r="M339" s="101" t="s">
        <v>1088</v>
      </c>
      <c r="N339" s="101">
        <v>2003</v>
      </c>
      <c r="O339" s="101" t="s">
        <v>806</v>
      </c>
      <c r="P339" s="101">
        <v>386581</v>
      </c>
      <c r="Q339" t="s">
        <v>925</v>
      </c>
      <c r="R339" t="s">
        <v>723</v>
      </c>
      <c r="S339"/>
      <c r="T339"/>
      <c r="U339"/>
      <c r="V339" s="222"/>
    </row>
    <row r="340" spans="1:22" x14ac:dyDescent="0.2">
      <c r="A340" t="s">
        <v>263</v>
      </c>
      <c r="B340" s="101">
        <v>-12</v>
      </c>
      <c r="C340" s="101">
        <v>-15</v>
      </c>
      <c r="D340" s="101">
        <v>-12</v>
      </c>
      <c r="E340" s="101">
        <v>-22</v>
      </c>
      <c r="F340" s="101">
        <v>-18</v>
      </c>
      <c r="G340" s="101">
        <v>-25</v>
      </c>
      <c r="H340" s="101">
        <v>-5.5</v>
      </c>
      <c r="I340" s="102">
        <v>0.59</v>
      </c>
      <c r="J340" s="102">
        <v>1.49</v>
      </c>
      <c r="K340" s="101">
        <v>17.8</v>
      </c>
      <c r="L340" s="101">
        <v>-0.3</v>
      </c>
      <c r="M340" s="101" t="s">
        <v>1089</v>
      </c>
      <c r="N340" s="101">
        <v>2008</v>
      </c>
      <c r="O340" s="101" t="s">
        <v>685</v>
      </c>
      <c r="P340" s="101">
        <v>734434</v>
      </c>
      <c r="Q340" t="s">
        <v>94</v>
      </c>
      <c r="R340" t="s">
        <v>291</v>
      </c>
      <c r="S340"/>
      <c r="T340"/>
      <c r="U340"/>
      <c r="V340" s="222"/>
    </row>
    <row r="341" spans="1:22" x14ac:dyDescent="0.2">
      <c r="A341" t="s">
        <v>289</v>
      </c>
      <c r="B341" s="101">
        <v>8</v>
      </c>
      <c r="C341" s="101">
        <v>5</v>
      </c>
      <c r="D341" s="101">
        <v>8</v>
      </c>
      <c r="E341" s="101">
        <v>13</v>
      </c>
      <c r="F341" s="101">
        <v>27</v>
      </c>
      <c r="G341" s="101">
        <v>5</v>
      </c>
      <c r="H341" s="101">
        <v>1</v>
      </c>
      <c r="I341" s="102">
        <v>0.45</v>
      </c>
      <c r="J341" s="102">
        <v>1.5</v>
      </c>
      <c r="K341" s="101">
        <v>9.1999999999999993</v>
      </c>
      <c r="L341" s="101">
        <v>0.7</v>
      </c>
      <c r="M341" s="101" t="s">
        <v>1088</v>
      </c>
      <c r="N341" s="101">
        <v>2002</v>
      </c>
      <c r="O341" s="101" t="s">
        <v>806</v>
      </c>
      <c r="P341" s="101">
        <v>229922</v>
      </c>
      <c r="Q341" t="s">
        <v>846</v>
      </c>
      <c r="R341" t="s">
        <v>282</v>
      </c>
      <c r="S341"/>
      <c r="T341"/>
      <c r="U341"/>
      <c r="V341" s="222"/>
    </row>
    <row r="342" spans="1:22" x14ac:dyDescent="0.2">
      <c r="A342" t="s">
        <v>1012</v>
      </c>
      <c r="B342" s="101">
        <v>7</v>
      </c>
      <c r="C342" s="101">
        <v>-3</v>
      </c>
      <c r="D342" s="101">
        <v>8</v>
      </c>
      <c r="E342" s="101">
        <v>-7</v>
      </c>
      <c r="F342" s="101">
        <v>49</v>
      </c>
      <c r="G342" s="101">
        <v>-5</v>
      </c>
      <c r="H342" s="101">
        <v>-1</v>
      </c>
      <c r="I342" s="102">
        <v>0.55000000000000004</v>
      </c>
      <c r="J342" s="102">
        <v>1.5</v>
      </c>
      <c r="K342" s="101">
        <v>19.5</v>
      </c>
      <c r="L342" s="101">
        <v>0.7</v>
      </c>
      <c r="M342" s="101" t="s">
        <v>1088</v>
      </c>
      <c r="N342" s="101">
        <v>2006</v>
      </c>
      <c r="O342" s="101" t="s">
        <v>806</v>
      </c>
      <c r="P342" s="101">
        <v>416867</v>
      </c>
      <c r="Q342" t="s">
        <v>816</v>
      </c>
      <c r="R342" t="s">
        <v>776</v>
      </c>
      <c r="S342" t="s">
        <v>1111</v>
      </c>
      <c r="T342"/>
      <c r="U342"/>
      <c r="V342" s="222"/>
    </row>
    <row r="343" spans="1:22" x14ac:dyDescent="0.2">
      <c r="A343" t="s">
        <v>1013</v>
      </c>
      <c r="B343" s="101">
        <v>3</v>
      </c>
      <c r="C343" s="101">
        <v>-3</v>
      </c>
      <c r="D343" s="101">
        <v>4</v>
      </c>
      <c r="E343" s="101">
        <v>-3</v>
      </c>
      <c r="F343" s="101">
        <v>51</v>
      </c>
      <c r="G343" s="101">
        <v>-9</v>
      </c>
      <c r="H343" s="101">
        <v>-1.9</v>
      </c>
      <c r="I343" s="102">
        <v>0.55000000000000004</v>
      </c>
      <c r="J343" s="102">
        <v>1.5</v>
      </c>
      <c r="K343" s="101">
        <v>18.2</v>
      </c>
      <c r="L343" s="101">
        <v>0.7</v>
      </c>
      <c r="M343" s="101" t="s">
        <v>1088</v>
      </c>
      <c r="N343" s="101">
        <v>2000</v>
      </c>
      <c r="O343" s="101" t="s">
        <v>806</v>
      </c>
      <c r="P343" s="101">
        <v>694539</v>
      </c>
      <c r="Q343" t="s">
        <v>816</v>
      </c>
      <c r="R343" t="s">
        <v>776</v>
      </c>
      <c r="S343" t="s">
        <v>1111</v>
      </c>
      <c r="T343"/>
      <c r="U343"/>
      <c r="V343" s="222"/>
    </row>
    <row r="344" spans="1:22" x14ac:dyDescent="0.2">
      <c r="A344" t="s">
        <v>928</v>
      </c>
      <c r="B344" s="101">
        <v>-1</v>
      </c>
      <c r="C344" s="101">
        <v>-3</v>
      </c>
      <c r="D344" s="101">
        <v>-1</v>
      </c>
      <c r="E344" s="101">
        <v>-5</v>
      </c>
      <c r="F344" s="101">
        <v>3</v>
      </c>
      <c r="G344" s="101">
        <v>-12</v>
      </c>
      <c r="H344" s="101">
        <v>-2.6</v>
      </c>
      <c r="I344" s="102">
        <v>0.43</v>
      </c>
      <c r="J344" s="102">
        <v>1.5</v>
      </c>
      <c r="K344" s="101">
        <v>6.8</v>
      </c>
      <c r="L344" s="101">
        <v>0</v>
      </c>
      <c r="M344" s="101" t="s">
        <v>1088</v>
      </c>
      <c r="N344" s="101">
        <v>2005</v>
      </c>
      <c r="O344" s="101" t="s">
        <v>685</v>
      </c>
      <c r="P344" s="101">
        <v>887554</v>
      </c>
      <c r="Q344" t="s">
        <v>817</v>
      </c>
      <c r="R344" t="s">
        <v>305</v>
      </c>
      <c r="S344"/>
      <c r="T344"/>
      <c r="U344"/>
      <c r="V344" s="222"/>
    </row>
    <row r="345" spans="1:22" x14ac:dyDescent="0.2">
      <c r="A345" t="s">
        <v>892</v>
      </c>
      <c r="B345" s="101">
        <v>8</v>
      </c>
      <c r="C345" s="101">
        <v>0</v>
      </c>
      <c r="D345" s="101">
        <v>8</v>
      </c>
      <c r="E345" s="101">
        <v>12</v>
      </c>
      <c r="F345" s="101">
        <v>30</v>
      </c>
      <c r="G345" s="101">
        <v>-13</v>
      </c>
      <c r="H345" s="101">
        <v>-2.7</v>
      </c>
      <c r="I345" s="102">
        <v>0.45</v>
      </c>
      <c r="J345" s="102">
        <v>1.5</v>
      </c>
      <c r="K345" s="101">
        <v>9.6</v>
      </c>
      <c r="L345" s="101">
        <v>0.8</v>
      </c>
      <c r="M345" s="101" t="s">
        <v>1088</v>
      </c>
      <c r="N345" s="101">
        <v>2002</v>
      </c>
      <c r="O345" s="101" t="s">
        <v>806</v>
      </c>
      <c r="P345" s="101">
        <v>986604</v>
      </c>
      <c r="Q345" t="s">
        <v>846</v>
      </c>
      <c r="R345" t="s">
        <v>108</v>
      </c>
      <c r="S345"/>
      <c r="T345"/>
      <c r="U345"/>
      <c r="V345" s="222"/>
    </row>
    <row r="346" spans="1:22" x14ac:dyDescent="0.2">
      <c r="A346" t="s">
        <v>1081</v>
      </c>
      <c r="B346" s="101">
        <v>3</v>
      </c>
      <c r="C346" s="101">
        <v>-6</v>
      </c>
      <c r="D346" s="101">
        <v>4</v>
      </c>
      <c r="E346" s="101">
        <v>-8</v>
      </c>
      <c r="F346" s="101">
        <v>28</v>
      </c>
      <c r="G346" s="101">
        <v>-19</v>
      </c>
      <c r="H346" s="101">
        <v>-4.2</v>
      </c>
      <c r="I346" s="102">
        <v>0.37</v>
      </c>
      <c r="J346" s="102">
        <v>1.5</v>
      </c>
      <c r="K346" s="101">
        <v>17.899999999999999</v>
      </c>
      <c r="L346" s="101">
        <v>0.5</v>
      </c>
      <c r="M346" s="101" t="s">
        <v>1088</v>
      </c>
      <c r="N346" s="101">
        <v>2008</v>
      </c>
      <c r="O346" s="101" t="s">
        <v>806</v>
      </c>
      <c r="P346" s="101">
        <v>203067</v>
      </c>
      <c r="Q346" t="s">
        <v>755</v>
      </c>
      <c r="R346" t="s">
        <v>723</v>
      </c>
      <c r="S346"/>
      <c r="T346"/>
      <c r="U346"/>
      <c r="V346" s="222"/>
    </row>
    <row r="347" spans="1:22" x14ac:dyDescent="0.2">
      <c r="A347" t="s">
        <v>398</v>
      </c>
      <c r="B347" s="101">
        <v>2</v>
      </c>
      <c r="C347" s="101">
        <v>-1</v>
      </c>
      <c r="D347" s="101">
        <v>3</v>
      </c>
      <c r="E347" s="101">
        <v>-7</v>
      </c>
      <c r="F347" s="101">
        <v>13</v>
      </c>
      <c r="G347" s="101">
        <v>-26</v>
      </c>
      <c r="H347" s="101">
        <v>-5.7</v>
      </c>
      <c r="I347" s="102">
        <v>0.43</v>
      </c>
      <c r="J347" s="102">
        <v>1.5</v>
      </c>
      <c r="K347" s="101">
        <v>12.1</v>
      </c>
      <c r="L347" s="101">
        <v>0.3</v>
      </c>
      <c r="M347" s="101" t="s">
        <v>1088</v>
      </c>
      <c r="N347" s="101">
        <v>2000</v>
      </c>
      <c r="O347" s="101" t="s">
        <v>806</v>
      </c>
      <c r="P347" s="101">
        <v>357483</v>
      </c>
      <c r="Q347" t="s">
        <v>925</v>
      </c>
      <c r="R347" t="s">
        <v>782</v>
      </c>
      <c r="S347"/>
      <c r="T347"/>
      <c r="U347"/>
      <c r="V347" s="222"/>
    </row>
    <row r="348" spans="1:22" x14ac:dyDescent="0.2">
      <c r="A348" t="s">
        <v>397</v>
      </c>
      <c r="B348" s="101">
        <v>6</v>
      </c>
      <c r="C348" s="101">
        <v>5</v>
      </c>
      <c r="D348" s="101">
        <v>13</v>
      </c>
      <c r="E348" s="101">
        <v>2</v>
      </c>
      <c r="F348" s="101">
        <v>31</v>
      </c>
      <c r="G348" s="101">
        <v>-29</v>
      </c>
      <c r="H348" s="101">
        <v>-6.7</v>
      </c>
      <c r="I348" s="102">
        <v>0.43</v>
      </c>
      <c r="J348" s="102">
        <v>1.5</v>
      </c>
      <c r="K348" s="101"/>
      <c r="L348" s="101"/>
      <c r="M348" s="101" t="s">
        <v>1088</v>
      </c>
      <c r="N348" s="101">
        <v>2000</v>
      </c>
      <c r="O348" s="101" t="s">
        <v>806</v>
      </c>
      <c r="P348" s="101">
        <v>321653</v>
      </c>
      <c r="Q348" t="s">
        <v>925</v>
      </c>
      <c r="R348" t="s">
        <v>152</v>
      </c>
      <c r="S348"/>
      <c r="T348"/>
      <c r="U348"/>
      <c r="V348" s="222"/>
    </row>
    <row r="349" spans="1:22" x14ac:dyDescent="0.2">
      <c r="A349" t="s">
        <v>327</v>
      </c>
      <c r="B349" s="101">
        <v>-5</v>
      </c>
      <c r="C349" s="101">
        <v>-17</v>
      </c>
      <c r="D349" s="101">
        <v>-4</v>
      </c>
      <c r="E349" s="101">
        <v>-31</v>
      </c>
      <c r="F349" s="101">
        <v>-14</v>
      </c>
      <c r="G349" s="101">
        <v>-41</v>
      </c>
      <c r="H349" s="101">
        <v>-9.9</v>
      </c>
      <c r="I349" s="102">
        <v>0.61</v>
      </c>
      <c r="J349" s="102">
        <v>1.5</v>
      </c>
      <c r="K349" s="101">
        <v>21.1</v>
      </c>
      <c r="L349" s="101">
        <v>-0.2</v>
      </c>
      <c r="M349" s="101" t="s">
        <v>1089</v>
      </c>
      <c r="N349" s="101">
        <v>2010</v>
      </c>
      <c r="O349" s="101" t="s">
        <v>685</v>
      </c>
      <c r="P349" s="101">
        <v>167171</v>
      </c>
      <c r="Q349" t="s">
        <v>316</v>
      </c>
      <c r="R349" t="s">
        <v>250</v>
      </c>
      <c r="S349"/>
      <c r="T349"/>
      <c r="U349"/>
      <c r="V349" s="222"/>
    </row>
    <row r="350" spans="1:22" x14ac:dyDescent="0.2">
      <c r="A350" t="s">
        <v>1018</v>
      </c>
      <c r="B350" s="101">
        <v>6</v>
      </c>
      <c r="C350" s="101">
        <v>-4</v>
      </c>
      <c r="D350" s="101">
        <v>6</v>
      </c>
      <c r="E350" s="101"/>
      <c r="F350" s="101"/>
      <c r="G350" s="101"/>
      <c r="H350" s="101"/>
      <c r="I350" s="102">
        <v>0.55000000000000004</v>
      </c>
      <c r="J350" s="102">
        <v>1.5</v>
      </c>
      <c r="K350" s="101"/>
      <c r="L350" s="101"/>
      <c r="M350" s="101" t="s">
        <v>1088</v>
      </c>
      <c r="N350" s="101">
        <v>2011</v>
      </c>
      <c r="O350" s="101" t="s">
        <v>806</v>
      </c>
      <c r="P350" s="101">
        <v>925032</v>
      </c>
      <c r="Q350" t="s">
        <v>989</v>
      </c>
      <c r="R350" t="s">
        <v>314</v>
      </c>
      <c r="S350"/>
      <c r="T350"/>
      <c r="U350"/>
      <c r="V350" s="222"/>
    </row>
    <row r="351" spans="1:22" x14ac:dyDescent="0.2">
      <c r="A351" t="s">
        <v>407</v>
      </c>
      <c r="B351" s="101">
        <v>-1</v>
      </c>
      <c r="C351" s="101">
        <v>-9</v>
      </c>
      <c r="D351" s="101">
        <v>0</v>
      </c>
      <c r="E351" s="101">
        <v>-15</v>
      </c>
      <c r="F351" s="101"/>
      <c r="G351" s="101"/>
      <c r="H351" s="101"/>
      <c r="I351" s="102">
        <v>0.61</v>
      </c>
      <c r="J351" s="102">
        <v>1.5</v>
      </c>
      <c r="K351" s="101"/>
      <c r="L351" s="101"/>
      <c r="M351" s="101" t="s">
        <v>1089</v>
      </c>
      <c r="N351" s="101">
        <v>2011</v>
      </c>
      <c r="O351" s="101" t="s">
        <v>685</v>
      </c>
      <c r="P351" s="101">
        <v>289835</v>
      </c>
      <c r="Q351" t="s">
        <v>316</v>
      </c>
      <c r="R351" t="s">
        <v>291</v>
      </c>
      <c r="S351"/>
      <c r="T351"/>
      <c r="U351"/>
      <c r="V351" s="222"/>
    </row>
    <row r="352" spans="1:22" x14ac:dyDescent="0.2">
      <c r="A352" t="s">
        <v>1107</v>
      </c>
      <c r="B352" s="101"/>
      <c r="C352" s="101"/>
      <c r="D352" s="101"/>
      <c r="E352" s="101"/>
      <c r="F352" s="101"/>
      <c r="G352" s="101"/>
      <c r="H352" s="101"/>
      <c r="I352" s="102">
        <v>0.62</v>
      </c>
      <c r="J352" s="102">
        <v>1.5</v>
      </c>
      <c r="K352" s="101"/>
      <c r="L352" s="101"/>
      <c r="M352" s="101" t="s">
        <v>1088</v>
      </c>
      <c r="N352" s="101">
        <v>2012</v>
      </c>
      <c r="O352" s="101" t="s">
        <v>806</v>
      </c>
      <c r="P352" s="101">
        <v>447086</v>
      </c>
      <c r="Q352" t="s">
        <v>1054</v>
      </c>
      <c r="R352" t="s">
        <v>314</v>
      </c>
      <c r="S352"/>
      <c r="T352"/>
      <c r="U352"/>
      <c r="V352" s="222"/>
    </row>
    <row r="353" spans="1:22" x14ac:dyDescent="0.2">
      <c r="A353" t="s">
        <v>421</v>
      </c>
      <c r="B353" s="101">
        <v>-5</v>
      </c>
      <c r="C353" s="101">
        <v>-5</v>
      </c>
      <c r="D353" s="101">
        <v>-5</v>
      </c>
      <c r="E353" s="101">
        <v>-21</v>
      </c>
      <c r="F353" s="101"/>
      <c r="G353" s="101"/>
      <c r="H353" s="101"/>
      <c r="I353" s="102">
        <v>0.99</v>
      </c>
      <c r="J353" s="102">
        <v>1.5</v>
      </c>
      <c r="K353" s="101"/>
      <c r="L353" s="101"/>
      <c r="M353" s="101" t="s">
        <v>1088</v>
      </c>
      <c r="N353" s="101">
        <v>2011</v>
      </c>
      <c r="O353" s="101" t="s">
        <v>806</v>
      </c>
      <c r="P353" s="101">
        <v>620807</v>
      </c>
      <c r="Q353" t="s">
        <v>420</v>
      </c>
      <c r="R353" t="s">
        <v>381</v>
      </c>
      <c r="S353"/>
      <c r="T353"/>
      <c r="U353"/>
      <c r="V353" s="222"/>
    </row>
    <row r="354" spans="1:22" x14ac:dyDescent="0.2">
      <c r="A354" t="s">
        <v>328</v>
      </c>
      <c r="B354" s="101">
        <v>2</v>
      </c>
      <c r="C354" s="101">
        <v>-6</v>
      </c>
      <c r="D354" s="101">
        <v>3</v>
      </c>
      <c r="E354" s="101">
        <v>-9</v>
      </c>
      <c r="F354" s="101"/>
      <c r="G354" s="101"/>
      <c r="H354" s="101"/>
      <c r="I354" s="102">
        <v>0.55000000000000004</v>
      </c>
      <c r="J354" s="102">
        <v>1.500006</v>
      </c>
      <c r="K354" s="101"/>
      <c r="L354" s="101"/>
      <c r="M354" s="101" t="s">
        <v>1088</v>
      </c>
      <c r="N354" s="101">
        <v>2010</v>
      </c>
      <c r="O354" s="101" t="s">
        <v>806</v>
      </c>
      <c r="P354" s="101">
        <v>605634</v>
      </c>
      <c r="Q354" t="s">
        <v>989</v>
      </c>
      <c r="R354" t="s">
        <v>723</v>
      </c>
      <c r="S354"/>
      <c r="T354"/>
      <c r="U354"/>
      <c r="V354" s="222"/>
    </row>
    <row r="355" spans="1:22" x14ac:dyDescent="0.2">
      <c r="A355" t="s">
        <v>746</v>
      </c>
      <c r="B355" s="101">
        <v>1</v>
      </c>
      <c r="C355" s="101">
        <v>-5</v>
      </c>
      <c r="D355" s="101">
        <v>2</v>
      </c>
      <c r="E355" s="101">
        <v>-6</v>
      </c>
      <c r="F355" s="101">
        <v>50</v>
      </c>
      <c r="G355" s="101">
        <v>-16</v>
      </c>
      <c r="H355" s="101">
        <v>-3.4</v>
      </c>
      <c r="I355" s="102">
        <v>0.44</v>
      </c>
      <c r="J355" s="102">
        <v>1.501212</v>
      </c>
      <c r="K355" s="101">
        <v>20</v>
      </c>
      <c r="L355" s="101">
        <v>0.7</v>
      </c>
      <c r="M355" s="101" t="s">
        <v>1088</v>
      </c>
      <c r="N355" s="101">
        <v>2000</v>
      </c>
      <c r="O355" s="101" t="s">
        <v>806</v>
      </c>
      <c r="P355" s="101">
        <v>952010</v>
      </c>
      <c r="Q355" t="s">
        <v>729</v>
      </c>
      <c r="R355" t="s">
        <v>776</v>
      </c>
      <c r="S355"/>
      <c r="T355"/>
      <c r="U355"/>
      <c r="V355" s="222"/>
    </row>
    <row r="356" spans="1:22" x14ac:dyDescent="0.2">
      <c r="A356" t="s">
        <v>869</v>
      </c>
      <c r="B356" s="101">
        <v>1</v>
      </c>
      <c r="C356" s="101">
        <v>-7</v>
      </c>
      <c r="D356" s="101">
        <v>2</v>
      </c>
      <c r="E356" s="101">
        <v>-13</v>
      </c>
      <c r="F356" s="101">
        <v>29</v>
      </c>
      <c r="G356" s="101">
        <v>-27</v>
      </c>
      <c r="H356" s="101">
        <v>-6.2</v>
      </c>
      <c r="I356" s="102">
        <v>0.62</v>
      </c>
      <c r="J356" s="102">
        <v>1.501406</v>
      </c>
      <c r="K356" s="101">
        <v>17.2</v>
      </c>
      <c r="L356" s="101">
        <v>0.5</v>
      </c>
      <c r="M356" s="101" t="s">
        <v>1088</v>
      </c>
      <c r="N356" s="101">
        <v>2003</v>
      </c>
      <c r="O356" s="101" t="s">
        <v>806</v>
      </c>
      <c r="P356" s="101">
        <v>569988</v>
      </c>
      <c r="Q356" t="s">
        <v>870</v>
      </c>
      <c r="R356" t="s">
        <v>723</v>
      </c>
      <c r="S356"/>
      <c r="T356"/>
      <c r="U356"/>
      <c r="V356" s="222"/>
    </row>
    <row r="357" spans="1:22" x14ac:dyDescent="0.2">
      <c r="A357" t="s">
        <v>573</v>
      </c>
      <c r="B357" s="101">
        <v>3</v>
      </c>
      <c r="C357" s="101">
        <v>-8</v>
      </c>
      <c r="D357" s="101">
        <v>4</v>
      </c>
      <c r="E357" s="101">
        <v>-17</v>
      </c>
      <c r="F357" s="101">
        <v>9</v>
      </c>
      <c r="G357" s="101">
        <v>-27</v>
      </c>
      <c r="H357" s="101">
        <v>-6.1</v>
      </c>
      <c r="I357" s="102">
        <v>0.62</v>
      </c>
      <c r="J357" s="102">
        <v>1.502901</v>
      </c>
      <c r="K357" s="101">
        <v>17</v>
      </c>
      <c r="L357" s="101">
        <v>0.2</v>
      </c>
      <c r="M357" s="101" t="s">
        <v>1090</v>
      </c>
      <c r="N357" s="101">
        <v>2007</v>
      </c>
      <c r="O357" s="101" t="s">
        <v>685</v>
      </c>
      <c r="P357" s="101">
        <v>354290</v>
      </c>
      <c r="Q357" t="s">
        <v>570</v>
      </c>
      <c r="R357" t="s">
        <v>800</v>
      </c>
      <c r="S357"/>
      <c r="T357"/>
      <c r="U357"/>
      <c r="V357" s="222"/>
    </row>
    <row r="358" spans="1:22" x14ac:dyDescent="0.2">
      <c r="A358" t="s">
        <v>572</v>
      </c>
      <c r="B358" s="101">
        <v>8</v>
      </c>
      <c r="C358" s="101">
        <v>-7</v>
      </c>
      <c r="D358" s="101">
        <v>9</v>
      </c>
      <c r="E358" s="101">
        <v>-16</v>
      </c>
      <c r="F358" s="101">
        <v>7</v>
      </c>
      <c r="G358" s="101">
        <v>-29</v>
      </c>
      <c r="H358" s="101">
        <v>-6.6</v>
      </c>
      <c r="I358" s="102">
        <v>0.62</v>
      </c>
      <c r="J358" s="102">
        <v>1.5031319999999999</v>
      </c>
      <c r="K358" s="101">
        <v>22.2</v>
      </c>
      <c r="L358" s="101">
        <v>0.2</v>
      </c>
      <c r="M358" s="101" t="s">
        <v>1090</v>
      </c>
      <c r="N358" s="101">
        <v>2007</v>
      </c>
      <c r="O358" s="101" t="s">
        <v>685</v>
      </c>
      <c r="P358" s="101">
        <v>318469</v>
      </c>
      <c r="Q358" t="s">
        <v>570</v>
      </c>
      <c r="R358" t="s">
        <v>250</v>
      </c>
      <c r="S358"/>
      <c r="T358"/>
      <c r="U358"/>
      <c r="V358" s="222"/>
    </row>
    <row r="359" spans="1:22" x14ac:dyDescent="0.2">
      <c r="A359" t="s">
        <v>181</v>
      </c>
      <c r="B359" s="101">
        <v>8</v>
      </c>
      <c r="C359" s="101">
        <v>5</v>
      </c>
      <c r="D359" s="101">
        <v>8</v>
      </c>
      <c r="E359" s="101">
        <v>11</v>
      </c>
      <c r="F359" s="101">
        <v>20</v>
      </c>
      <c r="G359" s="101">
        <v>-1</v>
      </c>
      <c r="H359" s="101">
        <v>-0.1</v>
      </c>
      <c r="I359" s="102">
        <v>0.44</v>
      </c>
      <c r="J359" s="102">
        <v>1.5047219999999999</v>
      </c>
      <c r="K359" s="101">
        <v>9.5</v>
      </c>
      <c r="L359" s="101">
        <v>0.5</v>
      </c>
      <c r="M359" s="101" t="s">
        <v>1088</v>
      </c>
      <c r="N359" s="101">
        <v>2006</v>
      </c>
      <c r="O359" s="101" t="s">
        <v>806</v>
      </c>
      <c r="P359" s="101">
        <v>644005</v>
      </c>
      <c r="Q359" t="s">
        <v>729</v>
      </c>
      <c r="R359" t="s">
        <v>282</v>
      </c>
      <c r="S359"/>
      <c r="T359"/>
      <c r="U359"/>
      <c r="V359" s="222"/>
    </row>
    <row r="360" spans="1:22" x14ac:dyDescent="0.2">
      <c r="A360" t="s">
        <v>1014</v>
      </c>
      <c r="B360" s="101">
        <v>1</v>
      </c>
      <c r="C360" s="101">
        <v>-13</v>
      </c>
      <c r="D360" s="101">
        <v>1</v>
      </c>
      <c r="E360" s="101">
        <v>-3</v>
      </c>
      <c r="F360" s="101">
        <v>42</v>
      </c>
      <c r="G360" s="101">
        <v>30</v>
      </c>
      <c r="H360" s="101">
        <v>5.4</v>
      </c>
      <c r="I360" s="102">
        <v>0.55000000000000004</v>
      </c>
      <c r="J360" s="102">
        <v>1.51</v>
      </c>
      <c r="K360" s="101">
        <v>16.399999999999999</v>
      </c>
      <c r="L360" s="101">
        <v>0.7</v>
      </c>
      <c r="M360" s="101" t="s">
        <v>1090</v>
      </c>
      <c r="N360" s="101">
        <v>2002</v>
      </c>
      <c r="O360" s="101" t="s">
        <v>685</v>
      </c>
      <c r="P360" s="101">
        <v>191676</v>
      </c>
      <c r="Q360" t="s">
        <v>1015</v>
      </c>
      <c r="R360" t="s">
        <v>273</v>
      </c>
      <c r="S360"/>
      <c r="T360"/>
      <c r="U360"/>
      <c r="V360" s="222"/>
    </row>
    <row r="361" spans="1:22" x14ac:dyDescent="0.2">
      <c r="A361" t="s">
        <v>1047</v>
      </c>
      <c r="B361" s="101">
        <v>8</v>
      </c>
      <c r="C361" s="101">
        <v>-5</v>
      </c>
      <c r="D361" s="101">
        <v>8</v>
      </c>
      <c r="E361" s="101">
        <v>-8</v>
      </c>
      <c r="F361" s="101">
        <v>32</v>
      </c>
      <c r="G361" s="101">
        <v>-2</v>
      </c>
      <c r="H361" s="101">
        <v>-0.5</v>
      </c>
      <c r="I361" s="102">
        <v>0.59</v>
      </c>
      <c r="J361" s="102">
        <v>1.51</v>
      </c>
      <c r="K361" s="101">
        <v>16.100000000000001</v>
      </c>
      <c r="L361" s="101">
        <v>0.6</v>
      </c>
      <c r="M361" s="101" t="s">
        <v>1089</v>
      </c>
      <c r="N361" s="101">
        <v>2006</v>
      </c>
      <c r="O361" s="101" t="s">
        <v>685</v>
      </c>
      <c r="P361" s="101">
        <v>900894</v>
      </c>
      <c r="Q361" t="s">
        <v>805</v>
      </c>
      <c r="R361" t="s">
        <v>664</v>
      </c>
      <c r="S361"/>
      <c r="T361"/>
      <c r="U361"/>
      <c r="V361" s="222"/>
    </row>
    <row r="362" spans="1:22" x14ac:dyDescent="0.2">
      <c r="A362" t="s">
        <v>194</v>
      </c>
      <c r="B362" s="101">
        <v>3</v>
      </c>
      <c r="C362" s="101">
        <v>0</v>
      </c>
      <c r="D362" s="101">
        <v>3</v>
      </c>
      <c r="E362" s="101">
        <v>1</v>
      </c>
      <c r="F362" s="101">
        <v>15</v>
      </c>
      <c r="G362" s="101">
        <v>-13</v>
      </c>
      <c r="H362" s="101">
        <v>-2.8</v>
      </c>
      <c r="I362" s="102">
        <v>0.31</v>
      </c>
      <c r="J362" s="102">
        <v>1.51</v>
      </c>
      <c r="K362" s="101">
        <v>6.7</v>
      </c>
      <c r="L362" s="101">
        <v>0.5</v>
      </c>
      <c r="M362" s="101" t="s">
        <v>1088</v>
      </c>
      <c r="N362" s="101">
        <v>2004</v>
      </c>
      <c r="O362" s="101" t="s">
        <v>806</v>
      </c>
      <c r="P362" s="101">
        <v>985952</v>
      </c>
      <c r="Q362" t="s">
        <v>182</v>
      </c>
      <c r="R362" t="s">
        <v>306</v>
      </c>
      <c r="S362" t="s">
        <v>1111</v>
      </c>
      <c r="T362"/>
      <c r="U362"/>
      <c r="V362" s="222"/>
    </row>
    <row r="363" spans="1:22" x14ac:dyDescent="0.2">
      <c r="A363" t="s">
        <v>399</v>
      </c>
      <c r="B363" s="101">
        <v>3</v>
      </c>
      <c r="C363" s="101">
        <v>-5</v>
      </c>
      <c r="D363" s="101">
        <v>3</v>
      </c>
      <c r="E363" s="101">
        <v>-3</v>
      </c>
      <c r="F363" s="101">
        <v>12</v>
      </c>
      <c r="G363" s="101">
        <v>-30</v>
      </c>
      <c r="H363" s="101">
        <v>-7</v>
      </c>
      <c r="I363" s="102">
        <v>0.46</v>
      </c>
      <c r="J363" s="102">
        <v>1.51</v>
      </c>
      <c r="K363" s="101">
        <v>11.3</v>
      </c>
      <c r="L363" s="101">
        <v>0.3</v>
      </c>
      <c r="M363" s="101" t="s">
        <v>1088</v>
      </c>
      <c r="N363" s="101">
        <v>2005</v>
      </c>
      <c r="O363" s="101" t="s">
        <v>806</v>
      </c>
      <c r="P363" s="101">
        <v>520759</v>
      </c>
      <c r="Q363" t="s">
        <v>846</v>
      </c>
      <c r="R363" t="s">
        <v>152</v>
      </c>
      <c r="S363"/>
      <c r="T363"/>
      <c r="U363"/>
      <c r="V363" s="222"/>
    </row>
    <row r="364" spans="1:22" x14ac:dyDescent="0.2">
      <c r="A364" t="s">
        <v>871</v>
      </c>
      <c r="B364" s="101">
        <v>-15</v>
      </c>
      <c r="C364" s="101">
        <v>-15</v>
      </c>
      <c r="D364" s="101">
        <v>-15</v>
      </c>
      <c r="E364" s="101">
        <v>-38</v>
      </c>
      <c r="F364" s="101">
        <v>-52</v>
      </c>
      <c r="G364" s="101"/>
      <c r="H364" s="101"/>
      <c r="I364" s="102">
        <v>0.63</v>
      </c>
      <c r="J364" s="102">
        <v>1.513584</v>
      </c>
      <c r="K364" s="101">
        <v>17.600000000000001</v>
      </c>
      <c r="L364" s="101">
        <v>-1.4</v>
      </c>
      <c r="M364" s="101" t="s">
        <v>1088</v>
      </c>
      <c r="N364" s="101">
        <v>2009</v>
      </c>
      <c r="O364" s="101" t="s">
        <v>806</v>
      </c>
      <c r="P364" s="101">
        <v>711945</v>
      </c>
      <c r="Q364" t="s">
        <v>870</v>
      </c>
      <c r="R364" t="s">
        <v>291</v>
      </c>
      <c r="S364"/>
      <c r="T364"/>
      <c r="U364"/>
      <c r="V364" s="222"/>
    </row>
    <row r="365" spans="1:22" x14ac:dyDescent="0.2">
      <c r="A365" t="s">
        <v>728</v>
      </c>
      <c r="B365" s="101">
        <v>7</v>
      </c>
      <c r="C365" s="101">
        <v>-3</v>
      </c>
      <c r="D365" s="101">
        <v>9</v>
      </c>
      <c r="E365" s="101">
        <v>-8</v>
      </c>
      <c r="F365" s="101">
        <v>32</v>
      </c>
      <c r="G365" s="101">
        <v>-26</v>
      </c>
      <c r="H365" s="101">
        <v>-5.8</v>
      </c>
      <c r="I365" s="102">
        <v>0.6</v>
      </c>
      <c r="J365" s="102">
        <v>1.5163500000000001</v>
      </c>
      <c r="K365" s="101">
        <v>16.899999999999999</v>
      </c>
      <c r="L365" s="101">
        <v>0.6</v>
      </c>
      <c r="M365" s="101" t="s">
        <v>1088</v>
      </c>
      <c r="N365" s="101">
        <v>2000</v>
      </c>
      <c r="O365" s="101" t="s">
        <v>806</v>
      </c>
      <c r="P365" s="101">
        <v>220244</v>
      </c>
      <c r="Q365" t="s">
        <v>727</v>
      </c>
      <c r="R365" t="s">
        <v>723</v>
      </c>
      <c r="S365"/>
      <c r="T365"/>
      <c r="U365"/>
      <c r="V365" s="222"/>
    </row>
    <row r="366" spans="1:22" x14ac:dyDescent="0.2">
      <c r="A366" t="s">
        <v>394</v>
      </c>
      <c r="B366" s="101">
        <v>-6</v>
      </c>
      <c r="C366" s="101">
        <v>-2</v>
      </c>
      <c r="D366" s="101">
        <v>-6</v>
      </c>
      <c r="E366" s="101">
        <v>-1</v>
      </c>
      <c r="F366" s="101">
        <v>1</v>
      </c>
      <c r="G366" s="101">
        <v>23</v>
      </c>
      <c r="H366" s="101">
        <v>4.3</v>
      </c>
      <c r="I366" s="102">
        <v>0.46</v>
      </c>
      <c r="J366" s="102">
        <v>1.52</v>
      </c>
      <c r="K366" s="101">
        <v>7.6</v>
      </c>
      <c r="L366" s="101">
        <v>-0.1</v>
      </c>
      <c r="M366" s="101" t="s">
        <v>1088</v>
      </c>
      <c r="N366" s="101">
        <v>2011</v>
      </c>
      <c r="O366" s="101" t="s">
        <v>685</v>
      </c>
      <c r="P366" s="101">
        <v>639633</v>
      </c>
      <c r="Q366" t="s">
        <v>848</v>
      </c>
      <c r="R366" t="s">
        <v>314</v>
      </c>
      <c r="S366"/>
      <c r="T366"/>
      <c r="U366"/>
      <c r="V366" s="222"/>
    </row>
    <row r="367" spans="1:22" x14ac:dyDescent="0.2">
      <c r="A367" t="s">
        <v>309</v>
      </c>
      <c r="B367" s="101">
        <v>1</v>
      </c>
      <c r="C367" s="101">
        <v>-1</v>
      </c>
      <c r="D367" s="101">
        <v>2</v>
      </c>
      <c r="E367" s="101">
        <v>-1</v>
      </c>
      <c r="F367" s="101">
        <v>3</v>
      </c>
      <c r="G367" s="101">
        <v>-24</v>
      </c>
      <c r="H367" s="101">
        <v>-5.3</v>
      </c>
      <c r="I367" s="102">
        <v>0.42</v>
      </c>
      <c r="J367" s="102">
        <v>1.52</v>
      </c>
      <c r="K367" s="101">
        <v>6.7</v>
      </c>
      <c r="L367" s="101">
        <v>0</v>
      </c>
      <c r="M367" s="101" t="s">
        <v>1088</v>
      </c>
      <c r="N367" s="101">
        <v>2000</v>
      </c>
      <c r="O367" s="101" t="s">
        <v>806</v>
      </c>
      <c r="P367" s="101">
        <v>599795</v>
      </c>
      <c r="Q367" t="s">
        <v>751</v>
      </c>
      <c r="R367" t="s">
        <v>306</v>
      </c>
      <c r="S367"/>
      <c r="T367"/>
      <c r="U367"/>
      <c r="V367" s="222"/>
    </row>
    <row r="368" spans="1:22" x14ac:dyDescent="0.2">
      <c r="A368" t="s">
        <v>157</v>
      </c>
      <c r="B368" s="101">
        <v>3</v>
      </c>
      <c r="C368" s="101">
        <v>-4</v>
      </c>
      <c r="D368" s="101">
        <v>3</v>
      </c>
      <c r="E368" s="101">
        <v>-5</v>
      </c>
      <c r="F368" s="101">
        <v>4</v>
      </c>
      <c r="G368" s="101">
        <v>-30</v>
      </c>
      <c r="H368" s="101">
        <v>-6.9</v>
      </c>
      <c r="I368" s="102">
        <v>0.42</v>
      </c>
      <c r="J368" s="102">
        <v>1.52</v>
      </c>
      <c r="K368" s="101">
        <v>11.4</v>
      </c>
      <c r="L368" s="101">
        <v>0</v>
      </c>
      <c r="M368" s="101" t="s">
        <v>1088</v>
      </c>
      <c r="N368" s="101">
        <v>2000</v>
      </c>
      <c r="O368" s="101" t="s">
        <v>806</v>
      </c>
      <c r="P368" s="101">
        <v>563965</v>
      </c>
      <c r="Q368" t="s">
        <v>751</v>
      </c>
      <c r="R368" t="s">
        <v>152</v>
      </c>
      <c r="S368"/>
      <c r="T368"/>
      <c r="U368"/>
      <c r="V368" s="222"/>
    </row>
    <row r="369" spans="1:22" x14ac:dyDescent="0.2">
      <c r="A369" t="s">
        <v>373</v>
      </c>
      <c r="B369" s="101">
        <v>4</v>
      </c>
      <c r="C369" s="101">
        <v>-4</v>
      </c>
      <c r="D369" s="101">
        <v>5</v>
      </c>
      <c r="E369" s="101">
        <v>2</v>
      </c>
      <c r="F369" s="101">
        <v>-10</v>
      </c>
      <c r="G369" s="101">
        <v>-39</v>
      </c>
      <c r="H369" s="101">
        <v>-9.4</v>
      </c>
      <c r="I369" s="102">
        <v>0.46</v>
      </c>
      <c r="J369" s="102">
        <v>1.52</v>
      </c>
      <c r="K369" s="101">
        <v>14.5</v>
      </c>
      <c r="L369" s="101">
        <v>-0.3</v>
      </c>
      <c r="M369" s="101" t="s">
        <v>1088</v>
      </c>
      <c r="N369" s="101">
        <v>2005</v>
      </c>
      <c r="O369" s="101" t="s">
        <v>806</v>
      </c>
      <c r="P369" s="101">
        <v>377432</v>
      </c>
      <c r="Q369" t="s">
        <v>846</v>
      </c>
      <c r="R369" t="s">
        <v>237</v>
      </c>
      <c r="S369"/>
      <c r="T369"/>
      <c r="U369"/>
      <c r="V369" s="222"/>
    </row>
    <row r="370" spans="1:22" x14ac:dyDescent="0.2">
      <c r="A370" t="s">
        <v>902</v>
      </c>
      <c r="B370" s="101">
        <v>9</v>
      </c>
      <c r="C370" s="101">
        <v>-3</v>
      </c>
      <c r="D370" s="101">
        <v>10</v>
      </c>
      <c r="E370" s="101">
        <v>-10</v>
      </c>
      <c r="F370" s="101">
        <v>20</v>
      </c>
      <c r="G370" s="101">
        <v>-18</v>
      </c>
      <c r="H370" s="101">
        <v>-3.9</v>
      </c>
      <c r="I370" s="102">
        <v>0.6</v>
      </c>
      <c r="J370" s="102">
        <v>1.520032</v>
      </c>
      <c r="K370" s="101">
        <v>17.399999999999999</v>
      </c>
      <c r="L370" s="101">
        <v>0.4</v>
      </c>
      <c r="M370" s="101" t="s">
        <v>1088</v>
      </c>
      <c r="N370" s="101">
        <v>2000</v>
      </c>
      <c r="O370" s="101" t="s">
        <v>806</v>
      </c>
      <c r="P370" s="101">
        <v>184416</v>
      </c>
      <c r="Q370" t="s">
        <v>727</v>
      </c>
      <c r="R370" t="s">
        <v>723</v>
      </c>
      <c r="S370"/>
      <c r="T370"/>
      <c r="U370"/>
      <c r="V370" s="222"/>
    </row>
    <row r="371" spans="1:22" x14ac:dyDescent="0.2">
      <c r="A371" t="s">
        <v>260</v>
      </c>
      <c r="B371" s="101">
        <v>8</v>
      </c>
      <c r="C371" s="101">
        <v>-10</v>
      </c>
      <c r="D371" s="101">
        <v>9</v>
      </c>
      <c r="E371" s="101">
        <v>-14</v>
      </c>
      <c r="F371" s="101">
        <v>29</v>
      </c>
      <c r="G371" s="101">
        <v>-28</v>
      </c>
      <c r="H371" s="101">
        <v>-6.4</v>
      </c>
      <c r="I371" s="102">
        <v>0.59</v>
      </c>
      <c r="J371" s="102">
        <v>1.522718</v>
      </c>
      <c r="K371" s="101">
        <v>22.6</v>
      </c>
      <c r="L371" s="101">
        <v>0.4</v>
      </c>
      <c r="M371" s="101" t="s">
        <v>1090</v>
      </c>
      <c r="N371" s="101">
        <v>2001</v>
      </c>
      <c r="O371" s="101" t="s">
        <v>685</v>
      </c>
      <c r="P371" s="101">
        <v>147348</v>
      </c>
      <c r="Q371" t="s">
        <v>807</v>
      </c>
      <c r="R371" t="s">
        <v>250</v>
      </c>
      <c r="S371"/>
      <c r="T371"/>
      <c r="U371"/>
      <c r="V371" s="222"/>
    </row>
    <row r="372" spans="1:22" x14ac:dyDescent="0.2">
      <c r="A372" t="s">
        <v>277</v>
      </c>
      <c r="B372" s="101">
        <v>7</v>
      </c>
      <c r="C372" s="101">
        <v>-7</v>
      </c>
      <c r="D372" s="101">
        <v>7</v>
      </c>
      <c r="E372" s="101">
        <v>11</v>
      </c>
      <c r="F372" s="101">
        <v>25</v>
      </c>
      <c r="G372" s="101">
        <v>6</v>
      </c>
      <c r="H372" s="101">
        <v>1.1000000000000001</v>
      </c>
      <c r="I372" s="102">
        <v>0.46</v>
      </c>
      <c r="J372" s="102">
        <v>1.53</v>
      </c>
      <c r="K372" s="101">
        <v>12.4</v>
      </c>
      <c r="L372" s="101">
        <v>0.5</v>
      </c>
      <c r="M372" s="101" t="s">
        <v>1088</v>
      </c>
      <c r="N372" s="101">
        <v>2002</v>
      </c>
      <c r="O372" s="101" t="s">
        <v>806</v>
      </c>
      <c r="P372" s="101">
        <v>194092</v>
      </c>
      <c r="Q372" t="s">
        <v>846</v>
      </c>
      <c r="R372" t="s">
        <v>273</v>
      </c>
      <c r="S372"/>
      <c r="T372"/>
      <c r="U372"/>
      <c r="V372" s="222"/>
    </row>
    <row r="373" spans="1:22" x14ac:dyDescent="0.2">
      <c r="A373" t="s">
        <v>456</v>
      </c>
      <c r="B373" s="101">
        <v>6</v>
      </c>
      <c r="C373" s="101">
        <v>0</v>
      </c>
      <c r="D373" s="101">
        <v>6</v>
      </c>
      <c r="E373" s="101">
        <v>4</v>
      </c>
      <c r="F373" s="101">
        <v>16</v>
      </c>
      <c r="G373" s="101">
        <v>0</v>
      </c>
      <c r="H373" s="101">
        <v>0</v>
      </c>
      <c r="I373" s="102">
        <v>0.61</v>
      </c>
      <c r="J373" s="102">
        <v>1.53</v>
      </c>
      <c r="K373" s="101">
        <v>8.3000000000000007</v>
      </c>
      <c r="L373" s="101">
        <v>0.5</v>
      </c>
      <c r="M373" s="101" t="s">
        <v>1089</v>
      </c>
      <c r="N373" s="101">
        <v>2004</v>
      </c>
      <c r="O373" s="101" t="s">
        <v>685</v>
      </c>
      <c r="P373" s="101">
        <v>320358</v>
      </c>
      <c r="Q373" t="s">
        <v>63</v>
      </c>
      <c r="R373" t="s">
        <v>152</v>
      </c>
      <c r="S373"/>
      <c r="T373"/>
      <c r="U373"/>
      <c r="V373" s="222"/>
    </row>
    <row r="374" spans="1:22" x14ac:dyDescent="0.2">
      <c r="A374" t="s">
        <v>681</v>
      </c>
      <c r="B374" s="101">
        <v>8</v>
      </c>
      <c r="C374" s="101">
        <v>5</v>
      </c>
      <c r="D374" s="101">
        <v>8</v>
      </c>
      <c r="E374" s="101">
        <v>7</v>
      </c>
      <c r="F374" s="101">
        <v>8</v>
      </c>
      <c r="G374" s="101">
        <v>-3</v>
      </c>
      <c r="H374" s="101">
        <v>-0.5</v>
      </c>
      <c r="I374" s="102">
        <v>0.51</v>
      </c>
      <c r="J374" s="102">
        <v>1.53</v>
      </c>
      <c r="K374" s="101">
        <v>10.5</v>
      </c>
      <c r="L374" s="101">
        <v>0.2</v>
      </c>
      <c r="M374" s="101" t="s">
        <v>1091</v>
      </c>
      <c r="N374" s="101">
        <v>2000</v>
      </c>
      <c r="O374" s="101" t="s">
        <v>685</v>
      </c>
      <c r="P374" s="101">
        <v>298570</v>
      </c>
      <c r="Q374" t="s">
        <v>368</v>
      </c>
      <c r="R374" t="s">
        <v>678</v>
      </c>
      <c r="S374"/>
      <c r="T374"/>
      <c r="U374"/>
      <c r="V374" s="222"/>
    </row>
    <row r="375" spans="1:22" x14ac:dyDescent="0.2">
      <c r="A375" t="s">
        <v>122</v>
      </c>
      <c r="B375" s="101">
        <v>6</v>
      </c>
      <c r="C375" s="101">
        <v>0</v>
      </c>
      <c r="D375" s="101">
        <v>5</v>
      </c>
      <c r="E375" s="101">
        <v>13</v>
      </c>
      <c r="F375" s="101">
        <v>8</v>
      </c>
      <c r="G375" s="101">
        <v>-19</v>
      </c>
      <c r="H375" s="101">
        <v>-4.2</v>
      </c>
      <c r="I375" s="102">
        <v>0.42</v>
      </c>
      <c r="J375" s="102">
        <v>1.53</v>
      </c>
      <c r="K375" s="101">
        <v>9.8000000000000007</v>
      </c>
      <c r="L375" s="101">
        <v>0.1</v>
      </c>
      <c r="M375" s="101" t="s">
        <v>1088</v>
      </c>
      <c r="N375" s="101">
        <v>2000</v>
      </c>
      <c r="O375" s="101" t="s">
        <v>806</v>
      </c>
      <c r="P375" s="101">
        <v>456475</v>
      </c>
      <c r="Q375" t="s">
        <v>751</v>
      </c>
      <c r="R375" t="s">
        <v>108</v>
      </c>
      <c r="S375"/>
      <c r="T375"/>
      <c r="U375"/>
      <c r="V375" s="222"/>
    </row>
    <row r="376" spans="1:22" x14ac:dyDescent="0.2">
      <c r="A376" t="s">
        <v>156</v>
      </c>
      <c r="B376" s="101">
        <v>3</v>
      </c>
      <c r="C376" s="101">
        <v>-6</v>
      </c>
      <c r="D376" s="101">
        <v>3</v>
      </c>
      <c r="E376" s="101">
        <v>0</v>
      </c>
      <c r="F376" s="101">
        <v>5</v>
      </c>
      <c r="G376" s="101">
        <v>-26</v>
      </c>
      <c r="H376" s="101">
        <v>-5.9</v>
      </c>
      <c r="I376" s="102">
        <v>0.42</v>
      </c>
      <c r="J376" s="102">
        <v>1.53</v>
      </c>
      <c r="K376" s="101">
        <v>10.1</v>
      </c>
      <c r="L376" s="101">
        <v>0</v>
      </c>
      <c r="M376" s="101" t="s">
        <v>1088</v>
      </c>
      <c r="N376" s="101">
        <v>2004</v>
      </c>
      <c r="O376" s="101" t="s">
        <v>806</v>
      </c>
      <c r="P376" s="101">
        <v>522581</v>
      </c>
      <c r="Q376" t="s">
        <v>751</v>
      </c>
      <c r="R376" t="s">
        <v>152</v>
      </c>
      <c r="S376"/>
      <c r="T376"/>
      <c r="U376"/>
      <c r="V376" s="222"/>
    </row>
    <row r="377" spans="1:22" x14ac:dyDescent="0.2">
      <c r="A377" t="s">
        <v>859</v>
      </c>
      <c r="B377" s="101">
        <v>3</v>
      </c>
      <c r="C377" s="101">
        <v>-12</v>
      </c>
      <c r="D377" s="101">
        <v>4</v>
      </c>
      <c r="E377" s="101">
        <v>-7</v>
      </c>
      <c r="F377" s="101">
        <v>0</v>
      </c>
      <c r="G377" s="101">
        <v>-27</v>
      </c>
      <c r="H377" s="101">
        <v>-6.1</v>
      </c>
      <c r="I377" s="102">
        <v>0.57999999999999996</v>
      </c>
      <c r="J377" s="102">
        <v>1.53</v>
      </c>
      <c r="K377" s="101">
        <v>18.3</v>
      </c>
      <c r="L377" s="101">
        <v>0</v>
      </c>
      <c r="M377" s="101" t="s">
        <v>1088</v>
      </c>
      <c r="N377" s="101">
        <v>2005</v>
      </c>
      <c r="O377" s="101" t="s">
        <v>806</v>
      </c>
      <c r="P377" s="101">
        <v>832899</v>
      </c>
      <c r="Q377" t="s">
        <v>462</v>
      </c>
      <c r="R377" t="s">
        <v>723</v>
      </c>
      <c r="S377"/>
      <c r="T377"/>
      <c r="U377"/>
      <c r="V377" s="222"/>
    </row>
    <row r="378" spans="1:22" x14ac:dyDescent="0.2">
      <c r="A378" t="s">
        <v>51</v>
      </c>
      <c r="B378" s="101">
        <v>2</v>
      </c>
      <c r="C378" s="101">
        <v>-5</v>
      </c>
      <c r="D378" s="101">
        <v>3</v>
      </c>
      <c r="E378" s="101">
        <v>-21</v>
      </c>
      <c r="F378" s="101">
        <v>-14</v>
      </c>
      <c r="G378" s="101">
        <v>-46</v>
      </c>
      <c r="H378" s="101">
        <v>-11.6</v>
      </c>
      <c r="I378" s="102">
        <v>0.38</v>
      </c>
      <c r="J378" s="102">
        <v>1.53</v>
      </c>
      <c r="K378" s="101">
        <v>16</v>
      </c>
      <c r="L378" s="101">
        <v>-0.3</v>
      </c>
      <c r="M378" s="101" t="s">
        <v>1088</v>
      </c>
      <c r="N378" s="101">
        <v>2000</v>
      </c>
      <c r="O378" s="101" t="s">
        <v>806</v>
      </c>
      <c r="P378" s="101">
        <v>108506</v>
      </c>
      <c r="Q378" t="s">
        <v>755</v>
      </c>
      <c r="R378" t="s">
        <v>48</v>
      </c>
      <c r="S378"/>
      <c r="T378"/>
      <c r="U378"/>
      <c r="V378" s="222"/>
    </row>
    <row r="379" spans="1:22" x14ac:dyDescent="0.2">
      <c r="A379" t="s">
        <v>68</v>
      </c>
      <c r="B379" s="101">
        <v>-1</v>
      </c>
      <c r="C379" s="101">
        <v>-9</v>
      </c>
      <c r="D379" s="101">
        <v>0</v>
      </c>
      <c r="E379" s="101">
        <v>-19</v>
      </c>
      <c r="F379" s="101">
        <v>-6</v>
      </c>
      <c r="G379" s="101">
        <v>-46</v>
      </c>
      <c r="H379" s="101">
        <v>-11.7</v>
      </c>
      <c r="I379" s="102">
        <v>0.63</v>
      </c>
      <c r="J379" s="102">
        <v>1.53</v>
      </c>
      <c r="K379" s="101">
        <v>14.8</v>
      </c>
      <c r="L379" s="101">
        <v>-0.1</v>
      </c>
      <c r="M379" s="101" t="s">
        <v>1089</v>
      </c>
      <c r="N379" s="101">
        <v>2000</v>
      </c>
      <c r="O379" s="101" t="s">
        <v>685</v>
      </c>
      <c r="P379" s="101">
        <v>222661</v>
      </c>
      <c r="Q379" t="s">
        <v>811</v>
      </c>
      <c r="R379" t="s">
        <v>48</v>
      </c>
      <c r="S379"/>
      <c r="T379"/>
      <c r="U379"/>
      <c r="V379" s="222"/>
    </row>
    <row r="380" spans="1:22" x14ac:dyDescent="0.2">
      <c r="A380" t="s">
        <v>60</v>
      </c>
      <c r="B380" s="101">
        <v>-3</v>
      </c>
      <c r="C380" s="101">
        <v>-2</v>
      </c>
      <c r="D380" s="101">
        <v>-2</v>
      </c>
      <c r="E380" s="101">
        <v>-13</v>
      </c>
      <c r="F380" s="101">
        <v>-10</v>
      </c>
      <c r="G380" s="101">
        <v>-49</v>
      </c>
      <c r="H380" s="101">
        <v>-12.6</v>
      </c>
      <c r="I380" s="102">
        <v>0.42</v>
      </c>
      <c r="J380" s="102">
        <v>1.53</v>
      </c>
      <c r="K380" s="101">
        <v>13</v>
      </c>
      <c r="L380" s="101">
        <v>-0.3</v>
      </c>
      <c r="M380" s="101" t="s">
        <v>1088</v>
      </c>
      <c r="N380" s="101">
        <v>2000</v>
      </c>
      <c r="O380" s="101" t="s">
        <v>806</v>
      </c>
      <c r="P380" s="101">
        <v>492306</v>
      </c>
      <c r="Q380" t="s">
        <v>751</v>
      </c>
      <c r="R380" t="s">
        <v>48</v>
      </c>
      <c r="S380"/>
      <c r="T380"/>
      <c r="U380"/>
      <c r="V380" s="222"/>
    </row>
    <row r="381" spans="1:22" x14ac:dyDescent="0.2">
      <c r="A381" t="s">
        <v>387</v>
      </c>
      <c r="B381" s="101">
        <v>1</v>
      </c>
      <c r="C381" s="101">
        <v>-7</v>
      </c>
      <c r="D381" s="101">
        <v>1</v>
      </c>
      <c r="E381" s="101">
        <v>-6</v>
      </c>
      <c r="F381" s="101">
        <v>33</v>
      </c>
      <c r="G381" s="101">
        <v>-1</v>
      </c>
      <c r="H381" s="101">
        <v>-0.3</v>
      </c>
      <c r="I381" s="102">
        <v>0.63</v>
      </c>
      <c r="J381" s="102">
        <v>1.5329999999999999</v>
      </c>
      <c r="K381" s="101">
        <v>13.3</v>
      </c>
      <c r="L381" s="101">
        <v>0.7</v>
      </c>
      <c r="M381" s="101" t="s">
        <v>1088</v>
      </c>
      <c r="N381" s="101">
        <v>2004</v>
      </c>
      <c r="O381" s="101" t="s">
        <v>806</v>
      </c>
      <c r="P381" s="101">
        <v>339184</v>
      </c>
      <c r="Q381" t="s">
        <v>671</v>
      </c>
      <c r="R381" t="s">
        <v>723</v>
      </c>
      <c r="S381"/>
      <c r="T381"/>
      <c r="U381"/>
      <c r="V381" s="222"/>
    </row>
    <row r="382" spans="1:22" x14ac:dyDescent="0.2">
      <c r="A382" t="s">
        <v>672</v>
      </c>
      <c r="B382" s="101">
        <v>4</v>
      </c>
      <c r="C382" s="101">
        <v>-8</v>
      </c>
      <c r="D382" s="101">
        <v>5</v>
      </c>
      <c r="E382" s="101">
        <v>-10</v>
      </c>
      <c r="F382" s="101">
        <v>54</v>
      </c>
      <c r="G382" s="101">
        <v>-24</v>
      </c>
      <c r="H382" s="101">
        <v>-5.3</v>
      </c>
      <c r="I382" s="102">
        <v>0.63</v>
      </c>
      <c r="J382" s="102">
        <v>1.5336000000000001</v>
      </c>
      <c r="K382" s="101">
        <v>19.7</v>
      </c>
      <c r="L382" s="101">
        <v>0.8</v>
      </c>
      <c r="M382" s="101" t="s">
        <v>1088</v>
      </c>
      <c r="N382" s="101">
        <v>2003</v>
      </c>
      <c r="O382" s="101" t="s">
        <v>806</v>
      </c>
      <c r="P382" s="101">
        <v>152181</v>
      </c>
      <c r="Q382" t="s">
        <v>671</v>
      </c>
      <c r="R382" t="s">
        <v>723</v>
      </c>
      <c r="S382"/>
      <c r="T382"/>
      <c r="U382"/>
      <c r="V382" s="222"/>
    </row>
    <row r="383" spans="1:22" x14ac:dyDescent="0.2">
      <c r="A383" t="s">
        <v>113</v>
      </c>
      <c r="B383" s="101">
        <v>3</v>
      </c>
      <c r="C383" s="101">
        <v>-9</v>
      </c>
      <c r="D383" s="101">
        <v>5</v>
      </c>
      <c r="E383" s="101">
        <v>-18</v>
      </c>
      <c r="F383" s="101">
        <v>-1</v>
      </c>
      <c r="G383" s="101">
        <v>-39</v>
      </c>
      <c r="H383" s="101">
        <v>-9.4</v>
      </c>
      <c r="I383" s="102">
        <v>0.6</v>
      </c>
      <c r="J383" s="102">
        <v>1.53369</v>
      </c>
      <c r="K383" s="101">
        <v>16.8</v>
      </c>
      <c r="L383" s="101">
        <v>0</v>
      </c>
      <c r="M383" s="101" t="s">
        <v>1090</v>
      </c>
      <c r="N383" s="101">
        <v>2001</v>
      </c>
      <c r="O383" s="101" t="s">
        <v>685</v>
      </c>
      <c r="P383" s="101">
        <v>219006</v>
      </c>
      <c r="Q383" t="s">
        <v>807</v>
      </c>
      <c r="R383" t="s">
        <v>800</v>
      </c>
      <c r="S383"/>
      <c r="T383"/>
      <c r="U383"/>
      <c r="V383" s="222"/>
    </row>
    <row r="384" spans="1:22" x14ac:dyDescent="0.2">
      <c r="A384" t="s">
        <v>661</v>
      </c>
      <c r="B384" s="101">
        <v>8</v>
      </c>
      <c r="C384" s="101">
        <v>-7</v>
      </c>
      <c r="D384" s="101">
        <v>9</v>
      </c>
      <c r="E384" s="101">
        <v>-9</v>
      </c>
      <c r="F384" s="101">
        <v>41</v>
      </c>
      <c r="G384" s="101"/>
      <c r="H384" s="101"/>
      <c r="I384" s="102">
        <v>0.64</v>
      </c>
      <c r="J384" s="102">
        <v>1.5390999999999999</v>
      </c>
      <c r="K384" s="101">
        <v>18.3</v>
      </c>
      <c r="L384" s="101">
        <v>0.7</v>
      </c>
      <c r="M384" s="101" t="s">
        <v>1088</v>
      </c>
      <c r="N384" s="101">
        <v>2008</v>
      </c>
      <c r="O384" s="101" t="s">
        <v>806</v>
      </c>
      <c r="P384" s="101">
        <v>272898</v>
      </c>
      <c r="Q384" t="s">
        <v>671</v>
      </c>
      <c r="R384" t="s">
        <v>723</v>
      </c>
      <c r="S384"/>
      <c r="T384"/>
      <c r="U384"/>
      <c r="V384" s="222"/>
    </row>
    <row r="385" spans="1:22" x14ac:dyDescent="0.2">
      <c r="A385" t="s">
        <v>812</v>
      </c>
      <c r="B385" s="101">
        <v>3</v>
      </c>
      <c r="C385" s="101">
        <v>2</v>
      </c>
      <c r="D385" s="101">
        <v>3</v>
      </c>
      <c r="E385" s="101">
        <v>2</v>
      </c>
      <c r="F385" s="101">
        <v>7</v>
      </c>
      <c r="G385" s="101">
        <v>2</v>
      </c>
      <c r="H385" s="101">
        <v>0.3</v>
      </c>
      <c r="I385" s="102">
        <v>0.62</v>
      </c>
      <c r="J385" s="102">
        <v>1.54</v>
      </c>
      <c r="K385" s="101">
        <v>8.1999999999999993</v>
      </c>
      <c r="L385" s="101">
        <v>0.2</v>
      </c>
      <c r="M385" s="101" t="s">
        <v>1089</v>
      </c>
      <c r="N385" s="101">
        <v>2006</v>
      </c>
      <c r="O385" s="101" t="s">
        <v>685</v>
      </c>
      <c r="P385" s="101">
        <v>985895</v>
      </c>
      <c r="Q385" t="s">
        <v>63</v>
      </c>
      <c r="R385" t="s">
        <v>152</v>
      </c>
      <c r="S385"/>
      <c r="T385"/>
      <c r="U385"/>
      <c r="V385" s="222"/>
    </row>
    <row r="386" spans="1:22" x14ac:dyDescent="0.2">
      <c r="A386" t="s">
        <v>860</v>
      </c>
      <c r="B386" s="101">
        <v>8</v>
      </c>
      <c r="C386" s="101">
        <v>-5</v>
      </c>
      <c r="D386" s="101">
        <v>9</v>
      </c>
      <c r="E386" s="101">
        <v>-5</v>
      </c>
      <c r="F386" s="101">
        <v>33</v>
      </c>
      <c r="G386" s="101">
        <v>-16</v>
      </c>
      <c r="H386" s="101">
        <v>-3.4</v>
      </c>
      <c r="I386" s="102">
        <v>0.57999999999999996</v>
      </c>
      <c r="J386" s="102">
        <v>1.54</v>
      </c>
      <c r="K386" s="101">
        <v>15.9</v>
      </c>
      <c r="L386" s="101">
        <v>0.6</v>
      </c>
      <c r="M386" s="101" t="s">
        <v>1088</v>
      </c>
      <c r="N386" s="101">
        <v>2000</v>
      </c>
      <c r="O386" s="101" t="s">
        <v>806</v>
      </c>
      <c r="P386" s="101">
        <v>937433</v>
      </c>
      <c r="Q386" t="s">
        <v>462</v>
      </c>
      <c r="R386" t="s">
        <v>782</v>
      </c>
      <c r="S386"/>
      <c r="T386"/>
      <c r="U386"/>
      <c r="V386" s="222"/>
    </row>
    <row r="387" spans="1:22" x14ac:dyDescent="0.2">
      <c r="A387" t="s">
        <v>111</v>
      </c>
      <c r="B387" s="101">
        <v>5</v>
      </c>
      <c r="C387" s="101">
        <v>-3</v>
      </c>
      <c r="D387" s="101">
        <v>5</v>
      </c>
      <c r="E387" s="101">
        <v>11</v>
      </c>
      <c r="F387" s="101">
        <v>30</v>
      </c>
      <c r="G387" s="101">
        <v>-10</v>
      </c>
      <c r="H387" s="101">
        <v>-2</v>
      </c>
      <c r="I387" s="102">
        <v>0.38</v>
      </c>
      <c r="J387" s="102">
        <v>1.55</v>
      </c>
      <c r="K387" s="101">
        <v>9.6999999999999993</v>
      </c>
      <c r="L387" s="101">
        <v>0.8</v>
      </c>
      <c r="M387" s="101" t="s">
        <v>1088</v>
      </c>
      <c r="N387" s="101">
        <v>2001</v>
      </c>
      <c r="O387" s="101" t="s">
        <v>806</v>
      </c>
      <c r="P387" s="101">
        <v>684795</v>
      </c>
      <c r="Q387" t="s">
        <v>755</v>
      </c>
      <c r="R387" t="s">
        <v>108</v>
      </c>
      <c r="S387"/>
      <c r="T387"/>
      <c r="U387"/>
      <c r="V387" s="222"/>
    </row>
    <row r="388" spans="1:22" x14ac:dyDescent="0.2">
      <c r="A388" t="s">
        <v>50</v>
      </c>
      <c r="B388" s="101">
        <v>3</v>
      </c>
      <c r="C388" s="101">
        <v>-5</v>
      </c>
      <c r="D388" s="101">
        <v>4</v>
      </c>
      <c r="E388" s="101">
        <v>-15</v>
      </c>
      <c r="F388" s="101">
        <v>-2</v>
      </c>
      <c r="G388" s="101">
        <v>-31</v>
      </c>
      <c r="H388" s="101">
        <v>-7.2</v>
      </c>
      <c r="I388" s="102">
        <v>0.38</v>
      </c>
      <c r="J388" s="102">
        <v>1.55</v>
      </c>
      <c r="K388" s="101">
        <v>15.5</v>
      </c>
      <c r="L388" s="101">
        <v>-0.1</v>
      </c>
      <c r="M388" s="101" t="s">
        <v>1088</v>
      </c>
      <c r="N388" s="101">
        <v>2001</v>
      </c>
      <c r="O388" s="101" t="s">
        <v>806</v>
      </c>
      <c r="P388" s="101">
        <v>577304</v>
      </c>
      <c r="Q388" t="s">
        <v>755</v>
      </c>
      <c r="R388" t="s">
        <v>48</v>
      </c>
      <c r="S388"/>
      <c r="T388"/>
      <c r="U388"/>
      <c r="V388" s="222"/>
    </row>
    <row r="389" spans="1:22" x14ac:dyDescent="0.2">
      <c r="A389" t="s">
        <v>296</v>
      </c>
      <c r="B389" s="101">
        <v>3</v>
      </c>
      <c r="C389" s="101">
        <v>-6</v>
      </c>
      <c r="D389" s="101">
        <v>4</v>
      </c>
      <c r="E389" s="101">
        <v>-11</v>
      </c>
      <c r="F389" s="101">
        <v>-12</v>
      </c>
      <c r="G389" s="101">
        <v>-42</v>
      </c>
      <c r="H389" s="101">
        <v>-10.4</v>
      </c>
      <c r="I389" s="102">
        <v>0.38</v>
      </c>
      <c r="J389" s="102">
        <v>1.55</v>
      </c>
      <c r="K389" s="101">
        <v>14</v>
      </c>
      <c r="L389" s="101">
        <v>-0.3</v>
      </c>
      <c r="M389" s="101" t="s">
        <v>1088</v>
      </c>
      <c r="N389" s="101">
        <v>2000</v>
      </c>
      <c r="O389" s="101" t="s">
        <v>806</v>
      </c>
      <c r="P389" s="101">
        <v>144337</v>
      </c>
      <c r="Q389" t="s">
        <v>755</v>
      </c>
      <c r="R389" t="s">
        <v>291</v>
      </c>
      <c r="S389"/>
      <c r="T389"/>
      <c r="U389"/>
      <c r="V389" s="222"/>
    </row>
    <row r="390" spans="1:22" x14ac:dyDescent="0.2">
      <c r="A390" t="s">
        <v>409</v>
      </c>
      <c r="B390" s="101">
        <v>7</v>
      </c>
      <c r="C390" s="101">
        <v>-3</v>
      </c>
      <c r="D390" s="101">
        <v>7</v>
      </c>
      <c r="E390" s="101">
        <v>-2</v>
      </c>
      <c r="F390" s="101"/>
      <c r="G390" s="101"/>
      <c r="H390" s="101"/>
      <c r="I390" s="102">
        <v>0.61</v>
      </c>
      <c r="J390" s="102">
        <v>1.55</v>
      </c>
      <c r="K390" s="101"/>
      <c r="L390" s="101"/>
      <c r="M390" s="101" t="s">
        <v>1089</v>
      </c>
      <c r="N390" s="101">
        <v>2010</v>
      </c>
      <c r="O390" s="101" t="s">
        <v>685</v>
      </c>
      <c r="P390" s="101">
        <v>550970</v>
      </c>
      <c r="Q390" t="s">
        <v>376</v>
      </c>
      <c r="R390" t="s">
        <v>678</v>
      </c>
      <c r="S390"/>
      <c r="T390"/>
      <c r="U390"/>
      <c r="V390" s="222"/>
    </row>
    <row r="391" spans="1:22" x14ac:dyDescent="0.2">
      <c r="A391" t="s">
        <v>281</v>
      </c>
      <c r="B391" s="101">
        <v>5</v>
      </c>
      <c r="C391" s="101">
        <v>-8</v>
      </c>
      <c r="D391" s="101">
        <v>5</v>
      </c>
      <c r="E391" s="101">
        <v>5</v>
      </c>
      <c r="F391" s="101">
        <v>16</v>
      </c>
      <c r="G391" s="101">
        <v>-11</v>
      </c>
      <c r="H391" s="101">
        <v>-2.2999999999999998</v>
      </c>
      <c r="I391" s="102">
        <v>0.43</v>
      </c>
      <c r="J391" s="102">
        <v>1.57</v>
      </c>
      <c r="K391" s="101">
        <v>12.9</v>
      </c>
      <c r="L391" s="101">
        <v>0.3</v>
      </c>
      <c r="M391" s="101" t="s">
        <v>1088</v>
      </c>
      <c r="N391" s="101">
        <v>2000</v>
      </c>
      <c r="O391" s="101" t="s">
        <v>806</v>
      </c>
      <c r="P391" s="101">
        <v>126094</v>
      </c>
      <c r="Q391" t="s">
        <v>751</v>
      </c>
      <c r="R391" t="s">
        <v>273</v>
      </c>
      <c r="S391"/>
      <c r="T391"/>
      <c r="U391"/>
      <c r="V391" s="222"/>
    </row>
    <row r="392" spans="1:22" x14ac:dyDescent="0.2">
      <c r="A392" t="s">
        <v>861</v>
      </c>
      <c r="B392" s="101">
        <v>10</v>
      </c>
      <c r="C392" s="101">
        <v>-3</v>
      </c>
      <c r="D392" s="101">
        <v>11</v>
      </c>
      <c r="E392" s="101">
        <v>-3</v>
      </c>
      <c r="F392" s="101">
        <v>28</v>
      </c>
      <c r="G392" s="101">
        <v>-17</v>
      </c>
      <c r="H392" s="101">
        <v>-3.7</v>
      </c>
      <c r="I392" s="102">
        <v>0.59</v>
      </c>
      <c r="J392" s="102">
        <v>1.57</v>
      </c>
      <c r="K392" s="101">
        <v>14.7</v>
      </c>
      <c r="L392" s="101">
        <v>0.5</v>
      </c>
      <c r="M392" s="101" t="s">
        <v>1088</v>
      </c>
      <c r="N392" s="101">
        <v>2000</v>
      </c>
      <c r="O392" s="101" t="s">
        <v>806</v>
      </c>
      <c r="P392" s="101">
        <v>144923</v>
      </c>
      <c r="Q392" t="s">
        <v>462</v>
      </c>
      <c r="R392" t="s">
        <v>48</v>
      </c>
      <c r="S392"/>
      <c r="T392"/>
      <c r="U392"/>
      <c r="V392" s="222"/>
    </row>
    <row r="393" spans="1:22" x14ac:dyDescent="0.2">
      <c r="A393" t="s">
        <v>119</v>
      </c>
      <c r="B393" s="101">
        <v>6</v>
      </c>
      <c r="C393" s="101">
        <v>-3</v>
      </c>
      <c r="D393" s="101">
        <v>6</v>
      </c>
      <c r="E393" s="101">
        <v>-5</v>
      </c>
      <c r="F393" s="101">
        <v>8</v>
      </c>
      <c r="G393" s="101">
        <v>-21</v>
      </c>
      <c r="H393" s="101">
        <v>-4.7</v>
      </c>
      <c r="I393" s="102">
        <v>0.45</v>
      </c>
      <c r="J393" s="102">
        <v>1.57</v>
      </c>
      <c r="K393" s="101">
        <v>13.5</v>
      </c>
      <c r="L393" s="101">
        <v>0.2</v>
      </c>
      <c r="M393" s="101" t="s">
        <v>1091</v>
      </c>
      <c r="N393" s="101">
        <v>2003</v>
      </c>
      <c r="O393" s="101" t="s">
        <v>685</v>
      </c>
      <c r="P393" s="101">
        <v>919787</v>
      </c>
      <c r="Q393" t="s">
        <v>729</v>
      </c>
      <c r="R393" t="s">
        <v>138</v>
      </c>
      <c r="S393"/>
      <c r="T393"/>
      <c r="U393"/>
      <c r="V393" s="222"/>
    </row>
    <row r="394" spans="1:22" x14ac:dyDescent="0.2">
      <c r="A394" t="s">
        <v>822</v>
      </c>
      <c r="B394" s="101">
        <v>4</v>
      </c>
      <c r="C394" s="101">
        <v>8</v>
      </c>
      <c r="D394" s="101">
        <v>5</v>
      </c>
      <c r="E394" s="101">
        <v>15</v>
      </c>
      <c r="F394" s="101">
        <v>12</v>
      </c>
      <c r="G394" s="101">
        <v>27</v>
      </c>
      <c r="H394" s="101">
        <v>4.9000000000000004</v>
      </c>
      <c r="I394" s="102">
        <v>0.62</v>
      </c>
      <c r="J394" s="102">
        <v>1.5760000000000001</v>
      </c>
      <c r="K394" s="101">
        <v>12.3</v>
      </c>
      <c r="L394" s="101">
        <v>0.3</v>
      </c>
      <c r="M394" s="101" t="s">
        <v>1091</v>
      </c>
      <c r="N394" s="101">
        <v>2008</v>
      </c>
      <c r="O394" s="101" t="s">
        <v>685</v>
      </c>
      <c r="P394" s="101">
        <v>909333</v>
      </c>
      <c r="Q394" t="s">
        <v>821</v>
      </c>
      <c r="R394" t="s">
        <v>678</v>
      </c>
      <c r="S394"/>
      <c r="T394"/>
      <c r="U394"/>
      <c r="V394" s="222"/>
    </row>
    <row r="395" spans="1:22" x14ac:dyDescent="0.2">
      <c r="A395" t="s">
        <v>298</v>
      </c>
      <c r="B395" s="101">
        <v>-12</v>
      </c>
      <c r="C395" s="101">
        <v>-13</v>
      </c>
      <c r="D395" s="101">
        <v>-11</v>
      </c>
      <c r="E395" s="101">
        <v>-25</v>
      </c>
      <c r="F395" s="101">
        <v>5</v>
      </c>
      <c r="G395" s="101">
        <v>-13</v>
      </c>
      <c r="H395" s="101">
        <v>-2.8</v>
      </c>
      <c r="I395" s="102">
        <v>0.53</v>
      </c>
      <c r="J395" s="102">
        <v>1.5786640000000001</v>
      </c>
      <c r="K395" s="101">
        <v>21.8</v>
      </c>
      <c r="L395" s="101">
        <v>0.1</v>
      </c>
      <c r="M395" s="101" t="s">
        <v>1092</v>
      </c>
      <c r="N395" s="101">
        <v>2003</v>
      </c>
      <c r="O395" s="101" t="s">
        <v>685</v>
      </c>
      <c r="P395" s="101">
        <v>899120</v>
      </c>
      <c r="Q395" t="s">
        <v>375</v>
      </c>
      <c r="R395" t="s">
        <v>291</v>
      </c>
      <c r="S395"/>
      <c r="T395"/>
      <c r="U395"/>
      <c r="V395" s="222"/>
    </row>
    <row r="396" spans="1:22" x14ac:dyDescent="0.2">
      <c r="A396" t="s">
        <v>329</v>
      </c>
      <c r="B396" s="101">
        <v>1</v>
      </c>
      <c r="C396" s="101">
        <v>-8</v>
      </c>
      <c r="D396" s="101">
        <v>2</v>
      </c>
      <c r="E396" s="101">
        <v>-14</v>
      </c>
      <c r="F396" s="101">
        <v>1</v>
      </c>
      <c r="G396" s="101">
        <v>-31</v>
      </c>
      <c r="H396" s="101">
        <v>-7.1</v>
      </c>
      <c r="I396" s="102">
        <v>0.63</v>
      </c>
      <c r="J396" s="102">
        <v>1.58</v>
      </c>
      <c r="K396" s="101">
        <v>15.4</v>
      </c>
      <c r="L396" s="101">
        <v>0</v>
      </c>
      <c r="M396" s="101" t="s">
        <v>1089</v>
      </c>
      <c r="N396" s="101">
        <v>2010</v>
      </c>
      <c r="O396" s="101" t="s">
        <v>685</v>
      </c>
      <c r="P396" s="101">
        <v>238832</v>
      </c>
      <c r="Q396" t="s">
        <v>316</v>
      </c>
      <c r="R396" t="s">
        <v>48</v>
      </c>
      <c r="S396"/>
      <c r="T396"/>
      <c r="U396"/>
      <c r="V396" s="222"/>
    </row>
    <row r="397" spans="1:22" x14ac:dyDescent="0.2">
      <c r="A397" t="s">
        <v>687</v>
      </c>
      <c r="B397" s="101">
        <v>10</v>
      </c>
      <c r="C397" s="101">
        <v>-4</v>
      </c>
      <c r="D397" s="101">
        <v>10</v>
      </c>
      <c r="E397" s="101">
        <v>-10</v>
      </c>
      <c r="F397" s="101">
        <v>25</v>
      </c>
      <c r="G397" s="101">
        <v>26</v>
      </c>
      <c r="H397" s="101">
        <v>4.8</v>
      </c>
      <c r="I397" s="102">
        <v>0.62</v>
      </c>
      <c r="J397" s="102">
        <v>1.59</v>
      </c>
      <c r="K397" s="101">
        <v>12.3</v>
      </c>
      <c r="L397" s="101">
        <v>0.6</v>
      </c>
      <c r="M397" s="101" t="s">
        <v>1089</v>
      </c>
      <c r="N397" s="101">
        <v>2006</v>
      </c>
      <c r="O397" s="101" t="s">
        <v>685</v>
      </c>
      <c r="P397" s="101">
        <v>917898</v>
      </c>
      <c r="Q397" t="s">
        <v>376</v>
      </c>
      <c r="R397" t="s">
        <v>664</v>
      </c>
      <c r="S397"/>
      <c r="T397"/>
      <c r="U397"/>
      <c r="V397" s="222"/>
    </row>
    <row r="398" spans="1:22" x14ac:dyDescent="0.2">
      <c r="A398" t="s">
        <v>150</v>
      </c>
      <c r="B398" s="101">
        <v>3</v>
      </c>
      <c r="C398" s="101">
        <v>-4</v>
      </c>
      <c r="D398" s="101">
        <v>2</v>
      </c>
      <c r="E398" s="101">
        <v>-9</v>
      </c>
      <c r="F398" s="101">
        <v>11</v>
      </c>
      <c r="G398" s="101">
        <v>-18</v>
      </c>
      <c r="H398" s="101">
        <v>-4</v>
      </c>
      <c r="I398" s="102">
        <v>0.43</v>
      </c>
      <c r="J398" s="102">
        <v>1.59</v>
      </c>
      <c r="K398" s="101">
        <v>15.1</v>
      </c>
      <c r="L398" s="101">
        <v>0.2</v>
      </c>
      <c r="M398" s="101" t="s">
        <v>1088</v>
      </c>
      <c r="N398" s="101">
        <v>2001</v>
      </c>
      <c r="O398" s="101" t="s">
        <v>806</v>
      </c>
      <c r="P398" s="101">
        <v>385401</v>
      </c>
      <c r="Q398" t="s">
        <v>751</v>
      </c>
      <c r="R398" t="s">
        <v>138</v>
      </c>
      <c r="S398"/>
      <c r="T398"/>
      <c r="U398"/>
      <c r="V398" s="222"/>
    </row>
    <row r="399" spans="1:22" x14ac:dyDescent="0.2">
      <c r="A399" t="s">
        <v>987</v>
      </c>
      <c r="B399" s="101">
        <v>0</v>
      </c>
      <c r="C399" s="101">
        <v>0</v>
      </c>
      <c r="D399" s="101">
        <v>0</v>
      </c>
      <c r="E399" s="101"/>
      <c r="F399" s="101"/>
      <c r="G399" s="101"/>
      <c r="H399" s="101"/>
      <c r="I399" s="102">
        <v>0.42</v>
      </c>
      <c r="J399" s="102">
        <v>1.593046</v>
      </c>
      <c r="K399" s="101"/>
      <c r="L399" s="101"/>
      <c r="M399" s="101" t="s">
        <v>1088</v>
      </c>
      <c r="N399" s="101">
        <v>2011</v>
      </c>
      <c r="O399" s="101" t="s">
        <v>685</v>
      </c>
      <c r="P399" s="101">
        <v>155606</v>
      </c>
      <c r="Q399" t="s">
        <v>411</v>
      </c>
      <c r="R399" t="s">
        <v>314</v>
      </c>
      <c r="S399"/>
      <c r="T399"/>
      <c r="U399"/>
      <c r="V399" s="222"/>
    </row>
    <row r="400" spans="1:22" x14ac:dyDescent="0.2">
      <c r="A400" t="s">
        <v>924</v>
      </c>
      <c r="B400" s="101">
        <v>5</v>
      </c>
      <c r="C400" s="101">
        <v>3</v>
      </c>
      <c r="D400" s="101">
        <v>6</v>
      </c>
      <c r="E400" s="101">
        <v>7</v>
      </c>
      <c r="F400" s="101">
        <v>25</v>
      </c>
      <c r="G400" s="101"/>
      <c r="H400" s="101"/>
      <c r="I400" s="102">
        <v>0.54</v>
      </c>
      <c r="J400" s="102">
        <v>1.599057</v>
      </c>
      <c r="K400" s="101">
        <v>8.1</v>
      </c>
      <c r="L400" s="101">
        <v>0.8</v>
      </c>
      <c r="M400" s="101" t="s">
        <v>1092</v>
      </c>
      <c r="N400" s="101">
        <v>2009</v>
      </c>
      <c r="O400" s="101" t="s">
        <v>685</v>
      </c>
      <c r="P400" s="101">
        <v>724690</v>
      </c>
      <c r="Q400" t="s">
        <v>375</v>
      </c>
      <c r="R400" t="s">
        <v>291</v>
      </c>
      <c r="S400"/>
      <c r="T400"/>
      <c r="U400"/>
      <c r="V400" s="222"/>
    </row>
    <row r="401" spans="1:22" x14ac:dyDescent="0.2">
      <c r="A401" t="s">
        <v>552</v>
      </c>
      <c r="B401" s="101">
        <v>8</v>
      </c>
      <c r="C401" s="101">
        <v>-3</v>
      </c>
      <c r="D401" s="101">
        <v>9</v>
      </c>
      <c r="E401" s="101">
        <v>-4</v>
      </c>
      <c r="F401" s="101">
        <v>39</v>
      </c>
      <c r="G401" s="101">
        <v>2</v>
      </c>
      <c r="H401" s="101">
        <v>0.3</v>
      </c>
      <c r="I401" s="102">
        <v>0.39</v>
      </c>
      <c r="J401" s="102">
        <v>1.6</v>
      </c>
      <c r="K401" s="101">
        <v>16.100000000000001</v>
      </c>
      <c r="L401" s="101">
        <v>0.7</v>
      </c>
      <c r="M401" s="101" t="s">
        <v>1088</v>
      </c>
      <c r="N401" s="101">
        <v>2007</v>
      </c>
      <c r="O401" s="101" t="s">
        <v>685</v>
      </c>
      <c r="P401" s="101">
        <v>286294</v>
      </c>
      <c r="Q401" t="s">
        <v>553</v>
      </c>
      <c r="R401" t="s">
        <v>800</v>
      </c>
      <c r="S401"/>
      <c r="T401"/>
      <c r="U401"/>
      <c r="V401" s="222"/>
    </row>
    <row r="402" spans="1:22" x14ac:dyDescent="0.2">
      <c r="A402" t="s">
        <v>931</v>
      </c>
      <c r="B402" s="101">
        <v>7</v>
      </c>
      <c r="C402" s="101">
        <v>0</v>
      </c>
      <c r="D402" s="101">
        <v>8</v>
      </c>
      <c r="E402" s="101">
        <v>7</v>
      </c>
      <c r="F402" s="101">
        <v>14</v>
      </c>
      <c r="G402" s="101">
        <v>-15</v>
      </c>
      <c r="H402" s="101">
        <v>-3.2</v>
      </c>
      <c r="I402" s="102">
        <v>0.45</v>
      </c>
      <c r="J402" s="102">
        <v>1.6</v>
      </c>
      <c r="K402" s="101">
        <v>9.9</v>
      </c>
      <c r="L402" s="101">
        <v>0.4</v>
      </c>
      <c r="M402" s="101" t="s">
        <v>1088</v>
      </c>
      <c r="N402" s="101">
        <v>2000</v>
      </c>
      <c r="O402" s="101" t="s">
        <v>685</v>
      </c>
      <c r="P402" s="101">
        <v>384818</v>
      </c>
      <c r="Q402" t="s">
        <v>817</v>
      </c>
      <c r="R402" t="s">
        <v>152</v>
      </c>
      <c r="S402"/>
      <c r="T402"/>
      <c r="U402"/>
      <c r="V402" s="222"/>
    </row>
    <row r="403" spans="1:22" x14ac:dyDescent="0.2">
      <c r="A403" t="s">
        <v>1097</v>
      </c>
      <c r="B403" s="101">
        <v>4</v>
      </c>
      <c r="C403" s="101">
        <v>-4</v>
      </c>
      <c r="D403" s="101">
        <v>4</v>
      </c>
      <c r="E403" s="101">
        <v>0</v>
      </c>
      <c r="F403" s="101">
        <v>14</v>
      </c>
      <c r="G403" s="101">
        <v>-18</v>
      </c>
      <c r="H403" s="101">
        <v>-3.9</v>
      </c>
      <c r="I403" s="102">
        <v>0.39</v>
      </c>
      <c r="J403" s="102">
        <v>1.6</v>
      </c>
      <c r="K403" s="101">
        <v>9.6999999999999993</v>
      </c>
      <c r="L403" s="101">
        <v>0.3</v>
      </c>
      <c r="M403" s="101" t="s">
        <v>1088</v>
      </c>
      <c r="N403" s="101">
        <v>2012</v>
      </c>
      <c r="O403" s="101" t="s">
        <v>685</v>
      </c>
      <c r="P403" s="101">
        <v>282517</v>
      </c>
      <c r="Q403" t="s">
        <v>553</v>
      </c>
      <c r="R403" t="s">
        <v>152</v>
      </c>
      <c r="S403"/>
      <c r="T403"/>
      <c r="U403"/>
      <c r="V403" s="222"/>
    </row>
    <row r="404" spans="1:22" x14ac:dyDescent="0.2">
      <c r="A404" t="s">
        <v>479</v>
      </c>
      <c r="B404" s="101">
        <v>5</v>
      </c>
      <c r="C404" s="101">
        <v>-1</v>
      </c>
      <c r="D404" s="101">
        <v>5</v>
      </c>
      <c r="E404" s="101">
        <v>-1</v>
      </c>
      <c r="F404" s="101">
        <v>8</v>
      </c>
      <c r="G404" s="101">
        <v>-18</v>
      </c>
      <c r="H404" s="101">
        <v>-3.9</v>
      </c>
      <c r="I404" s="102">
        <v>0.45</v>
      </c>
      <c r="J404" s="102">
        <v>1.6</v>
      </c>
      <c r="K404" s="101">
        <v>9.9</v>
      </c>
      <c r="L404" s="101">
        <v>0.2</v>
      </c>
      <c r="M404" s="101" t="s">
        <v>1088</v>
      </c>
      <c r="N404" s="101">
        <v>2008</v>
      </c>
      <c r="O404" s="101" t="s">
        <v>685</v>
      </c>
      <c r="P404" s="101">
        <v>106492</v>
      </c>
      <c r="Q404" t="s">
        <v>817</v>
      </c>
      <c r="R404" t="s">
        <v>152</v>
      </c>
      <c r="S404" t="s">
        <v>1111</v>
      </c>
      <c r="T404"/>
      <c r="U404"/>
      <c r="V404" s="222"/>
    </row>
    <row r="405" spans="1:22" x14ac:dyDescent="0.2">
      <c r="A405" t="s">
        <v>141</v>
      </c>
      <c r="B405" s="101">
        <v>3</v>
      </c>
      <c r="C405" s="101">
        <v>-5</v>
      </c>
      <c r="D405" s="101">
        <v>2</v>
      </c>
      <c r="E405" s="101">
        <v>-12</v>
      </c>
      <c r="F405" s="101">
        <v>6</v>
      </c>
      <c r="G405" s="101">
        <v>-20</v>
      </c>
      <c r="H405" s="101">
        <v>-4.3</v>
      </c>
      <c r="I405" s="102">
        <v>0.39</v>
      </c>
      <c r="J405" s="102">
        <v>1.6</v>
      </c>
      <c r="K405" s="101">
        <v>15.3</v>
      </c>
      <c r="L405" s="101">
        <v>0.1</v>
      </c>
      <c r="M405" s="101" t="s">
        <v>1088</v>
      </c>
      <c r="N405" s="101">
        <v>2001</v>
      </c>
      <c r="O405" s="101" t="s">
        <v>806</v>
      </c>
      <c r="P405" s="101">
        <v>720623</v>
      </c>
      <c r="Q405" t="s">
        <v>755</v>
      </c>
      <c r="R405" t="s">
        <v>138</v>
      </c>
      <c r="S405"/>
      <c r="T405"/>
      <c r="U405"/>
      <c r="V405" s="222"/>
    </row>
    <row r="406" spans="1:22" x14ac:dyDescent="0.2">
      <c r="A406" t="s">
        <v>452</v>
      </c>
      <c r="B406" s="101">
        <v>1</v>
      </c>
      <c r="C406" s="101">
        <v>-8</v>
      </c>
      <c r="D406" s="101">
        <v>0</v>
      </c>
      <c r="E406" s="101">
        <v>-10</v>
      </c>
      <c r="F406" s="101">
        <v>3</v>
      </c>
      <c r="G406" s="101">
        <v>-22</v>
      </c>
      <c r="H406" s="101">
        <v>-5</v>
      </c>
      <c r="I406" s="102">
        <v>0.57999999999999996</v>
      </c>
      <c r="J406" s="102">
        <v>1.6</v>
      </c>
      <c r="K406" s="101">
        <v>10</v>
      </c>
      <c r="L406" s="101">
        <v>0</v>
      </c>
      <c r="M406" s="101" t="s">
        <v>1089</v>
      </c>
      <c r="N406" s="101">
        <v>2007</v>
      </c>
      <c r="O406" s="101" t="s">
        <v>685</v>
      </c>
      <c r="P406" s="101">
        <v>632430</v>
      </c>
      <c r="Q406" t="s">
        <v>819</v>
      </c>
      <c r="R406" t="s">
        <v>678</v>
      </c>
      <c r="S406"/>
      <c r="T406"/>
      <c r="U406"/>
      <c r="V406" s="222"/>
    </row>
    <row r="407" spans="1:22" x14ac:dyDescent="0.2">
      <c r="A407" t="s">
        <v>930</v>
      </c>
      <c r="B407" s="101">
        <v>4</v>
      </c>
      <c r="C407" s="101">
        <v>-7</v>
      </c>
      <c r="D407" s="101">
        <v>5</v>
      </c>
      <c r="E407" s="101">
        <v>-12</v>
      </c>
      <c r="F407" s="101">
        <v>10</v>
      </c>
      <c r="G407" s="101">
        <v>-26</v>
      </c>
      <c r="H407" s="101">
        <v>-5.9</v>
      </c>
      <c r="I407" s="102">
        <v>0.45</v>
      </c>
      <c r="J407" s="102">
        <v>1.6</v>
      </c>
      <c r="K407" s="101">
        <v>15.6</v>
      </c>
      <c r="L407" s="101">
        <v>0.2</v>
      </c>
      <c r="M407" s="101" t="s">
        <v>1088</v>
      </c>
      <c r="N407" s="101">
        <v>2000</v>
      </c>
      <c r="O407" s="101" t="s">
        <v>685</v>
      </c>
      <c r="P407" s="101">
        <v>348987</v>
      </c>
      <c r="Q407" t="s">
        <v>817</v>
      </c>
      <c r="R407" t="s">
        <v>800</v>
      </c>
      <c r="S407"/>
      <c r="T407"/>
      <c r="U407"/>
      <c r="V407" s="222"/>
    </row>
    <row r="408" spans="1:22" x14ac:dyDescent="0.2">
      <c r="A408" t="s">
        <v>929</v>
      </c>
      <c r="B408" s="101">
        <v>4</v>
      </c>
      <c r="C408" s="101">
        <v>-4</v>
      </c>
      <c r="D408" s="101">
        <v>4</v>
      </c>
      <c r="E408" s="101">
        <v>-3</v>
      </c>
      <c r="F408" s="101">
        <v>18</v>
      </c>
      <c r="G408" s="101">
        <v>-31</v>
      </c>
      <c r="H408" s="101">
        <v>-7.2</v>
      </c>
      <c r="I408" s="102">
        <v>0.45</v>
      </c>
      <c r="J408" s="102">
        <v>1.6</v>
      </c>
      <c r="K408" s="101">
        <v>11.2</v>
      </c>
      <c r="L408" s="101">
        <v>0.4</v>
      </c>
      <c r="M408" s="101" t="s">
        <v>1088</v>
      </c>
      <c r="N408" s="101">
        <v>2000</v>
      </c>
      <c r="O408" s="101" t="s">
        <v>685</v>
      </c>
      <c r="P408" s="101">
        <v>241497</v>
      </c>
      <c r="Q408" t="s">
        <v>817</v>
      </c>
      <c r="R408" t="s">
        <v>48</v>
      </c>
      <c r="S408"/>
      <c r="T408"/>
      <c r="U408"/>
      <c r="V408" s="222"/>
    </row>
    <row r="409" spans="1:22" x14ac:dyDescent="0.2">
      <c r="A409" t="s">
        <v>59</v>
      </c>
      <c r="B409" s="101">
        <v>9</v>
      </c>
      <c r="C409" s="101">
        <v>-2</v>
      </c>
      <c r="D409" s="101">
        <v>10</v>
      </c>
      <c r="E409" s="101">
        <v>0</v>
      </c>
      <c r="F409" s="101">
        <v>22</v>
      </c>
      <c r="G409" s="101">
        <v>-34</v>
      </c>
      <c r="H409" s="101">
        <v>-7.9</v>
      </c>
      <c r="I409" s="102">
        <v>0.62</v>
      </c>
      <c r="J409" s="102">
        <v>1.6</v>
      </c>
      <c r="K409" s="101">
        <v>13.1</v>
      </c>
      <c r="L409" s="101">
        <v>0.5</v>
      </c>
      <c r="M409" s="101" t="s">
        <v>1089</v>
      </c>
      <c r="N409" s="101">
        <v>2001</v>
      </c>
      <c r="O409" s="101" t="s">
        <v>685</v>
      </c>
      <c r="P409" s="101">
        <v>764951</v>
      </c>
      <c r="Q409" t="s">
        <v>819</v>
      </c>
      <c r="R409" t="s">
        <v>48</v>
      </c>
      <c r="S409"/>
      <c r="T409"/>
      <c r="U409"/>
      <c r="V409" s="222"/>
    </row>
    <row r="410" spans="1:22" x14ac:dyDescent="0.2">
      <c r="A410" t="s">
        <v>453</v>
      </c>
      <c r="B410" s="101">
        <v>-2</v>
      </c>
      <c r="C410" s="101">
        <v>-11</v>
      </c>
      <c r="D410" s="101">
        <v>-1</v>
      </c>
      <c r="E410" s="101">
        <v>-16</v>
      </c>
      <c r="F410" s="101">
        <v>12</v>
      </c>
      <c r="G410" s="101">
        <v>-34</v>
      </c>
      <c r="H410" s="101">
        <v>-7.9</v>
      </c>
      <c r="I410" s="102">
        <v>0.62</v>
      </c>
      <c r="J410" s="102">
        <v>1.6</v>
      </c>
      <c r="K410" s="101">
        <v>15.3</v>
      </c>
      <c r="L410" s="101">
        <v>0.2</v>
      </c>
      <c r="M410" s="101" t="s">
        <v>1089</v>
      </c>
      <c r="N410" s="101">
        <v>2007</v>
      </c>
      <c r="O410" s="101" t="s">
        <v>685</v>
      </c>
      <c r="P410" s="101">
        <v>668269</v>
      </c>
      <c r="Q410" t="s">
        <v>819</v>
      </c>
      <c r="R410" t="s">
        <v>800</v>
      </c>
      <c r="S410"/>
      <c r="T410"/>
      <c r="U410"/>
      <c r="V410" s="222"/>
    </row>
    <row r="411" spans="1:22" x14ac:dyDescent="0.2">
      <c r="A411" t="s">
        <v>245</v>
      </c>
      <c r="B411" s="101">
        <v>4</v>
      </c>
      <c r="C411" s="101">
        <v>-3</v>
      </c>
      <c r="D411" s="101">
        <v>5</v>
      </c>
      <c r="E411" s="101">
        <v>1</v>
      </c>
      <c r="F411" s="101">
        <v>-8</v>
      </c>
      <c r="G411" s="101">
        <v>-36</v>
      </c>
      <c r="H411" s="101">
        <v>-8.4</v>
      </c>
      <c r="I411" s="102">
        <v>0.39</v>
      </c>
      <c r="J411" s="102">
        <v>1.6</v>
      </c>
      <c r="K411" s="101">
        <v>13.1</v>
      </c>
      <c r="L411" s="101">
        <v>-0.3</v>
      </c>
      <c r="M411" s="101" t="s">
        <v>1088</v>
      </c>
      <c r="N411" s="101">
        <v>2001</v>
      </c>
      <c r="O411" s="101" t="s">
        <v>806</v>
      </c>
      <c r="P411" s="101">
        <v>756452</v>
      </c>
      <c r="Q411" t="s">
        <v>755</v>
      </c>
      <c r="R411" t="s">
        <v>237</v>
      </c>
      <c r="S411"/>
      <c r="T411"/>
      <c r="U411"/>
      <c r="V411" s="222"/>
    </row>
    <row r="412" spans="1:22" x14ac:dyDescent="0.2">
      <c r="A412" t="s">
        <v>475</v>
      </c>
      <c r="B412" s="101">
        <v>7</v>
      </c>
      <c r="C412" s="101">
        <v>-3</v>
      </c>
      <c r="D412" s="101">
        <v>8</v>
      </c>
      <c r="E412" s="101">
        <v>-7</v>
      </c>
      <c r="F412" s="101"/>
      <c r="G412" s="101"/>
      <c r="H412" s="101"/>
      <c r="I412" s="102">
        <v>0.45</v>
      </c>
      <c r="J412" s="102">
        <v>1.6</v>
      </c>
      <c r="K412" s="101"/>
      <c r="L412" s="101"/>
      <c r="M412" s="101" t="s">
        <v>1088</v>
      </c>
      <c r="N412" s="101">
        <v>2010</v>
      </c>
      <c r="O412" s="101" t="s">
        <v>685</v>
      </c>
      <c r="P412" s="101">
        <v>792697</v>
      </c>
      <c r="Q412" t="s">
        <v>817</v>
      </c>
      <c r="R412" t="s">
        <v>723</v>
      </c>
      <c r="S412"/>
      <c r="T412"/>
      <c r="U412"/>
      <c r="V412" s="222"/>
    </row>
    <row r="413" spans="1:22" x14ac:dyDescent="0.2">
      <c r="A413" t="s">
        <v>474</v>
      </c>
      <c r="B413" s="101">
        <v>3</v>
      </c>
      <c r="C413" s="101">
        <v>-6</v>
      </c>
      <c r="D413" s="101">
        <v>4</v>
      </c>
      <c r="E413" s="101">
        <v>-8</v>
      </c>
      <c r="F413" s="101"/>
      <c r="G413" s="101"/>
      <c r="H413" s="101"/>
      <c r="I413" s="102">
        <v>0.45</v>
      </c>
      <c r="J413" s="102">
        <v>1.6</v>
      </c>
      <c r="K413" s="101"/>
      <c r="L413" s="101"/>
      <c r="M413" s="101" t="s">
        <v>1088</v>
      </c>
      <c r="N413" s="101">
        <v>2010</v>
      </c>
      <c r="O413" s="101" t="s">
        <v>685</v>
      </c>
      <c r="P413" s="101">
        <v>721035</v>
      </c>
      <c r="Q413" t="s">
        <v>817</v>
      </c>
      <c r="R413" t="s">
        <v>776</v>
      </c>
      <c r="S413"/>
      <c r="T413"/>
      <c r="U413"/>
      <c r="V413" s="222"/>
    </row>
    <row r="414" spans="1:22" x14ac:dyDescent="0.2">
      <c r="A414" t="s">
        <v>443</v>
      </c>
      <c r="B414" s="101">
        <v>7</v>
      </c>
      <c r="C414" s="101">
        <v>-2</v>
      </c>
      <c r="D414" s="101">
        <v>8</v>
      </c>
      <c r="E414" s="101"/>
      <c r="F414" s="101"/>
      <c r="G414" s="101"/>
      <c r="H414" s="101"/>
      <c r="I414" s="102">
        <v>0.46</v>
      </c>
      <c r="J414" s="102">
        <v>1.6</v>
      </c>
      <c r="K414" s="101"/>
      <c r="L414" s="101"/>
      <c r="M414" s="101" t="s">
        <v>1088</v>
      </c>
      <c r="N414" s="101">
        <v>2011</v>
      </c>
      <c r="O414" s="101" t="s">
        <v>806</v>
      </c>
      <c r="P414" s="101">
        <v>541235</v>
      </c>
      <c r="Q414" t="s">
        <v>734</v>
      </c>
      <c r="R414" t="s">
        <v>152</v>
      </c>
      <c r="S414"/>
      <c r="T414"/>
      <c r="U414"/>
      <c r="V414" s="222"/>
    </row>
    <row r="415" spans="1:22" x14ac:dyDescent="0.2">
      <c r="A415" t="s">
        <v>895</v>
      </c>
      <c r="B415" s="101">
        <v>6</v>
      </c>
      <c r="C415" s="101">
        <v>0</v>
      </c>
      <c r="D415" s="101">
        <v>6</v>
      </c>
      <c r="E415" s="101">
        <v>4</v>
      </c>
      <c r="F415" s="101"/>
      <c r="G415" s="101"/>
      <c r="H415" s="101"/>
      <c r="I415" s="102">
        <v>0.63</v>
      </c>
      <c r="J415" s="102">
        <v>1.6</v>
      </c>
      <c r="K415" s="101"/>
      <c r="L415" s="101"/>
      <c r="M415" s="101" t="s">
        <v>1089</v>
      </c>
      <c r="N415" s="101">
        <v>2011</v>
      </c>
      <c r="O415" s="101" t="s">
        <v>685</v>
      </c>
      <c r="P415" s="101">
        <v>323832</v>
      </c>
      <c r="Q415" t="s">
        <v>132</v>
      </c>
      <c r="R415" t="s">
        <v>678</v>
      </c>
      <c r="S415"/>
      <c r="T415"/>
      <c r="U415"/>
      <c r="V415" s="222"/>
    </row>
    <row r="416" spans="1:22" x14ac:dyDescent="0.2">
      <c r="A416" t="s">
        <v>478</v>
      </c>
      <c r="B416" s="101">
        <v>10</v>
      </c>
      <c r="C416" s="101">
        <v>-4</v>
      </c>
      <c r="D416" s="101">
        <v>10</v>
      </c>
      <c r="E416" s="101">
        <v>-10</v>
      </c>
      <c r="F416" s="101"/>
      <c r="G416" s="101"/>
      <c r="H416" s="101"/>
      <c r="I416" s="102">
        <v>0.63</v>
      </c>
      <c r="J416" s="102">
        <v>1.6</v>
      </c>
      <c r="K416" s="101"/>
      <c r="L416" s="101"/>
      <c r="M416" s="101" t="s">
        <v>1089</v>
      </c>
      <c r="N416" s="101">
        <v>2010</v>
      </c>
      <c r="O416" s="101" t="s">
        <v>685</v>
      </c>
      <c r="P416" s="101">
        <v>515148</v>
      </c>
      <c r="Q416" t="s">
        <v>376</v>
      </c>
      <c r="R416" t="s">
        <v>678</v>
      </c>
      <c r="S416"/>
      <c r="T416"/>
      <c r="U416"/>
      <c r="V416" s="222"/>
    </row>
    <row r="417" spans="1:22" x14ac:dyDescent="0.2">
      <c r="A417" t="s">
        <v>88</v>
      </c>
      <c r="B417" s="101">
        <v>-13</v>
      </c>
      <c r="C417" s="101">
        <v>-5</v>
      </c>
      <c r="D417" s="101">
        <v>-13</v>
      </c>
      <c r="E417" s="101">
        <v>-15</v>
      </c>
      <c r="F417" s="101">
        <v>-27</v>
      </c>
      <c r="G417" s="101"/>
      <c r="H417" s="101"/>
      <c r="I417" s="102">
        <v>0.64</v>
      </c>
      <c r="J417" s="102">
        <v>1.6</v>
      </c>
      <c r="K417" s="101">
        <v>7.8</v>
      </c>
      <c r="L417" s="101">
        <v>-1.5</v>
      </c>
      <c r="M417" s="101" t="s">
        <v>1089</v>
      </c>
      <c r="N417" s="101">
        <v>2009</v>
      </c>
      <c r="O417" s="101" t="s">
        <v>685</v>
      </c>
      <c r="P417" s="101">
        <v>857094</v>
      </c>
      <c r="Q417" t="s">
        <v>89</v>
      </c>
      <c r="R417" t="s">
        <v>152</v>
      </c>
      <c r="S417"/>
      <c r="T417"/>
      <c r="U417"/>
      <c r="V417" s="222"/>
    </row>
    <row r="418" spans="1:22" x14ac:dyDescent="0.2">
      <c r="A418" t="s">
        <v>367</v>
      </c>
      <c r="B418" s="101">
        <v>4</v>
      </c>
      <c r="C418" s="101">
        <v>-5</v>
      </c>
      <c r="D418" s="101">
        <v>5</v>
      </c>
      <c r="E418" s="101">
        <v>-11</v>
      </c>
      <c r="F418" s="101">
        <v>16</v>
      </c>
      <c r="G418" s="101">
        <v>-30</v>
      </c>
      <c r="H418" s="101">
        <v>-6.8</v>
      </c>
      <c r="I418" s="102">
        <v>0.46</v>
      </c>
      <c r="J418" s="102">
        <v>1.60025</v>
      </c>
      <c r="K418" s="101">
        <v>16.8</v>
      </c>
      <c r="L418" s="101">
        <v>0.3</v>
      </c>
      <c r="M418" s="101" t="s">
        <v>1088</v>
      </c>
      <c r="N418" s="101">
        <v>2000</v>
      </c>
      <c r="O418" s="101" t="s">
        <v>806</v>
      </c>
      <c r="P418" s="101">
        <v>811117</v>
      </c>
      <c r="Q418" t="s">
        <v>729</v>
      </c>
      <c r="R418" t="s">
        <v>800</v>
      </c>
      <c r="S418"/>
      <c r="T418"/>
      <c r="U418"/>
      <c r="V418" s="222"/>
    </row>
    <row r="419" spans="1:22" x14ac:dyDescent="0.2">
      <c r="A419" t="s">
        <v>177</v>
      </c>
      <c r="B419" s="101">
        <v>5</v>
      </c>
      <c r="C419" s="101">
        <v>-6</v>
      </c>
      <c r="D419" s="101">
        <v>6</v>
      </c>
      <c r="E419" s="101">
        <v>-14</v>
      </c>
      <c r="F419" s="101">
        <v>24</v>
      </c>
      <c r="G419" s="101">
        <v>-35</v>
      </c>
      <c r="H419" s="101">
        <v>-8.1999999999999993</v>
      </c>
      <c r="I419" s="102">
        <v>0.46</v>
      </c>
      <c r="J419" s="102">
        <v>1.600298</v>
      </c>
      <c r="K419" s="101">
        <v>20.5</v>
      </c>
      <c r="L419" s="101">
        <v>0.4</v>
      </c>
      <c r="M419" s="101" t="s">
        <v>1088</v>
      </c>
      <c r="N419" s="101">
        <v>2006</v>
      </c>
      <c r="O419" s="101" t="s">
        <v>806</v>
      </c>
      <c r="P419" s="101">
        <v>751495</v>
      </c>
      <c r="Q419" t="s">
        <v>729</v>
      </c>
      <c r="R419" t="s">
        <v>800</v>
      </c>
      <c r="S419"/>
      <c r="T419"/>
      <c r="U419"/>
      <c r="V419" s="222"/>
    </row>
    <row r="420" spans="1:22" x14ac:dyDescent="0.2">
      <c r="A420" t="s">
        <v>652</v>
      </c>
      <c r="B420" s="101">
        <v>0</v>
      </c>
      <c r="C420" s="101">
        <v>-8</v>
      </c>
      <c r="D420" s="101">
        <v>1</v>
      </c>
      <c r="E420" s="101">
        <v>-10</v>
      </c>
      <c r="F420" s="101">
        <v>39</v>
      </c>
      <c r="G420" s="101"/>
      <c r="H420" s="101"/>
      <c r="I420" s="102">
        <v>0.66</v>
      </c>
      <c r="J420" s="102">
        <v>1.60066</v>
      </c>
      <c r="K420" s="101">
        <v>17.8</v>
      </c>
      <c r="L420" s="101">
        <v>0.6</v>
      </c>
      <c r="M420" s="101" t="s">
        <v>1088</v>
      </c>
      <c r="N420" s="101">
        <v>2011</v>
      </c>
      <c r="O420" s="101" t="s">
        <v>806</v>
      </c>
      <c r="P420" s="101">
        <v>524231</v>
      </c>
      <c r="Q420" t="s">
        <v>870</v>
      </c>
      <c r="R420" t="s">
        <v>776</v>
      </c>
      <c r="S420"/>
      <c r="T420"/>
      <c r="U420"/>
      <c r="V420" s="222"/>
    </row>
    <row r="421" spans="1:22" x14ac:dyDescent="0.2">
      <c r="A421" t="s">
        <v>400</v>
      </c>
      <c r="B421" s="101">
        <v>9</v>
      </c>
      <c r="C421" s="101">
        <v>0</v>
      </c>
      <c r="D421" s="101">
        <v>9</v>
      </c>
      <c r="E421" s="101">
        <v>11</v>
      </c>
      <c r="F421" s="101">
        <v>38</v>
      </c>
      <c r="G421" s="101">
        <v>4</v>
      </c>
      <c r="H421" s="101">
        <v>0.9</v>
      </c>
      <c r="I421" s="102">
        <v>0.46</v>
      </c>
      <c r="J421" s="102">
        <v>1.6021179999999999</v>
      </c>
      <c r="K421" s="101">
        <v>10.1</v>
      </c>
      <c r="L421" s="101">
        <v>1</v>
      </c>
      <c r="M421" s="101" t="s">
        <v>1088</v>
      </c>
      <c r="N421" s="101">
        <v>2011</v>
      </c>
      <c r="O421" s="101" t="s">
        <v>806</v>
      </c>
      <c r="P421" s="101">
        <v>840033</v>
      </c>
      <c r="Q421" t="s">
        <v>729</v>
      </c>
      <c r="R421" t="s">
        <v>108</v>
      </c>
      <c r="S421"/>
      <c r="T421"/>
      <c r="U421"/>
      <c r="V421" s="222"/>
    </row>
    <row r="422" spans="1:22" x14ac:dyDescent="0.2">
      <c r="A422" t="s">
        <v>836</v>
      </c>
      <c r="B422" s="101">
        <v>4</v>
      </c>
      <c r="C422" s="101">
        <v>-3</v>
      </c>
      <c r="D422" s="101">
        <v>5</v>
      </c>
      <c r="E422" s="101">
        <v>-2</v>
      </c>
      <c r="F422" s="101">
        <v>12</v>
      </c>
      <c r="G422" s="101">
        <v>-25</v>
      </c>
      <c r="H422" s="101">
        <v>-5.6</v>
      </c>
      <c r="I422" s="102">
        <v>0.46</v>
      </c>
      <c r="J422" s="102">
        <v>1.6032230000000001</v>
      </c>
      <c r="K422" s="101">
        <v>10.199999999999999</v>
      </c>
      <c r="L422" s="101">
        <v>0.3</v>
      </c>
      <c r="M422" s="101" t="s">
        <v>1088</v>
      </c>
      <c r="N422" s="101">
        <v>2000</v>
      </c>
      <c r="O422" s="101" t="s">
        <v>806</v>
      </c>
      <c r="P422" s="101">
        <v>123679</v>
      </c>
      <c r="Q422" t="s">
        <v>729</v>
      </c>
      <c r="R422" t="s">
        <v>152</v>
      </c>
      <c r="S422"/>
      <c r="T422"/>
      <c r="U422"/>
      <c r="V422" s="222"/>
    </row>
    <row r="423" spans="1:22" x14ac:dyDescent="0.2">
      <c r="A423" t="s">
        <v>254</v>
      </c>
      <c r="B423" s="101">
        <v>-2</v>
      </c>
      <c r="C423" s="101">
        <v>-17</v>
      </c>
      <c r="D423" s="101">
        <v>-1</v>
      </c>
      <c r="E423" s="101">
        <v>-30</v>
      </c>
      <c r="F423" s="101">
        <v>-14</v>
      </c>
      <c r="G423" s="101">
        <v>-48</v>
      </c>
      <c r="H423" s="101">
        <v>-12.3</v>
      </c>
      <c r="I423" s="102">
        <v>0.66</v>
      </c>
      <c r="J423" s="102">
        <v>1.603704</v>
      </c>
      <c r="K423" s="101">
        <v>21.6</v>
      </c>
      <c r="L423" s="101">
        <v>-0.2</v>
      </c>
      <c r="M423" s="101" t="s">
        <v>1089</v>
      </c>
      <c r="N423" s="101">
        <v>2002</v>
      </c>
      <c r="O423" s="101" t="s">
        <v>685</v>
      </c>
      <c r="P423" s="101">
        <v>324665</v>
      </c>
      <c r="Q423" t="s">
        <v>480</v>
      </c>
      <c r="R423" t="s">
        <v>250</v>
      </c>
      <c r="S423"/>
      <c r="T423"/>
      <c r="U423"/>
      <c r="V423" s="222"/>
    </row>
    <row r="424" spans="1:22" x14ac:dyDescent="0.2">
      <c r="A424" t="s">
        <v>1073</v>
      </c>
      <c r="B424" s="101">
        <v>5</v>
      </c>
      <c r="C424" s="101">
        <v>-2</v>
      </c>
      <c r="D424" s="101">
        <v>6</v>
      </c>
      <c r="E424" s="101">
        <v>-1</v>
      </c>
      <c r="F424" s="101">
        <v>32</v>
      </c>
      <c r="G424" s="101">
        <v>18</v>
      </c>
      <c r="H424" s="101">
        <v>3.4</v>
      </c>
      <c r="I424" s="102">
        <v>0.54</v>
      </c>
      <c r="J424" s="102">
        <v>1.6076680000000001</v>
      </c>
      <c r="K424" s="101">
        <v>10.199999999999999</v>
      </c>
      <c r="L424" s="101">
        <v>0.8</v>
      </c>
      <c r="M424" s="101" t="s">
        <v>1088</v>
      </c>
      <c r="N424" s="101">
        <v>2000</v>
      </c>
      <c r="O424" s="101" t="s">
        <v>806</v>
      </c>
      <c r="P424" s="101">
        <v>878520</v>
      </c>
      <c r="Q424" t="s">
        <v>753</v>
      </c>
      <c r="R424" t="s">
        <v>306</v>
      </c>
      <c r="S424"/>
      <c r="T424"/>
      <c r="U424"/>
      <c r="V424" s="222"/>
    </row>
    <row r="425" spans="1:22" x14ac:dyDescent="0.2">
      <c r="A425" t="s">
        <v>777</v>
      </c>
      <c r="B425" s="101">
        <v>5</v>
      </c>
      <c r="C425" s="101">
        <v>-6</v>
      </c>
      <c r="D425" s="101">
        <v>6</v>
      </c>
      <c r="E425" s="101">
        <v>-8</v>
      </c>
      <c r="F425" s="101">
        <v>40</v>
      </c>
      <c r="G425" s="101">
        <v>-8</v>
      </c>
      <c r="H425" s="101">
        <v>-1.7</v>
      </c>
      <c r="I425" s="102">
        <v>0.54</v>
      </c>
      <c r="J425" s="102">
        <v>1.610439</v>
      </c>
      <c r="K425" s="101">
        <v>17.899999999999999</v>
      </c>
      <c r="L425" s="101">
        <v>0.7</v>
      </c>
      <c r="M425" s="101" t="s">
        <v>1088</v>
      </c>
      <c r="N425" s="101">
        <v>2000</v>
      </c>
      <c r="O425" s="101" t="s">
        <v>806</v>
      </c>
      <c r="P425" s="101">
        <v>842690</v>
      </c>
      <c r="Q425" t="s">
        <v>753</v>
      </c>
      <c r="R425" t="s">
        <v>776</v>
      </c>
      <c r="S425"/>
      <c r="T425"/>
      <c r="U425"/>
      <c r="V425" s="222"/>
    </row>
    <row r="426" spans="1:22" x14ac:dyDescent="0.2">
      <c r="A426" t="s">
        <v>370</v>
      </c>
      <c r="B426" s="101">
        <v>5</v>
      </c>
      <c r="C426" s="101">
        <v>-5</v>
      </c>
      <c r="D426" s="101">
        <v>5</v>
      </c>
      <c r="E426" s="101">
        <v>-9</v>
      </c>
      <c r="F426" s="101">
        <v>26</v>
      </c>
      <c r="G426" s="101">
        <v>7</v>
      </c>
      <c r="H426" s="101">
        <v>1.3</v>
      </c>
      <c r="I426" s="102">
        <v>0.46</v>
      </c>
      <c r="J426" s="102">
        <v>1.610787</v>
      </c>
      <c r="K426" s="101">
        <v>16.2</v>
      </c>
      <c r="L426" s="101">
        <v>0.5</v>
      </c>
      <c r="M426" s="101" t="s">
        <v>1088</v>
      </c>
      <c r="N426" s="101">
        <v>2006</v>
      </c>
      <c r="O426" s="101" t="s">
        <v>806</v>
      </c>
      <c r="P426" s="101">
        <v>679837</v>
      </c>
      <c r="Q426" t="s">
        <v>729</v>
      </c>
      <c r="R426" t="s">
        <v>383</v>
      </c>
      <c r="S426"/>
      <c r="T426"/>
      <c r="U426"/>
      <c r="V426" s="222"/>
    </row>
    <row r="427" spans="1:22" x14ac:dyDescent="0.2">
      <c r="A427" t="s">
        <v>754</v>
      </c>
      <c r="B427" s="101">
        <v>2</v>
      </c>
      <c r="C427" s="101">
        <v>-7</v>
      </c>
      <c r="D427" s="101">
        <v>4</v>
      </c>
      <c r="E427" s="101">
        <v>-14</v>
      </c>
      <c r="F427" s="101">
        <v>27</v>
      </c>
      <c r="G427" s="101">
        <v>-20</v>
      </c>
      <c r="H427" s="101">
        <v>-4.5</v>
      </c>
      <c r="I427" s="102">
        <v>0.54</v>
      </c>
      <c r="J427" s="102">
        <v>1.6110800000000001</v>
      </c>
      <c r="K427" s="101">
        <v>19.399999999999999</v>
      </c>
      <c r="L427" s="101">
        <v>0.4</v>
      </c>
      <c r="M427" s="101" t="s">
        <v>1088</v>
      </c>
      <c r="N427" s="101">
        <v>2000</v>
      </c>
      <c r="O427" s="101" t="s">
        <v>806</v>
      </c>
      <c r="P427" s="101">
        <v>806869</v>
      </c>
      <c r="Q427" t="s">
        <v>753</v>
      </c>
      <c r="R427" t="s">
        <v>723</v>
      </c>
      <c r="S427"/>
      <c r="T427"/>
      <c r="U427"/>
      <c r="V427" s="222"/>
    </row>
    <row r="428" spans="1:22" x14ac:dyDescent="0.2">
      <c r="A428" t="s">
        <v>93</v>
      </c>
      <c r="B428" s="101">
        <v>2</v>
      </c>
      <c r="C428" s="101">
        <v>-8</v>
      </c>
      <c r="D428" s="101">
        <v>3</v>
      </c>
      <c r="E428" s="101">
        <v>-14</v>
      </c>
      <c r="F428" s="101">
        <v>26</v>
      </c>
      <c r="G428" s="101">
        <v>-15</v>
      </c>
      <c r="H428" s="101">
        <v>-3.2</v>
      </c>
      <c r="I428" s="102">
        <v>0.66</v>
      </c>
      <c r="J428" s="102">
        <v>1.6165</v>
      </c>
      <c r="K428" s="101">
        <v>19</v>
      </c>
      <c r="L428" s="101">
        <v>0.5</v>
      </c>
      <c r="M428" s="101" t="s">
        <v>1088</v>
      </c>
      <c r="N428" s="101">
        <v>2007</v>
      </c>
      <c r="O428" s="101" t="s">
        <v>806</v>
      </c>
      <c r="P428" s="101">
        <v>119891</v>
      </c>
      <c r="Q428" t="s">
        <v>671</v>
      </c>
      <c r="R428" t="s">
        <v>723</v>
      </c>
      <c r="S428"/>
      <c r="T428"/>
      <c r="U428"/>
      <c r="V428" s="222"/>
    </row>
    <row r="429" spans="1:22" x14ac:dyDescent="0.2">
      <c r="A429" t="s">
        <v>377</v>
      </c>
      <c r="B429" s="101">
        <v>1</v>
      </c>
      <c r="C429" s="101">
        <v>-7</v>
      </c>
      <c r="D429" s="101">
        <v>1</v>
      </c>
      <c r="E429" s="101">
        <v>-14</v>
      </c>
      <c r="F429" s="101">
        <v>9</v>
      </c>
      <c r="G429" s="101">
        <v>-14</v>
      </c>
      <c r="H429" s="101">
        <v>-3</v>
      </c>
      <c r="I429" s="102">
        <v>0.46</v>
      </c>
      <c r="J429" s="102">
        <v>1.6169480000000001</v>
      </c>
      <c r="K429" s="101">
        <v>15.8</v>
      </c>
      <c r="L429" s="101">
        <v>0.2</v>
      </c>
      <c r="M429" s="101" t="s">
        <v>1088</v>
      </c>
      <c r="N429" s="101">
        <v>2000</v>
      </c>
      <c r="O429" s="101" t="s">
        <v>806</v>
      </c>
      <c r="P429" s="101">
        <v>987842</v>
      </c>
      <c r="Q429" t="s">
        <v>729</v>
      </c>
      <c r="R429" t="s">
        <v>168</v>
      </c>
      <c r="S429"/>
      <c r="T429"/>
      <c r="U429"/>
      <c r="V429" s="222"/>
    </row>
    <row r="430" spans="1:22" x14ac:dyDescent="0.2">
      <c r="A430" t="s">
        <v>1016</v>
      </c>
      <c r="B430" s="101">
        <v>4</v>
      </c>
      <c r="C430" s="101">
        <v>-10</v>
      </c>
      <c r="D430" s="101">
        <v>4</v>
      </c>
      <c r="E430" s="101">
        <v>-12</v>
      </c>
      <c r="F430" s="101">
        <v>21</v>
      </c>
      <c r="G430" s="101">
        <v>-42</v>
      </c>
      <c r="H430" s="101">
        <v>-10.3</v>
      </c>
      <c r="I430" s="102">
        <v>0.57999999999999996</v>
      </c>
      <c r="J430" s="102">
        <v>1.617</v>
      </c>
      <c r="K430" s="101">
        <v>25.6</v>
      </c>
      <c r="L430" s="101">
        <v>0.3</v>
      </c>
      <c r="M430" s="101" t="s">
        <v>1088</v>
      </c>
      <c r="N430" s="101">
        <v>2009</v>
      </c>
      <c r="O430" s="101" t="s">
        <v>685</v>
      </c>
      <c r="P430" s="101">
        <v>225490</v>
      </c>
      <c r="Q430" t="s">
        <v>1004</v>
      </c>
      <c r="R430" t="s">
        <v>291</v>
      </c>
      <c r="S430"/>
      <c r="T430"/>
      <c r="U430"/>
      <c r="V430" s="222"/>
    </row>
    <row r="431" spans="1:22" x14ac:dyDescent="0.2">
      <c r="A431" t="s">
        <v>295</v>
      </c>
      <c r="B431" s="101">
        <v>12</v>
      </c>
      <c r="C431" s="101">
        <v>-3</v>
      </c>
      <c r="D431" s="101">
        <v>12</v>
      </c>
      <c r="E431" s="101">
        <v>12</v>
      </c>
      <c r="F431" s="101">
        <v>28</v>
      </c>
      <c r="G431" s="101">
        <v>-8</v>
      </c>
      <c r="H431" s="101">
        <v>-1.6</v>
      </c>
      <c r="I431" s="102">
        <v>0.55000000000000004</v>
      </c>
      <c r="J431" s="102">
        <v>1.6170979999999999</v>
      </c>
      <c r="K431" s="101">
        <v>11.5</v>
      </c>
      <c r="L431" s="101">
        <v>0.7</v>
      </c>
      <c r="M431" s="101" t="s">
        <v>1088</v>
      </c>
      <c r="N431" s="101">
        <v>2000</v>
      </c>
      <c r="O431" s="101" t="s">
        <v>806</v>
      </c>
      <c r="P431" s="101">
        <v>771030</v>
      </c>
      <c r="Q431" t="s">
        <v>753</v>
      </c>
      <c r="R431" t="s">
        <v>291</v>
      </c>
      <c r="S431"/>
      <c r="T431"/>
      <c r="U431"/>
      <c r="V431" s="222"/>
    </row>
    <row r="432" spans="1:22" x14ac:dyDescent="0.2">
      <c r="A432" t="s">
        <v>683</v>
      </c>
      <c r="B432" s="101">
        <v>7</v>
      </c>
      <c r="C432" s="101">
        <v>-1</v>
      </c>
      <c r="D432" s="101">
        <v>7</v>
      </c>
      <c r="E432" s="101">
        <v>-1</v>
      </c>
      <c r="F432" s="101">
        <v>3</v>
      </c>
      <c r="G432" s="101">
        <v>-5</v>
      </c>
      <c r="H432" s="101">
        <v>-1.1000000000000001</v>
      </c>
      <c r="I432" s="102">
        <v>0.54</v>
      </c>
      <c r="J432" s="102">
        <v>1.62</v>
      </c>
      <c r="K432" s="101">
        <v>11.8</v>
      </c>
      <c r="L432" s="101">
        <v>0</v>
      </c>
      <c r="M432" s="101" t="s">
        <v>1089</v>
      </c>
      <c r="N432" s="101">
        <v>2003</v>
      </c>
      <c r="O432" s="101" t="s">
        <v>685</v>
      </c>
      <c r="P432" s="101">
        <v>753384</v>
      </c>
      <c r="Q432" t="s">
        <v>368</v>
      </c>
      <c r="R432" t="s">
        <v>678</v>
      </c>
      <c r="S432"/>
      <c r="T432"/>
      <c r="U432"/>
      <c r="V432" s="222"/>
    </row>
    <row r="433" spans="1:22" x14ac:dyDescent="0.2">
      <c r="A433" t="s">
        <v>37</v>
      </c>
      <c r="B433" s="101">
        <v>-3</v>
      </c>
      <c r="C433" s="101">
        <v>-11</v>
      </c>
      <c r="D433" s="101">
        <v>-2</v>
      </c>
      <c r="E433" s="101">
        <v>-14</v>
      </c>
      <c r="F433" s="101">
        <v>9</v>
      </c>
      <c r="G433" s="101">
        <v>-50</v>
      </c>
      <c r="H433" s="101">
        <v>-13</v>
      </c>
      <c r="I433" s="102">
        <v>0.67</v>
      </c>
      <c r="J433" s="102">
        <v>1.63</v>
      </c>
      <c r="K433" s="101">
        <v>17.899999999999999</v>
      </c>
      <c r="L433" s="101">
        <v>0.2</v>
      </c>
      <c r="M433" s="101" t="s">
        <v>1088</v>
      </c>
      <c r="N433" s="101">
        <v>2002</v>
      </c>
      <c r="O433" s="101" t="s">
        <v>806</v>
      </c>
      <c r="P433" s="101">
        <v>484980</v>
      </c>
      <c r="Q433" t="s">
        <v>36</v>
      </c>
      <c r="R433" t="s">
        <v>800</v>
      </c>
      <c r="S433"/>
      <c r="T433"/>
      <c r="U433"/>
      <c r="V433" s="222"/>
    </row>
    <row r="434" spans="1:22" x14ac:dyDescent="0.2">
      <c r="A434" t="s">
        <v>290</v>
      </c>
      <c r="B434" s="101">
        <v>7</v>
      </c>
      <c r="C434" s="101">
        <v>2</v>
      </c>
      <c r="D434" s="101">
        <v>7</v>
      </c>
      <c r="E434" s="101">
        <v>3</v>
      </c>
      <c r="F434" s="101">
        <v>24</v>
      </c>
      <c r="G434" s="101">
        <v>-5</v>
      </c>
      <c r="H434" s="101">
        <v>-1.1000000000000001</v>
      </c>
      <c r="I434" s="102">
        <v>0.56999999999999995</v>
      </c>
      <c r="J434" s="102">
        <v>1.6326000000000001</v>
      </c>
      <c r="K434" s="101">
        <v>9.5</v>
      </c>
      <c r="L434" s="101">
        <v>0.7</v>
      </c>
      <c r="M434" s="101" t="s">
        <v>1088</v>
      </c>
      <c r="N434" s="101">
        <v>2000</v>
      </c>
      <c r="O434" s="101" t="s">
        <v>806</v>
      </c>
      <c r="P434" s="101">
        <v>749788</v>
      </c>
      <c r="Q434" t="s">
        <v>736</v>
      </c>
      <c r="R434" t="s">
        <v>282</v>
      </c>
      <c r="S434"/>
      <c r="T434"/>
      <c r="U434"/>
      <c r="V434" s="222"/>
    </row>
    <row r="435" spans="1:22" x14ac:dyDescent="0.2">
      <c r="A435" t="s">
        <v>379</v>
      </c>
      <c r="B435" s="101">
        <v>2</v>
      </c>
      <c r="C435" s="101">
        <v>-3</v>
      </c>
      <c r="D435" s="101">
        <v>3</v>
      </c>
      <c r="E435" s="101">
        <v>-1</v>
      </c>
      <c r="F435" s="101">
        <v>-10</v>
      </c>
      <c r="G435" s="101">
        <v>-37</v>
      </c>
      <c r="H435" s="101">
        <v>-8.6999999999999993</v>
      </c>
      <c r="I435" s="102">
        <v>0.47</v>
      </c>
      <c r="J435" s="102">
        <v>1.6361049999999999</v>
      </c>
      <c r="K435" s="101">
        <v>14.1</v>
      </c>
      <c r="L435" s="101">
        <v>-0.3</v>
      </c>
      <c r="M435" s="101" t="s">
        <v>1088</v>
      </c>
      <c r="N435" s="101">
        <v>2003</v>
      </c>
      <c r="O435" s="101" t="s">
        <v>806</v>
      </c>
      <c r="P435" s="101">
        <v>203182</v>
      </c>
      <c r="Q435" t="s">
        <v>729</v>
      </c>
      <c r="R435" t="s">
        <v>237</v>
      </c>
      <c r="S435"/>
      <c r="T435"/>
      <c r="U435"/>
      <c r="V435" s="222"/>
    </row>
    <row r="436" spans="1:22" x14ac:dyDescent="0.2">
      <c r="A436" t="s">
        <v>154</v>
      </c>
      <c r="B436" s="101">
        <v>7</v>
      </c>
      <c r="C436" s="101">
        <v>-4</v>
      </c>
      <c r="D436" s="101">
        <v>6</v>
      </c>
      <c r="E436" s="101">
        <v>0</v>
      </c>
      <c r="F436" s="101">
        <v>14</v>
      </c>
      <c r="G436" s="101">
        <v>-15</v>
      </c>
      <c r="H436" s="101">
        <v>-3.3</v>
      </c>
      <c r="I436" s="102">
        <v>0.67</v>
      </c>
      <c r="J436" s="102">
        <v>1.64</v>
      </c>
      <c r="K436" s="101">
        <v>11</v>
      </c>
      <c r="L436" s="101">
        <v>0.3</v>
      </c>
      <c r="M436" s="101" t="s">
        <v>1089</v>
      </c>
      <c r="N436" s="101">
        <v>2002</v>
      </c>
      <c r="O436" s="101" t="s">
        <v>685</v>
      </c>
      <c r="P436" s="101">
        <v>526897</v>
      </c>
      <c r="Q436" t="s">
        <v>132</v>
      </c>
      <c r="R436" t="s">
        <v>152</v>
      </c>
      <c r="S436"/>
      <c r="T436"/>
      <c r="U436"/>
      <c r="V436" s="222"/>
    </row>
    <row r="437" spans="1:22" x14ac:dyDescent="0.2">
      <c r="A437" t="s">
        <v>246</v>
      </c>
      <c r="B437" s="101">
        <v>8</v>
      </c>
      <c r="C437" s="101">
        <v>0</v>
      </c>
      <c r="D437" s="101">
        <v>8</v>
      </c>
      <c r="E437" s="101">
        <v>6</v>
      </c>
      <c r="F437" s="101">
        <v>-3</v>
      </c>
      <c r="G437" s="101">
        <v>-35</v>
      </c>
      <c r="H437" s="101">
        <v>-8.4</v>
      </c>
      <c r="I437" s="102">
        <v>0.67</v>
      </c>
      <c r="J437" s="102">
        <v>1.64</v>
      </c>
      <c r="K437" s="101">
        <v>15</v>
      </c>
      <c r="L437" s="101">
        <v>0</v>
      </c>
      <c r="M437" s="101" t="s">
        <v>1093</v>
      </c>
      <c r="N437" s="101">
        <v>2000</v>
      </c>
      <c r="O437" s="101" t="s">
        <v>685</v>
      </c>
      <c r="P437" s="101">
        <v>920439</v>
      </c>
      <c r="Q437" t="s">
        <v>132</v>
      </c>
      <c r="R437" t="s">
        <v>237</v>
      </c>
      <c r="S437"/>
      <c r="T437"/>
      <c r="U437"/>
      <c r="V437" s="222"/>
    </row>
    <row r="438" spans="1:22" x14ac:dyDescent="0.2">
      <c r="A438" t="s">
        <v>896</v>
      </c>
      <c r="B438" s="101">
        <v>12</v>
      </c>
      <c r="C438" s="101">
        <v>-3</v>
      </c>
      <c r="D438" s="101">
        <v>12</v>
      </c>
      <c r="E438" s="101">
        <v>-5</v>
      </c>
      <c r="F438" s="101"/>
      <c r="G438" s="101"/>
      <c r="H438" s="101"/>
      <c r="I438" s="102">
        <v>0.64</v>
      </c>
      <c r="J438" s="102">
        <v>1.64</v>
      </c>
      <c r="K438" s="101"/>
      <c r="L438" s="101"/>
      <c r="M438" s="101" t="s">
        <v>1088</v>
      </c>
      <c r="N438" s="101">
        <v>2011</v>
      </c>
      <c r="O438" s="101" t="s">
        <v>685</v>
      </c>
      <c r="P438" s="101">
        <v>690636</v>
      </c>
      <c r="Q438" t="s">
        <v>376</v>
      </c>
      <c r="R438" t="s">
        <v>678</v>
      </c>
      <c r="S438"/>
      <c r="T438"/>
      <c r="U438"/>
      <c r="V438" s="222"/>
    </row>
    <row r="439" spans="1:22" x14ac:dyDescent="0.2">
      <c r="A439" t="s">
        <v>178</v>
      </c>
      <c r="B439" s="101">
        <v>8</v>
      </c>
      <c r="C439" s="101">
        <v>-6</v>
      </c>
      <c r="D439" s="101">
        <v>8</v>
      </c>
      <c r="E439" s="101">
        <v>-18</v>
      </c>
      <c r="F439" s="101">
        <v>23</v>
      </c>
      <c r="G439" s="101">
        <v>-34</v>
      </c>
      <c r="H439" s="101">
        <v>-7.8</v>
      </c>
      <c r="I439" s="102">
        <v>0.47</v>
      </c>
      <c r="J439" s="102">
        <v>1.641964</v>
      </c>
      <c r="K439" s="101">
        <v>21.8</v>
      </c>
      <c r="L439" s="101">
        <v>0.3</v>
      </c>
      <c r="M439" s="101" t="s">
        <v>1088</v>
      </c>
      <c r="N439" s="101">
        <v>2006</v>
      </c>
      <c r="O439" s="101" t="s">
        <v>806</v>
      </c>
      <c r="P439" s="101">
        <v>715664</v>
      </c>
      <c r="Q439" t="s">
        <v>729</v>
      </c>
      <c r="R439" t="s">
        <v>218</v>
      </c>
      <c r="S439"/>
      <c r="T439"/>
      <c r="U439"/>
      <c r="V439" s="222"/>
    </row>
    <row r="440" spans="1:22" x14ac:dyDescent="0.2">
      <c r="A440" t="s">
        <v>839</v>
      </c>
      <c r="B440" s="101">
        <v>4</v>
      </c>
      <c r="C440" s="101">
        <v>-2</v>
      </c>
      <c r="D440" s="101">
        <v>4</v>
      </c>
      <c r="E440" s="101">
        <v>0</v>
      </c>
      <c r="F440" s="101">
        <v>2</v>
      </c>
      <c r="G440" s="101">
        <v>1</v>
      </c>
      <c r="H440" s="101">
        <v>0.1</v>
      </c>
      <c r="I440" s="102">
        <v>0.67</v>
      </c>
      <c r="J440" s="102">
        <v>1.65</v>
      </c>
      <c r="K440" s="101">
        <v>5.6</v>
      </c>
      <c r="L440" s="101">
        <v>-0.1</v>
      </c>
      <c r="M440" s="101" t="s">
        <v>1089</v>
      </c>
      <c r="N440" s="101">
        <v>2000</v>
      </c>
      <c r="O440" s="101" t="s">
        <v>685</v>
      </c>
      <c r="P440" s="101">
        <v>996348</v>
      </c>
      <c r="Q440" t="s">
        <v>838</v>
      </c>
      <c r="R440" t="s">
        <v>314</v>
      </c>
      <c r="S440"/>
      <c r="T440"/>
      <c r="U440"/>
      <c r="V440" s="222"/>
    </row>
    <row r="441" spans="1:22" x14ac:dyDescent="0.2">
      <c r="A441" t="s">
        <v>405</v>
      </c>
      <c r="B441" s="101">
        <v>4</v>
      </c>
      <c r="C441" s="101">
        <v>-4</v>
      </c>
      <c r="D441" s="101">
        <v>3</v>
      </c>
      <c r="E441" s="101">
        <v>-9</v>
      </c>
      <c r="F441" s="101">
        <v>7</v>
      </c>
      <c r="G441" s="101">
        <v>-19</v>
      </c>
      <c r="H441" s="101">
        <v>-4.2</v>
      </c>
      <c r="I441" s="102">
        <v>0.56000000000000005</v>
      </c>
      <c r="J441" s="102">
        <v>1.65</v>
      </c>
      <c r="K441" s="101">
        <v>14.8</v>
      </c>
      <c r="L441" s="101">
        <v>0.1</v>
      </c>
      <c r="M441" s="101" t="s">
        <v>1088</v>
      </c>
      <c r="N441" s="101">
        <v>2000</v>
      </c>
      <c r="O441" s="101" t="s">
        <v>806</v>
      </c>
      <c r="P441" s="101">
        <v>618629</v>
      </c>
      <c r="Q441" t="s">
        <v>732</v>
      </c>
      <c r="R441" t="s">
        <v>138</v>
      </c>
      <c r="S441"/>
      <c r="T441"/>
      <c r="U441"/>
      <c r="V441" s="222"/>
    </row>
    <row r="442" spans="1:22" x14ac:dyDescent="0.2">
      <c r="A442" t="s">
        <v>442</v>
      </c>
      <c r="B442" s="101">
        <v>7</v>
      </c>
      <c r="C442" s="101">
        <v>-3</v>
      </c>
      <c r="D442" s="101">
        <v>8</v>
      </c>
      <c r="E442" s="101">
        <v>-11</v>
      </c>
      <c r="F442" s="101">
        <v>26</v>
      </c>
      <c r="G442" s="101">
        <v>-31</v>
      </c>
      <c r="H442" s="101">
        <v>-7.2</v>
      </c>
      <c r="I442" s="102">
        <v>0.32</v>
      </c>
      <c r="J442" s="102">
        <v>1.65</v>
      </c>
      <c r="K442" s="101">
        <v>18</v>
      </c>
      <c r="L442" s="101">
        <v>0.5</v>
      </c>
      <c r="M442" s="101" t="s">
        <v>1088</v>
      </c>
      <c r="N442" s="101">
        <v>2007</v>
      </c>
      <c r="O442" s="101" t="s">
        <v>806</v>
      </c>
      <c r="P442" s="101">
        <v>853499</v>
      </c>
      <c r="Q442" t="s">
        <v>182</v>
      </c>
      <c r="R442" t="s">
        <v>723</v>
      </c>
      <c r="S442" t="s">
        <v>1111</v>
      </c>
      <c r="T442"/>
      <c r="U442"/>
      <c r="V442" s="222"/>
    </row>
    <row r="443" spans="1:22" x14ac:dyDescent="0.2">
      <c r="A443" t="s">
        <v>1087</v>
      </c>
      <c r="B443" s="101">
        <v>-1</v>
      </c>
      <c r="C443" s="101">
        <v>-8</v>
      </c>
      <c r="D443" s="101">
        <v>0</v>
      </c>
      <c r="E443" s="101">
        <v>-21</v>
      </c>
      <c r="F443" s="101">
        <v>-12</v>
      </c>
      <c r="G443" s="101">
        <v>-43</v>
      </c>
      <c r="H443" s="101">
        <v>-10.6</v>
      </c>
      <c r="I443" s="102">
        <v>0.68</v>
      </c>
      <c r="J443" s="102">
        <v>1.65</v>
      </c>
      <c r="K443" s="101">
        <v>18.100000000000001</v>
      </c>
      <c r="L443" s="101">
        <v>-0.2</v>
      </c>
      <c r="M443" s="101" t="s">
        <v>1089</v>
      </c>
      <c r="N443" s="101">
        <v>2000</v>
      </c>
      <c r="O443" s="101" t="s">
        <v>685</v>
      </c>
      <c r="P443" s="101">
        <v>848770</v>
      </c>
      <c r="Q443" t="s">
        <v>132</v>
      </c>
      <c r="R443" t="s">
        <v>92</v>
      </c>
      <c r="S443"/>
      <c r="T443"/>
      <c r="U443"/>
      <c r="V443" s="222"/>
    </row>
    <row r="444" spans="1:22" x14ac:dyDescent="0.2">
      <c r="A444" t="s">
        <v>259</v>
      </c>
      <c r="B444" s="101">
        <v>1</v>
      </c>
      <c r="C444" s="101">
        <v>-4</v>
      </c>
      <c r="D444" s="101">
        <v>1</v>
      </c>
      <c r="E444" s="101">
        <v>0</v>
      </c>
      <c r="F444" s="101">
        <v>6</v>
      </c>
      <c r="G444" s="101">
        <v>-21</v>
      </c>
      <c r="H444" s="101">
        <v>-4.5</v>
      </c>
      <c r="I444" s="102">
        <v>0.64</v>
      </c>
      <c r="J444" s="102">
        <v>1.6564300000000001</v>
      </c>
      <c r="K444" s="101">
        <v>9.4</v>
      </c>
      <c r="L444" s="101">
        <v>0.2</v>
      </c>
      <c r="M444" s="101" t="s">
        <v>1090</v>
      </c>
      <c r="N444" s="101">
        <v>2001</v>
      </c>
      <c r="O444" s="101" t="s">
        <v>685</v>
      </c>
      <c r="P444" s="101">
        <v>290668</v>
      </c>
      <c r="Q444" t="s">
        <v>807</v>
      </c>
      <c r="R444" t="s">
        <v>152</v>
      </c>
      <c r="S444"/>
      <c r="T444"/>
      <c r="U444"/>
      <c r="V444" s="222"/>
    </row>
    <row r="445" spans="1:22" x14ac:dyDescent="0.2">
      <c r="A445" t="s">
        <v>336</v>
      </c>
      <c r="B445" s="101">
        <v>2</v>
      </c>
      <c r="C445" s="101">
        <v>-2</v>
      </c>
      <c r="D445" s="101">
        <v>2</v>
      </c>
      <c r="E445" s="101">
        <v>-4</v>
      </c>
      <c r="F445" s="101">
        <v>-4</v>
      </c>
      <c r="G445" s="101">
        <v>-8</v>
      </c>
      <c r="H445" s="101">
        <v>-1.7</v>
      </c>
      <c r="I445" s="102">
        <v>0.64</v>
      </c>
      <c r="J445" s="102">
        <v>1.66</v>
      </c>
      <c r="K445" s="101">
        <v>6.1</v>
      </c>
      <c r="L445" s="101">
        <v>-0.4</v>
      </c>
      <c r="M445" s="101" t="s">
        <v>1089</v>
      </c>
      <c r="N445" s="101">
        <v>2000</v>
      </c>
      <c r="O445" s="101" t="s">
        <v>685</v>
      </c>
      <c r="P445" s="101">
        <v>722454</v>
      </c>
      <c r="Q445" t="s">
        <v>94</v>
      </c>
      <c r="R445" t="s">
        <v>314</v>
      </c>
      <c r="S445"/>
      <c r="T445"/>
      <c r="U445"/>
      <c r="V445" s="222"/>
    </row>
    <row r="446" spans="1:22" x14ac:dyDescent="0.2">
      <c r="A446" t="s">
        <v>238</v>
      </c>
      <c r="B446" s="101">
        <v>5</v>
      </c>
      <c r="C446" s="101">
        <v>0</v>
      </c>
      <c r="D446" s="101">
        <v>8</v>
      </c>
      <c r="E446" s="101">
        <v>9</v>
      </c>
      <c r="F446" s="101">
        <v>-2</v>
      </c>
      <c r="G446" s="101">
        <v>-19</v>
      </c>
      <c r="H446" s="101">
        <v>-4.2</v>
      </c>
      <c r="I446" s="102">
        <v>0.68</v>
      </c>
      <c r="J446" s="102">
        <v>1.66</v>
      </c>
      <c r="K446" s="101">
        <v>15.1</v>
      </c>
      <c r="L446" s="101">
        <v>-0.1</v>
      </c>
      <c r="M446" s="101" t="s">
        <v>1093</v>
      </c>
      <c r="N446" s="101">
        <v>2000</v>
      </c>
      <c r="O446" s="101" t="s">
        <v>685</v>
      </c>
      <c r="P446" s="101">
        <v>652628</v>
      </c>
      <c r="Q446" t="s">
        <v>811</v>
      </c>
      <c r="R446" t="s">
        <v>237</v>
      </c>
      <c r="S446"/>
      <c r="T446"/>
      <c r="U446"/>
      <c r="V446" s="222"/>
    </row>
    <row r="447" spans="1:22" x14ac:dyDescent="0.2">
      <c r="A447" t="s">
        <v>58</v>
      </c>
      <c r="B447" s="101">
        <v>1</v>
      </c>
      <c r="C447" s="101">
        <v>-5</v>
      </c>
      <c r="D447" s="101">
        <v>2</v>
      </c>
      <c r="E447" s="101">
        <v>-13</v>
      </c>
      <c r="F447" s="101">
        <v>3</v>
      </c>
      <c r="G447" s="101">
        <v>-30</v>
      </c>
      <c r="H447" s="101">
        <v>-6.9</v>
      </c>
      <c r="I447" s="102">
        <v>0.68</v>
      </c>
      <c r="J447" s="102">
        <v>1.66</v>
      </c>
      <c r="K447" s="101">
        <v>14.1</v>
      </c>
      <c r="L447" s="101">
        <v>0</v>
      </c>
      <c r="M447" s="101" t="s">
        <v>1089</v>
      </c>
      <c r="N447" s="101">
        <v>2001</v>
      </c>
      <c r="O447" s="101" t="s">
        <v>685</v>
      </c>
      <c r="P447" s="101">
        <v>899773</v>
      </c>
      <c r="Q447" t="s">
        <v>132</v>
      </c>
      <c r="R447" t="s">
        <v>48</v>
      </c>
      <c r="S447"/>
      <c r="T447"/>
      <c r="U447"/>
      <c r="V447" s="222"/>
    </row>
    <row r="448" spans="1:22" x14ac:dyDescent="0.2">
      <c r="A448" t="s">
        <v>1040</v>
      </c>
      <c r="B448" s="101">
        <v>4</v>
      </c>
      <c r="C448" s="101">
        <v>-5</v>
      </c>
      <c r="D448" s="101">
        <v>4</v>
      </c>
      <c r="E448" s="101">
        <v>-12</v>
      </c>
      <c r="F448" s="101">
        <v>11</v>
      </c>
      <c r="G448" s="101">
        <v>-33</v>
      </c>
      <c r="H448" s="101">
        <v>-7.8</v>
      </c>
      <c r="I448" s="102">
        <v>0.65</v>
      </c>
      <c r="J448" s="102">
        <v>1.66</v>
      </c>
      <c r="K448" s="101">
        <v>12</v>
      </c>
      <c r="L448" s="101">
        <v>0.2</v>
      </c>
      <c r="M448" s="101" t="s">
        <v>1092</v>
      </c>
      <c r="N448" s="101">
        <v>2006</v>
      </c>
      <c r="O448" s="101" t="s">
        <v>685</v>
      </c>
      <c r="P448" s="101">
        <v>793406</v>
      </c>
      <c r="Q448" t="s">
        <v>805</v>
      </c>
      <c r="R448" t="s">
        <v>678</v>
      </c>
      <c r="S448"/>
      <c r="T448"/>
      <c r="U448"/>
      <c r="V448" s="222"/>
    </row>
    <row r="449" spans="1:22" x14ac:dyDescent="0.2">
      <c r="A449" t="s">
        <v>401</v>
      </c>
      <c r="B449" s="101">
        <v>6</v>
      </c>
      <c r="C449" s="101">
        <v>1</v>
      </c>
      <c r="D449" s="101">
        <v>6</v>
      </c>
      <c r="E449" s="101">
        <v>6</v>
      </c>
      <c r="F449" s="101">
        <v>19</v>
      </c>
      <c r="G449" s="101"/>
      <c r="H449" s="101"/>
      <c r="I449" s="102">
        <v>0.66</v>
      </c>
      <c r="J449" s="102">
        <v>1.67</v>
      </c>
      <c r="K449" s="101">
        <v>6.8</v>
      </c>
      <c r="L449" s="101">
        <v>0.7</v>
      </c>
      <c r="M449" s="101" t="s">
        <v>1089</v>
      </c>
      <c r="N449" s="101">
        <v>2009</v>
      </c>
      <c r="O449" s="101" t="s">
        <v>685</v>
      </c>
      <c r="P449" s="101">
        <v>118000</v>
      </c>
      <c r="Q449" t="s">
        <v>63</v>
      </c>
      <c r="R449" t="s">
        <v>152</v>
      </c>
      <c r="S449"/>
      <c r="T449"/>
      <c r="U449"/>
      <c r="V449" s="222"/>
    </row>
    <row r="450" spans="1:22" x14ac:dyDescent="0.2">
      <c r="A450" t="s">
        <v>369</v>
      </c>
      <c r="B450" s="101">
        <v>13</v>
      </c>
      <c r="C450" s="101">
        <v>5</v>
      </c>
      <c r="D450" s="101">
        <v>13</v>
      </c>
      <c r="E450" s="101">
        <v>11</v>
      </c>
      <c r="F450" s="101">
        <v>65</v>
      </c>
      <c r="G450" s="101">
        <v>-11</v>
      </c>
      <c r="H450" s="101">
        <v>-2.4</v>
      </c>
      <c r="I450" s="102">
        <v>0.37</v>
      </c>
      <c r="J450" s="102">
        <v>1.682777</v>
      </c>
      <c r="K450" s="101">
        <v>13</v>
      </c>
      <c r="L450" s="101">
        <v>1.3</v>
      </c>
      <c r="M450" s="101" t="s">
        <v>1092</v>
      </c>
      <c r="N450" s="101">
        <v>2007</v>
      </c>
      <c r="O450" s="101" t="s">
        <v>685</v>
      </c>
      <c r="P450" s="101">
        <v>800664</v>
      </c>
      <c r="Q450" t="s">
        <v>375</v>
      </c>
      <c r="R450" t="s">
        <v>152</v>
      </c>
      <c r="S450"/>
      <c r="T450"/>
      <c r="U450"/>
      <c r="V450" s="222"/>
    </row>
    <row r="451" spans="1:22" x14ac:dyDescent="0.2">
      <c r="A451" t="s">
        <v>932</v>
      </c>
      <c r="B451" s="101">
        <v>10</v>
      </c>
      <c r="C451" s="101">
        <v>4</v>
      </c>
      <c r="D451" s="101">
        <v>11</v>
      </c>
      <c r="E451" s="101">
        <v>10</v>
      </c>
      <c r="F451" s="101">
        <v>23</v>
      </c>
      <c r="G451" s="101">
        <v>-3</v>
      </c>
      <c r="H451" s="101">
        <v>-0.5</v>
      </c>
      <c r="I451" s="102">
        <v>0.47</v>
      </c>
      <c r="J451" s="102">
        <v>1.7</v>
      </c>
      <c r="K451" s="101">
        <v>9.1999999999999993</v>
      </c>
      <c r="L451" s="101">
        <v>0.6</v>
      </c>
      <c r="M451" s="101" t="s">
        <v>1088</v>
      </c>
      <c r="N451" s="101">
        <v>2000</v>
      </c>
      <c r="O451" s="101" t="s">
        <v>685</v>
      </c>
      <c r="P451" s="101">
        <v>313155</v>
      </c>
      <c r="Q451" t="s">
        <v>817</v>
      </c>
      <c r="R451" t="s">
        <v>282</v>
      </c>
      <c r="S451"/>
      <c r="T451"/>
      <c r="U451"/>
      <c r="V451" s="222"/>
    </row>
    <row r="452" spans="1:22" x14ac:dyDescent="0.2">
      <c r="A452" t="s">
        <v>764</v>
      </c>
      <c r="B452" s="101">
        <v>4</v>
      </c>
      <c r="C452" s="101">
        <v>-3</v>
      </c>
      <c r="D452" s="101">
        <v>5</v>
      </c>
      <c r="E452" s="101">
        <v>5</v>
      </c>
      <c r="F452" s="101">
        <v>16</v>
      </c>
      <c r="G452" s="101">
        <v>-8</v>
      </c>
      <c r="H452" s="101">
        <v>-1.7</v>
      </c>
      <c r="I452" s="102">
        <v>0.69</v>
      </c>
      <c r="J452" s="102">
        <v>1.7</v>
      </c>
      <c r="K452" s="101">
        <v>10.8</v>
      </c>
      <c r="L452" s="101">
        <v>0.4</v>
      </c>
      <c r="M452" s="101" t="s">
        <v>1091</v>
      </c>
      <c r="N452" s="101">
        <v>2006</v>
      </c>
      <c r="O452" s="101" t="s">
        <v>685</v>
      </c>
      <c r="P452" s="101">
        <v>407775</v>
      </c>
      <c r="Q452" t="s">
        <v>805</v>
      </c>
      <c r="R452" t="s">
        <v>108</v>
      </c>
      <c r="S452"/>
      <c r="T452"/>
      <c r="U452"/>
      <c r="V452" s="222"/>
    </row>
    <row r="453" spans="1:22" x14ac:dyDescent="0.2">
      <c r="A453" t="s">
        <v>71</v>
      </c>
      <c r="B453" s="101">
        <v>4</v>
      </c>
      <c r="C453" s="101">
        <v>-4</v>
      </c>
      <c r="D453" s="101">
        <v>4</v>
      </c>
      <c r="E453" s="101">
        <v>-5</v>
      </c>
      <c r="F453" s="101">
        <v>6</v>
      </c>
      <c r="G453" s="101">
        <v>-12</v>
      </c>
      <c r="H453" s="101">
        <v>-2.6</v>
      </c>
      <c r="I453" s="102">
        <v>0.69</v>
      </c>
      <c r="J453" s="102">
        <v>1.7</v>
      </c>
      <c r="K453" s="101">
        <v>7.6</v>
      </c>
      <c r="L453" s="101">
        <v>0.2</v>
      </c>
      <c r="M453" s="101" t="s">
        <v>1089</v>
      </c>
      <c r="N453" s="101">
        <v>2008</v>
      </c>
      <c r="O453" s="101" t="s">
        <v>685</v>
      </c>
      <c r="P453" s="101">
        <v>235234</v>
      </c>
      <c r="Q453" t="s">
        <v>376</v>
      </c>
      <c r="R453" t="s">
        <v>314</v>
      </c>
      <c r="S453"/>
      <c r="T453"/>
      <c r="U453"/>
      <c r="V453" s="222"/>
    </row>
    <row r="454" spans="1:22" x14ac:dyDescent="0.2">
      <c r="A454" t="s">
        <v>337</v>
      </c>
      <c r="B454" s="101">
        <v>-3</v>
      </c>
      <c r="C454" s="101">
        <v>-12</v>
      </c>
      <c r="D454" s="101">
        <v>-1</v>
      </c>
      <c r="E454" s="101">
        <v>-21</v>
      </c>
      <c r="F454" s="101">
        <v>-18</v>
      </c>
      <c r="G454" s="101"/>
      <c r="H454" s="101"/>
      <c r="I454" s="102">
        <v>0.64</v>
      </c>
      <c r="J454" s="102">
        <v>1.7</v>
      </c>
      <c r="K454" s="101">
        <v>16.399999999999999</v>
      </c>
      <c r="L454" s="101">
        <v>-0.4</v>
      </c>
      <c r="M454" s="101" t="s">
        <v>1089</v>
      </c>
      <c r="N454" s="101">
        <v>2011</v>
      </c>
      <c r="O454" s="101" t="s">
        <v>685</v>
      </c>
      <c r="P454" s="101">
        <v>125856</v>
      </c>
      <c r="Q454" t="s">
        <v>868</v>
      </c>
      <c r="R454" t="s">
        <v>92</v>
      </c>
      <c r="S454"/>
      <c r="T454"/>
      <c r="U454"/>
      <c r="V454" s="222"/>
    </row>
    <row r="455" spans="1:22" x14ac:dyDescent="0.2">
      <c r="A455" t="s">
        <v>347</v>
      </c>
      <c r="B455" s="101">
        <v>0</v>
      </c>
      <c r="C455" s="101">
        <v>-8</v>
      </c>
      <c r="D455" s="101">
        <v>2</v>
      </c>
      <c r="E455" s="101">
        <v>-15</v>
      </c>
      <c r="F455" s="101">
        <v>-6</v>
      </c>
      <c r="G455" s="101"/>
      <c r="H455" s="101"/>
      <c r="I455" s="102">
        <v>0.64</v>
      </c>
      <c r="J455" s="102">
        <v>1.7</v>
      </c>
      <c r="K455" s="101">
        <v>13.5</v>
      </c>
      <c r="L455" s="101">
        <v>-0.2</v>
      </c>
      <c r="M455" s="101" t="s">
        <v>1089</v>
      </c>
      <c r="N455" s="101">
        <v>2011</v>
      </c>
      <c r="O455" s="101" t="s">
        <v>685</v>
      </c>
      <c r="P455" s="101">
        <v>707638</v>
      </c>
      <c r="Q455" t="s">
        <v>868</v>
      </c>
      <c r="R455" t="s">
        <v>48</v>
      </c>
      <c r="S455"/>
      <c r="T455"/>
      <c r="U455"/>
      <c r="V455" s="222"/>
    </row>
    <row r="456" spans="1:22" x14ac:dyDescent="0.2">
      <c r="A456" t="s">
        <v>422</v>
      </c>
      <c r="B456" s="101">
        <v>5</v>
      </c>
      <c r="C456" s="101">
        <v>-7</v>
      </c>
      <c r="D456" s="101">
        <v>6</v>
      </c>
      <c r="E456" s="101">
        <v>-7</v>
      </c>
      <c r="F456" s="101"/>
      <c r="G456" s="101"/>
      <c r="H456" s="101"/>
      <c r="I456" s="102">
        <v>0.69</v>
      </c>
      <c r="J456" s="102">
        <v>1.7</v>
      </c>
      <c r="K456" s="101"/>
      <c r="L456" s="101"/>
      <c r="M456" s="101" t="s">
        <v>1088</v>
      </c>
      <c r="N456" s="101">
        <v>2011</v>
      </c>
      <c r="O456" s="101" t="s">
        <v>806</v>
      </c>
      <c r="P456" s="101">
        <v>656637</v>
      </c>
      <c r="Q456" t="s">
        <v>420</v>
      </c>
      <c r="R456" t="s">
        <v>776</v>
      </c>
      <c r="S456"/>
      <c r="T456"/>
      <c r="U456"/>
      <c r="V456" s="222"/>
    </row>
    <row r="457" spans="1:22" x14ac:dyDescent="0.2">
      <c r="A457" t="s">
        <v>1039</v>
      </c>
      <c r="B457" s="101">
        <v>8</v>
      </c>
      <c r="C457" s="101">
        <v>6</v>
      </c>
      <c r="D457" s="101">
        <v>8</v>
      </c>
      <c r="E457" s="101">
        <v>18</v>
      </c>
      <c r="F457" s="101">
        <v>38</v>
      </c>
      <c r="G457" s="101">
        <v>44</v>
      </c>
      <c r="H457" s="101">
        <v>7.5</v>
      </c>
      <c r="I457" s="102">
        <v>0.67</v>
      </c>
      <c r="J457" s="102">
        <v>1.72</v>
      </c>
      <c r="K457" s="101">
        <v>9.5</v>
      </c>
      <c r="L457" s="101">
        <v>1.1000000000000001</v>
      </c>
      <c r="M457" s="101" t="s">
        <v>1091</v>
      </c>
      <c r="N457" s="101">
        <v>2006</v>
      </c>
      <c r="O457" s="101" t="s">
        <v>685</v>
      </c>
      <c r="P457" s="101">
        <v>721746</v>
      </c>
      <c r="Q457" t="s">
        <v>805</v>
      </c>
      <c r="R457" t="s">
        <v>678</v>
      </c>
      <c r="S457"/>
      <c r="T457"/>
      <c r="U457"/>
      <c r="V457" s="222"/>
    </row>
    <row r="458" spans="1:22" x14ac:dyDescent="0.2">
      <c r="A458" t="s">
        <v>270</v>
      </c>
      <c r="B458" s="101">
        <v>6</v>
      </c>
      <c r="C458" s="101">
        <v>4</v>
      </c>
      <c r="D458" s="101">
        <v>6</v>
      </c>
      <c r="E458" s="101">
        <v>5</v>
      </c>
      <c r="F458" s="101">
        <v>11</v>
      </c>
      <c r="G458" s="101">
        <v>6</v>
      </c>
      <c r="H458" s="101">
        <v>1.2</v>
      </c>
      <c r="I458" s="102">
        <v>0.71</v>
      </c>
      <c r="J458" s="102">
        <v>1.72</v>
      </c>
      <c r="K458" s="101">
        <v>7.2</v>
      </c>
      <c r="L458" s="101">
        <v>0.4</v>
      </c>
      <c r="M458" s="101" t="s">
        <v>1091</v>
      </c>
      <c r="N458" s="101">
        <v>2002</v>
      </c>
      <c r="O458" s="101" t="s">
        <v>685</v>
      </c>
      <c r="P458" s="101">
        <v>999359</v>
      </c>
      <c r="Q458" t="s">
        <v>809</v>
      </c>
      <c r="R458" t="s">
        <v>314</v>
      </c>
      <c r="S458"/>
      <c r="T458"/>
      <c r="U458"/>
      <c r="V458" s="222"/>
    </row>
    <row r="459" spans="1:22" x14ac:dyDescent="0.2">
      <c r="A459" t="s">
        <v>139</v>
      </c>
      <c r="B459" s="101">
        <v>2</v>
      </c>
      <c r="C459" s="101">
        <v>-1</v>
      </c>
      <c r="D459" s="101">
        <v>2</v>
      </c>
      <c r="E459" s="101">
        <v>-12</v>
      </c>
      <c r="F459" s="101">
        <v>-12</v>
      </c>
      <c r="G459" s="101">
        <v>-17</v>
      </c>
      <c r="H459" s="101">
        <v>-3.6</v>
      </c>
      <c r="I459" s="102">
        <v>0.6</v>
      </c>
      <c r="J459" s="102">
        <v>1.72</v>
      </c>
      <c r="K459" s="101">
        <v>16.5</v>
      </c>
      <c r="L459" s="101">
        <v>-0.2</v>
      </c>
      <c r="M459" s="101" t="s">
        <v>1091</v>
      </c>
      <c r="N459" s="101">
        <v>2000</v>
      </c>
      <c r="O459" s="101" t="s">
        <v>685</v>
      </c>
      <c r="P459" s="101">
        <v>334409</v>
      </c>
      <c r="Q459" t="s">
        <v>368</v>
      </c>
      <c r="R459" t="s">
        <v>381</v>
      </c>
      <c r="S459"/>
      <c r="T459"/>
      <c r="U459"/>
      <c r="V459" s="222"/>
    </row>
    <row r="460" spans="1:22" x14ac:dyDescent="0.2">
      <c r="A460" t="s">
        <v>904</v>
      </c>
      <c r="B460" s="101">
        <v>7</v>
      </c>
      <c r="C460" s="101">
        <v>-2</v>
      </c>
      <c r="D460" s="101">
        <v>8</v>
      </c>
      <c r="E460" s="101">
        <v>-2</v>
      </c>
      <c r="F460" s="101">
        <v>46</v>
      </c>
      <c r="G460" s="101">
        <v>-19</v>
      </c>
      <c r="H460" s="101">
        <v>-4</v>
      </c>
      <c r="I460" s="102">
        <v>0.33</v>
      </c>
      <c r="J460" s="102">
        <v>1.72</v>
      </c>
      <c r="K460" s="101">
        <v>13.7</v>
      </c>
      <c r="L460" s="101">
        <v>0.9</v>
      </c>
      <c r="M460" s="101" t="s">
        <v>1088</v>
      </c>
      <c r="N460" s="101">
        <v>2007</v>
      </c>
      <c r="O460" s="101" t="s">
        <v>806</v>
      </c>
      <c r="P460" s="101">
        <v>766667</v>
      </c>
      <c r="Q460" t="s">
        <v>182</v>
      </c>
      <c r="R460" t="s">
        <v>776</v>
      </c>
      <c r="S460"/>
      <c r="T460"/>
      <c r="U460"/>
      <c r="V460" s="222"/>
    </row>
    <row r="461" spans="1:22" x14ac:dyDescent="0.2">
      <c r="A461" t="s">
        <v>75</v>
      </c>
      <c r="B461" s="101">
        <v>3</v>
      </c>
      <c r="C461" s="101">
        <v>-4</v>
      </c>
      <c r="D461" s="101">
        <v>4</v>
      </c>
      <c r="E461" s="101">
        <v>-11</v>
      </c>
      <c r="F461" s="101">
        <v>-6</v>
      </c>
      <c r="G461" s="101">
        <v>-40</v>
      </c>
      <c r="H461" s="101">
        <v>-9.6</v>
      </c>
      <c r="I461" s="102">
        <v>0.33</v>
      </c>
      <c r="J461" s="102">
        <v>1.72</v>
      </c>
      <c r="K461" s="101">
        <v>13.2</v>
      </c>
      <c r="L461" s="101">
        <v>-0.2</v>
      </c>
      <c r="M461" s="101" t="s">
        <v>1088</v>
      </c>
      <c r="N461" s="101">
        <v>2004</v>
      </c>
      <c r="O461" s="101" t="s">
        <v>806</v>
      </c>
      <c r="P461" s="101">
        <v>914291</v>
      </c>
      <c r="Q461" t="s">
        <v>182</v>
      </c>
      <c r="R461" t="s">
        <v>48</v>
      </c>
      <c r="S461" t="s">
        <v>1111</v>
      </c>
      <c r="T461"/>
      <c r="U461"/>
      <c r="V461" s="222"/>
    </row>
    <row r="462" spans="1:22" x14ac:dyDescent="0.2">
      <c r="A462" t="s">
        <v>406</v>
      </c>
      <c r="B462" s="101">
        <v>9</v>
      </c>
      <c r="C462" s="101">
        <v>1</v>
      </c>
      <c r="D462" s="101">
        <v>9</v>
      </c>
      <c r="E462" s="101">
        <v>7</v>
      </c>
      <c r="F462" s="101">
        <v>24</v>
      </c>
      <c r="G462" s="101"/>
      <c r="H462" s="101"/>
      <c r="I462" s="102">
        <v>0.68</v>
      </c>
      <c r="J462" s="102">
        <v>1.72</v>
      </c>
      <c r="K462" s="101">
        <v>8.4</v>
      </c>
      <c r="L462" s="101">
        <v>0.7</v>
      </c>
      <c r="M462" s="101" t="s">
        <v>1089</v>
      </c>
      <c r="N462" s="101">
        <v>2009</v>
      </c>
      <c r="O462" s="101" t="s">
        <v>685</v>
      </c>
      <c r="P462" s="101">
        <v>153833</v>
      </c>
      <c r="Q462" t="s">
        <v>63</v>
      </c>
      <c r="R462" t="s">
        <v>168</v>
      </c>
      <c r="S462"/>
      <c r="T462"/>
      <c r="U462"/>
      <c r="V462" s="222"/>
    </row>
    <row r="463" spans="1:22" x14ac:dyDescent="0.2">
      <c r="A463" t="s">
        <v>172</v>
      </c>
      <c r="B463" s="101">
        <v>6</v>
      </c>
      <c r="C463" s="101">
        <v>-8</v>
      </c>
      <c r="D463" s="101">
        <v>7</v>
      </c>
      <c r="E463" s="101">
        <v>-5</v>
      </c>
      <c r="F463" s="101">
        <v>21</v>
      </c>
      <c r="G463" s="101">
        <v>-33</v>
      </c>
      <c r="H463" s="101">
        <v>-7.8</v>
      </c>
      <c r="I463" s="102">
        <v>0.7</v>
      </c>
      <c r="J463" s="102">
        <v>1.7266999999999999</v>
      </c>
      <c r="K463" s="101">
        <v>12.8</v>
      </c>
      <c r="L463" s="101">
        <v>0.5</v>
      </c>
      <c r="M463" s="101" t="s">
        <v>1089</v>
      </c>
      <c r="N463" s="101">
        <v>2008</v>
      </c>
      <c r="O463" s="101" t="s">
        <v>685</v>
      </c>
      <c r="P463" s="101">
        <v>152652</v>
      </c>
      <c r="Q463" t="s">
        <v>821</v>
      </c>
      <c r="R463" t="s">
        <v>98</v>
      </c>
      <c r="S463"/>
      <c r="T463"/>
      <c r="U463"/>
      <c r="V463" s="222"/>
    </row>
    <row r="464" spans="1:22" x14ac:dyDescent="0.2">
      <c r="A464" t="s">
        <v>941</v>
      </c>
      <c r="B464" s="101">
        <v>7</v>
      </c>
      <c r="C464" s="101">
        <v>-9</v>
      </c>
      <c r="D464" s="101">
        <v>8</v>
      </c>
      <c r="E464" s="101">
        <v>-12</v>
      </c>
      <c r="F464" s="101">
        <v>33</v>
      </c>
      <c r="G464" s="101">
        <v>-23</v>
      </c>
      <c r="H464" s="101">
        <v>-5.0999999999999996</v>
      </c>
      <c r="I464" s="102">
        <v>0.66</v>
      </c>
      <c r="J464" s="102">
        <v>1.729179</v>
      </c>
      <c r="K464" s="101">
        <v>22.2</v>
      </c>
      <c r="L464" s="101">
        <v>0.5</v>
      </c>
      <c r="M464" s="101" t="s">
        <v>1090</v>
      </c>
      <c r="N464" s="101">
        <v>2005</v>
      </c>
      <c r="O464" s="101" t="s">
        <v>685</v>
      </c>
      <c r="P464" s="101">
        <v>373183</v>
      </c>
      <c r="Q464" t="s">
        <v>807</v>
      </c>
      <c r="R464" t="s">
        <v>250</v>
      </c>
      <c r="S464" t="s">
        <v>1111</v>
      </c>
      <c r="T464"/>
      <c r="U464"/>
      <c r="V464" s="222"/>
    </row>
    <row r="465" spans="1:22" x14ac:dyDescent="0.2">
      <c r="A465" t="s">
        <v>829</v>
      </c>
      <c r="B465" s="101">
        <v>4</v>
      </c>
      <c r="C465" s="101">
        <v>1</v>
      </c>
      <c r="D465" s="101">
        <v>5</v>
      </c>
      <c r="E465" s="101">
        <v>5</v>
      </c>
      <c r="F465" s="101">
        <v>33</v>
      </c>
      <c r="G465" s="101">
        <v>3</v>
      </c>
      <c r="H465" s="101">
        <v>0.7</v>
      </c>
      <c r="I465" s="102">
        <v>0.7</v>
      </c>
      <c r="J465" s="102">
        <v>1.7355</v>
      </c>
      <c r="K465" s="101">
        <v>16.2</v>
      </c>
      <c r="L465" s="101">
        <v>0.6</v>
      </c>
      <c r="M465" s="101" t="s">
        <v>1091</v>
      </c>
      <c r="N465" s="101">
        <v>2008</v>
      </c>
      <c r="O465" s="101" t="s">
        <v>685</v>
      </c>
      <c r="P465" s="101">
        <v>116822</v>
      </c>
      <c r="Q465" t="s">
        <v>821</v>
      </c>
      <c r="R465" t="s">
        <v>384</v>
      </c>
      <c r="S465"/>
      <c r="T465"/>
      <c r="U465"/>
      <c r="V465" s="222"/>
    </row>
    <row r="466" spans="1:22" x14ac:dyDescent="0.2">
      <c r="A466" t="s">
        <v>42</v>
      </c>
      <c r="B466" s="101">
        <v>6</v>
      </c>
      <c r="C466" s="101">
        <v>-3</v>
      </c>
      <c r="D466" s="101">
        <v>7</v>
      </c>
      <c r="E466" s="101">
        <v>-10</v>
      </c>
      <c r="F466" s="101">
        <v>9</v>
      </c>
      <c r="G466" s="101">
        <v>-31</v>
      </c>
      <c r="H466" s="101">
        <v>-7.2</v>
      </c>
      <c r="I466" s="102">
        <v>0.6</v>
      </c>
      <c r="J466" s="102">
        <v>1.7388999999999999</v>
      </c>
      <c r="K466" s="101">
        <v>15.8</v>
      </c>
      <c r="L466" s="101">
        <v>0.2</v>
      </c>
      <c r="M466" s="101" t="s">
        <v>1088</v>
      </c>
      <c r="N466" s="101">
        <v>2000</v>
      </c>
      <c r="O466" s="101" t="s">
        <v>806</v>
      </c>
      <c r="P466" s="101">
        <v>857276</v>
      </c>
      <c r="Q466" t="s">
        <v>736</v>
      </c>
      <c r="R466" t="s">
        <v>800</v>
      </c>
      <c r="S466" t="s">
        <v>1111</v>
      </c>
      <c r="T466"/>
      <c r="U466"/>
      <c r="V466" s="222"/>
    </row>
    <row r="467" spans="1:22" x14ac:dyDescent="0.2">
      <c r="A467" t="s">
        <v>147</v>
      </c>
      <c r="B467" s="101">
        <v>8</v>
      </c>
      <c r="C467" s="101">
        <v>-4</v>
      </c>
      <c r="D467" s="101">
        <v>9</v>
      </c>
      <c r="E467" s="101">
        <v>7</v>
      </c>
      <c r="F467" s="101">
        <v>28</v>
      </c>
      <c r="G467" s="101">
        <v>-13</v>
      </c>
      <c r="H467" s="101">
        <v>-2.7</v>
      </c>
      <c r="I467" s="102">
        <v>0.67</v>
      </c>
      <c r="J467" s="102">
        <v>1.74</v>
      </c>
      <c r="K467" s="101">
        <v>11.4</v>
      </c>
      <c r="L467" s="101">
        <v>0.7</v>
      </c>
      <c r="M467" s="101" t="s">
        <v>1091</v>
      </c>
      <c r="N467" s="101">
        <v>2000</v>
      </c>
      <c r="O467" s="101" t="s">
        <v>685</v>
      </c>
      <c r="P467" s="101">
        <v>686626</v>
      </c>
      <c r="Q467" t="s">
        <v>94</v>
      </c>
      <c r="R467" t="s">
        <v>108</v>
      </c>
      <c r="S467"/>
      <c r="T467"/>
      <c r="U467"/>
      <c r="V467" s="222"/>
    </row>
    <row r="468" spans="1:22" x14ac:dyDescent="0.2">
      <c r="A468" t="s">
        <v>673</v>
      </c>
      <c r="B468" s="101">
        <v>-1</v>
      </c>
      <c r="C468" s="101">
        <v>-7</v>
      </c>
      <c r="D468" s="101">
        <v>0</v>
      </c>
      <c r="E468" s="101">
        <v>-12</v>
      </c>
      <c r="F468" s="101">
        <v>11</v>
      </c>
      <c r="G468" s="101">
        <v>-15</v>
      </c>
      <c r="H468" s="101">
        <v>-3.2</v>
      </c>
      <c r="I468" s="102">
        <v>0.61</v>
      </c>
      <c r="J468" s="102">
        <v>1.74</v>
      </c>
      <c r="K468" s="101">
        <v>16.100000000000001</v>
      </c>
      <c r="L468" s="101">
        <v>0.2</v>
      </c>
      <c r="M468" s="101" t="s">
        <v>1091</v>
      </c>
      <c r="N468" s="101">
        <v>2006</v>
      </c>
      <c r="O468" s="101" t="s">
        <v>685</v>
      </c>
      <c r="P468" s="101">
        <v>235291</v>
      </c>
      <c r="Q468" t="s">
        <v>368</v>
      </c>
      <c r="R468" t="s">
        <v>383</v>
      </c>
      <c r="S468"/>
      <c r="T468"/>
      <c r="U468"/>
      <c r="V468" s="222"/>
    </row>
    <row r="469" spans="1:22" x14ac:dyDescent="0.2">
      <c r="A469" t="s">
        <v>787</v>
      </c>
      <c r="B469" s="101">
        <v>4</v>
      </c>
      <c r="C469" s="101">
        <v>-4</v>
      </c>
      <c r="D469" s="101">
        <v>5</v>
      </c>
      <c r="E469" s="101">
        <v>0</v>
      </c>
      <c r="F469" s="101">
        <v>14</v>
      </c>
      <c r="G469" s="101">
        <v>-16</v>
      </c>
      <c r="H469" s="101">
        <v>-3.5</v>
      </c>
      <c r="I469" s="102">
        <v>0.64</v>
      </c>
      <c r="J469" s="102">
        <v>1.74</v>
      </c>
      <c r="K469" s="101">
        <v>10.3</v>
      </c>
      <c r="L469" s="101">
        <v>0.4</v>
      </c>
      <c r="M469" s="101" t="s">
        <v>1088</v>
      </c>
      <c r="N469" s="101">
        <v>2005</v>
      </c>
      <c r="O469" s="101" t="s">
        <v>685</v>
      </c>
      <c r="P469" s="101">
        <v>432096</v>
      </c>
      <c r="Q469" t="s">
        <v>742</v>
      </c>
      <c r="R469" t="s">
        <v>152</v>
      </c>
      <c r="S469"/>
      <c r="T469"/>
      <c r="U469"/>
      <c r="V469" s="222"/>
    </row>
    <row r="470" spans="1:22" x14ac:dyDescent="0.2">
      <c r="A470" t="s">
        <v>986</v>
      </c>
      <c r="B470" s="101">
        <v>5</v>
      </c>
      <c r="C470" s="101">
        <v>-9</v>
      </c>
      <c r="D470" s="101">
        <v>6</v>
      </c>
      <c r="E470" s="101">
        <v>-18</v>
      </c>
      <c r="F470" s="101">
        <v>31</v>
      </c>
      <c r="G470" s="101">
        <v>-21</v>
      </c>
      <c r="H470" s="101">
        <v>-4.5999999999999996</v>
      </c>
      <c r="I470" s="102">
        <v>0.37</v>
      </c>
      <c r="J470" s="102">
        <v>1.74</v>
      </c>
      <c r="K470" s="101">
        <v>19.5</v>
      </c>
      <c r="L470" s="101">
        <v>0.5</v>
      </c>
      <c r="M470" s="101" t="s">
        <v>1088</v>
      </c>
      <c r="N470" s="101">
        <v>2009</v>
      </c>
      <c r="O470" s="101" t="s">
        <v>685</v>
      </c>
      <c r="P470" s="101">
        <v>908095</v>
      </c>
      <c r="Q470" t="s">
        <v>411</v>
      </c>
      <c r="R470" t="s">
        <v>800</v>
      </c>
      <c r="S470"/>
      <c r="T470"/>
      <c r="U470"/>
      <c r="V470" s="222"/>
    </row>
    <row r="471" spans="1:22" x14ac:dyDescent="0.2">
      <c r="A471" t="s">
        <v>757</v>
      </c>
      <c r="B471" s="101">
        <v>4</v>
      </c>
      <c r="C471" s="101">
        <v>-6</v>
      </c>
      <c r="D471" s="101">
        <v>5</v>
      </c>
      <c r="E471" s="101">
        <v>-13</v>
      </c>
      <c r="F471" s="101">
        <v>34</v>
      </c>
      <c r="G471" s="101">
        <v>-23</v>
      </c>
      <c r="H471" s="101">
        <v>-5.2</v>
      </c>
      <c r="I471" s="102">
        <v>0.78</v>
      </c>
      <c r="J471" s="102">
        <v>1.74</v>
      </c>
      <c r="K471" s="101">
        <v>18.600000000000001</v>
      </c>
      <c r="L471" s="101">
        <v>0.6</v>
      </c>
      <c r="M471" s="101" t="s">
        <v>1088</v>
      </c>
      <c r="N471" s="101">
        <v>2001</v>
      </c>
      <c r="O471" s="101" t="s">
        <v>806</v>
      </c>
      <c r="P471" s="101">
        <v>170423</v>
      </c>
      <c r="Q471" t="s">
        <v>756</v>
      </c>
      <c r="R471" t="s">
        <v>723</v>
      </c>
      <c r="S471"/>
      <c r="T471"/>
      <c r="U471"/>
      <c r="V471" s="222"/>
    </row>
    <row r="472" spans="1:22" x14ac:dyDescent="0.2">
      <c r="A472" t="s">
        <v>402</v>
      </c>
      <c r="B472" s="101">
        <v>5</v>
      </c>
      <c r="C472" s="101">
        <v>-4</v>
      </c>
      <c r="D472" s="101">
        <v>5</v>
      </c>
      <c r="E472" s="101">
        <v>-9</v>
      </c>
      <c r="F472" s="101">
        <v>2</v>
      </c>
      <c r="G472" s="101">
        <v>-33</v>
      </c>
      <c r="H472" s="101">
        <v>-7.6</v>
      </c>
      <c r="I472" s="102">
        <v>0.48</v>
      </c>
      <c r="J472" s="102">
        <v>1.74</v>
      </c>
      <c r="K472" s="101">
        <v>15.1</v>
      </c>
      <c r="L472" s="101">
        <v>0</v>
      </c>
      <c r="M472" s="101" t="s">
        <v>1088</v>
      </c>
      <c r="N472" s="101">
        <v>2000</v>
      </c>
      <c r="O472" s="101" t="s">
        <v>806</v>
      </c>
      <c r="P472" s="101">
        <v>285825</v>
      </c>
      <c r="Q472" t="s">
        <v>925</v>
      </c>
      <c r="R472" t="s">
        <v>168</v>
      </c>
      <c r="S472"/>
      <c r="T472"/>
      <c r="U472"/>
      <c r="V472" s="222"/>
    </row>
    <row r="473" spans="1:22" x14ac:dyDescent="0.2">
      <c r="A473" t="s">
        <v>740</v>
      </c>
      <c r="B473" s="101">
        <v>4</v>
      </c>
      <c r="C473" s="101">
        <v>-7</v>
      </c>
      <c r="D473" s="101">
        <v>4</v>
      </c>
      <c r="E473" s="101">
        <v>-11</v>
      </c>
      <c r="F473" s="101">
        <v>-6</v>
      </c>
      <c r="G473" s="101">
        <v>-36</v>
      </c>
      <c r="H473" s="101">
        <v>-8.4</v>
      </c>
      <c r="I473" s="102">
        <v>0.77</v>
      </c>
      <c r="J473" s="102">
        <v>1.7400100000000001</v>
      </c>
      <c r="K473" s="101">
        <v>12.9</v>
      </c>
      <c r="L473" s="101">
        <v>-0.2</v>
      </c>
      <c r="M473" s="101" t="s">
        <v>1088</v>
      </c>
      <c r="N473" s="101">
        <v>2007</v>
      </c>
      <c r="O473" s="101" t="s">
        <v>806</v>
      </c>
      <c r="P473" s="101">
        <v>102897</v>
      </c>
      <c r="Q473" t="s">
        <v>546</v>
      </c>
      <c r="R473" t="s">
        <v>48</v>
      </c>
      <c r="S473"/>
      <c r="T473"/>
      <c r="U473"/>
      <c r="V473" s="222"/>
    </row>
    <row r="474" spans="1:22" x14ac:dyDescent="0.2">
      <c r="A474" t="s">
        <v>354</v>
      </c>
      <c r="B474" s="101">
        <v>3</v>
      </c>
      <c r="C474" s="101">
        <v>-2</v>
      </c>
      <c r="D474" s="101">
        <v>3</v>
      </c>
      <c r="E474" s="101">
        <v>-3</v>
      </c>
      <c r="F474" s="101">
        <v>3</v>
      </c>
      <c r="G474" s="101">
        <v>11</v>
      </c>
      <c r="H474" s="101">
        <v>2.1</v>
      </c>
      <c r="I474" s="102">
        <v>0.71</v>
      </c>
      <c r="J474" s="102">
        <v>1.746</v>
      </c>
      <c r="K474" s="101">
        <v>7.5</v>
      </c>
      <c r="L474" s="101">
        <v>0</v>
      </c>
      <c r="M474" s="101" t="s">
        <v>1088</v>
      </c>
      <c r="N474" s="101">
        <v>2005</v>
      </c>
      <c r="O474" s="101" t="s">
        <v>806</v>
      </c>
      <c r="P474" s="101">
        <v>855973</v>
      </c>
      <c r="Q474" t="s">
        <v>726</v>
      </c>
      <c r="R474" t="s">
        <v>314</v>
      </c>
      <c r="S474"/>
      <c r="T474"/>
      <c r="U474"/>
      <c r="V474" s="222"/>
    </row>
    <row r="475" spans="1:22" x14ac:dyDescent="0.2">
      <c r="A475" t="s">
        <v>616</v>
      </c>
      <c r="B475" s="101">
        <v>-8</v>
      </c>
      <c r="C475" s="101">
        <v>-12</v>
      </c>
      <c r="D475" s="101">
        <v>-8</v>
      </c>
      <c r="E475" s="101">
        <v>-19</v>
      </c>
      <c r="F475" s="101">
        <v>4</v>
      </c>
      <c r="G475" s="101">
        <v>-5</v>
      </c>
      <c r="H475" s="101">
        <v>-1.1000000000000001</v>
      </c>
      <c r="I475" s="102">
        <v>0.41</v>
      </c>
      <c r="J475" s="102">
        <v>1.75</v>
      </c>
      <c r="K475" s="101">
        <v>17.2</v>
      </c>
      <c r="L475" s="101">
        <v>0.1</v>
      </c>
      <c r="M475" s="101" t="s">
        <v>1088</v>
      </c>
      <c r="N475" s="101">
        <v>2008</v>
      </c>
      <c r="O475" s="101" t="s">
        <v>806</v>
      </c>
      <c r="P475" s="101">
        <v>588699</v>
      </c>
      <c r="Q475" t="s">
        <v>755</v>
      </c>
      <c r="R475" t="s">
        <v>383</v>
      </c>
      <c r="S475"/>
      <c r="T475"/>
      <c r="U475"/>
      <c r="V475" s="222"/>
    </row>
    <row r="476" spans="1:22" x14ac:dyDescent="0.2">
      <c r="A476" t="s">
        <v>140</v>
      </c>
      <c r="B476" s="101">
        <v>5</v>
      </c>
      <c r="C476" s="101">
        <v>-3</v>
      </c>
      <c r="D476" s="101">
        <v>5</v>
      </c>
      <c r="E476" s="101">
        <v>-10</v>
      </c>
      <c r="F476" s="101">
        <v>4</v>
      </c>
      <c r="G476" s="101">
        <v>-18</v>
      </c>
      <c r="H476" s="101">
        <v>-3.8</v>
      </c>
      <c r="I476" s="102">
        <v>0.61</v>
      </c>
      <c r="J476" s="102">
        <v>1.75</v>
      </c>
      <c r="K476" s="101">
        <v>16.100000000000001</v>
      </c>
      <c r="L476" s="101">
        <v>0.1</v>
      </c>
      <c r="M476" s="101" t="s">
        <v>1091</v>
      </c>
      <c r="N476" s="101">
        <v>2000</v>
      </c>
      <c r="O476" s="101" t="s">
        <v>685</v>
      </c>
      <c r="P476" s="101">
        <v>477729</v>
      </c>
      <c r="Q476" t="s">
        <v>368</v>
      </c>
      <c r="R476" t="s">
        <v>138</v>
      </c>
      <c r="S476"/>
      <c r="T476"/>
      <c r="U476"/>
      <c r="V476" s="222"/>
    </row>
    <row r="477" spans="1:22" x14ac:dyDescent="0.2">
      <c r="A477" t="s">
        <v>765</v>
      </c>
      <c r="B477" s="101">
        <v>7</v>
      </c>
      <c r="C477" s="101">
        <v>2</v>
      </c>
      <c r="D477" s="101">
        <v>8</v>
      </c>
      <c r="E477" s="101">
        <v>7</v>
      </c>
      <c r="F477" s="101">
        <v>35</v>
      </c>
      <c r="G477" s="101">
        <v>-23</v>
      </c>
      <c r="H477" s="101">
        <v>-5.0999999999999996</v>
      </c>
      <c r="I477" s="102">
        <v>0.71</v>
      </c>
      <c r="J477" s="102">
        <v>1.75</v>
      </c>
      <c r="K477" s="101">
        <v>10.4</v>
      </c>
      <c r="L477" s="101">
        <v>0.9</v>
      </c>
      <c r="M477" s="101" t="s">
        <v>1092</v>
      </c>
      <c r="N477" s="101">
        <v>2006</v>
      </c>
      <c r="O477" s="101" t="s">
        <v>685</v>
      </c>
      <c r="P477" s="101">
        <v>515262</v>
      </c>
      <c r="Q477" t="s">
        <v>805</v>
      </c>
      <c r="R477" t="s">
        <v>250</v>
      </c>
      <c r="S477"/>
      <c r="T477"/>
      <c r="U477"/>
      <c r="V477" s="222"/>
    </row>
    <row r="478" spans="1:22" x14ac:dyDescent="0.2">
      <c r="A478" t="s">
        <v>101</v>
      </c>
      <c r="B478" s="101">
        <v>8</v>
      </c>
      <c r="C478" s="101">
        <v>-3</v>
      </c>
      <c r="D478" s="101">
        <v>9</v>
      </c>
      <c r="E478" s="101">
        <v>-8</v>
      </c>
      <c r="F478" s="101">
        <v>16</v>
      </c>
      <c r="G478" s="101">
        <v>-26</v>
      </c>
      <c r="H478" s="101">
        <v>-5.9</v>
      </c>
      <c r="I478" s="102">
        <v>0.51</v>
      </c>
      <c r="J478" s="102">
        <v>1.75</v>
      </c>
      <c r="K478" s="101">
        <v>14.4</v>
      </c>
      <c r="L478" s="101">
        <v>0.3</v>
      </c>
      <c r="M478" s="101" t="s">
        <v>1088</v>
      </c>
      <c r="N478" s="101">
        <v>2005</v>
      </c>
      <c r="O478" s="101" t="s">
        <v>806</v>
      </c>
      <c r="P478" s="101">
        <v>556589</v>
      </c>
      <c r="Q478" t="s">
        <v>846</v>
      </c>
      <c r="R478" t="s">
        <v>98</v>
      </c>
      <c r="S478"/>
      <c r="T478"/>
      <c r="U478"/>
      <c r="V478" s="222"/>
    </row>
    <row r="479" spans="1:22" x14ac:dyDescent="0.2">
      <c r="A479" t="s">
        <v>236</v>
      </c>
      <c r="B479" s="101">
        <v>5</v>
      </c>
      <c r="C479" s="101">
        <v>-9</v>
      </c>
      <c r="D479" s="101">
        <v>6</v>
      </c>
      <c r="E479" s="101">
        <v>-22</v>
      </c>
      <c r="F479" s="101">
        <v>16</v>
      </c>
      <c r="G479" s="101">
        <v>-38</v>
      </c>
      <c r="H479" s="101">
        <v>-9.3000000000000007</v>
      </c>
      <c r="I479" s="102">
        <v>0.51</v>
      </c>
      <c r="J479" s="102">
        <v>1.75</v>
      </c>
      <c r="K479" s="101">
        <v>21.8</v>
      </c>
      <c r="L479" s="101">
        <v>0.3</v>
      </c>
      <c r="M479" s="101" t="s">
        <v>1088</v>
      </c>
      <c r="N479" s="101">
        <v>2005</v>
      </c>
      <c r="O479" s="101" t="s">
        <v>806</v>
      </c>
      <c r="P479" s="101">
        <v>449090</v>
      </c>
      <c r="Q479" t="s">
        <v>846</v>
      </c>
      <c r="R479" t="s">
        <v>218</v>
      </c>
      <c r="S479"/>
      <c r="T479"/>
      <c r="U479"/>
      <c r="V479" s="222"/>
    </row>
    <row r="480" spans="1:22" x14ac:dyDescent="0.2">
      <c r="A480" t="s">
        <v>170</v>
      </c>
      <c r="B480" s="101">
        <v>6</v>
      </c>
      <c r="C480" s="101">
        <v>-2</v>
      </c>
      <c r="D480" s="101">
        <v>8</v>
      </c>
      <c r="E480" s="101">
        <v>2</v>
      </c>
      <c r="F480" s="101">
        <v>-14</v>
      </c>
      <c r="G480" s="101">
        <v>-35</v>
      </c>
      <c r="H480" s="101">
        <v>-8.3000000000000007</v>
      </c>
      <c r="I480" s="102">
        <v>0.71</v>
      </c>
      <c r="J480" s="102">
        <v>1.7504</v>
      </c>
      <c r="K480" s="101">
        <v>13.7</v>
      </c>
      <c r="L480" s="101">
        <v>-0.3</v>
      </c>
      <c r="M480" s="101" t="s">
        <v>1089</v>
      </c>
      <c r="N480" s="101">
        <v>2008</v>
      </c>
      <c r="O480" s="101" t="s">
        <v>685</v>
      </c>
      <c r="P480" s="101">
        <v>367631</v>
      </c>
      <c r="Q480" t="s">
        <v>821</v>
      </c>
      <c r="R480" t="s">
        <v>237</v>
      </c>
      <c r="S480"/>
      <c r="T480"/>
      <c r="U480"/>
      <c r="V480" s="222"/>
    </row>
    <row r="481" spans="1:22" x14ac:dyDescent="0.2">
      <c r="A481" t="s">
        <v>944</v>
      </c>
      <c r="B481" s="101">
        <v>5</v>
      </c>
      <c r="C481" s="101">
        <v>-6</v>
      </c>
      <c r="D481" s="101">
        <v>6</v>
      </c>
      <c r="E481" s="101">
        <v>-10</v>
      </c>
      <c r="F481" s="101">
        <v>43</v>
      </c>
      <c r="G481" s="101"/>
      <c r="H481" s="101"/>
      <c r="I481" s="102">
        <v>0.67</v>
      </c>
      <c r="J481" s="102">
        <v>1.751349</v>
      </c>
      <c r="K481" s="101">
        <v>20</v>
      </c>
      <c r="L481" s="101">
        <v>0.6</v>
      </c>
      <c r="M481" s="101" t="s">
        <v>1088</v>
      </c>
      <c r="N481" s="101">
        <v>2009</v>
      </c>
      <c r="O481" s="101" t="s">
        <v>806</v>
      </c>
      <c r="P481" s="101">
        <v>741694</v>
      </c>
      <c r="Q481" t="s">
        <v>901</v>
      </c>
      <c r="R481" t="s">
        <v>776</v>
      </c>
      <c r="S481"/>
      <c r="T481"/>
      <c r="U481"/>
      <c r="V481" s="222"/>
    </row>
    <row r="482" spans="1:22" x14ac:dyDescent="0.2">
      <c r="A482" t="s">
        <v>162</v>
      </c>
      <c r="B482" s="101">
        <v>4</v>
      </c>
      <c r="C482" s="101">
        <v>-3</v>
      </c>
      <c r="D482" s="101">
        <v>5</v>
      </c>
      <c r="E482" s="101">
        <v>3</v>
      </c>
      <c r="F482" s="101">
        <v>14</v>
      </c>
      <c r="G482" s="101">
        <v>-16</v>
      </c>
      <c r="H482" s="101">
        <v>-3.5</v>
      </c>
      <c r="I482" s="102">
        <v>0.56000000000000005</v>
      </c>
      <c r="J482" s="102">
        <v>1.7581119999999999</v>
      </c>
      <c r="K482" s="101">
        <v>11.3</v>
      </c>
      <c r="L482" s="101">
        <v>0.3</v>
      </c>
      <c r="M482" s="101" t="s">
        <v>1092</v>
      </c>
      <c r="N482" s="101">
        <v>2003</v>
      </c>
      <c r="O482" s="101" t="s">
        <v>685</v>
      </c>
      <c r="P482" s="101">
        <v>175265</v>
      </c>
      <c r="Q482" t="s">
        <v>375</v>
      </c>
      <c r="R482" t="s">
        <v>152</v>
      </c>
      <c r="S482"/>
      <c r="T482"/>
      <c r="U482"/>
      <c r="V482" s="222"/>
    </row>
    <row r="483" spans="1:22" x14ac:dyDescent="0.2">
      <c r="A483" t="s">
        <v>1049</v>
      </c>
      <c r="B483" s="101">
        <v>6</v>
      </c>
      <c r="C483" s="101">
        <v>-3</v>
      </c>
      <c r="D483" s="101">
        <v>5</v>
      </c>
      <c r="E483" s="101">
        <v>-1</v>
      </c>
      <c r="F483" s="101">
        <v>20</v>
      </c>
      <c r="G483" s="101">
        <v>-6</v>
      </c>
      <c r="H483" s="101">
        <v>-1.2</v>
      </c>
      <c r="I483" s="102">
        <v>0.51</v>
      </c>
      <c r="J483" s="102">
        <v>1.76</v>
      </c>
      <c r="K483" s="101">
        <v>14.3</v>
      </c>
      <c r="L483" s="101">
        <v>0.4</v>
      </c>
      <c r="M483" s="101" t="s">
        <v>1088</v>
      </c>
      <c r="N483" s="101">
        <v>2002</v>
      </c>
      <c r="O483" s="101" t="s">
        <v>806</v>
      </c>
      <c r="P483" s="101">
        <v>914945</v>
      </c>
      <c r="Q483" t="s">
        <v>846</v>
      </c>
      <c r="R483" t="s">
        <v>138</v>
      </c>
      <c r="S483"/>
      <c r="T483"/>
      <c r="U483"/>
      <c r="V483" s="222"/>
    </row>
    <row r="484" spans="1:22" x14ac:dyDescent="0.2">
      <c r="A484" t="s">
        <v>1050</v>
      </c>
      <c r="B484" s="101">
        <v>-1</v>
      </c>
      <c r="C484" s="101">
        <v>-8</v>
      </c>
      <c r="D484" s="101">
        <v>-1</v>
      </c>
      <c r="E484" s="101">
        <v>-12</v>
      </c>
      <c r="F484" s="101">
        <v>11</v>
      </c>
      <c r="G484" s="101">
        <v>-10</v>
      </c>
      <c r="H484" s="101">
        <v>-2</v>
      </c>
      <c r="I484" s="102">
        <v>0.51</v>
      </c>
      <c r="J484" s="102">
        <v>1.76</v>
      </c>
      <c r="K484" s="101">
        <v>16.2</v>
      </c>
      <c r="L484" s="101">
        <v>0.2</v>
      </c>
      <c r="M484" s="101" t="s">
        <v>1088</v>
      </c>
      <c r="N484" s="101">
        <v>2011</v>
      </c>
      <c r="O484" s="101" t="s">
        <v>806</v>
      </c>
      <c r="P484" s="101">
        <v>823039</v>
      </c>
      <c r="Q484" t="s">
        <v>846</v>
      </c>
      <c r="R484" t="s">
        <v>383</v>
      </c>
      <c r="S484"/>
      <c r="T484"/>
      <c r="U484"/>
      <c r="V484" s="222"/>
    </row>
    <row r="485" spans="1:22" x14ac:dyDescent="0.2">
      <c r="A485" t="s">
        <v>247</v>
      </c>
      <c r="B485" s="101">
        <v>9</v>
      </c>
      <c r="C485" s="101">
        <v>2</v>
      </c>
      <c r="D485" s="101">
        <v>10</v>
      </c>
      <c r="E485" s="101">
        <v>11</v>
      </c>
      <c r="F485" s="101">
        <v>19</v>
      </c>
      <c r="G485" s="101">
        <v>-15</v>
      </c>
      <c r="H485" s="101">
        <v>-3.1</v>
      </c>
      <c r="I485" s="102">
        <v>0.71</v>
      </c>
      <c r="J485" s="102">
        <v>1.76</v>
      </c>
      <c r="K485" s="101">
        <v>12.2</v>
      </c>
      <c r="L485" s="101">
        <v>0.4</v>
      </c>
      <c r="M485" s="101" t="s">
        <v>1093</v>
      </c>
      <c r="N485" s="101">
        <v>2006</v>
      </c>
      <c r="O485" s="101" t="s">
        <v>685</v>
      </c>
      <c r="P485" s="101">
        <v>757575</v>
      </c>
      <c r="Q485" t="s">
        <v>805</v>
      </c>
      <c r="R485" t="s">
        <v>237</v>
      </c>
      <c r="S485"/>
      <c r="T485"/>
      <c r="U485"/>
      <c r="V485" s="222"/>
    </row>
    <row r="486" spans="1:22" x14ac:dyDescent="0.2">
      <c r="A486" t="s">
        <v>187</v>
      </c>
      <c r="B486" s="101">
        <v>3</v>
      </c>
      <c r="C486" s="101">
        <v>-8</v>
      </c>
      <c r="D486" s="101">
        <v>3</v>
      </c>
      <c r="E486" s="101">
        <v>-12</v>
      </c>
      <c r="F486" s="101">
        <v>11</v>
      </c>
      <c r="G486" s="101">
        <v>-26</v>
      </c>
      <c r="H486" s="101">
        <v>-5.9</v>
      </c>
      <c r="I486" s="102">
        <v>0.47</v>
      </c>
      <c r="J486" s="102">
        <v>1.76</v>
      </c>
      <c r="K486" s="101">
        <v>17.100000000000001</v>
      </c>
      <c r="L486" s="101">
        <v>0.2</v>
      </c>
      <c r="M486" s="101" t="s">
        <v>1088</v>
      </c>
      <c r="N486" s="101">
        <v>2001</v>
      </c>
      <c r="O486" s="101" t="s">
        <v>806</v>
      </c>
      <c r="P486" s="101">
        <v>206250</v>
      </c>
      <c r="Q486" t="s">
        <v>751</v>
      </c>
      <c r="R486" t="s">
        <v>168</v>
      </c>
      <c r="S486"/>
      <c r="T486"/>
      <c r="U486"/>
      <c r="V486" s="222"/>
    </row>
    <row r="487" spans="1:22" x14ac:dyDescent="0.2">
      <c r="A487" t="s">
        <v>792</v>
      </c>
      <c r="B487" s="101">
        <v>0</v>
      </c>
      <c r="C487" s="101">
        <v>-3</v>
      </c>
      <c r="D487" s="101">
        <v>0</v>
      </c>
      <c r="E487" s="101">
        <v>-14</v>
      </c>
      <c r="F487" s="101"/>
      <c r="G487" s="101"/>
      <c r="H487" s="101"/>
      <c r="I487" s="102">
        <v>0.69</v>
      </c>
      <c r="J487" s="102">
        <v>1.76</v>
      </c>
      <c r="K487" s="101"/>
      <c r="L487" s="101"/>
      <c r="M487" s="101" t="s">
        <v>1088</v>
      </c>
      <c r="N487" s="101">
        <v>2010</v>
      </c>
      <c r="O487" s="101" t="s">
        <v>806</v>
      </c>
      <c r="P487" s="101">
        <v>554634</v>
      </c>
      <c r="Q487" t="s">
        <v>786</v>
      </c>
      <c r="R487" t="s">
        <v>314</v>
      </c>
      <c r="S487"/>
      <c r="T487"/>
      <c r="U487"/>
      <c r="V487" s="222"/>
    </row>
    <row r="488" spans="1:22" x14ac:dyDescent="0.2">
      <c r="A488" t="s">
        <v>488</v>
      </c>
      <c r="B488" s="101">
        <v>10</v>
      </c>
      <c r="C488" s="101">
        <v>-6</v>
      </c>
      <c r="D488" s="101">
        <v>11</v>
      </c>
      <c r="E488" s="101">
        <v>-11</v>
      </c>
      <c r="F488" s="101">
        <v>12</v>
      </c>
      <c r="G488" s="101"/>
      <c r="H488" s="101"/>
      <c r="I488" s="102">
        <v>0.71</v>
      </c>
      <c r="J488" s="102">
        <v>1.76</v>
      </c>
      <c r="K488" s="101">
        <v>13.5</v>
      </c>
      <c r="L488" s="101">
        <v>0.2</v>
      </c>
      <c r="M488" s="101" t="s">
        <v>1089</v>
      </c>
      <c r="N488" s="101">
        <v>2009</v>
      </c>
      <c r="O488" s="101" t="s">
        <v>685</v>
      </c>
      <c r="P488" s="101">
        <v>942094</v>
      </c>
      <c r="Q488" t="s">
        <v>275</v>
      </c>
      <c r="R488" t="s">
        <v>291</v>
      </c>
      <c r="S488"/>
      <c r="T488"/>
      <c r="U488"/>
      <c r="V488" s="222"/>
    </row>
    <row r="489" spans="1:22" x14ac:dyDescent="0.2">
      <c r="A489" t="s">
        <v>608</v>
      </c>
      <c r="B489" s="101">
        <v>4</v>
      </c>
      <c r="C489" s="101">
        <v>1</v>
      </c>
      <c r="D489" s="101">
        <v>4</v>
      </c>
      <c r="E489" s="101">
        <v>5</v>
      </c>
      <c r="F489" s="101">
        <v>9</v>
      </c>
      <c r="G489" s="101">
        <v>10</v>
      </c>
      <c r="H489" s="101">
        <v>1.9</v>
      </c>
      <c r="I489" s="102">
        <v>0.64</v>
      </c>
      <c r="J489" s="102">
        <v>1.77</v>
      </c>
      <c r="K489" s="101">
        <v>7.2</v>
      </c>
      <c r="L489" s="101">
        <v>0.3</v>
      </c>
      <c r="M489" s="101" t="s">
        <v>1091</v>
      </c>
      <c r="N489" s="101">
        <v>2004</v>
      </c>
      <c r="O489" s="101" t="s">
        <v>685</v>
      </c>
      <c r="P489" s="101">
        <v>302760</v>
      </c>
      <c r="Q489" t="s">
        <v>813</v>
      </c>
      <c r="R489" t="s">
        <v>314</v>
      </c>
      <c r="S489"/>
      <c r="T489"/>
      <c r="U489"/>
      <c r="V489" s="222"/>
    </row>
    <row r="490" spans="1:22" x14ac:dyDescent="0.2">
      <c r="A490" t="s">
        <v>69</v>
      </c>
      <c r="B490" s="101">
        <v>5</v>
      </c>
      <c r="C490" s="101">
        <v>-2</v>
      </c>
      <c r="D490" s="101">
        <v>6</v>
      </c>
      <c r="E490" s="101">
        <v>-3</v>
      </c>
      <c r="F490" s="101">
        <v>19</v>
      </c>
      <c r="G490" s="101">
        <v>-33</v>
      </c>
      <c r="H490" s="101">
        <v>-7.6</v>
      </c>
      <c r="I490" s="102">
        <v>0.72</v>
      </c>
      <c r="J490" s="102">
        <v>1.77</v>
      </c>
      <c r="K490" s="101">
        <v>12</v>
      </c>
      <c r="L490" s="101">
        <v>0.4</v>
      </c>
      <c r="M490" s="101" t="s">
        <v>1089</v>
      </c>
      <c r="N490" s="101">
        <v>2006</v>
      </c>
      <c r="O490" s="101" t="s">
        <v>685</v>
      </c>
      <c r="P490" s="101">
        <v>367698</v>
      </c>
      <c r="Q490" t="s">
        <v>805</v>
      </c>
      <c r="R490" t="s">
        <v>48</v>
      </c>
      <c r="S490"/>
      <c r="T490"/>
      <c r="U490"/>
      <c r="V490" s="222"/>
    </row>
    <row r="491" spans="1:22" x14ac:dyDescent="0.2">
      <c r="A491" t="s">
        <v>1051</v>
      </c>
      <c r="B491" s="101">
        <v>4</v>
      </c>
      <c r="C491" s="101">
        <v>-4</v>
      </c>
      <c r="D491" s="101">
        <v>4</v>
      </c>
      <c r="E491" s="101">
        <v>-8</v>
      </c>
      <c r="F491" s="101">
        <v>9</v>
      </c>
      <c r="G491" s="101">
        <v>-9</v>
      </c>
      <c r="H491" s="101">
        <v>-1.8</v>
      </c>
      <c r="I491" s="102">
        <v>0.52</v>
      </c>
      <c r="J491" s="102">
        <v>1.78</v>
      </c>
      <c r="K491" s="101">
        <v>15</v>
      </c>
      <c r="L491" s="101">
        <v>0.2</v>
      </c>
      <c r="M491" s="101" t="s">
        <v>1088</v>
      </c>
      <c r="N491" s="101">
        <v>2002</v>
      </c>
      <c r="O491" s="101" t="s">
        <v>806</v>
      </c>
      <c r="P491" s="101">
        <v>950774</v>
      </c>
      <c r="Q491" t="s">
        <v>846</v>
      </c>
      <c r="R491" t="s">
        <v>168</v>
      </c>
      <c r="S491"/>
      <c r="T491"/>
      <c r="U491"/>
      <c r="V491" s="222"/>
    </row>
    <row r="492" spans="1:22" x14ac:dyDescent="0.2">
      <c r="A492" t="s">
        <v>137</v>
      </c>
      <c r="B492" s="101">
        <v>8</v>
      </c>
      <c r="C492" s="101">
        <v>1</v>
      </c>
      <c r="D492" s="101">
        <v>9</v>
      </c>
      <c r="E492" s="101">
        <v>10</v>
      </c>
      <c r="F492" s="101">
        <v>19</v>
      </c>
      <c r="G492" s="101">
        <v>-15</v>
      </c>
      <c r="H492" s="101">
        <v>-3.1</v>
      </c>
      <c r="I492" s="102">
        <v>0.62</v>
      </c>
      <c r="J492" s="102">
        <v>1.78</v>
      </c>
      <c r="K492" s="101">
        <v>11.8</v>
      </c>
      <c r="L492" s="101">
        <v>0.4</v>
      </c>
      <c r="M492" s="101" t="s">
        <v>1091</v>
      </c>
      <c r="N492" s="101">
        <v>2000</v>
      </c>
      <c r="O492" s="101" t="s">
        <v>685</v>
      </c>
      <c r="P492" s="101">
        <v>441899</v>
      </c>
      <c r="Q492" t="s">
        <v>368</v>
      </c>
      <c r="R492" t="s">
        <v>108</v>
      </c>
      <c r="S492"/>
      <c r="T492"/>
      <c r="U492"/>
      <c r="V492" s="222"/>
    </row>
    <row r="493" spans="1:22" x14ac:dyDescent="0.2">
      <c r="A493" t="s">
        <v>256</v>
      </c>
      <c r="B493" s="101">
        <v>5</v>
      </c>
      <c r="C493" s="101">
        <v>-4</v>
      </c>
      <c r="D493" s="101">
        <v>4</v>
      </c>
      <c r="E493" s="101">
        <v>-12</v>
      </c>
      <c r="F493" s="101">
        <v>-9</v>
      </c>
      <c r="G493" s="101">
        <v>-32</v>
      </c>
      <c r="H493" s="101">
        <v>-7.4</v>
      </c>
      <c r="I493" s="102">
        <v>0.72</v>
      </c>
      <c r="J493" s="102">
        <v>1.786</v>
      </c>
      <c r="K493" s="101">
        <v>15.3</v>
      </c>
      <c r="L493" s="101">
        <v>-0.2</v>
      </c>
      <c r="M493" s="101" t="s">
        <v>1089</v>
      </c>
      <c r="N493" s="101">
        <v>2008</v>
      </c>
      <c r="O493" s="101" t="s">
        <v>685</v>
      </c>
      <c r="P493" s="101">
        <v>255893</v>
      </c>
      <c r="Q493" t="s">
        <v>821</v>
      </c>
      <c r="R493" t="s">
        <v>138</v>
      </c>
      <c r="S493"/>
      <c r="T493"/>
      <c r="U493"/>
      <c r="V493" s="222"/>
    </row>
    <row r="494" spans="1:22" x14ac:dyDescent="0.2">
      <c r="A494" t="s">
        <v>622</v>
      </c>
      <c r="B494" s="101">
        <v>6</v>
      </c>
      <c r="C494" s="101">
        <v>-1</v>
      </c>
      <c r="D494" s="101">
        <v>6</v>
      </c>
      <c r="E494" s="101">
        <v>5</v>
      </c>
      <c r="F494" s="101">
        <v>22</v>
      </c>
      <c r="G494" s="101">
        <v>-16</v>
      </c>
      <c r="H494" s="101">
        <v>-3.3</v>
      </c>
      <c r="I494" s="102">
        <v>0.65</v>
      </c>
      <c r="J494" s="102">
        <v>1.8</v>
      </c>
      <c r="K494" s="101">
        <v>11.7</v>
      </c>
      <c r="L494" s="101">
        <v>0.5</v>
      </c>
      <c r="M494" s="101" t="s">
        <v>1091</v>
      </c>
      <c r="N494" s="101">
        <v>2004</v>
      </c>
      <c r="O494" s="101" t="s">
        <v>685</v>
      </c>
      <c r="P494" s="101">
        <v>804385</v>
      </c>
      <c r="Q494" t="s">
        <v>813</v>
      </c>
      <c r="R494" t="s">
        <v>108</v>
      </c>
      <c r="S494"/>
      <c r="T494"/>
      <c r="U494"/>
      <c r="V494" s="222"/>
    </row>
    <row r="495" spans="1:22" x14ac:dyDescent="0.2">
      <c r="A495" t="s">
        <v>646</v>
      </c>
      <c r="B495" s="101">
        <v>4</v>
      </c>
      <c r="C495" s="101">
        <v>-4</v>
      </c>
      <c r="D495" s="101">
        <v>5</v>
      </c>
      <c r="E495" s="101">
        <v>-5</v>
      </c>
      <c r="F495" s="101">
        <v>13</v>
      </c>
      <c r="G495" s="101">
        <v>-25</v>
      </c>
      <c r="H495" s="101">
        <v>-5.6</v>
      </c>
      <c r="I495" s="102">
        <v>0.67</v>
      </c>
      <c r="J495" s="102">
        <v>1.8</v>
      </c>
      <c r="K495" s="101">
        <v>10.7</v>
      </c>
      <c r="L495" s="101">
        <v>0.4</v>
      </c>
      <c r="M495" s="101" t="s">
        <v>1091</v>
      </c>
      <c r="N495" s="101">
        <v>2002</v>
      </c>
      <c r="O495" s="101" t="s">
        <v>685</v>
      </c>
      <c r="P495" s="101">
        <v>303412</v>
      </c>
      <c r="Q495" t="s">
        <v>868</v>
      </c>
      <c r="R495" t="s">
        <v>152</v>
      </c>
      <c r="S495"/>
      <c r="T495"/>
      <c r="U495"/>
      <c r="V495" s="222"/>
    </row>
    <row r="496" spans="1:22" x14ac:dyDescent="0.2">
      <c r="A496" t="s">
        <v>344</v>
      </c>
      <c r="B496" s="101">
        <v>3</v>
      </c>
      <c r="C496" s="101">
        <v>-5</v>
      </c>
      <c r="D496" s="101">
        <v>5</v>
      </c>
      <c r="E496" s="101">
        <v>-9</v>
      </c>
      <c r="F496" s="101">
        <v>3</v>
      </c>
      <c r="G496" s="101">
        <v>-32</v>
      </c>
      <c r="H496" s="101">
        <v>-7.5</v>
      </c>
      <c r="I496" s="102">
        <v>0.67</v>
      </c>
      <c r="J496" s="102">
        <v>1.8</v>
      </c>
      <c r="K496" s="101">
        <v>12.7</v>
      </c>
      <c r="L496" s="101">
        <v>0</v>
      </c>
      <c r="M496" s="101" t="s">
        <v>1091</v>
      </c>
      <c r="N496" s="101">
        <v>2011</v>
      </c>
      <c r="O496" s="101" t="s">
        <v>685</v>
      </c>
      <c r="P496" s="101">
        <v>340836</v>
      </c>
      <c r="Q496" t="s">
        <v>868</v>
      </c>
      <c r="R496" t="s">
        <v>152</v>
      </c>
      <c r="S496"/>
      <c r="T496"/>
      <c r="U496"/>
      <c r="V496" s="222"/>
    </row>
    <row r="497" spans="1:22" x14ac:dyDescent="0.2">
      <c r="A497" t="s">
        <v>62</v>
      </c>
      <c r="B497" s="101">
        <v>6</v>
      </c>
      <c r="C497" s="101">
        <v>-6</v>
      </c>
      <c r="D497" s="101">
        <v>7</v>
      </c>
      <c r="E497" s="101">
        <v>-13</v>
      </c>
      <c r="F497" s="101">
        <v>-2</v>
      </c>
      <c r="G497" s="101">
        <v>-38</v>
      </c>
      <c r="H497" s="101">
        <v>-9.1999999999999993</v>
      </c>
      <c r="I497" s="102">
        <v>0.62</v>
      </c>
      <c r="J497" s="102">
        <v>1.8</v>
      </c>
      <c r="K497" s="101">
        <v>16.100000000000001</v>
      </c>
      <c r="L497" s="101">
        <v>0</v>
      </c>
      <c r="M497" s="101" t="s">
        <v>1091</v>
      </c>
      <c r="N497" s="101">
        <v>2000</v>
      </c>
      <c r="O497" s="101" t="s">
        <v>685</v>
      </c>
      <c r="P497" s="101">
        <v>155259</v>
      </c>
      <c r="Q497" t="s">
        <v>368</v>
      </c>
      <c r="R497" t="s">
        <v>48</v>
      </c>
      <c r="S497"/>
      <c r="T497"/>
      <c r="U497"/>
      <c r="V497" s="222"/>
    </row>
    <row r="498" spans="1:22" x14ac:dyDescent="0.2">
      <c r="A498" t="s">
        <v>262</v>
      </c>
      <c r="B498" s="101">
        <v>5</v>
      </c>
      <c r="C498" s="101">
        <v>-9</v>
      </c>
      <c r="D498" s="101">
        <v>6</v>
      </c>
      <c r="E498" s="101">
        <v>-13</v>
      </c>
      <c r="F498" s="101">
        <v>29</v>
      </c>
      <c r="G498" s="101">
        <v>-29</v>
      </c>
      <c r="H498" s="101">
        <v>-6.7</v>
      </c>
      <c r="I498" s="102">
        <v>0.68</v>
      </c>
      <c r="J498" s="102">
        <v>1.808853</v>
      </c>
      <c r="K498" s="101">
        <v>21.3</v>
      </c>
      <c r="L498" s="101">
        <v>0.5</v>
      </c>
      <c r="M498" s="101" t="s">
        <v>1090</v>
      </c>
      <c r="N498" s="101">
        <v>2004</v>
      </c>
      <c r="O498" s="101" t="s">
        <v>685</v>
      </c>
      <c r="P498" s="101">
        <v>821389</v>
      </c>
      <c r="Q498" t="s">
        <v>807</v>
      </c>
      <c r="R498" t="s">
        <v>250</v>
      </c>
      <c r="S498"/>
      <c r="T498"/>
      <c r="U498"/>
      <c r="V498" s="222"/>
    </row>
    <row r="499" spans="1:22" x14ac:dyDescent="0.2">
      <c r="A499" t="s">
        <v>827</v>
      </c>
      <c r="B499" s="101">
        <v>7</v>
      </c>
      <c r="C499" s="101">
        <v>-1</v>
      </c>
      <c r="D499" s="101">
        <v>7</v>
      </c>
      <c r="E499" s="101">
        <v>7</v>
      </c>
      <c r="F499" s="101">
        <v>25</v>
      </c>
      <c r="G499" s="101">
        <v>-12</v>
      </c>
      <c r="H499" s="101">
        <v>-2.5</v>
      </c>
      <c r="I499" s="102">
        <v>0.73</v>
      </c>
      <c r="J499" s="102">
        <v>1.8089</v>
      </c>
      <c r="K499" s="101">
        <v>10.9</v>
      </c>
      <c r="L499" s="101">
        <v>0.7</v>
      </c>
      <c r="M499" s="101" t="s">
        <v>1089</v>
      </c>
      <c r="N499" s="101">
        <v>2008</v>
      </c>
      <c r="O499" s="101" t="s">
        <v>685</v>
      </c>
      <c r="P499" s="101">
        <v>980995</v>
      </c>
      <c r="Q499" t="s">
        <v>821</v>
      </c>
      <c r="R499" t="s">
        <v>108</v>
      </c>
      <c r="S499"/>
      <c r="T499"/>
      <c r="U499"/>
      <c r="V499" s="222"/>
    </row>
    <row r="500" spans="1:22" x14ac:dyDescent="0.2">
      <c r="A500" t="s">
        <v>610</v>
      </c>
      <c r="B500" s="101">
        <v>11</v>
      </c>
      <c r="C500" s="101">
        <v>5</v>
      </c>
      <c r="D500" s="101">
        <v>12</v>
      </c>
      <c r="E500" s="101">
        <v>10</v>
      </c>
      <c r="F500" s="101">
        <v>25</v>
      </c>
      <c r="G500" s="101">
        <v>22</v>
      </c>
      <c r="H500" s="101">
        <v>4.0999999999999996</v>
      </c>
      <c r="I500" s="102">
        <v>0.66</v>
      </c>
      <c r="J500" s="102">
        <v>1.81</v>
      </c>
      <c r="K500" s="101">
        <v>9.6</v>
      </c>
      <c r="L500" s="101">
        <v>0.7</v>
      </c>
      <c r="M500" s="101" t="s">
        <v>1091</v>
      </c>
      <c r="N500" s="101">
        <v>2004</v>
      </c>
      <c r="O500" s="101" t="s">
        <v>685</v>
      </c>
      <c r="P500" s="101">
        <v>374421</v>
      </c>
      <c r="Q500" t="s">
        <v>813</v>
      </c>
      <c r="R500" t="s">
        <v>282</v>
      </c>
      <c r="S500"/>
      <c r="T500"/>
      <c r="U500"/>
      <c r="V500" s="222"/>
    </row>
    <row r="501" spans="1:22" x14ac:dyDescent="0.2">
      <c r="A501" t="s">
        <v>386</v>
      </c>
      <c r="B501" s="101">
        <v>5</v>
      </c>
      <c r="C501" s="101">
        <v>-5</v>
      </c>
      <c r="D501" s="101">
        <v>6</v>
      </c>
      <c r="E501" s="101">
        <v>4</v>
      </c>
      <c r="F501" s="101">
        <v>34</v>
      </c>
      <c r="G501" s="101">
        <v>11</v>
      </c>
      <c r="H501" s="101">
        <v>2.1</v>
      </c>
      <c r="I501" s="102">
        <v>0.65</v>
      </c>
      <c r="J501" s="102">
        <v>1.81</v>
      </c>
      <c r="K501" s="101">
        <v>14.2</v>
      </c>
      <c r="L501" s="101">
        <v>0.7</v>
      </c>
      <c r="M501" s="101" t="s">
        <v>1091</v>
      </c>
      <c r="N501" s="101">
        <v>2005</v>
      </c>
      <c r="O501" s="101" t="s">
        <v>685</v>
      </c>
      <c r="P501" s="101">
        <v>384107</v>
      </c>
      <c r="Q501" t="s">
        <v>833</v>
      </c>
      <c r="R501" t="s">
        <v>108</v>
      </c>
      <c r="S501"/>
      <c r="T501"/>
      <c r="U501"/>
      <c r="V501" s="222"/>
    </row>
    <row r="502" spans="1:22" x14ac:dyDescent="0.2">
      <c r="A502" t="s">
        <v>487</v>
      </c>
      <c r="B502" s="101">
        <v>4</v>
      </c>
      <c r="C502" s="101">
        <v>-2</v>
      </c>
      <c r="D502" s="101">
        <v>4</v>
      </c>
      <c r="E502" s="101">
        <v>-2</v>
      </c>
      <c r="F502" s="101">
        <v>27</v>
      </c>
      <c r="G502" s="101">
        <v>4</v>
      </c>
      <c r="H502" s="101">
        <v>0.8</v>
      </c>
      <c r="I502" s="102">
        <v>0.66</v>
      </c>
      <c r="J502" s="102">
        <v>1.81</v>
      </c>
      <c r="K502" s="101">
        <v>13.3</v>
      </c>
      <c r="L502" s="101">
        <v>0.6</v>
      </c>
      <c r="M502" s="101" t="s">
        <v>1091</v>
      </c>
      <c r="N502" s="101">
        <v>2004</v>
      </c>
      <c r="O502" s="101" t="s">
        <v>685</v>
      </c>
      <c r="P502" s="101">
        <v>625236</v>
      </c>
      <c r="Q502" t="s">
        <v>813</v>
      </c>
      <c r="R502" t="s">
        <v>384</v>
      </c>
      <c r="S502"/>
      <c r="T502"/>
      <c r="U502"/>
      <c r="V502" s="222"/>
    </row>
    <row r="503" spans="1:22" x14ac:dyDescent="0.2">
      <c r="A503" t="s">
        <v>621</v>
      </c>
      <c r="B503" s="101">
        <v>4</v>
      </c>
      <c r="C503" s="101">
        <v>-2</v>
      </c>
      <c r="D503" s="101">
        <v>5</v>
      </c>
      <c r="E503" s="101">
        <v>6</v>
      </c>
      <c r="F503" s="101">
        <v>21</v>
      </c>
      <c r="G503" s="101">
        <v>-16</v>
      </c>
      <c r="H503" s="101">
        <v>-3.5</v>
      </c>
      <c r="I503" s="102">
        <v>0.66</v>
      </c>
      <c r="J503" s="102">
        <v>1.81</v>
      </c>
      <c r="K503" s="101">
        <v>10.6</v>
      </c>
      <c r="L503" s="101">
        <v>0.5</v>
      </c>
      <c r="M503" s="101" t="s">
        <v>1091</v>
      </c>
      <c r="N503" s="101">
        <v>2004</v>
      </c>
      <c r="O503" s="101" t="s">
        <v>685</v>
      </c>
      <c r="P503" s="101">
        <v>768556</v>
      </c>
      <c r="Q503" t="s">
        <v>813</v>
      </c>
      <c r="R503" t="s">
        <v>108</v>
      </c>
      <c r="S503"/>
      <c r="T503"/>
      <c r="U503"/>
      <c r="V503" s="222"/>
    </row>
    <row r="504" spans="1:22" x14ac:dyDescent="0.2">
      <c r="A504" t="s">
        <v>619</v>
      </c>
      <c r="B504" s="101">
        <v>6</v>
      </c>
      <c r="C504" s="101">
        <v>-3</v>
      </c>
      <c r="D504" s="101">
        <v>7</v>
      </c>
      <c r="E504" s="101">
        <v>-7</v>
      </c>
      <c r="F504" s="101">
        <v>12</v>
      </c>
      <c r="G504" s="101">
        <v>-19</v>
      </c>
      <c r="H504" s="101">
        <v>-4</v>
      </c>
      <c r="I504" s="102">
        <v>0.66</v>
      </c>
      <c r="J504" s="102">
        <v>1.81</v>
      </c>
      <c r="K504" s="101">
        <v>13.5</v>
      </c>
      <c r="L504" s="101">
        <v>0.2</v>
      </c>
      <c r="M504" s="101" t="s">
        <v>1089</v>
      </c>
      <c r="N504" s="101">
        <v>2004</v>
      </c>
      <c r="O504" s="101" t="s">
        <v>685</v>
      </c>
      <c r="P504" s="101">
        <v>732727</v>
      </c>
      <c r="Q504" t="s">
        <v>813</v>
      </c>
      <c r="R504" t="s">
        <v>48</v>
      </c>
      <c r="S504"/>
      <c r="T504"/>
      <c r="U504"/>
      <c r="V504" s="222"/>
    </row>
    <row r="505" spans="1:22" x14ac:dyDescent="0.2">
      <c r="A505" t="s">
        <v>413</v>
      </c>
      <c r="B505" s="101">
        <v>-1</v>
      </c>
      <c r="C505" s="101">
        <v>-12</v>
      </c>
      <c r="D505" s="101">
        <v>1</v>
      </c>
      <c r="E505" s="101">
        <v>-16</v>
      </c>
      <c r="F505" s="101">
        <v>25</v>
      </c>
      <c r="G505" s="101">
        <v>-22</v>
      </c>
      <c r="H505" s="101">
        <v>-5</v>
      </c>
      <c r="I505" s="102">
        <v>0.71</v>
      </c>
      <c r="J505" s="102">
        <v>1.810003</v>
      </c>
      <c r="K505" s="101">
        <v>20.399999999999999</v>
      </c>
      <c r="L505" s="101">
        <v>0.4</v>
      </c>
      <c r="M505" s="101" t="s">
        <v>1088</v>
      </c>
      <c r="N505" s="101">
        <v>2001</v>
      </c>
      <c r="O505" s="101" t="s">
        <v>685</v>
      </c>
      <c r="P505" s="101">
        <v>524470</v>
      </c>
      <c r="Q505" t="s">
        <v>1113</v>
      </c>
      <c r="R505" t="s">
        <v>723</v>
      </c>
      <c r="S505"/>
      <c r="T505"/>
      <c r="U505"/>
      <c r="V505" s="222"/>
    </row>
    <row r="506" spans="1:22" x14ac:dyDescent="0.2">
      <c r="A506" t="s">
        <v>388</v>
      </c>
      <c r="B506" s="101">
        <v>2</v>
      </c>
      <c r="C506" s="101">
        <v>-13</v>
      </c>
      <c r="D506" s="101">
        <v>4</v>
      </c>
      <c r="E506" s="101">
        <v>-21</v>
      </c>
      <c r="F506" s="101">
        <v>-15</v>
      </c>
      <c r="G506" s="101">
        <v>-47</v>
      </c>
      <c r="H506" s="101">
        <v>-11.9</v>
      </c>
      <c r="I506" s="102">
        <v>0.73</v>
      </c>
      <c r="J506" s="102">
        <v>1.810038</v>
      </c>
      <c r="K506" s="101">
        <v>19.7</v>
      </c>
      <c r="L506" s="101">
        <v>-0.2</v>
      </c>
      <c r="M506" s="101" t="s">
        <v>1089</v>
      </c>
      <c r="N506" s="101">
        <v>2008</v>
      </c>
      <c r="O506" s="101" t="s">
        <v>685</v>
      </c>
      <c r="P506" s="101">
        <v>755090</v>
      </c>
      <c r="Q506" t="s">
        <v>480</v>
      </c>
      <c r="R506" t="s">
        <v>92</v>
      </c>
      <c r="S506"/>
      <c r="T506"/>
      <c r="U506"/>
      <c r="V506" s="222"/>
    </row>
    <row r="507" spans="1:22" x14ac:dyDescent="0.2">
      <c r="A507" t="s">
        <v>43</v>
      </c>
      <c r="B507" s="101">
        <v>7</v>
      </c>
      <c r="C507" s="101">
        <v>-12</v>
      </c>
      <c r="D507" s="101">
        <v>8</v>
      </c>
      <c r="E507" s="101">
        <v>-16</v>
      </c>
      <c r="F507" s="101">
        <v>-8</v>
      </c>
      <c r="G507" s="101">
        <v>-37</v>
      </c>
      <c r="H507" s="101">
        <v>-8.9</v>
      </c>
      <c r="I507" s="102">
        <v>0.73</v>
      </c>
      <c r="J507" s="102">
        <v>1.813515</v>
      </c>
      <c r="K507" s="101">
        <v>21.3</v>
      </c>
      <c r="L507" s="101">
        <v>-0.1</v>
      </c>
      <c r="M507" s="101" t="s">
        <v>1089</v>
      </c>
      <c r="N507" s="101">
        <v>2005</v>
      </c>
      <c r="O507" s="101" t="s">
        <v>685</v>
      </c>
      <c r="P507" s="101">
        <v>390187</v>
      </c>
      <c r="Q507" t="s">
        <v>480</v>
      </c>
      <c r="R507" t="s">
        <v>800</v>
      </c>
      <c r="S507"/>
      <c r="T507"/>
      <c r="U507"/>
      <c r="V507" s="222"/>
    </row>
    <row r="508" spans="1:22" x14ac:dyDescent="0.2">
      <c r="A508" t="s">
        <v>198</v>
      </c>
      <c r="B508" s="101">
        <v>11</v>
      </c>
      <c r="C508" s="101">
        <v>-4</v>
      </c>
      <c r="D508" s="101">
        <v>12</v>
      </c>
      <c r="E508" s="101">
        <v>4</v>
      </c>
      <c r="F508" s="101">
        <v>29</v>
      </c>
      <c r="G508" s="101">
        <v>-17</v>
      </c>
      <c r="H508" s="101">
        <v>-3.6</v>
      </c>
      <c r="I508" s="102">
        <v>0.73</v>
      </c>
      <c r="J508" s="102">
        <v>1.816573</v>
      </c>
      <c r="K508" s="101">
        <v>12.4</v>
      </c>
      <c r="L508" s="101">
        <v>0.7</v>
      </c>
      <c r="M508" s="101" t="s">
        <v>1089</v>
      </c>
      <c r="N508" s="101">
        <v>2002</v>
      </c>
      <c r="O508" s="101" t="s">
        <v>685</v>
      </c>
      <c r="P508" s="101">
        <v>432153</v>
      </c>
      <c r="Q508" t="s">
        <v>480</v>
      </c>
      <c r="R508" t="s">
        <v>291</v>
      </c>
      <c r="S508"/>
      <c r="T508"/>
      <c r="U508"/>
      <c r="V508" s="222"/>
    </row>
    <row r="509" spans="1:22" x14ac:dyDescent="0.2">
      <c r="A509" t="s">
        <v>834</v>
      </c>
      <c r="B509" s="101">
        <v>6</v>
      </c>
      <c r="C509" s="101">
        <v>-3</v>
      </c>
      <c r="D509" s="101">
        <v>7</v>
      </c>
      <c r="E509" s="101">
        <v>0</v>
      </c>
      <c r="F509" s="101">
        <v>17</v>
      </c>
      <c r="G509" s="101">
        <v>-1</v>
      </c>
      <c r="H509" s="101">
        <v>-0.3</v>
      </c>
      <c r="I509" s="102">
        <v>0.65</v>
      </c>
      <c r="J509" s="102">
        <v>1.82</v>
      </c>
      <c r="K509" s="101">
        <v>10.1</v>
      </c>
      <c r="L509" s="101">
        <v>0.5</v>
      </c>
      <c r="M509" s="101" t="s">
        <v>1089</v>
      </c>
      <c r="N509" s="101">
        <v>2005</v>
      </c>
      <c r="O509" s="101" t="s">
        <v>685</v>
      </c>
      <c r="P509" s="101">
        <v>666495</v>
      </c>
      <c r="Q509" t="s">
        <v>833</v>
      </c>
      <c r="R509" t="s">
        <v>48</v>
      </c>
      <c r="S509"/>
      <c r="T509"/>
      <c r="U509"/>
      <c r="V509" s="222"/>
    </row>
    <row r="510" spans="1:22" x14ac:dyDescent="0.2">
      <c r="A510" t="s">
        <v>605</v>
      </c>
      <c r="B510" s="101">
        <v>6</v>
      </c>
      <c r="C510" s="101">
        <v>-2</v>
      </c>
      <c r="D510" s="101">
        <v>7</v>
      </c>
      <c r="E510" s="101">
        <v>0</v>
      </c>
      <c r="F510" s="101">
        <v>21</v>
      </c>
      <c r="G510" s="101">
        <v>-4</v>
      </c>
      <c r="H510" s="101">
        <v>-0.8</v>
      </c>
      <c r="I510" s="102">
        <v>0.66</v>
      </c>
      <c r="J510" s="102">
        <v>1.82</v>
      </c>
      <c r="K510" s="101">
        <v>12.2</v>
      </c>
      <c r="L510" s="101">
        <v>0.5</v>
      </c>
      <c r="M510" s="101" t="s">
        <v>1091</v>
      </c>
      <c r="N510" s="101">
        <v>2004</v>
      </c>
      <c r="O510" s="101" t="s">
        <v>685</v>
      </c>
      <c r="P510" s="101">
        <v>195271</v>
      </c>
      <c r="Q510" t="s">
        <v>813</v>
      </c>
      <c r="R510" t="s">
        <v>152</v>
      </c>
      <c r="S510"/>
      <c r="T510"/>
      <c r="U510"/>
      <c r="V510" s="222"/>
    </row>
    <row r="511" spans="1:22" x14ac:dyDescent="0.2">
      <c r="A511" t="s">
        <v>135</v>
      </c>
      <c r="B511" s="101">
        <v>6</v>
      </c>
      <c r="C511" s="101">
        <v>-2</v>
      </c>
      <c r="D511" s="101">
        <v>7</v>
      </c>
      <c r="E511" s="101">
        <v>8</v>
      </c>
      <c r="F511" s="101">
        <v>18</v>
      </c>
      <c r="G511" s="101">
        <v>-5</v>
      </c>
      <c r="H511" s="101">
        <v>-1.1000000000000001</v>
      </c>
      <c r="I511" s="102">
        <v>0.65</v>
      </c>
      <c r="J511" s="102">
        <v>1.82</v>
      </c>
      <c r="K511" s="101">
        <v>10.9</v>
      </c>
      <c r="L511" s="101">
        <v>0.5</v>
      </c>
      <c r="M511" s="101" t="s">
        <v>1091</v>
      </c>
      <c r="N511" s="101">
        <v>2005</v>
      </c>
      <c r="O511" s="101" t="s">
        <v>685</v>
      </c>
      <c r="P511" s="101">
        <v>563254</v>
      </c>
      <c r="Q511" t="s">
        <v>833</v>
      </c>
      <c r="R511" t="s">
        <v>108</v>
      </c>
      <c r="S511"/>
      <c r="T511"/>
      <c r="U511"/>
      <c r="V511" s="222"/>
    </row>
    <row r="512" spans="1:22" x14ac:dyDescent="0.2">
      <c r="A512" t="s">
        <v>815</v>
      </c>
      <c r="B512" s="101">
        <v>7</v>
      </c>
      <c r="C512" s="101">
        <v>-7</v>
      </c>
      <c r="D512" s="101">
        <v>8</v>
      </c>
      <c r="E512" s="101">
        <v>0</v>
      </c>
      <c r="F512" s="101">
        <v>23</v>
      </c>
      <c r="G512" s="101">
        <v>-9</v>
      </c>
      <c r="H512" s="101">
        <v>-1.9</v>
      </c>
      <c r="I512" s="102">
        <v>0.66</v>
      </c>
      <c r="J512" s="102">
        <v>1.82</v>
      </c>
      <c r="K512" s="101">
        <v>13.9</v>
      </c>
      <c r="L512" s="101">
        <v>0.5</v>
      </c>
      <c r="M512" s="101" t="s">
        <v>1091</v>
      </c>
      <c r="N512" s="101">
        <v>2004</v>
      </c>
      <c r="O512" s="101" t="s">
        <v>685</v>
      </c>
      <c r="P512" s="101">
        <v>446088</v>
      </c>
      <c r="Q512" t="s">
        <v>813</v>
      </c>
      <c r="R512" t="s">
        <v>273</v>
      </c>
      <c r="S512"/>
      <c r="T512"/>
      <c r="U512"/>
      <c r="V512" s="222"/>
    </row>
    <row r="513" spans="1:22" x14ac:dyDescent="0.2">
      <c r="A513" t="s">
        <v>614</v>
      </c>
      <c r="B513" s="101">
        <v>7</v>
      </c>
      <c r="C513" s="101">
        <v>-4</v>
      </c>
      <c r="D513" s="101">
        <v>8</v>
      </c>
      <c r="E513" s="101">
        <v>-7</v>
      </c>
      <c r="F513" s="101">
        <v>7</v>
      </c>
      <c r="G513" s="101">
        <v>-17</v>
      </c>
      <c r="H513" s="101">
        <v>-3.5</v>
      </c>
      <c r="I513" s="102">
        <v>0.66</v>
      </c>
      <c r="J513" s="102">
        <v>1.82</v>
      </c>
      <c r="K513" s="101">
        <v>12.4</v>
      </c>
      <c r="L513" s="101">
        <v>0.2</v>
      </c>
      <c r="M513" s="101" t="s">
        <v>1091</v>
      </c>
      <c r="N513" s="101">
        <v>2006</v>
      </c>
      <c r="O513" s="101" t="s">
        <v>685</v>
      </c>
      <c r="P513" s="101">
        <v>549261</v>
      </c>
      <c r="Q513" t="s">
        <v>813</v>
      </c>
      <c r="R513" t="s">
        <v>152</v>
      </c>
      <c r="S513"/>
      <c r="T513"/>
      <c r="U513"/>
      <c r="V513" s="222"/>
    </row>
    <row r="514" spans="1:22" x14ac:dyDescent="0.2">
      <c r="A514" t="s">
        <v>200</v>
      </c>
      <c r="B514" s="101">
        <v>5</v>
      </c>
      <c r="C514" s="101">
        <v>-6</v>
      </c>
      <c r="D514" s="101">
        <v>6</v>
      </c>
      <c r="E514" s="101">
        <v>-8</v>
      </c>
      <c r="F514" s="101">
        <v>11</v>
      </c>
      <c r="G514" s="101">
        <v>-29</v>
      </c>
      <c r="H514" s="101">
        <v>-6.6</v>
      </c>
      <c r="I514" s="102">
        <v>0.66</v>
      </c>
      <c r="J514" s="102">
        <v>1.82</v>
      </c>
      <c r="K514" s="101">
        <v>13.1</v>
      </c>
      <c r="L514" s="101">
        <v>0.2</v>
      </c>
      <c r="M514" s="101" t="s">
        <v>1089</v>
      </c>
      <c r="N514" s="101">
        <v>2004</v>
      </c>
      <c r="O514" s="101" t="s">
        <v>685</v>
      </c>
      <c r="P514" s="101">
        <v>951954</v>
      </c>
      <c r="Q514" t="s">
        <v>813</v>
      </c>
      <c r="R514" t="s">
        <v>98</v>
      </c>
      <c r="S514"/>
      <c r="T514"/>
      <c r="U514"/>
      <c r="V514" s="222"/>
    </row>
    <row r="515" spans="1:22" x14ac:dyDescent="0.2">
      <c r="A515" t="s">
        <v>618</v>
      </c>
      <c r="B515" s="101">
        <v>3</v>
      </c>
      <c r="C515" s="101">
        <v>-4</v>
      </c>
      <c r="D515" s="101">
        <v>4</v>
      </c>
      <c r="E515" s="101">
        <v>-8</v>
      </c>
      <c r="F515" s="101">
        <v>5</v>
      </c>
      <c r="G515" s="101">
        <v>-31</v>
      </c>
      <c r="H515" s="101">
        <v>-7.3</v>
      </c>
      <c r="I515" s="102">
        <v>0.66</v>
      </c>
      <c r="J515" s="102">
        <v>1.82</v>
      </c>
      <c r="K515" s="101">
        <v>15.5</v>
      </c>
      <c r="L515" s="101">
        <v>0.1</v>
      </c>
      <c r="M515" s="101" t="s">
        <v>1089</v>
      </c>
      <c r="N515" s="101">
        <v>2004</v>
      </c>
      <c r="O515" s="101" t="s">
        <v>685</v>
      </c>
      <c r="P515" s="101">
        <v>696898</v>
      </c>
      <c r="Q515" t="s">
        <v>813</v>
      </c>
      <c r="R515" t="s">
        <v>48</v>
      </c>
      <c r="S515"/>
      <c r="T515"/>
      <c r="U515"/>
      <c r="V515" s="222"/>
    </row>
    <row r="516" spans="1:22" x14ac:dyDescent="0.2">
      <c r="A516" t="s">
        <v>607</v>
      </c>
      <c r="B516" s="101">
        <v>6</v>
      </c>
      <c r="C516" s="101">
        <v>-3</v>
      </c>
      <c r="D516" s="101">
        <v>6</v>
      </c>
      <c r="E516" s="101">
        <v>-2</v>
      </c>
      <c r="F516" s="101">
        <v>-12</v>
      </c>
      <c r="G516" s="101">
        <v>-38</v>
      </c>
      <c r="H516" s="101">
        <v>-9</v>
      </c>
      <c r="I516" s="102">
        <v>0.66</v>
      </c>
      <c r="J516" s="102">
        <v>1.82</v>
      </c>
      <c r="K516" s="101">
        <v>15.6</v>
      </c>
      <c r="L516" s="101">
        <v>-0.2</v>
      </c>
      <c r="M516" s="101" t="s">
        <v>1091</v>
      </c>
      <c r="N516" s="101">
        <v>2005</v>
      </c>
      <c r="O516" s="101" t="s">
        <v>685</v>
      </c>
      <c r="P516" s="101">
        <v>299693</v>
      </c>
      <c r="Q516" t="s">
        <v>813</v>
      </c>
      <c r="R516" t="s">
        <v>237</v>
      </c>
      <c r="S516"/>
      <c r="T516"/>
      <c r="U516"/>
      <c r="V516" s="222"/>
    </row>
    <row r="517" spans="1:22" x14ac:dyDescent="0.2">
      <c r="A517" t="s">
        <v>611</v>
      </c>
      <c r="B517" s="101">
        <v>13</v>
      </c>
      <c r="C517" s="101">
        <v>-2</v>
      </c>
      <c r="D517" s="101">
        <v>14</v>
      </c>
      <c r="E517" s="101">
        <v>-3</v>
      </c>
      <c r="F517" s="101">
        <v>-2</v>
      </c>
      <c r="G517" s="101">
        <v>-49</v>
      </c>
      <c r="H517" s="101">
        <v>-12.7</v>
      </c>
      <c r="I517" s="102">
        <v>0.66</v>
      </c>
      <c r="J517" s="102">
        <v>1.82</v>
      </c>
      <c r="K517" s="101">
        <v>13.7</v>
      </c>
      <c r="L517" s="101">
        <v>-0.1</v>
      </c>
      <c r="M517" s="101" t="s">
        <v>1091</v>
      </c>
      <c r="N517" s="101">
        <v>2004</v>
      </c>
      <c r="O517" s="101" t="s">
        <v>685</v>
      </c>
      <c r="P517" s="101">
        <v>410258</v>
      </c>
      <c r="Q517" t="s">
        <v>813</v>
      </c>
      <c r="R517" t="s">
        <v>291</v>
      </c>
      <c r="S517"/>
      <c r="T517"/>
      <c r="U517"/>
      <c r="V517" s="222"/>
    </row>
    <row r="518" spans="1:22" x14ac:dyDescent="0.2">
      <c r="A518" t="s">
        <v>476</v>
      </c>
      <c r="B518" s="101">
        <v>10</v>
      </c>
      <c r="C518" s="101">
        <v>-2</v>
      </c>
      <c r="D518" s="101">
        <v>10</v>
      </c>
      <c r="E518" s="101">
        <v>3</v>
      </c>
      <c r="F518" s="101"/>
      <c r="G518" s="101"/>
      <c r="H518" s="101"/>
      <c r="I518" s="102">
        <v>0.73</v>
      </c>
      <c r="J518" s="102">
        <v>1.82</v>
      </c>
      <c r="K518" s="101"/>
      <c r="L518" s="101"/>
      <c r="M518" s="101" t="s">
        <v>1088</v>
      </c>
      <c r="N518" s="101">
        <v>2011</v>
      </c>
      <c r="O518" s="101" t="s">
        <v>806</v>
      </c>
      <c r="P518" s="101">
        <v>255836</v>
      </c>
      <c r="Q518" t="s">
        <v>477</v>
      </c>
      <c r="R518" t="s">
        <v>282</v>
      </c>
      <c r="S518"/>
      <c r="T518"/>
      <c r="U518"/>
      <c r="V518" s="222"/>
    </row>
    <row r="519" spans="1:22" x14ac:dyDescent="0.2">
      <c r="A519" t="s">
        <v>824</v>
      </c>
      <c r="B519" s="101">
        <v>5</v>
      </c>
      <c r="C519" s="101">
        <v>-2</v>
      </c>
      <c r="D519" s="101">
        <v>6</v>
      </c>
      <c r="E519" s="101">
        <v>-3</v>
      </c>
      <c r="F519" s="101">
        <v>3</v>
      </c>
      <c r="G519" s="101"/>
      <c r="H519" s="101"/>
      <c r="I519" s="102">
        <v>0.73</v>
      </c>
      <c r="J519" s="102">
        <v>1.8207</v>
      </c>
      <c r="K519" s="101">
        <v>11</v>
      </c>
      <c r="L519" s="101">
        <v>0.1</v>
      </c>
      <c r="M519" s="101" t="s">
        <v>1089</v>
      </c>
      <c r="N519" s="101">
        <v>2008</v>
      </c>
      <c r="O519" s="101" t="s">
        <v>685</v>
      </c>
      <c r="P519" s="101">
        <v>439299</v>
      </c>
      <c r="Q519" t="s">
        <v>821</v>
      </c>
      <c r="R519" t="s">
        <v>291</v>
      </c>
      <c r="S519" t="s">
        <v>1111</v>
      </c>
      <c r="T519"/>
      <c r="U519"/>
      <c r="V519" s="222"/>
    </row>
    <row r="520" spans="1:22" x14ac:dyDescent="0.2">
      <c r="A520" t="s">
        <v>1019</v>
      </c>
      <c r="B520" s="101">
        <v>4</v>
      </c>
      <c r="C520" s="101">
        <v>-2</v>
      </c>
      <c r="D520" s="101">
        <v>4</v>
      </c>
      <c r="E520" s="101">
        <v>-22</v>
      </c>
      <c r="F520" s="101">
        <v>-19</v>
      </c>
      <c r="G520" s="101">
        <v>-47</v>
      </c>
      <c r="H520" s="101">
        <v>-11.9</v>
      </c>
      <c r="I520" s="102">
        <v>0.64</v>
      </c>
      <c r="J520" s="102">
        <v>1.8220000000000001</v>
      </c>
      <c r="K520" s="101">
        <v>18.8</v>
      </c>
      <c r="L520" s="101">
        <v>-0.3</v>
      </c>
      <c r="M520" s="101" t="s">
        <v>1088</v>
      </c>
      <c r="N520" s="101">
        <v>2001</v>
      </c>
      <c r="O520" s="101" t="s">
        <v>685</v>
      </c>
      <c r="P520" s="101">
        <v>362327</v>
      </c>
      <c r="Q520" t="s">
        <v>1004</v>
      </c>
      <c r="R520" t="s">
        <v>138</v>
      </c>
      <c r="S520"/>
      <c r="T520"/>
      <c r="U520"/>
      <c r="V520" s="222"/>
    </row>
    <row r="521" spans="1:22" x14ac:dyDescent="0.2">
      <c r="A521" t="s">
        <v>274</v>
      </c>
      <c r="B521" s="101">
        <v>6</v>
      </c>
      <c r="C521" s="101">
        <v>-10</v>
      </c>
      <c r="D521" s="101">
        <v>6</v>
      </c>
      <c r="E521" s="101">
        <v>-7</v>
      </c>
      <c r="F521" s="101">
        <v>12</v>
      </c>
      <c r="G521" s="101">
        <v>-16</v>
      </c>
      <c r="H521" s="101">
        <v>-3.3</v>
      </c>
      <c r="I521" s="102">
        <v>0.74</v>
      </c>
      <c r="J521" s="102">
        <v>1.8227310000000001</v>
      </c>
      <c r="K521" s="101">
        <v>14.8</v>
      </c>
      <c r="L521" s="101">
        <v>0.3</v>
      </c>
      <c r="M521" s="101" t="s">
        <v>1089</v>
      </c>
      <c r="N521" s="101">
        <v>2002</v>
      </c>
      <c r="O521" s="101" t="s">
        <v>685</v>
      </c>
      <c r="P521" s="101">
        <v>360495</v>
      </c>
      <c r="Q521" t="s">
        <v>480</v>
      </c>
      <c r="R521" t="s">
        <v>273</v>
      </c>
      <c r="S521"/>
      <c r="T521"/>
      <c r="U521"/>
      <c r="V521" s="222"/>
    </row>
    <row r="522" spans="1:22" x14ac:dyDescent="0.2">
      <c r="A522" t="s">
        <v>828</v>
      </c>
      <c r="B522" s="101">
        <v>7</v>
      </c>
      <c r="C522" s="101">
        <v>-3</v>
      </c>
      <c r="D522" s="101">
        <v>8</v>
      </c>
      <c r="E522" s="101">
        <v>3</v>
      </c>
      <c r="F522" s="101">
        <v>13</v>
      </c>
      <c r="G522" s="101">
        <v>-16</v>
      </c>
      <c r="H522" s="101">
        <v>-3.4</v>
      </c>
      <c r="I522" s="102">
        <v>0.21</v>
      </c>
      <c r="J522" s="102">
        <v>1.8242</v>
      </c>
      <c r="K522" s="101">
        <v>9.5</v>
      </c>
      <c r="L522" s="101">
        <v>0.4</v>
      </c>
      <c r="M522" s="101" t="s">
        <v>1089</v>
      </c>
      <c r="N522" s="101">
        <v>2008</v>
      </c>
      <c r="O522" s="101" t="s">
        <v>685</v>
      </c>
      <c r="P522" s="101">
        <v>224311</v>
      </c>
      <c r="Q522" t="s">
        <v>821</v>
      </c>
      <c r="R522" t="s">
        <v>152</v>
      </c>
      <c r="S522"/>
      <c r="T522"/>
      <c r="U522"/>
      <c r="V522" s="222"/>
    </row>
    <row r="523" spans="1:22" x14ac:dyDescent="0.2">
      <c r="A523" t="s">
        <v>1084</v>
      </c>
      <c r="B523" s="101">
        <v>9</v>
      </c>
      <c r="C523" s="101">
        <v>-5</v>
      </c>
      <c r="D523" s="101">
        <v>9</v>
      </c>
      <c r="E523" s="101">
        <v>13</v>
      </c>
      <c r="F523" s="101">
        <v>32</v>
      </c>
      <c r="G523" s="101">
        <v>5</v>
      </c>
      <c r="H523" s="101">
        <v>0.9</v>
      </c>
      <c r="I523" s="102">
        <v>0.74</v>
      </c>
      <c r="J523" s="102">
        <v>1.83</v>
      </c>
      <c r="K523" s="101">
        <v>13.6</v>
      </c>
      <c r="L523" s="101">
        <v>0.7</v>
      </c>
      <c r="M523" s="101" t="s">
        <v>1091</v>
      </c>
      <c r="N523" s="101">
        <v>2006</v>
      </c>
      <c r="O523" s="101" t="s">
        <v>685</v>
      </c>
      <c r="P523" s="101">
        <v>401695</v>
      </c>
      <c r="Q523" t="s">
        <v>132</v>
      </c>
      <c r="R523" t="s">
        <v>273</v>
      </c>
      <c r="S523"/>
      <c r="T523"/>
      <c r="U523"/>
      <c r="V523" s="222"/>
    </row>
    <row r="524" spans="1:22" x14ac:dyDescent="0.2">
      <c r="A524" t="s">
        <v>763</v>
      </c>
      <c r="B524" s="101">
        <v>9</v>
      </c>
      <c r="C524" s="101">
        <v>4</v>
      </c>
      <c r="D524" s="101">
        <v>10</v>
      </c>
      <c r="E524" s="101">
        <v>14</v>
      </c>
      <c r="F524" s="101">
        <v>27</v>
      </c>
      <c r="G524" s="101">
        <v>3</v>
      </c>
      <c r="H524" s="101">
        <v>0.5</v>
      </c>
      <c r="I524" s="102">
        <v>0.74</v>
      </c>
      <c r="J524" s="102">
        <v>1.83</v>
      </c>
      <c r="K524" s="101">
        <v>13.5</v>
      </c>
      <c r="L524" s="101">
        <v>0.6</v>
      </c>
      <c r="M524" s="101" t="s">
        <v>1093</v>
      </c>
      <c r="N524" s="101">
        <v>2008</v>
      </c>
      <c r="O524" s="101" t="s">
        <v>685</v>
      </c>
      <c r="P524" s="101">
        <v>192146</v>
      </c>
      <c r="Q524" t="s">
        <v>805</v>
      </c>
      <c r="R524" t="s">
        <v>237</v>
      </c>
      <c r="S524"/>
      <c r="T524"/>
      <c r="U524"/>
      <c r="V524" s="222"/>
    </row>
    <row r="525" spans="1:22" x14ac:dyDescent="0.2">
      <c r="A525" t="s">
        <v>164</v>
      </c>
      <c r="B525" s="101">
        <v>4</v>
      </c>
      <c r="C525" s="101">
        <v>-2</v>
      </c>
      <c r="D525" s="101">
        <v>5</v>
      </c>
      <c r="E525" s="101">
        <v>-3</v>
      </c>
      <c r="F525" s="101">
        <v>4</v>
      </c>
      <c r="G525" s="101">
        <v>-6</v>
      </c>
      <c r="H525" s="101">
        <v>-1.3</v>
      </c>
      <c r="I525" s="102">
        <v>0.66</v>
      </c>
      <c r="J525" s="102">
        <v>1.83</v>
      </c>
      <c r="K525" s="101">
        <v>9.3000000000000007</v>
      </c>
      <c r="L525" s="101">
        <v>0.1</v>
      </c>
      <c r="M525" s="101" t="s">
        <v>1091</v>
      </c>
      <c r="N525" s="101">
        <v>2006</v>
      </c>
      <c r="O525" s="101" t="s">
        <v>685</v>
      </c>
      <c r="P525" s="101">
        <v>717496</v>
      </c>
      <c r="Q525" t="s">
        <v>833</v>
      </c>
      <c r="R525" t="s">
        <v>152</v>
      </c>
      <c r="S525"/>
      <c r="T525"/>
      <c r="U525"/>
      <c r="V525" s="222"/>
    </row>
    <row r="526" spans="1:22" x14ac:dyDescent="0.2">
      <c r="A526" t="s">
        <v>333</v>
      </c>
      <c r="B526" s="101">
        <v>1</v>
      </c>
      <c r="C526" s="101">
        <v>-4</v>
      </c>
      <c r="D526" s="101">
        <v>1</v>
      </c>
      <c r="E526" s="101">
        <v>-8</v>
      </c>
      <c r="F526" s="101">
        <v>-5</v>
      </c>
      <c r="G526" s="101">
        <v>-6</v>
      </c>
      <c r="H526" s="101">
        <v>-1.3</v>
      </c>
      <c r="I526" s="102">
        <v>0.69</v>
      </c>
      <c r="J526" s="102">
        <v>1.83</v>
      </c>
      <c r="K526" s="101">
        <v>7.4</v>
      </c>
      <c r="L526" s="101">
        <v>-0.3</v>
      </c>
      <c r="M526" s="101" t="s">
        <v>1089</v>
      </c>
      <c r="N526" s="101">
        <v>2001</v>
      </c>
      <c r="O526" s="101" t="s">
        <v>685</v>
      </c>
      <c r="P526" s="101">
        <v>657460</v>
      </c>
      <c r="Q526" t="s">
        <v>819</v>
      </c>
      <c r="R526" t="s">
        <v>314</v>
      </c>
      <c r="S526"/>
      <c r="T526"/>
      <c r="U526"/>
      <c r="V526" s="222"/>
    </row>
    <row r="527" spans="1:22" x14ac:dyDescent="0.2">
      <c r="A527" t="s">
        <v>335</v>
      </c>
      <c r="B527" s="101">
        <v>2</v>
      </c>
      <c r="C527" s="101">
        <v>-4</v>
      </c>
      <c r="D527" s="101">
        <v>2</v>
      </c>
      <c r="E527" s="101">
        <v>-6</v>
      </c>
      <c r="F527" s="101">
        <v>-3</v>
      </c>
      <c r="G527" s="101">
        <v>-21</v>
      </c>
      <c r="H527" s="101">
        <v>-4.7</v>
      </c>
      <c r="I527" s="102">
        <v>0.7</v>
      </c>
      <c r="J527" s="102">
        <v>1.83</v>
      </c>
      <c r="K527" s="101">
        <v>8.3000000000000007</v>
      </c>
      <c r="L527" s="101">
        <v>-0.2</v>
      </c>
      <c r="M527" s="101" t="s">
        <v>1089</v>
      </c>
      <c r="N527" s="101">
        <v>2000</v>
      </c>
      <c r="O527" s="101" t="s">
        <v>685</v>
      </c>
      <c r="P527" s="101">
        <v>794115</v>
      </c>
      <c r="Q527" t="s">
        <v>94</v>
      </c>
      <c r="R527" t="s">
        <v>314</v>
      </c>
      <c r="S527"/>
      <c r="T527"/>
      <c r="U527"/>
      <c r="V527" s="222"/>
    </row>
    <row r="528" spans="1:22" x14ac:dyDescent="0.2">
      <c r="A528" t="s">
        <v>942</v>
      </c>
      <c r="B528" s="101">
        <v>5</v>
      </c>
      <c r="C528" s="101">
        <v>-1</v>
      </c>
      <c r="D528" s="101">
        <v>5</v>
      </c>
      <c r="E528" s="101">
        <v>0</v>
      </c>
      <c r="F528" s="101">
        <v>2</v>
      </c>
      <c r="G528" s="101">
        <v>-27</v>
      </c>
      <c r="H528" s="101">
        <v>-6</v>
      </c>
      <c r="I528" s="102">
        <v>0.66</v>
      </c>
      <c r="J528" s="102">
        <v>1.83</v>
      </c>
      <c r="K528" s="101">
        <v>14.6</v>
      </c>
      <c r="L528" s="101">
        <v>0</v>
      </c>
      <c r="M528" s="101" t="s">
        <v>1091</v>
      </c>
      <c r="N528" s="101">
        <v>2004</v>
      </c>
      <c r="O528" s="101" t="s">
        <v>685</v>
      </c>
      <c r="P528" s="101">
        <v>159442</v>
      </c>
      <c r="Q528" t="s">
        <v>813</v>
      </c>
      <c r="R528" t="s">
        <v>237</v>
      </c>
      <c r="S528"/>
      <c r="T528"/>
      <c r="U528"/>
      <c r="V528" s="222"/>
    </row>
    <row r="529" spans="1:22" x14ac:dyDescent="0.2">
      <c r="A529" t="s">
        <v>814</v>
      </c>
      <c r="B529" s="101">
        <v>7</v>
      </c>
      <c r="C529" s="101">
        <v>-6</v>
      </c>
      <c r="D529" s="101">
        <v>8</v>
      </c>
      <c r="E529" s="101">
        <v>-15</v>
      </c>
      <c r="F529" s="101">
        <v>0</v>
      </c>
      <c r="G529" s="101">
        <v>-28</v>
      </c>
      <c r="H529" s="101">
        <v>-6.2</v>
      </c>
      <c r="I529" s="102">
        <v>0.66</v>
      </c>
      <c r="J529" s="102">
        <v>1.83</v>
      </c>
      <c r="K529" s="101">
        <v>17.5</v>
      </c>
      <c r="L529" s="101">
        <v>0</v>
      </c>
      <c r="M529" s="101" t="s">
        <v>1089</v>
      </c>
      <c r="N529" s="101">
        <v>2004</v>
      </c>
      <c r="O529" s="101" t="s">
        <v>685</v>
      </c>
      <c r="P529" s="101">
        <v>916122</v>
      </c>
      <c r="Q529" t="s">
        <v>813</v>
      </c>
      <c r="R529" t="s">
        <v>92</v>
      </c>
      <c r="S529"/>
      <c r="T529"/>
      <c r="U529"/>
      <c r="V529" s="222"/>
    </row>
    <row r="530" spans="1:22" x14ac:dyDescent="0.2">
      <c r="A530" t="s">
        <v>272</v>
      </c>
      <c r="B530" s="101">
        <v>4</v>
      </c>
      <c r="C530" s="101">
        <v>-10</v>
      </c>
      <c r="D530" s="101">
        <v>5</v>
      </c>
      <c r="E530" s="101">
        <v>-21</v>
      </c>
      <c r="F530" s="101">
        <v>0</v>
      </c>
      <c r="G530" s="101">
        <v>-28</v>
      </c>
      <c r="H530" s="101">
        <v>-6.3</v>
      </c>
      <c r="I530" s="102">
        <v>0.74</v>
      </c>
      <c r="J530" s="102">
        <v>1.83</v>
      </c>
      <c r="K530" s="101">
        <v>19.600000000000001</v>
      </c>
      <c r="L530" s="101">
        <v>0</v>
      </c>
      <c r="M530" s="101" t="s">
        <v>1089</v>
      </c>
      <c r="N530" s="101">
        <v>2000</v>
      </c>
      <c r="O530" s="101" t="s">
        <v>685</v>
      </c>
      <c r="P530" s="101">
        <v>182584</v>
      </c>
      <c r="Q530" t="s">
        <v>271</v>
      </c>
      <c r="R530" t="s">
        <v>250</v>
      </c>
      <c r="S530"/>
      <c r="T530"/>
      <c r="U530"/>
      <c r="V530" s="222"/>
    </row>
    <row r="531" spans="1:22" x14ac:dyDescent="0.2">
      <c r="A531" t="s">
        <v>603</v>
      </c>
      <c r="B531" s="101">
        <v>4</v>
      </c>
      <c r="C531" s="101">
        <v>-3</v>
      </c>
      <c r="D531" s="101">
        <v>4</v>
      </c>
      <c r="E531" s="101">
        <v>-3</v>
      </c>
      <c r="F531" s="101">
        <v>-13</v>
      </c>
      <c r="G531" s="101">
        <v>-43</v>
      </c>
      <c r="H531" s="101">
        <v>-10.6</v>
      </c>
      <c r="I531" s="102">
        <v>0.66</v>
      </c>
      <c r="J531" s="102">
        <v>1.83</v>
      </c>
      <c r="K531" s="101">
        <v>14.3</v>
      </c>
      <c r="L531" s="101">
        <v>-0.3</v>
      </c>
      <c r="M531" s="101" t="s">
        <v>1091</v>
      </c>
      <c r="N531" s="101">
        <v>2004</v>
      </c>
      <c r="O531" s="101" t="s">
        <v>685</v>
      </c>
      <c r="P531" s="101">
        <v>123612</v>
      </c>
      <c r="Q531" t="s">
        <v>813</v>
      </c>
      <c r="R531" t="s">
        <v>237</v>
      </c>
      <c r="S531"/>
      <c r="T531"/>
      <c r="U531"/>
      <c r="V531" s="222"/>
    </row>
    <row r="532" spans="1:22" x14ac:dyDescent="0.2">
      <c r="A532" t="s">
        <v>155</v>
      </c>
      <c r="B532" s="101">
        <v>8</v>
      </c>
      <c r="C532" s="101">
        <v>-2</v>
      </c>
      <c r="D532" s="101">
        <v>8</v>
      </c>
      <c r="E532" s="101">
        <v>13</v>
      </c>
      <c r="F532" s="101">
        <v>31</v>
      </c>
      <c r="G532" s="101">
        <v>-9</v>
      </c>
      <c r="H532" s="101">
        <v>-1.8</v>
      </c>
      <c r="I532" s="102">
        <v>0.63</v>
      </c>
      <c r="J532" s="102">
        <v>1.835</v>
      </c>
      <c r="K532" s="101">
        <v>10.5</v>
      </c>
      <c r="L532" s="101">
        <v>0.8</v>
      </c>
      <c r="M532" s="101" t="s">
        <v>1088</v>
      </c>
      <c r="N532" s="101">
        <v>2000</v>
      </c>
      <c r="O532" s="101" t="s">
        <v>806</v>
      </c>
      <c r="P532" s="101">
        <v>964767</v>
      </c>
      <c r="Q532" t="s">
        <v>736</v>
      </c>
      <c r="R532" t="s">
        <v>152</v>
      </c>
      <c r="S532"/>
      <c r="T532"/>
      <c r="U532"/>
      <c r="V532" s="222"/>
    </row>
    <row r="533" spans="1:22" x14ac:dyDescent="0.2">
      <c r="A533" t="s">
        <v>280</v>
      </c>
      <c r="B533" s="101">
        <v>4</v>
      </c>
      <c r="C533" s="101">
        <v>-8</v>
      </c>
      <c r="D533" s="101">
        <v>4</v>
      </c>
      <c r="E533" s="101">
        <v>2</v>
      </c>
      <c r="F533" s="101">
        <v>13</v>
      </c>
      <c r="G533" s="101">
        <v>-16</v>
      </c>
      <c r="H533" s="101">
        <v>-3.3</v>
      </c>
      <c r="I533" s="102">
        <v>0.63</v>
      </c>
      <c r="J533" s="102">
        <v>1.8374999999999999</v>
      </c>
      <c r="K533" s="101">
        <v>12.6</v>
      </c>
      <c r="L533" s="101">
        <v>0.3</v>
      </c>
      <c r="M533" s="101" t="s">
        <v>1088</v>
      </c>
      <c r="N533" s="101">
        <v>2000</v>
      </c>
      <c r="O533" s="101" t="s">
        <v>806</v>
      </c>
      <c r="P533" s="101">
        <v>785618</v>
      </c>
      <c r="Q533" t="s">
        <v>736</v>
      </c>
      <c r="R533" t="s">
        <v>273</v>
      </c>
      <c r="S533"/>
      <c r="T533"/>
      <c r="U533"/>
      <c r="V533" s="222"/>
    </row>
    <row r="534" spans="1:22" x14ac:dyDescent="0.2">
      <c r="A534" t="s">
        <v>604</v>
      </c>
      <c r="B534" s="101">
        <v>17</v>
      </c>
      <c r="C534" s="101">
        <v>0</v>
      </c>
      <c r="D534" s="101">
        <v>18</v>
      </c>
      <c r="E534" s="101">
        <v>-9</v>
      </c>
      <c r="F534" s="101">
        <v>7</v>
      </c>
      <c r="G534" s="101">
        <v>-8</v>
      </c>
      <c r="H534" s="101">
        <v>-1.6</v>
      </c>
      <c r="I534" s="102">
        <v>0.43</v>
      </c>
      <c r="J534" s="102">
        <v>1.84</v>
      </c>
      <c r="K534" s="101">
        <v>21.3</v>
      </c>
      <c r="L534" s="101">
        <v>0.1</v>
      </c>
      <c r="M534" s="101" t="s">
        <v>1088</v>
      </c>
      <c r="N534" s="101">
        <v>2008</v>
      </c>
      <c r="O534" s="101" t="s">
        <v>685</v>
      </c>
      <c r="P534" s="101">
        <v>167239</v>
      </c>
      <c r="Q534" t="s">
        <v>553</v>
      </c>
      <c r="R534" t="s">
        <v>168</v>
      </c>
      <c r="S534"/>
      <c r="T534"/>
      <c r="U534"/>
      <c r="V534" s="222"/>
    </row>
    <row r="535" spans="1:22" x14ac:dyDescent="0.2">
      <c r="A535" t="s">
        <v>378</v>
      </c>
      <c r="B535" s="101">
        <v>9</v>
      </c>
      <c r="C535" s="101">
        <v>0</v>
      </c>
      <c r="D535" s="101">
        <v>11</v>
      </c>
      <c r="E535" s="101">
        <v>9</v>
      </c>
      <c r="F535" s="101">
        <v>10</v>
      </c>
      <c r="G535" s="101">
        <v>-10</v>
      </c>
      <c r="H535" s="101">
        <v>-2.2000000000000002</v>
      </c>
      <c r="I535" s="102">
        <v>0.7</v>
      </c>
      <c r="J535" s="102">
        <v>1.84</v>
      </c>
      <c r="K535" s="101">
        <v>17</v>
      </c>
      <c r="L535" s="101">
        <v>0.2</v>
      </c>
      <c r="M535" s="101" t="s">
        <v>1093</v>
      </c>
      <c r="N535" s="101">
        <v>2005</v>
      </c>
      <c r="O535" s="101" t="s">
        <v>685</v>
      </c>
      <c r="P535" s="101">
        <v>944637</v>
      </c>
      <c r="Q535" t="s">
        <v>94</v>
      </c>
      <c r="R535" t="s">
        <v>237</v>
      </c>
      <c r="S535"/>
      <c r="T535"/>
      <c r="U535"/>
      <c r="V535" s="222"/>
    </row>
    <row r="536" spans="1:22" x14ac:dyDescent="0.2">
      <c r="A536" t="s">
        <v>116</v>
      </c>
      <c r="B536" s="101">
        <v>3</v>
      </c>
      <c r="C536" s="101">
        <v>-4</v>
      </c>
      <c r="D536" s="101">
        <v>3</v>
      </c>
      <c r="E536" s="101">
        <v>-10</v>
      </c>
      <c r="F536" s="101">
        <v>-4</v>
      </c>
      <c r="G536" s="101">
        <v>-12</v>
      </c>
      <c r="H536" s="101">
        <v>-2.5</v>
      </c>
      <c r="I536" s="102">
        <v>0.43</v>
      </c>
      <c r="J536" s="102">
        <v>1.84</v>
      </c>
      <c r="K536" s="101">
        <v>14.1</v>
      </c>
      <c r="L536" s="101">
        <v>-0.1</v>
      </c>
      <c r="M536" s="101" t="s">
        <v>1088</v>
      </c>
      <c r="N536" s="101">
        <v>2007</v>
      </c>
      <c r="O536" s="101" t="s">
        <v>685</v>
      </c>
      <c r="P536" s="101">
        <v>653097</v>
      </c>
      <c r="Q536" t="s">
        <v>553</v>
      </c>
      <c r="R536" t="s">
        <v>381</v>
      </c>
      <c r="S536"/>
      <c r="T536"/>
      <c r="U536"/>
      <c r="V536" s="222"/>
    </row>
    <row r="537" spans="1:22" x14ac:dyDescent="0.2">
      <c r="A537" t="s">
        <v>789</v>
      </c>
      <c r="B537" s="101">
        <v>13</v>
      </c>
      <c r="C537" s="101">
        <v>5</v>
      </c>
      <c r="D537" s="101">
        <v>13</v>
      </c>
      <c r="E537" s="101">
        <v>8</v>
      </c>
      <c r="F537" s="101">
        <v>41</v>
      </c>
      <c r="G537" s="101">
        <v>-12</v>
      </c>
      <c r="H537" s="101">
        <v>-2.6</v>
      </c>
      <c r="I537" s="102">
        <v>0.74</v>
      </c>
      <c r="J537" s="102">
        <v>1.84</v>
      </c>
      <c r="K537" s="101">
        <v>11.1</v>
      </c>
      <c r="L537" s="101">
        <v>1</v>
      </c>
      <c r="M537" s="101" t="s">
        <v>1089</v>
      </c>
      <c r="N537" s="101">
        <v>2010</v>
      </c>
      <c r="O537" s="101" t="s">
        <v>685</v>
      </c>
      <c r="P537" s="101">
        <v>558882</v>
      </c>
      <c r="Q537" t="s">
        <v>132</v>
      </c>
      <c r="R537" t="s">
        <v>291</v>
      </c>
      <c r="S537"/>
      <c r="T537"/>
      <c r="U537"/>
      <c r="V537" s="222"/>
    </row>
    <row r="538" spans="1:22" x14ac:dyDescent="0.2">
      <c r="A538" t="s">
        <v>555</v>
      </c>
      <c r="B538" s="101">
        <v>4</v>
      </c>
      <c r="C538" s="101">
        <v>-3</v>
      </c>
      <c r="D538" s="101">
        <v>4</v>
      </c>
      <c r="E538" s="101">
        <v>-10</v>
      </c>
      <c r="F538" s="101">
        <v>-7</v>
      </c>
      <c r="G538" s="101">
        <v>-14</v>
      </c>
      <c r="H538" s="101">
        <v>-3</v>
      </c>
      <c r="I538" s="102">
        <v>0.34</v>
      </c>
      <c r="J538" s="102">
        <v>1.84</v>
      </c>
      <c r="K538" s="101">
        <v>13.9</v>
      </c>
      <c r="L538" s="101">
        <v>-0.2</v>
      </c>
      <c r="M538" s="101" t="s">
        <v>1088</v>
      </c>
      <c r="N538" s="101">
        <v>2006</v>
      </c>
      <c r="O538" s="101" t="s">
        <v>806</v>
      </c>
      <c r="P538" s="101">
        <v>348862</v>
      </c>
      <c r="Q538" t="s">
        <v>182</v>
      </c>
      <c r="R538" t="s">
        <v>381</v>
      </c>
      <c r="S538"/>
      <c r="T538"/>
      <c r="U538"/>
      <c r="V538" s="222"/>
    </row>
    <row r="539" spans="1:22" x14ac:dyDescent="0.2">
      <c r="A539" t="s">
        <v>115</v>
      </c>
      <c r="B539" s="101">
        <v>5</v>
      </c>
      <c r="C539" s="101">
        <v>-5</v>
      </c>
      <c r="D539" s="101">
        <v>6</v>
      </c>
      <c r="E539" s="101">
        <v>-22</v>
      </c>
      <c r="F539" s="101">
        <v>-11</v>
      </c>
      <c r="G539" s="101">
        <v>-19</v>
      </c>
      <c r="H539" s="101">
        <v>-4.2</v>
      </c>
      <c r="I539" s="102">
        <v>0.43</v>
      </c>
      <c r="J539" s="102">
        <v>1.84</v>
      </c>
      <c r="K539" s="101">
        <v>20.7</v>
      </c>
      <c r="L539" s="101">
        <v>-0.1</v>
      </c>
      <c r="M539" s="101" t="s">
        <v>1088</v>
      </c>
      <c r="N539" s="101">
        <v>2007</v>
      </c>
      <c r="O539" s="101" t="s">
        <v>685</v>
      </c>
      <c r="P539" s="101">
        <v>469692</v>
      </c>
      <c r="Q539" t="s">
        <v>553</v>
      </c>
      <c r="R539" t="s">
        <v>138</v>
      </c>
      <c r="S539"/>
      <c r="T539"/>
      <c r="U539"/>
      <c r="V539" s="222"/>
    </row>
    <row r="540" spans="1:22" x14ac:dyDescent="0.2">
      <c r="A540" t="s">
        <v>114</v>
      </c>
      <c r="B540" s="101">
        <v>1</v>
      </c>
      <c r="C540" s="101">
        <v>-11</v>
      </c>
      <c r="D540" s="101">
        <v>2</v>
      </c>
      <c r="E540" s="101">
        <v>-24</v>
      </c>
      <c r="F540" s="101">
        <v>13</v>
      </c>
      <c r="G540" s="101">
        <v>-28</v>
      </c>
      <c r="H540" s="101">
        <v>-6.4</v>
      </c>
      <c r="I540" s="102">
        <v>0.43</v>
      </c>
      <c r="J540" s="102">
        <v>1.84</v>
      </c>
      <c r="K540" s="101">
        <v>23.9</v>
      </c>
      <c r="L540" s="101">
        <v>0.2</v>
      </c>
      <c r="M540" s="101" t="s">
        <v>1088</v>
      </c>
      <c r="N540" s="101">
        <v>2007</v>
      </c>
      <c r="O540" s="101" t="s">
        <v>685</v>
      </c>
      <c r="P540" s="101">
        <v>433862</v>
      </c>
      <c r="Q540" t="s">
        <v>553</v>
      </c>
      <c r="R540" t="s">
        <v>382</v>
      </c>
      <c r="S540"/>
      <c r="T540"/>
      <c r="U540"/>
      <c r="V540" s="222"/>
    </row>
    <row r="541" spans="1:22" x14ac:dyDescent="0.2">
      <c r="A541" t="s">
        <v>415</v>
      </c>
      <c r="B541" s="101">
        <v>-2</v>
      </c>
      <c r="C541" s="101">
        <v>-16</v>
      </c>
      <c r="D541" s="101">
        <v>0</v>
      </c>
      <c r="E541" s="101">
        <v>-20</v>
      </c>
      <c r="F541" s="101">
        <v>6</v>
      </c>
      <c r="G541" s="101">
        <v>-45</v>
      </c>
      <c r="H541" s="101">
        <v>-11.3</v>
      </c>
      <c r="I541" s="102">
        <v>0.72</v>
      </c>
      <c r="J541" s="102">
        <v>1.8472310000000001</v>
      </c>
      <c r="K541" s="101">
        <v>21.6</v>
      </c>
      <c r="L541" s="101">
        <v>0.1</v>
      </c>
      <c r="M541" s="101" t="s">
        <v>1089</v>
      </c>
      <c r="N541" s="101">
        <v>2005</v>
      </c>
      <c r="O541" s="101" t="s">
        <v>685</v>
      </c>
      <c r="P541" s="101">
        <v>170951</v>
      </c>
      <c r="Q541" t="s">
        <v>1113</v>
      </c>
      <c r="R541" t="s">
        <v>800</v>
      </c>
      <c r="S541"/>
      <c r="T541"/>
      <c r="U541"/>
      <c r="V541" s="222"/>
    </row>
    <row r="542" spans="1:22" x14ac:dyDescent="0.2">
      <c r="A542" t="s">
        <v>606</v>
      </c>
      <c r="B542" s="101">
        <v>4</v>
      </c>
      <c r="C542" s="101">
        <v>-4</v>
      </c>
      <c r="D542" s="101">
        <v>4</v>
      </c>
      <c r="E542" s="101">
        <v>-9</v>
      </c>
      <c r="F542" s="101">
        <v>12</v>
      </c>
      <c r="G542" s="101">
        <v>-6</v>
      </c>
      <c r="H542" s="101">
        <v>-1.2</v>
      </c>
      <c r="I542" s="102">
        <v>0.67</v>
      </c>
      <c r="J542" s="102">
        <v>1.85</v>
      </c>
      <c r="K542" s="101">
        <v>13.8</v>
      </c>
      <c r="L542" s="101">
        <v>0.3</v>
      </c>
      <c r="M542" s="101" t="s">
        <v>1091</v>
      </c>
      <c r="N542" s="101">
        <v>2004</v>
      </c>
      <c r="O542" s="101" t="s">
        <v>685</v>
      </c>
      <c r="P542" s="101">
        <v>231100</v>
      </c>
      <c r="Q542" t="s">
        <v>813</v>
      </c>
      <c r="R542" t="s">
        <v>168</v>
      </c>
      <c r="S542"/>
      <c r="T542"/>
      <c r="U542"/>
      <c r="V542" s="222"/>
    </row>
    <row r="543" spans="1:22" x14ac:dyDescent="0.2">
      <c r="A543" t="s">
        <v>788</v>
      </c>
      <c r="B543" s="101">
        <v>7</v>
      </c>
      <c r="C543" s="101">
        <v>-4</v>
      </c>
      <c r="D543" s="101">
        <v>7</v>
      </c>
      <c r="E543" s="101">
        <v>-2</v>
      </c>
      <c r="F543" s="101">
        <v>12</v>
      </c>
      <c r="G543" s="101">
        <v>-7</v>
      </c>
      <c r="H543" s="101">
        <v>-1.3</v>
      </c>
      <c r="I543" s="102">
        <v>0.75</v>
      </c>
      <c r="J543" s="102">
        <v>1.85</v>
      </c>
      <c r="K543" s="101">
        <v>11.3</v>
      </c>
      <c r="L543" s="101">
        <v>0.3</v>
      </c>
      <c r="M543" s="101" t="s">
        <v>1089</v>
      </c>
      <c r="N543" s="101">
        <v>2010</v>
      </c>
      <c r="O543" s="101" t="s">
        <v>685</v>
      </c>
      <c r="P543" s="101">
        <v>523050</v>
      </c>
      <c r="Q543" t="s">
        <v>132</v>
      </c>
      <c r="R543" t="s">
        <v>152</v>
      </c>
      <c r="S543"/>
      <c r="T543"/>
      <c r="U543"/>
      <c r="V543" s="222"/>
    </row>
    <row r="544" spans="1:22" x14ac:dyDescent="0.2">
      <c r="A544" t="s">
        <v>1066</v>
      </c>
      <c r="B544" s="101">
        <v>5</v>
      </c>
      <c r="C544" s="101">
        <v>-3</v>
      </c>
      <c r="D544" s="101">
        <v>5</v>
      </c>
      <c r="E544" s="101">
        <v>2</v>
      </c>
      <c r="F544" s="101">
        <v>21</v>
      </c>
      <c r="G544" s="101">
        <v>-15</v>
      </c>
      <c r="H544" s="101">
        <v>-3.3</v>
      </c>
      <c r="I544" s="102">
        <v>0.21</v>
      </c>
      <c r="J544" s="102">
        <v>1.85</v>
      </c>
      <c r="K544" s="101">
        <v>9.1</v>
      </c>
      <c r="L544" s="101">
        <v>0.6</v>
      </c>
      <c r="M544" s="101" t="s">
        <v>1089</v>
      </c>
      <c r="N544" s="101">
        <v>2010</v>
      </c>
      <c r="O544" s="101" t="s">
        <v>685</v>
      </c>
      <c r="P544" s="101">
        <v>594713</v>
      </c>
      <c r="Q544" t="s">
        <v>132</v>
      </c>
      <c r="R544" t="s">
        <v>152</v>
      </c>
      <c r="S544"/>
      <c r="T544"/>
      <c r="U544"/>
      <c r="V544" s="222"/>
    </row>
    <row r="545" spans="1:22" x14ac:dyDescent="0.2">
      <c r="A545" t="s">
        <v>180</v>
      </c>
      <c r="B545" s="101">
        <v>4</v>
      </c>
      <c r="C545" s="101">
        <v>-3</v>
      </c>
      <c r="D545" s="101">
        <v>5</v>
      </c>
      <c r="E545" s="101">
        <v>4</v>
      </c>
      <c r="F545" s="101">
        <v>15</v>
      </c>
      <c r="G545" s="101">
        <v>-19</v>
      </c>
      <c r="H545" s="101">
        <v>-4.0999999999999996</v>
      </c>
      <c r="I545" s="102">
        <v>0.7</v>
      </c>
      <c r="J545" s="102">
        <v>1.85</v>
      </c>
      <c r="K545" s="101">
        <v>10.4</v>
      </c>
      <c r="L545" s="101">
        <v>0.4</v>
      </c>
      <c r="M545" s="101" t="s">
        <v>1089</v>
      </c>
      <c r="N545" s="101">
        <v>2000</v>
      </c>
      <c r="O545" s="101" t="s">
        <v>685</v>
      </c>
      <c r="P545" s="101">
        <v>650796</v>
      </c>
      <c r="Q545" t="s">
        <v>94</v>
      </c>
      <c r="R545" t="s">
        <v>273</v>
      </c>
      <c r="S545"/>
      <c r="T545"/>
      <c r="U545"/>
      <c r="V545" s="222"/>
    </row>
    <row r="546" spans="1:22" x14ac:dyDescent="0.2">
      <c r="A546" t="s">
        <v>292</v>
      </c>
      <c r="B546" s="101">
        <v>9</v>
      </c>
      <c r="C546" s="101">
        <v>-5</v>
      </c>
      <c r="D546" s="101">
        <v>10</v>
      </c>
      <c r="E546" s="101">
        <v>-9</v>
      </c>
      <c r="F546" s="101">
        <v>-4</v>
      </c>
      <c r="G546" s="101">
        <v>-51</v>
      </c>
      <c r="H546" s="101">
        <v>-13.4</v>
      </c>
      <c r="I546" s="102">
        <v>0.7</v>
      </c>
      <c r="J546" s="102">
        <v>1.85</v>
      </c>
      <c r="K546" s="101">
        <v>15.9</v>
      </c>
      <c r="L546" s="101">
        <v>-0.1</v>
      </c>
      <c r="M546" s="101" t="s">
        <v>1089</v>
      </c>
      <c r="N546" s="101">
        <v>2000</v>
      </c>
      <c r="O546" s="101" t="s">
        <v>685</v>
      </c>
      <c r="P546" s="101">
        <v>543306</v>
      </c>
      <c r="Q546" t="s">
        <v>94</v>
      </c>
      <c r="R546" t="s">
        <v>291</v>
      </c>
      <c r="S546"/>
      <c r="T546"/>
      <c r="U546"/>
      <c r="V546" s="222"/>
    </row>
    <row r="547" spans="1:22" x14ac:dyDescent="0.2">
      <c r="A547" t="s">
        <v>943</v>
      </c>
      <c r="B547" s="101">
        <v>6</v>
      </c>
      <c r="C547" s="101">
        <v>-1</v>
      </c>
      <c r="D547" s="101">
        <v>6</v>
      </c>
      <c r="E547" s="101">
        <v>-9</v>
      </c>
      <c r="F547" s="101">
        <v>-7</v>
      </c>
      <c r="G547" s="101"/>
      <c r="H547" s="101"/>
      <c r="I547" s="102">
        <v>0.67</v>
      </c>
      <c r="J547" s="102">
        <v>1.85</v>
      </c>
      <c r="K547" s="101">
        <v>17.2</v>
      </c>
      <c r="L547" s="101">
        <v>-0.1</v>
      </c>
      <c r="M547" s="101" t="s">
        <v>1091</v>
      </c>
      <c r="N547" s="101">
        <v>2009</v>
      </c>
      <c r="O547" s="101" t="s">
        <v>685</v>
      </c>
      <c r="P547" s="101">
        <v>391896</v>
      </c>
      <c r="Q547" t="s">
        <v>813</v>
      </c>
      <c r="R547" t="s">
        <v>381</v>
      </c>
      <c r="S547"/>
      <c r="T547"/>
      <c r="U547"/>
      <c r="V547" s="222"/>
    </row>
    <row r="548" spans="1:22" x14ac:dyDescent="0.2">
      <c r="A548" t="s">
        <v>790</v>
      </c>
      <c r="B548" s="101">
        <v>6</v>
      </c>
      <c r="C548" s="101">
        <v>-4</v>
      </c>
      <c r="D548" s="101">
        <v>6</v>
      </c>
      <c r="E548" s="101">
        <v>0</v>
      </c>
      <c r="F548" s="101">
        <v>-27</v>
      </c>
      <c r="G548" s="101"/>
      <c r="H548" s="101"/>
      <c r="I548" s="102">
        <v>0.75</v>
      </c>
      <c r="J548" s="102">
        <v>1.85</v>
      </c>
      <c r="K548" s="101">
        <v>20.7</v>
      </c>
      <c r="L548" s="101">
        <v>-0.5</v>
      </c>
      <c r="M548" s="101" t="s">
        <v>1089</v>
      </c>
      <c r="N548" s="101">
        <v>2010</v>
      </c>
      <c r="O548" s="101" t="s">
        <v>685</v>
      </c>
      <c r="P548" s="101">
        <v>630541</v>
      </c>
      <c r="Q548" t="s">
        <v>132</v>
      </c>
      <c r="R548" t="s">
        <v>168</v>
      </c>
      <c r="S548"/>
      <c r="T548"/>
      <c r="U548"/>
      <c r="V548" s="222"/>
    </row>
    <row r="549" spans="1:22" x14ac:dyDescent="0.2">
      <c r="A549" t="s">
        <v>99</v>
      </c>
      <c r="B549" s="101">
        <v>7</v>
      </c>
      <c r="C549" s="101">
        <v>-10</v>
      </c>
      <c r="D549" s="101">
        <v>8</v>
      </c>
      <c r="E549" s="101">
        <v>-12</v>
      </c>
      <c r="F549" s="101">
        <v>13</v>
      </c>
      <c r="G549" s="101">
        <v>-33</v>
      </c>
      <c r="H549" s="101">
        <v>-7.6</v>
      </c>
      <c r="I549" s="102">
        <v>0.75</v>
      </c>
      <c r="J549" s="102">
        <v>1.857348</v>
      </c>
      <c r="K549" s="101">
        <v>17</v>
      </c>
      <c r="L549" s="101">
        <v>0.3</v>
      </c>
      <c r="M549" s="101" t="s">
        <v>1089</v>
      </c>
      <c r="N549" s="101">
        <v>2004</v>
      </c>
      <c r="O549" s="101" t="s">
        <v>685</v>
      </c>
      <c r="P549" s="101">
        <v>452755</v>
      </c>
      <c r="Q549" t="s">
        <v>480</v>
      </c>
      <c r="R549" t="s">
        <v>98</v>
      </c>
      <c r="S549"/>
      <c r="T549"/>
      <c r="U549"/>
      <c r="V549" s="222"/>
    </row>
    <row r="550" spans="1:22" x14ac:dyDescent="0.2">
      <c r="A550" t="s">
        <v>835</v>
      </c>
      <c r="B550" s="101">
        <v>2</v>
      </c>
      <c r="C550" s="101">
        <v>-11</v>
      </c>
      <c r="D550" s="101">
        <v>2</v>
      </c>
      <c r="E550" s="101">
        <v>-22</v>
      </c>
      <c r="F550" s="101">
        <v>-2</v>
      </c>
      <c r="G550" s="101">
        <v>-37</v>
      </c>
      <c r="H550" s="101">
        <v>-8.6999999999999993</v>
      </c>
      <c r="I550" s="102">
        <v>0.52</v>
      </c>
      <c r="J550" s="102">
        <v>1.86</v>
      </c>
      <c r="K550" s="101">
        <v>18.899999999999999</v>
      </c>
      <c r="L550" s="101">
        <v>0</v>
      </c>
      <c r="M550" s="101" t="s">
        <v>1089</v>
      </c>
      <c r="N550" s="101">
        <v>2006</v>
      </c>
      <c r="O550" s="101" t="s">
        <v>685</v>
      </c>
      <c r="P550" s="101">
        <v>435693</v>
      </c>
      <c r="Q550" t="s">
        <v>56</v>
      </c>
      <c r="R550" t="s">
        <v>800</v>
      </c>
      <c r="S550"/>
      <c r="T550"/>
      <c r="U550"/>
      <c r="V550" s="222"/>
    </row>
    <row r="551" spans="1:22" x14ac:dyDescent="0.2">
      <c r="A551" t="s">
        <v>285</v>
      </c>
      <c r="B551" s="101">
        <v>6</v>
      </c>
      <c r="C551" s="101">
        <v>4</v>
      </c>
      <c r="D551" s="101">
        <v>7</v>
      </c>
      <c r="E551" s="101">
        <v>11</v>
      </c>
      <c r="F551" s="101">
        <v>13</v>
      </c>
      <c r="G551" s="101">
        <v>2</v>
      </c>
      <c r="H551" s="101">
        <v>0.4</v>
      </c>
      <c r="I551" s="102">
        <v>0.75</v>
      </c>
      <c r="J551" s="102">
        <v>1.87</v>
      </c>
      <c r="K551" s="101">
        <v>9.6</v>
      </c>
      <c r="L551" s="101">
        <v>0.3</v>
      </c>
      <c r="M551" s="101" t="s">
        <v>1089</v>
      </c>
      <c r="N551" s="101">
        <v>2002</v>
      </c>
      <c r="O551" s="101" t="s">
        <v>685</v>
      </c>
      <c r="P551" s="101">
        <v>231753</v>
      </c>
      <c r="Q551" t="s">
        <v>271</v>
      </c>
      <c r="R551" t="s">
        <v>282</v>
      </c>
      <c r="S551"/>
      <c r="T551"/>
      <c r="U551"/>
      <c r="V551" s="222"/>
    </row>
    <row r="552" spans="1:22" x14ac:dyDescent="0.2">
      <c r="A552" t="s">
        <v>947</v>
      </c>
      <c r="B552" s="101">
        <v>1</v>
      </c>
      <c r="C552" s="101">
        <v>-4</v>
      </c>
      <c r="D552" s="101">
        <v>3</v>
      </c>
      <c r="E552" s="101">
        <v>-3</v>
      </c>
      <c r="F552" s="101">
        <v>30</v>
      </c>
      <c r="G552" s="101">
        <v>-1</v>
      </c>
      <c r="H552" s="101">
        <v>-0.1</v>
      </c>
      <c r="I552" s="102">
        <v>0.71</v>
      </c>
      <c r="J552" s="102">
        <v>1.87</v>
      </c>
      <c r="K552" s="101">
        <v>14.9</v>
      </c>
      <c r="L552" s="101">
        <v>0.6</v>
      </c>
      <c r="M552" s="101" t="s">
        <v>1091</v>
      </c>
      <c r="N552" s="101">
        <v>2009</v>
      </c>
      <c r="O552" s="101" t="s">
        <v>685</v>
      </c>
      <c r="P552" s="101">
        <v>889261</v>
      </c>
      <c r="Q552" t="s">
        <v>94</v>
      </c>
      <c r="R552" t="s">
        <v>108</v>
      </c>
      <c r="S552"/>
      <c r="T552"/>
      <c r="U552"/>
      <c r="V552" s="222"/>
    </row>
    <row r="553" spans="1:22" x14ac:dyDescent="0.2">
      <c r="A553" t="s">
        <v>793</v>
      </c>
      <c r="B553" s="101">
        <v>3</v>
      </c>
      <c r="C553" s="101">
        <v>-3</v>
      </c>
      <c r="D553" s="101">
        <v>4</v>
      </c>
      <c r="E553" s="101">
        <v>-8</v>
      </c>
      <c r="F553" s="101">
        <v>9</v>
      </c>
      <c r="G553" s="101">
        <v>-18</v>
      </c>
      <c r="H553" s="101">
        <v>-4</v>
      </c>
      <c r="I553" s="102">
        <v>0.75</v>
      </c>
      <c r="J553" s="102">
        <v>1.87</v>
      </c>
      <c r="K553" s="101">
        <v>13.7</v>
      </c>
      <c r="L553" s="101">
        <v>0.2</v>
      </c>
      <c r="M553" s="101" t="s">
        <v>1089</v>
      </c>
      <c r="N553" s="101">
        <v>2010</v>
      </c>
      <c r="O553" s="101" t="s">
        <v>685</v>
      </c>
      <c r="P553" s="101">
        <v>773861</v>
      </c>
      <c r="Q553" t="s">
        <v>132</v>
      </c>
      <c r="R553" t="s">
        <v>48</v>
      </c>
      <c r="S553"/>
      <c r="T553"/>
      <c r="U553"/>
      <c r="V553" s="222"/>
    </row>
    <row r="554" spans="1:22" x14ac:dyDescent="0.2">
      <c r="A554" t="s">
        <v>57</v>
      </c>
      <c r="B554" s="101">
        <v>2</v>
      </c>
      <c r="C554" s="101">
        <v>-5</v>
      </c>
      <c r="D554" s="101">
        <v>4</v>
      </c>
      <c r="E554" s="101">
        <v>-12</v>
      </c>
      <c r="F554" s="101">
        <v>-3</v>
      </c>
      <c r="G554" s="101">
        <v>-36</v>
      </c>
      <c r="H554" s="101">
        <v>-8.6</v>
      </c>
      <c r="I554" s="102">
        <v>0.52</v>
      </c>
      <c r="J554" s="102">
        <v>1.87</v>
      </c>
      <c r="K554" s="101">
        <v>14.7</v>
      </c>
      <c r="L554" s="101">
        <v>-0.1</v>
      </c>
      <c r="M554" s="101" t="s">
        <v>1089</v>
      </c>
      <c r="N554" s="101">
        <v>2000</v>
      </c>
      <c r="O554" s="101" t="s">
        <v>685</v>
      </c>
      <c r="P554" s="101">
        <v>327734</v>
      </c>
      <c r="Q554" t="s">
        <v>56</v>
      </c>
      <c r="R554" t="s">
        <v>48</v>
      </c>
      <c r="S554"/>
      <c r="T554"/>
      <c r="U554"/>
      <c r="V554" s="222"/>
    </row>
    <row r="555" spans="1:22" x14ac:dyDescent="0.2">
      <c r="A555" t="s">
        <v>988</v>
      </c>
      <c r="B555" s="101">
        <v>2</v>
      </c>
      <c r="C555" s="101">
        <v>-3</v>
      </c>
      <c r="D555" s="101">
        <v>3</v>
      </c>
      <c r="E555" s="101"/>
      <c r="F555" s="101"/>
      <c r="G555" s="101"/>
      <c r="H555" s="101"/>
      <c r="I555" s="102">
        <v>0.48</v>
      </c>
      <c r="J555" s="102">
        <v>1.879562</v>
      </c>
      <c r="K555" s="101"/>
      <c r="L555" s="101"/>
      <c r="M555" s="101" t="s">
        <v>1088</v>
      </c>
      <c r="N555" s="101">
        <v>2011</v>
      </c>
      <c r="O555" s="101" t="s">
        <v>685</v>
      </c>
      <c r="P555" s="101">
        <v>119776</v>
      </c>
      <c r="Q555" t="s">
        <v>411</v>
      </c>
      <c r="R555" t="s">
        <v>314</v>
      </c>
      <c r="S555"/>
      <c r="T555"/>
      <c r="U555"/>
      <c r="V555" s="222"/>
    </row>
    <row r="556" spans="1:22" x14ac:dyDescent="0.2">
      <c r="A556" t="s">
        <v>912</v>
      </c>
      <c r="B556" s="101">
        <v>6</v>
      </c>
      <c r="C556" s="101">
        <v>-3</v>
      </c>
      <c r="D556" s="101">
        <v>5</v>
      </c>
      <c r="E556" s="101">
        <v>-6</v>
      </c>
      <c r="F556" s="101">
        <v>1</v>
      </c>
      <c r="G556" s="101"/>
      <c r="H556" s="101"/>
      <c r="I556" s="102">
        <v>0.52</v>
      </c>
      <c r="J556" s="102">
        <v>1.88</v>
      </c>
      <c r="K556" s="101">
        <v>14.8</v>
      </c>
      <c r="L556" s="101">
        <v>0</v>
      </c>
      <c r="M556" s="101" t="s">
        <v>1088</v>
      </c>
      <c r="N556" s="101">
        <v>2009</v>
      </c>
      <c r="O556" s="101" t="s">
        <v>685</v>
      </c>
      <c r="P556" s="101">
        <v>425892</v>
      </c>
      <c r="Q556" t="s">
        <v>729</v>
      </c>
      <c r="R556" t="s">
        <v>381</v>
      </c>
      <c r="S556"/>
      <c r="T556"/>
      <c r="U556"/>
      <c r="V556" s="222"/>
    </row>
    <row r="557" spans="1:22" x14ac:dyDescent="0.2">
      <c r="A557" t="s">
        <v>826</v>
      </c>
      <c r="B557" s="101">
        <v>4</v>
      </c>
      <c r="C557" s="101">
        <v>-6</v>
      </c>
      <c r="D557" s="101">
        <v>5</v>
      </c>
      <c r="E557" s="101">
        <v>-12</v>
      </c>
      <c r="F557" s="101">
        <v>6</v>
      </c>
      <c r="G557" s="101">
        <v>-13</v>
      </c>
      <c r="H557" s="101">
        <v>-2.8</v>
      </c>
      <c r="I557" s="102">
        <v>0.76</v>
      </c>
      <c r="J557" s="102">
        <v>1.8853</v>
      </c>
      <c r="K557" s="101">
        <v>14.9</v>
      </c>
      <c r="L557" s="101">
        <v>0.1</v>
      </c>
      <c r="M557" s="101" t="s">
        <v>1091</v>
      </c>
      <c r="N557" s="101">
        <v>2008</v>
      </c>
      <c r="O557" s="101" t="s">
        <v>685</v>
      </c>
      <c r="P557" s="101">
        <v>295972</v>
      </c>
      <c r="Q557" t="s">
        <v>821</v>
      </c>
      <c r="R557" t="s">
        <v>168</v>
      </c>
      <c r="S557"/>
      <c r="T557"/>
      <c r="U557"/>
      <c r="V557" s="222"/>
    </row>
    <row r="558" spans="1:22" x14ac:dyDescent="0.2">
      <c r="A558" t="s">
        <v>791</v>
      </c>
      <c r="B558" s="101">
        <v>7</v>
      </c>
      <c r="C558" s="101">
        <v>0</v>
      </c>
      <c r="D558" s="101">
        <v>6</v>
      </c>
      <c r="E558" s="101">
        <v>-7</v>
      </c>
      <c r="F558" s="101">
        <v>1</v>
      </c>
      <c r="G558" s="101">
        <v>8</v>
      </c>
      <c r="H558" s="101">
        <v>1.6</v>
      </c>
      <c r="I558" s="102">
        <v>0.76</v>
      </c>
      <c r="J558" s="102">
        <v>1.89</v>
      </c>
      <c r="K558" s="101">
        <v>15.7</v>
      </c>
      <c r="L558" s="101">
        <v>0</v>
      </c>
      <c r="M558" s="101" t="s">
        <v>1091</v>
      </c>
      <c r="N558" s="101">
        <v>2010</v>
      </c>
      <c r="O558" s="101" t="s">
        <v>685</v>
      </c>
      <c r="P558" s="101">
        <v>666370</v>
      </c>
      <c r="Q558" t="s">
        <v>132</v>
      </c>
      <c r="R558" t="s">
        <v>381</v>
      </c>
      <c r="S558"/>
      <c r="T558"/>
      <c r="U558"/>
      <c r="V558" s="222"/>
    </row>
    <row r="559" spans="1:22" x14ac:dyDescent="0.2">
      <c r="A559" t="s">
        <v>183</v>
      </c>
      <c r="B559" s="101">
        <v>6</v>
      </c>
      <c r="C559" s="101">
        <v>-6</v>
      </c>
      <c r="D559" s="101">
        <v>5</v>
      </c>
      <c r="E559" s="101">
        <v>-18</v>
      </c>
      <c r="F559" s="101">
        <v>2</v>
      </c>
      <c r="G559" s="101">
        <v>3</v>
      </c>
      <c r="H559" s="101">
        <v>0.5</v>
      </c>
      <c r="I559" s="102">
        <v>0.68</v>
      </c>
      <c r="J559" s="102">
        <v>1.9</v>
      </c>
      <c r="K559" s="101">
        <v>19</v>
      </c>
      <c r="L559" s="101">
        <v>0.1</v>
      </c>
      <c r="M559" s="101" t="s">
        <v>1091</v>
      </c>
      <c r="N559" s="101">
        <v>2007</v>
      </c>
      <c r="O559" s="101" t="s">
        <v>685</v>
      </c>
      <c r="P559" s="101">
        <v>170894</v>
      </c>
      <c r="Q559" t="s">
        <v>833</v>
      </c>
      <c r="R559" t="s">
        <v>138</v>
      </c>
      <c r="S559"/>
      <c r="T559"/>
      <c r="U559"/>
      <c r="V559" s="222"/>
    </row>
    <row r="560" spans="1:22" x14ac:dyDescent="0.2">
      <c r="A560" t="s">
        <v>176</v>
      </c>
      <c r="B560" s="101">
        <v>4</v>
      </c>
      <c r="C560" s="101">
        <v>-6</v>
      </c>
      <c r="D560" s="101">
        <v>4</v>
      </c>
      <c r="E560" s="101">
        <v>-7</v>
      </c>
      <c r="F560" s="101">
        <v>13</v>
      </c>
      <c r="G560" s="101">
        <v>-7</v>
      </c>
      <c r="H560" s="101">
        <v>-1.4</v>
      </c>
      <c r="I560" s="102">
        <v>0.76</v>
      </c>
      <c r="J560" s="102">
        <v>1.9</v>
      </c>
      <c r="K560" s="101">
        <v>15.2</v>
      </c>
      <c r="L560" s="101">
        <v>0.3</v>
      </c>
      <c r="M560" s="101" t="s">
        <v>1091</v>
      </c>
      <c r="N560" s="101">
        <v>2000</v>
      </c>
      <c r="O560" s="101" t="s">
        <v>685</v>
      </c>
      <c r="P560" s="101">
        <v>305243</v>
      </c>
      <c r="Q560" t="s">
        <v>838</v>
      </c>
      <c r="R560" t="s">
        <v>168</v>
      </c>
      <c r="S560"/>
      <c r="T560"/>
      <c r="U560"/>
      <c r="V560" s="222"/>
    </row>
    <row r="561" spans="1:22" x14ac:dyDescent="0.2">
      <c r="A561" t="s">
        <v>1099</v>
      </c>
      <c r="B561" s="101">
        <v>5</v>
      </c>
      <c r="C561" s="101">
        <v>-2</v>
      </c>
      <c r="D561" s="101">
        <v>4</v>
      </c>
      <c r="E561" s="101">
        <v>-7</v>
      </c>
      <c r="F561" s="101">
        <v>7</v>
      </c>
      <c r="G561" s="101">
        <v>-9</v>
      </c>
      <c r="H561" s="101">
        <v>-1.8</v>
      </c>
      <c r="I561" s="102">
        <v>0.76</v>
      </c>
      <c r="J561" s="102">
        <v>1.9</v>
      </c>
      <c r="K561" s="101">
        <v>14.1</v>
      </c>
      <c r="L561" s="101">
        <v>0.2</v>
      </c>
      <c r="M561" s="101" t="s">
        <v>1091</v>
      </c>
      <c r="N561" s="101">
        <v>2000</v>
      </c>
      <c r="O561" s="101" t="s">
        <v>685</v>
      </c>
      <c r="P561" s="101">
        <v>992099</v>
      </c>
      <c r="Q561" t="s">
        <v>132</v>
      </c>
      <c r="R561" t="s">
        <v>138</v>
      </c>
      <c r="S561"/>
      <c r="T561"/>
      <c r="U561"/>
      <c r="V561" s="222"/>
    </row>
    <row r="562" spans="1:22" x14ac:dyDescent="0.2">
      <c r="A562" t="s">
        <v>174</v>
      </c>
      <c r="B562" s="101">
        <v>-2</v>
      </c>
      <c r="C562" s="101">
        <v>-10</v>
      </c>
      <c r="D562" s="101">
        <v>-2</v>
      </c>
      <c r="E562" s="101">
        <v>-19</v>
      </c>
      <c r="F562" s="101">
        <v>5</v>
      </c>
      <c r="G562" s="101">
        <v>-11</v>
      </c>
      <c r="H562" s="101">
        <v>-2.2999999999999998</v>
      </c>
      <c r="I562" s="102">
        <v>0.76</v>
      </c>
      <c r="J562" s="102">
        <v>1.9</v>
      </c>
      <c r="K562" s="101">
        <v>17.899999999999999</v>
      </c>
      <c r="L562" s="101">
        <v>0.2</v>
      </c>
      <c r="M562" s="101" t="s">
        <v>1091</v>
      </c>
      <c r="N562" s="101">
        <v>2000</v>
      </c>
      <c r="O562" s="101" t="s">
        <v>685</v>
      </c>
      <c r="P562" s="101">
        <v>956268</v>
      </c>
      <c r="Q562" t="s">
        <v>132</v>
      </c>
      <c r="R562" t="s">
        <v>383</v>
      </c>
      <c r="S562"/>
      <c r="T562"/>
      <c r="U562"/>
      <c r="V562" s="222"/>
    </row>
    <row r="563" spans="1:22" x14ac:dyDescent="0.2">
      <c r="A563" t="s">
        <v>151</v>
      </c>
      <c r="B563" s="101">
        <v>4</v>
      </c>
      <c r="C563" s="101">
        <v>-3</v>
      </c>
      <c r="D563" s="101">
        <v>3</v>
      </c>
      <c r="E563" s="101">
        <v>-16</v>
      </c>
      <c r="F563" s="101">
        <v>-15</v>
      </c>
      <c r="G563" s="101">
        <v>-14</v>
      </c>
      <c r="H563" s="101">
        <v>-3</v>
      </c>
      <c r="I563" s="102">
        <v>0.76</v>
      </c>
      <c r="J563" s="102">
        <v>1.9</v>
      </c>
      <c r="K563" s="101">
        <v>19.899999999999999</v>
      </c>
      <c r="L563" s="101">
        <v>-0.2</v>
      </c>
      <c r="M563" s="101" t="s">
        <v>1091</v>
      </c>
      <c r="N563" s="101">
        <v>2000</v>
      </c>
      <c r="O563" s="101" t="s">
        <v>685</v>
      </c>
      <c r="P563" s="101">
        <v>233585</v>
      </c>
      <c r="Q563" t="s">
        <v>838</v>
      </c>
      <c r="R563" t="s">
        <v>381</v>
      </c>
      <c r="S563"/>
      <c r="T563"/>
      <c r="U563"/>
      <c r="V563" s="222"/>
    </row>
    <row r="564" spans="1:22" x14ac:dyDescent="0.2">
      <c r="A564" t="s">
        <v>175</v>
      </c>
      <c r="B564" s="101">
        <v>3</v>
      </c>
      <c r="C564" s="101">
        <v>-5</v>
      </c>
      <c r="D564" s="101">
        <v>3</v>
      </c>
      <c r="E564" s="101">
        <v>-14</v>
      </c>
      <c r="F564" s="101">
        <v>3</v>
      </c>
      <c r="G564" s="101">
        <v>-22</v>
      </c>
      <c r="H564" s="101">
        <v>-4.8</v>
      </c>
      <c r="I564" s="102">
        <v>0.76</v>
      </c>
      <c r="J564" s="102">
        <v>1.9</v>
      </c>
      <c r="K564" s="101">
        <v>15.9</v>
      </c>
      <c r="L564" s="101">
        <v>0.1</v>
      </c>
      <c r="M564" s="101" t="s">
        <v>1091</v>
      </c>
      <c r="N564" s="101">
        <v>2001</v>
      </c>
      <c r="O564" s="101" t="s">
        <v>685</v>
      </c>
      <c r="P564" s="101">
        <v>828111</v>
      </c>
      <c r="Q564" t="s">
        <v>132</v>
      </c>
      <c r="R564" t="s">
        <v>168</v>
      </c>
      <c r="S564"/>
      <c r="T564"/>
      <c r="U564"/>
      <c r="V564" s="222"/>
    </row>
    <row r="565" spans="1:22" x14ac:dyDescent="0.2">
      <c r="A565" t="s">
        <v>243</v>
      </c>
      <c r="B565" s="101">
        <v>2</v>
      </c>
      <c r="C565" s="101">
        <v>-5</v>
      </c>
      <c r="D565" s="101">
        <v>5</v>
      </c>
      <c r="E565" s="101">
        <v>0</v>
      </c>
      <c r="F565" s="101">
        <v>-12</v>
      </c>
      <c r="G565" s="101">
        <v>-33</v>
      </c>
      <c r="H565" s="101">
        <v>-7.7</v>
      </c>
      <c r="I565" s="102">
        <v>0.76</v>
      </c>
      <c r="J565" s="102">
        <v>1.9</v>
      </c>
      <c r="K565" s="101">
        <v>15.2</v>
      </c>
      <c r="L565" s="101">
        <v>-0.3</v>
      </c>
      <c r="M565" s="101" t="s">
        <v>1093</v>
      </c>
      <c r="N565" s="101">
        <v>2000</v>
      </c>
      <c r="O565" s="101" t="s">
        <v>685</v>
      </c>
      <c r="P565" s="101">
        <v>275495</v>
      </c>
      <c r="Q565" t="s">
        <v>838</v>
      </c>
      <c r="R565" t="s">
        <v>237</v>
      </c>
      <c r="S565"/>
      <c r="T565"/>
      <c r="U565"/>
      <c r="V565" s="222"/>
    </row>
    <row r="566" spans="1:22" x14ac:dyDescent="0.2">
      <c r="A566" t="s">
        <v>1108</v>
      </c>
      <c r="B566" s="101">
        <v>1</v>
      </c>
      <c r="C566" s="101">
        <v>0</v>
      </c>
      <c r="D566" s="101"/>
      <c r="E566" s="101"/>
      <c r="F566" s="101"/>
      <c r="G566" s="101"/>
      <c r="H566" s="101"/>
      <c r="I566" s="102">
        <v>0.76</v>
      </c>
      <c r="J566" s="102">
        <v>1.9</v>
      </c>
      <c r="K566" s="101"/>
      <c r="L566" s="101"/>
      <c r="M566" s="101" t="s">
        <v>1088</v>
      </c>
      <c r="N566" s="101">
        <v>2012</v>
      </c>
      <c r="O566" s="101" t="s">
        <v>806</v>
      </c>
      <c r="P566" s="101">
        <v>187898</v>
      </c>
      <c r="Q566" t="s">
        <v>726</v>
      </c>
      <c r="R566" t="s">
        <v>314</v>
      </c>
      <c r="S566"/>
      <c r="T566"/>
      <c r="U566"/>
      <c r="V566" s="222"/>
    </row>
    <row r="567" spans="1:22" x14ac:dyDescent="0.2">
      <c r="A567" t="s">
        <v>1021</v>
      </c>
      <c r="B567" s="101">
        <v>1</v>
      </c>
      <c r="C567" s="101">
        <v>-6</v>
      </c>
      <c r="D567" s="101">
        <v>2</v>
      </c>
      <c r="E567" s="101">
        <v>-14</v>
      </c>
      <c r="F567" s="101">
        <v>4</v>
      </c>
      <c r="G567" s="101">
        <v>-14</v>
      </c>
      <c r="H567" s="101">
        <v>-3</v>
      </c>
      <c r="I567" s="102">
        <v>0.67</v>
      </c>
      <c r="J567" s="102">
        <v>1.901</v>
      </c>
      <c r="K567" s="101">
        <v>15.3</v>
      </c>
      <c r="L567" s="101">
        <v>0.1</v>
      </c>
      <c r="M567" s="101" t="s">
        <v>1088</v>
      </c>
      <c r="N567" s="101">
        <v>2000</v>
      </c>
      <c r="O567" s="101" t="s">
        <v>685</v>
      </c>
      <c r="P567" s="101">
        <v>819029</v>
      </c>
      <c r="Q567" t="s">
        <v>1004</v>
      </c>
      <c r="R567" t="s">
        <v>168</v>
      </c>
      <c r="S567"/>
      <c r="T567"/>
      <c r="U567"/>
      <c r="V567" s="222"/>
    </row>
    <row r="568" spans="1:22" x14ac:dyDescent="0.2">
      <c r="A568" t="s">
        <v>202</v>
      </c>
      <c r="B568" s="101">
        <v>5</v>
      </c>
      <c r="C568" s="101">
        <v>-5</v>
      </c>
      <c r="D568" s="101">
        <v>6</v>
      </c>
      <c r="E568" s="101">
        <v>-8</v>
      </c>
      <c r="F568" s="101">
        <v>2</v>
      </c>
      <c r="G568" s="101">
        <v>-39</v>
      </c>
      <c r="H568" s="101">
        <v>-9.4</v>
      </c>
      <c r="I568" s="102">
        <v>0.76</v>
      </c>
      <c r="J568" s="102">
        <v>1.901</v>
      </c>
      <c r="K568" s="101">
        <v>13.8</v>
      </c>
      <c r="L568" s="101">
        <v>0</v>
      </c>
      <c r="M568" s="101" t="s">
        <v>1089</v>
      </c>
      <c r="N568" s="101">
        <v>2000</v>
      </c>
      <c r="O568" s="101" t="s">
        <v>685</v>
      </c>
      <c r="P568" s="101">
        <v>475897</v>
      </c>
      <c r="Q568" t="s">
        <v>451</v>
      </c>
      <c r="R568" t="s">
        <v>48</v>
      </c>
      <c r="S568"/>
      <c r="T568"/>
      <c r="U568"/>
      <c r="V568" s="222"/>
    </row>
    <row r="569" spans="1:22" x14ac:dyDescent="0.2">
      <c r="A569" t="s">
        <v>404</v>
      </c>
      <c r="B569" s="101">
        <v>0</v>
      </c>
      <c r="C569" s="101">
        <v>-1</v>
      </c>
      <c r="D569" s="101">
        <v>-1</v>
      </c>
      <c r="E569" s="101">
        <v>-13</v>
      </c>
      <c r="F569" s="101">
        <v>-20</v>
      </c>
      <c r="G569" s="101">
        <v>-33</v>
      </c>
      <c r="H569" s="101">
        <v>-7.8</v>
      </c>
      <c r="I569" s="102">
        <v>0.51</v>
      </c>
      <c r="J569" s="102">
        <v>1.91</v>
      </c>
      <c r="K569" s="101">
        <v>16.7</v>
      </c>
      <c r="L569" s="101">
        <v>-0.4</v>
      </c>
      <c r="M569" s="101" t="s">
        <v>1088</v>
      </c>
      <c r="N569" s="101">
        <v>2004</v>
      </c>
      <c r="O569" s="101" t="s">
        <v>806</v>
      </c>
      <c r="P569" s="101">
        <v>838383</v>
      </c>
      <c r="Q569" t="s">
        <v>925</v>
      </c>
      <c r="R569" t="s">
        <v>381</v>
      </c>
      <c r="S569"/>
      <c r="T569"/>
      <c r="U569"/>
      <c r="V569" s="222"/>
    </row>
    <row r="570" spans="1:22" x14ac:dyDescent="0.2">
      <c r="A570" t="s">
        <v>330</v>
      </c>
      <c r="B570" s="101">
        <v>0</v>
      </c>
      <c r="C570" s="101">
        <v>-6</v>
      </c>
      <c r="D570" s="101">
        <v>1</v>
      </c>
      <c r="E570" s="101">
        <v>-17</v>
      </c>
      <c r="F570" s="101">
        <v>-4</v>
      </c>
      <c r="G570" s="101">
        <v>-20</v>
      </c>
      <c r="H570" s="101">
        <v>-4.3</v>
      </c>
      <c r="I570" s="102">
        <v>0.75</v>
      </c>
      <c r="J570" s="102">
        <v>1.92</v>
      </c>
      <c r="K570" s="101">
        <v>13.6</v>
      </c>
      <c r="L570" s="101">
        <v>-0.1</v>
      </c>
      <c r="M570" s="101" t="s">
        <v>1089</v>
      </c>
      <c r="N570" s="101">
        <v>2010</v>
      </c>
      <c r="O570" s="101" t="s">
        <v>685</v>
      </c>
      <c r="P570" s="101">
        <v>131342</v>
      </c>
      <c r="Q570" t="s">
        <v>316</v>
      </c>
      <c r="R570" t="s">
        <v>314</v>
      </c>
      <c r="S570"/>
      <c r="T570"/>
      <c r="U570"/>
      <c r="V570" s="222"/>
    </row>
    <row r="571" spans="1:22" x14ac:dyDescent="0.2">
      <c r="A571" t="s">
        <v>903</v>
      </c>
      <c r="B571" s="101">
        <v>0</v>
      </c>
      <c r="C571" s="101">
        <v>-5</v>
      </c>
      <c r="D571" s="101">
        <v>1</v>
      </c>
      <c r="E571" s="101">
        <v>-10</v>
      </c>
      <c r="F571" s="101">
        <v>6</v>
      </c>
      <c r="G571" s="101">
        <v>-30</v>
      </c>
      <c r="H571" s="101">
        <v>-6.9</v>
      </c>
      <c r="I571" s="102">
        <v>0.75</v>
      </c>
      <c r="J571" s="102">
        <v>1.92</v>
      </c>
      <c r="K571" s="101">
        <v>14.9</v>
      </c>
      <c r="L571" s="101">
        <v>0.1</v>
      </c>
      <c r="M571" s="101" t="s">
        <v>1089</v>
      </c>
      <c r="N571" s="101">
        <v>2011</v>
      </c>
      <c r="O571" s="101" t="s">
        <v>685</v>
      </c>
      <c r="P571" s="101">
        <v>306837</v>
      </c>
      <c r="Q571" t="s">
        <v>316</v>
      </c>
      <c r="R571" t="s">
        <v>152</v>
      </c>
      <c r="S571"/>
      <c r="T571"/>
      <c r="U571"/>
      <c r="V571" s="222"/>
    </row>
    <row r="572" spans="1:22" x14ac:dyDescent="0.2">
      <c r="A572" t="s">
        <v>201</v>
      </c>
      <c r="B572" s="101">
        <v>9</v>
      </c>
      <c r="C572" s="101">
        <v>9</v>
      </c>
      <c r="D572" s="101">
        <v>10</v>
      </c>
      <c r="E572" s="101">
        <v>20</v>
      </c>
      <c r="F572" s="101">
        <v>25</v>
      </c>
      <c r="G572" s="101">
        <v>58</v>
      </c>
      <c r="H572" s="101">
        <v>9.6</v>
      </c>
      <c r="I572" s="102">
        <v>0.74</v>
      </c>
      <c r="J572" s="102">
        <v>1.931</v>
      </c>
      <c r="K572" s="101">
        <v>11.5</v>
      </c>
      <c r="L572" s="101">
        <v>0.6</v>
      </c>
      <c r="M572" s="101" t="s">
        <v>1091</v>
      </c>
      <c r="N572" s="101">
        <v>2003</v>
      </c>
      <c r="O572" s="101" t="s">
        <v>685</v>
      </c>
      <c r="P572" s="101">
        <v>173435</v>
      </c>
      <c r="Q572" t="s">
        <v>451</v>
      </c>
      <c r="R572" t="s">
        <v>678</v>
      </c>
      <c r="S572"/>
      <c r="T572"/>
      <c r="U572"/>
      <c r="V572" s="222"/>
    </row>
    <row r="573" spans="1:22" x14ac:dyDescent="0.2">
      <c r="A573" t="s">
        <v>22</v>
      </c>
      <c r="B573" s="101">
        <v>4</v>
      </c>
      <c r="C573" s="101">
        <v>-6</v>
      </c>
      <c r="D573" s="101">
        <v>5</v>
      </c>
      <c r="E573" s="101">
        <v>-5</v>
      </c>
      <c r="F573" s="101"/>
      <c r="G573" s="101"/>
      <c r="H573" s="101"/>
      <c r="I573" s="102">
        <v>0.64</v>
      </c>
      <c r="J573" s="102">
        <v>1.9423029999999999</v>
      </c>
      <c r="K573" s="101"/>
      <c r="L573" s="101"/>
      <c r="M573" s="101" t="s">
        <v>1088</v>
      </c>
      <c r="N573" s="101">
        <v>2010</v>
      </c>
      <c r="O573" s="101" t="s">
        <v>685</v>
      </c>
      <c r="P573" s="101">
        <v>276493</v>
      </c>
      <c r="Q573" t="s">
        <v>21</v>
      </c>
      <c r="R573" t="s">
        <v>314</v>
      </c>
      <c r="S573"/>
      <c r="T573"/>
      <c r="U573"/>
      <c r="V573" s="222"/>
    </row>
    <row r="574" spans="1:22" x14ac:dyDescent="0.2">
      <c r="A574" t="s">
        <v>645</v>
      </c>
      <c r="B574" s="101">
        <v>7</v>
      </c>
      <c r="C574" s="101">
        <v>-3</v>
      </c>
      <c r="D574" s="101">
        <v>9</v>
      </c>
      <c r="E574" s="101">
        <v>3</v>
      </c>
      <c r="F574" s="101">
        <v>-5</v>
      </c>
      <c r="G574" s="101">
        <v>-19</v>
      </c>
      <c r="H574" s="101">
        <v>-4.2</v>
      </c>
      <c r="I574" s="102">
        <v>0.72</v>
      </c>
      <c r="J574" s="102">
        <v>1.95</v>
      </c>
      <c r="K574" s="101">
        <v>14.3</v>
      </c>
      <c r="L574" s="101">
        <v>-0.1</v>
      </c>
      <c r="M574" s="101" t="s">
        <v>1093</v>
      </c>
      <c r="N574" s="101">
        <v>2009</v>
      </c>
      <c r="O574" s="101" t="s">
        <v>685</v>
      </c>
      <c r="P574" s="101">
        <v>174490</v>
      </c>
      <c r="Q574" t="s">
        <v>868</v>
      </c>
      <c r="R574" t="s">
        <v>237</v>
      </c>
      <c r="S574"/>
      <c r="T574"/>
      <c r="U574"/>
      <c r="V574" s="222"/>
    </row>
    <row r="575" spans="1:22" x14ac:dyDescent="0.2">
      <c r="A575" t="s">
        <v>342</v>
      </c>
      <c r="B575" s="101">
        <v>-7</v>
      </c>
      <c r="C575" s="101">
        <v>-10</v>
      </c>
      <c r="D575" s="101">
        <v>-6</v>
      </c>
      <c r="E575" s="101">
        <v>-11</v>
      </c>
      <c r="F575" s="101">
        <v>-22</v>
      </c>
      <c r="G575" s="101">
        <v>-24</v>
      </c>
      <c r="H575" s="101">
        <v>-5.4</v>
      </c>
      <c r="I575" s="102">
        <v>0.72</v>
      </c>
      <c r="J575" s="102">
        <v>1.95</v>
      </c>
      <c r="K575" s="101">
        <v>15.6</v>
      </c>
      <c r="L575" s="101">
        <v>-0.5</v>
      </c>
      <c r="M575" s="101" t="s">
        <v>1093</v>
      </c>
      <c r="N575" s="101">
        <v>2011</v>
      </c>
      <c r="O575" s="101" t="s">
        <v>685</v>
      </c>
      <c r="P575" s="101">
        <v>269175</v>
      </c>
      <c r="Q575" t="s">
        <v>868</v>
      </c>
      <c r="R575" t="s">
        <v>237</v>
      </c>
      <c r="S575"/>
      <c r="T575"/>
      <c r="U575"/>
      <c r="V575" s="222"/>
    </row>
    <row r="576" spans="1:22" x14ac:dyDescent="0.2">
      <c r="A576" t="s">
        <v>927</v>
      </c>
      <c r="B576" s="101">
        <v>-12</v>
      </c>
      <c r="C576" s="101">
        <v>-14</v>
      </c>
      <c r="D576" s="101">
        <v>-12</v>
      </c>
      <c r="E576" s="101">
        <v>-21</v>
      </c>
      <c r="F576" s="101">
        <v>-20</v>
      </c>
      <c r="G576" s="101"/>
      <c r="H576" s="101"/>
      <c r="I576" s="102">
        <v>0.76</v>
      </c>
      <c r="J576" s="102">
        <v>1.95</v>
      </c>
      <c r="K576" s="101">
        <v>15.2</v>
      </c>
      <c r="L576" s="101">
        <v>-0.5</v>
      </c>
      <c r="M576" s="101" t="s">
        <v>1089</v>
      </c>
      <c r="N576" s="101">
        <v>2008</v>
      </c>
      <c r="O576" s="101" t="s">
        <v>685</v>
      </c>
      <c r="P576" s="101">
        <v>698605</v>
      </c>
      <c r="Q576" t="s">
        <v>770</v>
      </c>
      <c r="R576" t="s">
        <v>291</v>
      </c>
      <c r="S576"/>
      <c r="T576"/>
      <c r="U576"/>
      <c r="V576" s="222"/>
    </row>
    <row r="577" spans="1:22" x14ac:dyDescent="0.2">
      <c r="A577" t="s">
        <v>768</v>
      </c>
      <c r="B577" s="101">
        <v>2</v>
      </c>
      <c r="C577" s="101">
        <v>-1</v>
      </c>
      <c r="D577" s="101">
        <v>3</v>
      </c>
      <c r="E577" s="101">
        <v>-1</v>
      </c>
      <c r="F577" s="101">
        <v>9</v>
      </c>
      <c r="G577" s="101">
        <v>-7</v>
      </c>
      <c r="H577" s="101">
        <v>-1.4</v>
      </c>
      <c r="I577" s="102">
        <v>0.78</v>
      </c>
      <c r="J577" s="102">
        <v>1.955376</v>
      </c>
      <c r="K577" s="101">
        <v>8.9</v>
      </c>
      <c r="L577" s="101">
        <v>0.2</v>
      </c>
      <c r="M577" s="101" t="s">
        <v>1089</v>
      </c>
      <c r="N577" s="101">
        <v>2003</v>
      </c>
      <c r="O577" s="101" t="s">
        <v>685</v>
      </c>
      <c r="P577" s="101">
        <v>532325</v>
      </c>
      <c r="Q577" t="s">
        <v>856</v>
      </c>
      <c r="R577" t="s">
        <v>152</v>
      </c>
      <c r="S577"/>
      <c r="T577"/>
      <c r="U577"/>
      <c r="V577" s="222"/>
    </row>
    <row r="578" spans="1:22" x14ac:dyDescent="0.2">
      <c r="A578" t="s">
        <v>850</v>
      </c>
      <c r="B578" s="101">
        <v>2</v>
      </c>
      <c r="C578" s="101">
        <v>-5</v>
      </c>
      <c r="D578" s="101">
        <v>3</v>
      </c>
      <c r="E578" s="101">
        <v>-5</v>
      </c>
      <c r="F578" s="101">
        <v>8</v>
      </c>
      <c r="G578" s="101">
        <v>-27</v>
      </c>
      <c r="H578" s="101">
        <v>-6.1</v>
      </c>
      <c r="I578" s="102">
        <v>0.79</v>
      </c>
      <c r="J578" s="102">
        <v>1.97</v>
      </c>
      <c r="K578" s="101">
        <v>16.100000000000001</v>
      </c>
      <c r="L578" s="101">
        <v>0.1</v>
      </c>
      <c r="M578" s="101" t="s">
        <v>1088</v>
      </c>
      <c r="N578" s="101">
        <v>2006</v>
      </c>
      <c r="O578" s="101" t="s">
        <v>806</v>
      </c>
      <c r="P578" s="101">
        <v>534099</v>
      </c>
      <c r="Q578" t="s">
        <v>36</v>
      </c>
      <c r="R578" t="s">
        <v>168</v>
      </c>
      <c r="S578"/>
      <c r="T578"/>
      <c r="U578"/>
      <c r="V578" s="222"/>
    </row>
    <row r="579" spans="1:22" x14ac:dyDescent="0.2">
      <c r="A579" t="s">
        <v>148</v>
      </c>
      <c r="B579" s="101">
        <v>7</v>
      </c>
      <c r="C579" s="101">
        <v>-4</v>
      </c>
      <c r="D579" s="101">
        <v>6</v>
      </c>
      <c r="E579" s="101">
        <v>-17</v>
      </c>
      <c r="F579" s="101">
        <v>-9</v>
      </c>
      <c r="G579" s="101">
        <v>-33</v>
      </c>
      <c r="H579" s="101">
        <v>-7.7</v>
      </c>
      <c r="I579" s="102">
        <v>0.79</v>
      </c>
      <c r="J579" s="102">
        <v>1.97</v>
      </c>
      <c r="K579" s="101">
        <v>21.1</v>
      </c>
      <c r="L579" s="101">
        <v>-0.1</v>
      </c>
      <c r="M579" s="101" t="s">
        <v>1088</v>
      </c>
      <c r="N579" s="101">
        <v>2005</v>
      </c>
      <c r="O579" s="101" t="s">
        <v>806</v>
      </c>
      <c r="P579" s="101">
        <v>722983</v>
      </c>
      <c r="Q579" t="s">
        <v>36</v>
      </c>
      <c r="R579" t="s">
        <v>138</v>
      </c>
      <c r="S579"/>
      <c r="T579"/>
      <c r="U579"/>
      <c r="V579" s="222"/>
    </row>
    <row r="580" spans="1:22" x14ac:dyDescent="0.2">
      <c r="A580" t="s">
        <v>219</v>
      </c>
      <c r="B580" s="101">
        <v>6</v>
      </c>
      <c r="C580" s="101">
        <v>-6</v>
      </c>
      <c r="D580" s="101">
        <v>8</v>
      </c>
      <c r="E580" s="101">
        <v>-21</v>
      </c>
      <c r="F580" s="101">
        <v>8</v>
      </c>
      <c r="G580" s="101">
        <v>-36</v>
      </c>
      <c r="H580" s="101">
        <v>-8.5</v>
      </c>
      <c r="I580" s="102">
        <v>0.67</v>
      </c>
      <c r="J580" s="102">
        <v>1.97</v>
      </c>
      <c r="K580" s="101">
        <v>21.9</v>
      </c>
      <c r="L580" s="101">
        <v>0.1</v>
      </c>
      <c r="M580" s="101" t="s">
        <v>1091</v>
      </c>
      <c r="N580" s="101">
        <v>2000</v>
      </c>
      <c r="O580" s="101" t="s">
        <v>685</v>
      </c>
      <c r="P580" s="101">
        <v>983593</v>
      </c>
      <c r="Q580" t="s">
        <v>368</v>
      </c>
      <c r="R580" t="s">
        <v>218</v>
      </c>
      <c r="S580"/>
      <c r="T580"/>
      <c r="U580"/>
      <c r="V580" s="222"/>
    </row>
    <row r="581" spans="1:22" x14ac:dyDescent="0.2">
      <c r="A581" t="s">
        <v>949</v>
      </c>
      <c r="B581" s="101">
        <v>2</v>
      </c>
      <c r="C581" s="101">
        <v>-1</v>
      </c>
      <c r="D581" s="101">
        <v>2</v>
      </c>
      <c r="E581" s="101">
        <v>-8</v>
      </c>
      <c r="F581" s="101">
        <v>-8</v>
      </c>
      <c r="G581" s="101"/>
      <c r="H581" s="101"/>
      <c r="I581" s="102">
        <v>0.79</v>
      </c>
      <c r="J581" s="102">
        <v>1.97</v>
      </c>
      <c r="K581" s="101">
        <v>11.4</v>
      </c>
      <c r="L581" s="101">
        <v>-0.3</v>
      </c>
      <c r="M581" s="101" t="s">
        <v>1088</v>
      </c>
      <c r="N581" s="101">
        <v>2009</v>
      </c>
      <c r="O581" s="101" t="s">
        <v>806</v>
      </c>
      <c r="P581" s="101">
        <v>191494</v>
      </c>
      <c r="Q581" t="s">
        <v>36</v>
      </c>
      <c r="R581" t="s">
        <v>152</v>
      </c>
      <c r="S581"/>
      <c r="T581"/>
      <c r="U581"/>
      <c r="V581" s="222"/>
    </row>
    <row r="582" spans="1:22" x14ac:dyDescent="0.2">
      <c r="A582" t="s">
        <v>935</v>
      </c>
      <c r="B582" s="101">
        <v>-11</v>
      </c>
      <c r="C582" s="101">
        <v>-5</v>
      </c>
      <c r="D582" s="101">
        <v>-11</v>
      </c>
      <c r="E582" s="101">
        <v>-21</v>
      </c>
      <c r="F582" s="101"/>
      <c r="G582" s="101"/>
      <c r="H582" s="101"/>
      <c r="I582" s="102">
        <v>1.94</v>
      </c>
      <c r="J582" s="102">
        <v>1.9777149999999999</v>
      </c>
      <c r="K582" s="101"/>
      <c r="L582" s="101"/>
      <c r="M582" s="101" t="s">
        <v>1088</v>
      </c>
      <c r="N582" s="101">
        <v>2010</v>
      </c>
      <c r="O582" s="101" t="s">
        <v>806</v>
      </c>
      <c r="P582" s="101">
        <v>257667</v>
      </c>
      <c r="Q582" t="s">
        <v>870</v>
      </c>
      <c r="R582" t="s">
        <v>218</v>
      </c>
      <c r="S582"/>
      <c r="T582"/>
      <c r="U582"/>
      <c r="V582" s="222"/>
    </row>
    <row r="583" spans="1:22" x14ac:dyDescent="0.2">
      <c r="A583" t="s">
        <v>855</v>
      </c>
      <c r="B583" s="101">
        <v>6</v>
      </c>
      <c r="C583" s="101">
        <v>-8</v>
      </c>
      <c r="D583" s="101">
        <v>7</v>
      </c>
      <c r="E583" s="101">
        <v>-10</v>
      </c>
      <c r="F583" s="101">
        <v>24</v>
      </c>
      <c r="G583" s="101">
        <v>-31</v>
      </c>
      <c r="H583" s="101">
        <v>-7.1</v>
      </c>
      <c r="I583" s="102">
        <v>0.75</v>
      </c>
      <c r="J583" s="102">
        <v>1.98</v>
      </c>
      <c r="K583" s="101">
        <v>16.7</v>
      </c>
      <c r="L583" s="101">
        <v>0.4</v>
      </c>
      <c r="M583" s="101" t="s">
        <v>1089</v>
      </c>
      <c r="N583" s="101">
        <v>2005</v>
      </c>
      <c r="O583" s="101" t="s">
        <v>685</v>
      </c>
      <c r="P583" s="101">
        <v>116293</v>
      </c>
      <c r="Q583" t="s">
        <v>94</v>
      </c>
      <c r="R583" t="s">
        <v>98</v>
      </c>
      <c r="S583"/>
      <c r="T583"/>
      <c r="U583"/>
      <c r="V583" s="222"/>
    </row>
    <row r="584" spans="1:22" x14ac:dyDescent="0.2">
      <c r="A584" t="s">
        <v>686</v>
      </c>
      <c r="B584" s="101">
        <v>0</v>
      </c>
      <c r="C584" s="101">
        <v>-11</v>
      </c>
      <c r="D584" s="101">
        <v>1</v>
      </c>
      <c r="E584" s="101">
        <v>-16</v>
      </c>
      <c r="F584" s="101">
        <v>-4</v>
      </c>
      <c r="G584" s="101">
        <v>-37</v>
      </c>
      <c r="H584" s="101">
        <v>-9</v>
      </c>
      <c r="I584" s="102">
        <v>0.79</v>
      </c>
      <c r="J584" s="102">
        <v>1.98</v>
      </c>
      <c r="K584" s="101">
        <v>12.5</v>
      </c>
      <c r="L584" s="101">
        <v>-0.1</v>
      </c>
      <c r="M584" s="101" t="s">
        <v>1089</v>
      </c>
      <c r="N584" s="101">
        <v>2006</v>
      </c>
      <c r="O584" s="101" t="s">
        <v>685</v>
      </c>
      <c r="P584" s="101">
        <v>882068</v>
      </c>
      <c r="Q584" t="s">
        <v>376</v>
      </c>
      <c r="R584" t="s">
        <v>152</v>
      </c>
      <c r="S584"/>
      <c r="T584"/>
      <c r="U584"/>
      <c r="V584" s="222"/>
    </row>
    <row r="585" spans="1:22" x14ac:dyDescent="0.2">
      <c r="A585" t="s">
        <v>70</v>
      </c>
      <c r="B585" s="101">
        <v>-1</v>
      </c>
      <c r="C585" s="101">
        <v>-12</v>
      </c>
      <c r="D585" s="101">
        <v>0</v>
      </c>
      <c r="E585" s="101">
        <v>-17</v>
      </c>
      <c r="F585" s="101">
        <v>-4</v>
      </c>
      <c r="G585" s="101"/>
      <c r="H585" s="101"/>
      <c r="I585" s="102">
        <v>0.79</v>
      </c>
      <c r="J585" s="102">
        <v>1.98</v>
      </c>
      <c r="K585" s="101">
        <v>12.6</v>
      </c>
      <c r="L585" s="101">
        <v>-0.1</v>
      </c>
      <c r="M585" s="101" t="s">
        <v>1089</v>
      </c>
      <c r="N585" s="101">
        <v>2008</v>
      </c>
      <c r="O585" s="101" t="s">
        <v>685</v>
      </c>
      <c r="P585" s="101">
        <v>199406</v>
      </c>
      <c r="Q585" t="s">
        <v>376</v>
      </c>
      <c r="R585" t="s">
        <v>152</v>
      </c>
      <c r="S585"/>
      <c r="T585"/>
      <c r="U585"/>
      <c r="V585" s="222"/>
    </row>
    <row r="586" spans="1:22" x14ac:dyDescent="0.2">
      <c r="A586" t="s">
        <v>169</v>
      </c>
      <c r="B586" s="101">
        <v>1</v>
      </c>
      <c r="C586" s="101">
        <v>-6</v>
      </c>
      <c r="D586" s="101">
        <v>1</v>
      </c>
      <c r="E586" s="101">
        <v>-13</v>
      </c>
      <c r="F586" s="101">
        <v>3</v>
      </c>
      <c r="G586" s="101">
        <v>-5</v>
      </c>
      <c r="H586" s="101">
        <v>-1</v>
      </c>
      <c r="I586" s="102">
        <v>0.68</v>
      </c>
      <c r="J586" s="102">
        <v>1.99</v>
      </c>
      <c r="K586" s="101">
        <v>15.3</v>
      </c>
      <c r="L586" s="101">
        <v>0.1</v>
      </c>
      <c r="M586" s="101" t="s">
        <v>1091</v>
      </c>
      <c r="N586" s="101">
        <v>2000</v>
      </c>
      <c r="O586" s="101" t="s">
        <v>685</v>
      </c>
      <c r="P586" s="101">
        <v>191080</v>
      </c>
      <c r="Q586" t="s">
        <v>368</v>
      </c>
      <c r="R586" t="s">
        <v>168</v>
      </c>
      <c r="S586"/>
      <c r="T586"/>
      <c r="U586"/>
      <c r="V586" s="222"/>
    </row>
    <row r="587" spans="1:22" x14ac:dyDescent="0.2">
      <c r="A587" t="s">
        <v>640</v>
      </c>
      <c r="B587" s="101">
        <v>2</v>
      </c>
      <c r="C587" s="101">
        <v>-7</v>
      </c>
      <c r="D587" s="101">
        <v>2</v>
      </c>
      <c r="E587" s="101">
        <v>-9</v>
      </c>
      <c r="F587" s="101">
        <v>13</v>
      </c>
      <c r="G587" s="101">
        <v>-10</v>
      </c>
      <c r="H587" s="101">
        <v>-2.1</v>
      </c>
      <c r="I587" s="102">
        <v>0.45</v>
      </c>
      <c r="J587" s="102">
        <v>1.99</v>
      </c>
      <c r="K587" s="101">
        <v>14.3</v>
      </c>
      <c r="L587" s="101">
        <v>0.3</v>
      </c>
      <c r="M587" s="101" t="s">
        <v>1088</v>
      </c>
      <c r="N587" s="101">
        <v>2008</v>
      </c>
      <c r="O587" s="101" t="s">
        <v>685</v>
      </c>
      <c r="P587" s="101">
        <v>995571</v>
      </c>
      <c r="Q587" t="s">
        <v>553</v>
      </c>
      <c r="R587" t="s">
        <v>168</v>
      </c>
      <c r="S587"/>
      <c r="T587"/>
      <c r="U587"/>
      <c r="V587" s="222"/>
    </row>
    <row r="588" spans="1:22" x14ac:dyDescent="0.2">
      <c r="A588" t="s">
        <v>241</v>
      </c>
      <c r="B588" s="101">
        <v>2</v>
      </c>
      <c r="C588" s="101">
        <v>-14</v>
      </c>
      <c r="D588" s="101">
        <v>2</v>
      </c>
      <c r="E588" s="101">
        <v>-22</v>
      </c>
      <c r="F588" s="101">
        <v>-3</v>
      </c>
      <c r="G588" s="101">
        <v>-44</v>
      </c>
      <c r="H588" s="101">
        <v>-10.9</v>
      </c>
      <c r="I588" s="102">
        <v>0.79</v>
      </c>
      <c r="J588" s="102">
        <v>1.99</v>
      </c>
      <c r="K588" s="101">
        <v>16.8</v>
      </c>
      <c r="L588" s="101">
        <v>0</v>
      </c>
      <c r="M588" s="101" t="s">
        <v>1089</v>
      </c>
      <c r="N588" s="101">
        <v>2007</v>
      </c>
      <c r="O588" s="101" t="s">
        <v>685</v>
      </c>
      <c r="P588" s="101">
        <v>371294</v>
      </c>
      <c r="Q588" t="s">
        <v>376</v>
      </c>
      <c r="R588" t="s">
        <v>48</v>
      </c>
      <c r="S588"/>
      <c r="T588"/>
      <c r="U588"/>
      <c r="V588" s="222"/>
    </row>
    <row r="589" spans="1:22" x14ac:dyDescent="0.2">
      <c r="A589" t="s">
        <v>184</v>
      </c>
      <c r="B589" s="101">
        <v>3</v>
      </c>
      <c r="C589" s="101">
        <v>-5</v>
      </c>
      <c r="D589" s="101">
        <v>2</v>
      </c>
      <c r="E589" s="101">
        <v>-10</v>
      </c>
      <c r="F589" s="101">
        <v>26</v>
      </c>
      <c r="G589" s="101">
        <v>14</v>
      </c>
      <c r="H589" s="101">
        <v>2.7</v>
      </c>
      <c r="I589" s="102">
        <v>0.63</v>
      </c>
      <c r="J589" s="102">
        <v>2</v>
      </c>
      <c r="K589" s="101">
        <v>15.2</v>
      </c>
      <c r="L589" s="101">
        <v>0.5</v>
      </c>
      <c r="M589" s="101" t="s">
        <v>1090</v>
      </c>
      <c r="N589" s="101">
        <v>2002</v>
      </c>
      <c r="O589" s="101" t="s">
        <v>685</v>
      </c>
      <c r="P589" s="101">
        <v>501981</v>
      </c>
      <c r="Q589" t="s">
        <v>851</v>
      </c>
      <c r="R589" t="s">
        <v>168</v>
      </c>
      <c r="S589"/>
      <c r="T589"/>
      <c r="U589"/>
      <c r="V589" s="222"/>
    </row>
    <row r="590" spans="1:22" x14ac:dyDescent="0.2">
      <c r="A590" t="s">
        <v>676</v>
      </c>
      <c r="B590" s="101">
        <v>13</v>
      </c>
      <c r="C590" s="101">
        <v>-3</v>
      </c>
      <c r="D590" s="101">
        <v>13</v>
      </c>
      <c r="E590" s="101">
        <v>-6</v>
      </c>
      <c r="F590" s="101">
        <v>55</v>
      </c>
      <c r="G590" s="101">
        <v>-7</v>
      </c>
      <c r="H590" s="101">
        <v>-1.3</v>
      </c>
      <c r="I590" s="102">
        <v>0.8</v>
      </c>
      <c r="J590" s="102">
        <v>2</v>
      </c>
      <c r="K590" s="101">
        <v>18</v>
      </c>
      <c r="L590" s="101">
        <v>0.8</v>
      </c>
      <c r="M590" s="101" t="s">
        <v>1089</v>
      </c>
      <c r="N590" s="101">
        <v>2006</v>
      </c>
      <c r="O590" s="101" t="s">
        <v>685</v>
      </c>
      <c r="P590" s="101">
        <v>785493</v>
      </c>
      <c r="Q590" t="s">
        <v>45</v>
      </c>
      <c r="R590" t="s">
        <v>800</v>
      </c>
      <c r="S590"/>
      <c r="T590"/>
      <c r="U590"/>
      <c r="V590" s="222"/>
    </row>
    <row r="591" spans="1:22" x14ac:dyDescent="0.2">
      <c r="A591" t="s">
        <v>299</v>
      </c>
      <c r="B591" s="101">
        <v>4</v>
      </c>
      <c r="C591" s="101">
        <v>-6</v>
      </c>
      <c r="D591" s="101">
        <v>5</v>
      </c>
      <c r="E591" s="101">
        <v>-7</v>
      </c>
      <c r="F591" s="101">
        <v>23</v>
      </c>
      <c r="G591" s="101">
        <v>-9</v>
      </c>
      <c r="H591" s="101">
        <v>-1.8</v>
      </c>
      <c r="I591" s="102">
        <v>0.8</v>
      </c>
      <c r="J591" s="102">
        <v>2</v>
      </c>
      <c r="K591" s="101">
        <v>14.4</v>
      </c>
      <c r="L591" s="101">
        <v>0.5</v>
      </c>
      <c r="M591" s="101" t="s">
        <v>1089</v>
      </c>
      <c r="N591" s="101">
        <v>2001</v>
      </c>
      <c r="O591" s="101" t="s">
        <v>685</v>
      </c>
      <c r="P591" s="101">
        <v>202002</v>
      </c>
      <c r="Q591" t="s">
        <v>45</v>
      </c>
      <c r="R591" t="s">
        <v>291</v>
      </c>
      <c r="S591"/>
      <c r="T591"/>
      <c r="U591"/>
      <c r="V591" s="222"/>
    </row>
    <row r="592" spans="1:22" x14ac:dyDescent="0.2">
      <c r="A592" t="s">
        <v>760</v>
      </c>
      <c r="B592" s="101">
        <v>8</v>
      </c>
      <c r="C592" s="101">
        <v>-3</v>
      </c>
      <c r="D592" s="101">
        <v>9</v>
      </c>
      <c r="E592" s="101">
        <v>-5</v>
      </c>
      <c r="F592" s="101">
        <v>42</v>
      </c>
      <c r="G592" s="101">
        <v>-14</v>
      </c>
      <c r="H592" s="101">
        <v>-3</v>
      </c>
      <c r="I592" s="102">
        <v>0.78</v>
      </c>
      <c r="J592" s="102">
        <v>2</v>
      </c>
      <c r="K592" s="101">
        <v>18.2</v>
      </c>
      <c r="L592" s="101">
        <v>0.7</v>
      </c>
      <c r="M592" s="101" t="s">
        <v>1090</v>
      </c>
      <c r="N592" s="101">
        <v>2002</v>
      </c>
      <c r="O592" s="101" t="s">
        <v>685</v>
      </c>
      <c r="P592" s="101">
        <v>450981</v>
      </c>
      <c r="Q592" t="s">
        <v>759</v>
      </c>
      <c r="R592" t="s">
        <v>723</v>
      </c>
      <c r="S592"/>
      <c r="T592"/>
      <c r="U592"/>
      <c r="V592" s="222"/>
    </row>
    <row r="593" spans="1:22" x14ac:dyDescent="0.2">
      <c r="A593" t="s">
        <v>957</v>
      </c>
      <c r="B593" s="101">
        <v>-4</v>
      </c>
      <c r="C593" s="101">
        <v>-12</v>
      </c>
      <c r="D593" s="101">
        <v>-4</v>
      </c>
      <c r="E593" s="101">
        <v>-18</v>
      </c>
      <c r="F593" s="101">
        <v>8</v>
      </c>
      <c r="G593" s="101">
        <v>-17</v>
      </c>
      <c r="H593" s="101">
        <v>-3.7</v>
      </c>
      <c r="I593" s="102">
        <v>0.43</v>
      </c>
      <c r="J593" s="102">
        <v>2</v>
      </c>
      <c r="K593" s="101">
        <v>15.4</v>
      </c>
      <c r="L593" s="101">
        <v>0.2</v>
      </c>
      <c r="M593" s="101" t="s">
        <v>1090</v>
      </c>
      <c r="N593" s="101">
        <v>2008</v>
      </c>
      <c r="O593" s="101" t="s">
        <v>685</v>
      </c>
      <c r="P593" s="101">
        <v>571695</v>
      </c>
      <c r="Q593" t="s">
        <v>907</v>
      </c>
      <c r="R593" t="s">
        <v>48</v>
      </c>
      <c r="S593" t="s">
        <v>1111</v>
      </c>
      <c r="T593"/>
      <c r="U593"/>
      <c r="V593" s="222"/>
    </row>
    <row r="594" spans="1:22" x14ac:dyDescent="0.2">
      <c r="A594" t="s">
        <v>46</v>
      </c>
      <c r="B594" s="101">
        <v>10</v>
      </c>
      <c r="C594" s="101">
        <v>-8</v>
      </c>
      <c r="D594" s="101">
        <v>12</v>
      </c>
      <c r="E594" s="101">
        <v>-11</v>
      </c>
      <c r="F594" s="101">
        <v>51</v>
      </c>
      <c r="G594" s="101">
        <v>-19</v>
      </c>
      <c r="H594" s="101">
        <v>-4.2</v>
      </c>
      <c r="I594" s="102">
        <v>0.8</v>
      </c>
      <c r="J594" s="102">
        <v>2</v>
      </c>
      <c r="K594" s="101">
        <v>23</v>
      </c>
      <c r="L594" s="101">
        <v>0.6</v>
      </c>
      <c r="M594" s="101" t="s">
        <v>1089</v>
      </c>
      <c r="N594" s="101">
        <v>2001</v>
      </c>
      <c r="O594" s="101" t="s">
        <v>685</v>
      </c>
      <c r="P594" s="101">
        <v>237834</v>
      </c>
      <c r="Q594" t="s">
        <v>45</v>
      </c>
      <c r="R594" t="s">
        <v>800</v>
      </c>
      <c r="S594"/>
      <c r="T594"/>
      <c r="U594"/>
      <c r="V594" s="222"/>
    </row>
    <row r="595" spans="1:22" x14ac:dyDescent="0.2">
      <c r="A595" t="s">
        <v>950</v>
      </c>
      <c r="B595" s="101">
        <v>-2</v>
      </c>
      <c r="C595" s="101">
        <v>-4</v>
      </c>
      <c r="D595" s="101">
        <v>-3</v>
      </c>
      <c r="E595" s="101">
        <v>-16</v>
      </c>
      <c r="F595" s="101">
        <v>-22</v>
      </c>
      <c r="G595" s="101">
        <v>-21</v>
      </c>
      <c r="H595" s="101">
        <v>-4.7</v>
      </c>
      <c r="I595" s="102">
        <v>0.78</v>
      </c>
      <c r="J595" s="102">
        <v>2</v>
      </c>
      <c r="K595" s="101">
        <v>15.1</v>
      </c>
      <c r="L595" s="101">
        <v>-0.5</v>
      </c>
      <c r="M595" s="101" t="s">
        <v>1088</v>
      </c>
      <c r="N595" s="101">
        <v>2000</v>
      </c>
      <c r="O595" s="101" t="s">
        <v>806</v>
      </c>
      <c r="P595" s="101">
        <v>688457</v>
      </c>
      <c r="Q595" t="s">
        <v>899</v>
      </c>
      <c r="R595" t="s">
        <v>381</v>
      </c>
      <c r="S595"/>
      <c r="T595"/>
      <c r="U595"/>
      <c r="V595" s="222"/>
    </row>
    <row r="596" spans="1:22" x14ac:dyDescent="0.2">
      <c r="A596" t="s">
        <v>954</v>
      </c>
      <c r="B596" s="101">
        <v>7</v>
      </c>
      <c r="C596" s="101">
        <v>-11</v>
      </c>
      <c r="D596" s="101">
        <v>8</v>
      </c>
      <c r="E596" s="101">
        <v>-17</v>
      </c>
      <c r="F596" s="101">
        <v>22</v>
      </c>
      <c r="G596" s="101">
        <v>-23</v>
      </c>
      <c r="H596" s="101">
        <v>-5.0999999999999996</v>
      </c>
      <c r="I596" s="102">
        <v>0.43</v>
      </c>
      <c r="J596" s="102">
        <v>2</v>
      </c>
      <c r="K596" s="101">
        <v>21.2</v>
      </c>
      <c r="L596" s="101">
        <v>0.4</v>
      </c>
      <c r="M596" s="101" t="s">
        <v>1090</v>
      </c>
      <c r="N596" s="101">
        <v>2008</v>
      </c>
      <c r="O596" s="101" t="s">
        <v>685</v>
      </c>
      <c r="P596" s="101">
        <v>388298</v>
      </c>
      <c r="Q596" t="s">
        <v>907</v>
      </c>
      <c r="R596" t="s">
        <v>800</v>
      </c>
      <c r="S596" t="s">
        <v>1111</v>
      </c>
      <c r="T596"/>
      <c r="U596"/>
      <c r="V596" s="222"/>
    </row>
    <row r="597" spans="1:22" x14ac:dyDescent="0.2">
      <c r="A597" t="s">
        <v>267</v>
      </c>
      <c r="B597" s="101">
        <v>12</v>
      </c>
      <c r="C597" s="101">
        <v>-9</v>
      </c>
      <c r="D597" s="101">
        <v>13</v>
      </c>
      <c r="E597" s="101">
        <v>-17</v>
      </c>
      <c r="F597" s="101">
        <v>15</v>
      </c>
      <c r="G597" s="101">
        <v>-27</v>
      </c>
      <c r="H597" s="101">
        <v>-6.1</v>
      </c>
      <c r="I597" s="102">
        <v>0.8</v>
      </c>
      <c r="J597" s="102">
        <v>2</v>
      </c>
      <c r="K597" s="101">
        <v>22.6</v>
      </c>
      <c r="L597" s="101">
        <v>0.3</v>
      </c>
      <c r="M597" s="101" t="s">
        <v>1089</v>
      </c>
      <c r="N597" s="101">
        <v>2001</v>
      </c>
      <c r="O597" s="101" t="s">
        <v>685</v>
      </c>
      <c r="P597" s="101">
        <v>273664</v>
      </c>
      <c r="Q597" t="s">
        <v>45</v>
      </c>
      <c r="R597" t="s">
        <v>250</v>
      </c>
      <c r="S597"/>
      <c r="T597"/>
      <c r="U597"/>
      <c r="V597" s="222"/>
    </row>
    <row r="598" spans="1:22" x14ac:dyDescent="0.2">
      <c r="A598" t="s">
        <v>771</v>
      </c>
      <c r="B598" s="101">
        <v>3</v>
      </c>
      <c r="C598" s="101">
        <v>-3</v>
      </c>
      <c r="D598" s="101">
        <v>5</v>
      </c>
      <c r="E598" s="101">
        <v>-8</v>
      </c>
      <c r="F598" s="101">
        <v>11</v>
      </c>
      <c r="G598" s="101">
        <v>-34</v>
      </c>
      <c r="H598" s="101">
        <v>-8</v>
      </c>
      <c r="I598" s="102">
        <v>0.8</v>
      </c>
      <c r="J598" s="102">
        <v>2</v>
      </c>
      <c r="K598" s="101">
        <v>13.1</v>
      </c>
      <c r="L598" s="101">
        <v>0.2</v>
      </c>
      <c r="M598" s="101" t="s">
        <v>1089</v>
      </c>
      <c r="N598" s="101">
        <v>2006</v>
      </c>
      <c r="O598" s="101" t="s">
        <v>685</v>
      </c>
      <c r="P598" s="101">
        <v>865063</v>
      </c>
      <c r="Q598" t="s">
        <v>805</v>
      </c>
      <c r="R598" t="s">
        <v>48</v>
      </c>
      <c r="S598"/>
      <c r="T598"/>
      <c r="U598"/>
      <c r="V598" s="222"/>
    </row>
    <row r="599" spans="1:22" x14ac:dyDescent="0.2">
      <c r="A599" t="s">
        <v>266</v>
      </c>
      <c r="B599" s="101">
        <v>9</v>
      </c>
      <c r="C599" s="101">
        <v>-8</v>
      </c>
      <c r="D599" s="101">
        <v>9</v>
      </c>
      <c r="E599" s="101">
        <v>-19</v>
      </c>
      <c r="F599" s="101">
        <v>8</v>
      </c>
      <c r="G599" s="101">
        <v>-35</v>
      </c>
      <c r="H599" s="101">
        <v>-8.4</v>
      </c>
      <c r="I599" s="102">
        <v>0.78</v>
      </c>
      <c r="J599" s="102">
        <v>2</v>
      </c>
      <c r="K599" s="101">
        <v>20.7</v>
      </c>
      <c r="L599" s="101">
        <v>0.2</v>
      </c>
      <c r="M599" s="101" t="s">
        <v>1090</v>
      </c>
      <c r="N599" s="101">
        <v>2002</v>
      </c>
      <c r="O599" s="101" t="s">
        <v>685</v>
      </c>
      <c r="P599" s="101">
        <v>634386</v>
      </c>
      <c r="Q599" t="s">
        <v>759</v>
      </c>
      <c r="R599" t="s">
        <v>250</v>
      </c>
      <c r="S599"/>
      <c r="T599"/>
      <c r="U599"/>
      <c r="V599" s="222"/>
    </row>
    <row r="600" spans="1:22" x14ac:dyDescent="0.2">
      <c r="A600" t="s">
        <v>297</v>
      </c>
      <c r="B600" s="101">
        <v>-10</v>
      </c>
      <c r="C600" s="101">
        <v>-10</v>
      </c>
      <c r="D600" s="101">
        <v>-9</v>
      </c>
      <c r="E600" s="101">
        <v>-22</v>
      </c>
      <c r="F600" s="101">
        <v>-7</v>
      </c>
      <c r="G600" s="101">
        <v>-38</v>
      </c>
      <c r="H600" s="101">
        <v>-9</v>
      </c>
      <c r="I600" s="102">
        <v>0.68</v>
      </c>
      <c r="J600" s="102">
        <v>2</v>
      </c>
      <c r="K600" s="101">
        <v>19.8</v>
      </c>
      <c r="L600" s="101">
        <v>-0.1</v>
      </c>
      <c r="M600" s="101" t="s">
        <v>1091</v>
      </c>
      <c r="N600" s="101">
        <v>2000</v>
      </c>
      <c r="O600" s="101" t="s">
        <v>685</v>
      </c>
      <c r="P600" s="101">
        <v>262741</v>
      </c>
      <c r="Q600" t="s">
        <v>368</v>
      </c>
      <c r="R600" t="s">
        <v>291</v>
      </c>
      <c r="S600"/>
      <c r="T600"/>
      <c r="U600"/>
      <c r="V600" s="222"/>
    </row>
    <row r="601" spans="1:22" x14ac:dyDescent="0.2">
      <c r="A601" t="s">
        <v>47</v>
      </c>
      <c r="B601" s="101">
        <v>5</v>
      </c>
      <c r="C601" s="101">
        <v>-6</v>
      </c>
      <c r="D601" s="101">
        <v>5</v>
      </c>
      <c r="E601" s="101">
        <v>-15</v>
      </c>
      <c r="F601" s="101">
        <v>8</v>
      </c>
      <c r="G601" s="101">
        <v>-39</v>
      </c>
      <c r="H601" s="101">
        <v>-9.5</v>
      </c>
      <c r="I601" s="102">
        <v>0.78</v>
      </c>
      <c r="J601" s="102">
        <v>2</v>
      </c>
      <c r="K601" s="101">
        <v>18</v>
      </c>
      <c r="L601" s="101">
        <v>0.2</v>
      </c>
      <c r="M601" s="101" t="s">
        <v>1090</v>
      </c>
      <c r="N601" s="101">
        <v>2002</v>
      </c>
      <c r="O601" s="101" t="s">
        <v>685</v>
      </c>
      <c r="P601" s="101">
        <v>598557</v>
      </c>
      <c r="Q601" t="s">
        <v>759</v>
      </c>
      <c r="R601" t="s">
        <v>800</v>
      </c>
      <c r="S601"/>
      <c r="T601"/>
      <c r="U601"/>
      <c r="V601" s="222"/>
    </row>
    <row r="602" spans="1:22" x14ac:dyDescent="0.2">
      <c r="A602" t="s">
        <v>265</v>
      </c>
      <c r="B602" s="101">
        <v>6</v>
      </c>
      <c r="C602" s="101">
        <v>-7</v>
      </c>
      <c r="D602" s="101">
        <v>7</v>
      </c>
      <c r="E602" s="101">
        <v>-19</v>
      </c>
      <c r="F602" s="101">
        <v>9</v>
      </c>
      <c r="G602" s="101">
        <v>-39</v>
      </c>
      <c r="H602" s="101">
        <v>-9.5</v>
      </c>
      <c r="I602" s="102">
        <v>0.78</v>
      </c>
      <c r="J602" s="102">
        <v>2</v>
      </c>
      <c r="K602" s="101">
        <v>21.3</v>
      </c>
      <c r="L602" s="101">
        <v>0.2</v>
      </c>
      <c r="M602" s="101" t="s">
        <v>1090</v>
      </c>
      <c r="N602" s="101">
        <v>2002</v>
      </c>
      <c r="O602" s="101" t="s">
        <v>685</v>
      </c>
      <c r="P602" s="101">
        <v>562728</v>
      </c>
      <c r="Q602" t="s">
        <v>759</v>
      </c>
      <c r="R602" t="s">
        <v>250</v>
      </c>
      <c r="S602"/>
      <c r="T602"/>
      <c r="U602"/>
      <c r="V602" s="222"/>
    </row>
    <row r="603" spans="1:22" x14ac:dyDescent="0.2">
      <c r="A603" t="s">
        <v>49</v>
      </c>
      <c r="B603" s="101">
        <v>11</v>
      </c>
      <c r="C603" s="101">
        <v>-5</v>
      </c>
      <c r="D603" s="101">
        <v>11</v>
      </c>
      <c r="E603" s="101">
        <v>-12</v>
      </c>
      <c r="F603" s="101">
        <v>21</v>
      </c>
      <c r="G603" s="101">
        <v>-42</v>
      </c>
      <c r="H603" s="101">
        <v>-10.199999999999999</v>
      </c>
      <c r="I603" s="102">
        <v>0.78</v>
      </c>
      <c r="J603" s="102">
        <v>2</v>
      </c>
      <c r="K603" s="101">
        <v>18.2</v>
      </c>
      <c r="L603" s="101">
        <v>0.4</v>
      </c>
      <c r="M603" s="101" t="s">
        <v>1090</v>
      </c>
      <c r="N603" s="101">
        <v>2006</v>
      </c>
      <c r="O603" s="101" t="s">
        <v>685</v>
      </c>
      <c r="P603" s="101">
        <v>280867</v>
      </c>
      <c r="Q603" t="s">
        <v>759</v>
      </c>
      <c r="R603" t="s">
        <v>48</v>
      </c>
      <c r="S603"/>
      <c r="T603"/>
      <c r="U603"/>
      <c r="V603" s="222"/>
    </row>
    <row r="604" spans="1:22" x14ac:dyDescent="0.2">
      <c r="A604" t="s">
        <v>100</v>
      </c>
      <c r="B604" s="101">
        <v>13</v>
      </c>
      <c r="C604" s="101">
        <v>-8</v>
      </c>
      <c r="D604" s="101">
        <v>14</v>
      </c>
      <c r="E604" s="101">
        <v>-13</v>
      </c>
      <c r="F604" s="101">
        <v>14</v>
      </c>
      <c r="G604" s="101">
        <v>-42</v>
      </c>
      <c r="H604" s="101">
        <v>-10.4</v>
      </c>
      <c r="I604" s="102">
        <v>0.78</v>
      </c>
      <c r="J604" s="102">
        <v>2</v>
      </c>
      <c r="K604" s="101">
        <v>19.899999999999999</v>
      </c>
      <c r="L604" s="101">
        <v>0.3</v>
      </c>
      <c r="M604" s="101" t="s">
        <v>1090</v>
      </c>
      <c r="N604" s="101">
        <v>2006</v>
      </c>
      <c r="O604" s="101" t="s">
        <v>685</v>
      </c>
      <c r="P604" s="101">
        <v>316695</v>
      </c>
      <c r="Q604" t="s">
        <v>759</v>
      </c>
      <c r="R604" t="s">
        <v>98</v>
      </c>
      <c r="S604"/>
      <c r="T604"/>
      <c r="U604"/>
      <c r="V604" s="222"/>
    </row>
    <row r="605" spans="1:22" x14ac:dyDescent="0.2">
      <c r="A605" t="s">
        <v>953</v>
      </c>
      <c r="B605" s="101">
        <v>8</v>
      </c>
      <c r="C605" s="101">
        <v>-6</v>
      </c>
      <c r="D605" s="101">
        <v>9</v>
      </c>
      <c r="E605" s="101">
        <v>-12</v>
      </c>
      <c r="F605" s="101">
        <v>29</v>
      </c>
      <c r="G605" s="101"/>
      <c r="H605" s="101"/>
      <c r="I605" s="102">
        <v>0.8</v>
      </c>
      <c r="J605" s="102">
        <v>2</v>
      </c>
      <c r="K605" s="101">
        <v>17.100000000000001</v>
      </c>
      <c r="L605" s="101">
        <v>0.5</v>
      </c>
      <c r="M605" s="101" t="s">
        <v>1089</v>
      </c>
      <c r="N605" s="101">
        <v>2009</v>
      </c>
      <c r="O605" s="101" t="s">
        <v>685</v>
      </c>
      <c r="P605" s="101">
        <v>356063</v>
      </c>
      <c r="Q605" t="s">
        <v>45</v>
      </c>
      <c r="R605" t="s">
        <v>98</v>
      </c>
      <c r="S605"/>
      <c r="T605"/>
      <c r="U605"/>
      <c r="V605" s="222"/>
    </row>
    <row r="606" spans="1:22" x14ac:dyDescent="0.2">
      <c r="A606" t="s">
        <v>444</v>
      </c>
      <c r="B606" s="101">
        <v>10</v>
      </c>
      <c r="C606" s="101">
        <v>-6</v>
      </c>
      <c r="D606" s="101">
        <v>11</v>
      </c>
      <c r="E606" s="101">
        <v>-1</v>
      </c>
      <c r="F606" s="101"/>
      <c r="G606" s="101"/>
      <c r="H606" s="101"/>
      <c r="I606" s="102">
        <v>0.8</v>
      </c>
      <c r="J606" s="102">
        <v>2</v>
      </c>
      <c r="K606" s="101"/>
      <c r="L606" s="101"/>
      <c r="M606" s="101" t="s">
        <v>1089</v>
      </c>
      <c r="N606" s="101">
        <v>2011</v>
      </c>
      <c r="O606" s="101" t="s">
        <v>685</v>
      </c>
      <c r="P606" s="101">
        <v>724633</v>
      </c>
      <c r="Q606" t="s">
        <v>45</v>
      </c>
      <c r="R606" t="s">
        <v>48</v>
      </c>
      <c r="S606"/>
      <c r="T606"/>
      <c r="U606"/>
      <c r="V606" s="222"/>
    </row>
    <row r="607" spans="1:22" x14ac:dyDescent="0.2">
      <c r="A607" t="s">
        <v>502</v>
      </c>
      <c r="B607" s="101">
        <v>31</v>
      </c>
      <c r="C607" s="101">
        <v>1</v>
      </c>
      <c r="D607" s="101">
        <v>32</v>
      </c>
      <c r="E607" s="101">
        <v>-11</v>
      </c>
      <c r="F607" s="101">
        <v>22</v>
      </c>
      <c r="G607" s="101"/>
      <c r="H607" s="101"/>
      <c r="I607" s="102">
        <v>0.8</v>
      </c>
      <c r="J607" s="102">
        <v>2</v>
      </c>
      <c r="K607" s="101">
        <v>32.1</v>
      </c>
      <c r="L607" s="101">
        <v>0.3</v>
      </c>
      <c r="M607" s="101" t="s">
        <v>1089</v>
      </c>
      <c r="N607" s="101">
        <v>2011</v>
      </c>
      <c r="O607" s="101" t="s">
        <v>685</v>
      </c>
      <c r="P607" s="101">
        <v>121608</v>
      </c>
      <c r="Q607" t="s">
        <v>499</v>
      </c>
      <c r="R607" t="s">
        <v>250</v>
      </c>
      <c r="S607"/>
      <c r="T607"/>
      <c r="U607"/>
      <c r="V607" s="222"/>
    </row>
    <row r="608" spans="1:22" x14ac:dyDescent="0.2">
      <c r="A608" t="s">
        <v>890</v>
      </c>
      <c r="B608" s="101">
        <v>-1</v>
      </c>
      <c r="C608" s="101">
        <v>-10</v>
      </c>
      <c r="D608" s="101">
        <v>-1</v>
      </c>
      <c r="E608" s="101">
        <v>-16</v>
      </c>
      <c r="F608" s="101"/>
      <c r="G608" s="101"/>
      <c r="H608" s="101"/>
      <c r="I608" s="102">
        <v>0.45</v>
      </c>
      <c r="J608" s="102">
        <v>2.005611</v>
      </c>
      <c r="K608" s="101"/>
      <c r="L608" s="101"/>
      <c r="M608" s="101" t="s">
        <v>1088</v>
      </c>
      <c r="N608" s="101">
        <v>2011</v>
      </c>
      <c r="O608" s="101" t="s">
        <v>685</v>
      </c>
      <c r="P608" s="101">
        <v>507236</v>
      </c>
      <c r="Q608" t="s">
        <v>891</v>
      </c>
      <c r="R608" t="s">
        <v>678</v>
      </c>
      <c r="S608"/>
      <c r="T608"/>
      <c r="U608"/>
      <c r="V608" s="222"/>
    </row>
    <row r="609" spans="1:22" x14ac:dyDescent="0.2">
      <c r="A609" t="s">
        <v>449</v>
      </c>
      <c r="B609" s="101">
        <v>5</v>
      </c>
      <c r="C609" s="101">
        <v>-1</v>
      </c>
      <c r="D609" s="101">
        <v>5</v>
      </c>
      <c r="E609" s="101">
        <v>-1</v>
      </c>
      <c r="F609" s="101">
        <v>8</v>
      </c>
      <c r="G609" s="101">
        <v>-40</v>
      </c>
      <c r="H609" s="101">
        <v>-9.6</v>
      </c>
      <c r="I609" s="102">
        <v>0.8</v>
      </c>
      <c r="J609" s="102">
        <v>2.0099999999999998</v>
      </c>
      <c r="K609" s="101">
        <v>13.5</v>
      </c>
      <c r="L609" s="101">
        <v>0.2</v>
      </c>
      <c r="M609" s="101" t="s">
        <v>1088</v>
      </c>
      <c r="N609" s="101">
        <v>2006</v>
      </c>
      <c r="O609" s="101" t="s">
        <v>806</v>
      </c>
      <c r="P609" s="101">
        <v>602094</v>
      </c>
      <c r="Q609" t="s">
        <v>36</v>
      </c>
      <c r="R609" t="s">
        <v>138</v>
      </c>
      <c r="S609"/>
      <c r="T609"/>
      <c r="U609"/>
      <c r="V609" s="222"/>
    </row>
    <row r="610" spans="1:22" x14ac:dyDescent="0.2">
      <c r="A610" t="s">
        <v>234</v>
      </c>
      <c r="B610" s="101">
        <v>-5</v>
      </c>
      <c r="C610" s="101">
        <v>-13</v>
      </c>
      <c r="D610" s="101">
        <v>-4</v>
      </c>
      <c r="E610" s="101">
        <v>-25</v>
      </c>
      <c r="F610" s="101">
        <v>-7</v>
      </c>
      <c r="G610" s="101">
        <v>-62</v>
      </c>
      <c r="H610" s="101">
        <v>-17.5</v>
      </c>
      <c r="I610" s="102">
        <v>0.8</v>
      </c>
      <c r="J610" s="102">
        <v>2.0099999999999998</v>
      </c>
      <c r="K610" s="101">
        <v>22.8</v>
      </c>
      <c r="L610" s="101">
        <v>-0.1</v>
      </c>
      <c r="M610" s="101" t="s">
        <v>1088</v>
      </c>
      <c r="N610" s="101">
        <v>2005</v>
      </c>
      <c r="O610" s="101" t="s">
        <v>806</v>
      </c>
      <c r="P610" s="101">
        <v>286948</v>
      </c>
      <c r="Q610" t="s">
        <v>36</v>
      </c>
      <c r="R610" t="s">
        <v>218</v>
      </c>
      <c r="S610"/>
      <c r="T610"/>
      <c r="U610"/>
      <c r="V610" s="222"/>
    </row>
    <row r="611" spans="1:22" x14ac:dyDescent="0.2">
      <c r="A611" t="s">
        <v>332</v>
      </c>
      <c r="B611" s="101">
        <v>0</v>
      </c>
      <c r="C611" s="101">
        <v>-5</v>
      </c>
      <c r="D611" s="101">
        <v>0</v>
      </c>
      <c r="E611" s="101">
        <v>-5</v>
      </c>
      <c r="F611" s="101">
        <v>8</v>
      </c>
      <c r="G611" s="101"/>
      <c r="H611" s="101"/>
      <c r="I611" s="102">
        <v>0.7</v>
      </c>
      <c r="J611" s="102">
        <v>2.0177559999999999</v>
      </c>
      <c r="K611" s="101">
        <v>11.5</v>
      </c>
      <c r="L611" s="101">
        <v>0.2</v>
      </c>
      <c r="M611" s="101" t="s">
        <v>1088</v>
      </c>
      <c r="N611" s="101">
        <v>2010</v>
      </c>
      <c r="O611" s="101" t="s">
        <v>806</v>
      </c>
      <c r="P611" s="101">
        <v>422238</v>
      </c>
      <c r="Q611" t="s">
        <v>989</v>
      </c>
      <c r="R611" t="s">
        <v>305</v>
      </c>
      <c r="S611"/>
      <c r="T611"/>
      <c r="U611"/>
      <c r="V611" s="222"/>
    </row>
    <row r="612" spans="1:22" x14ac:dyDescent="0.2">
      <c r="A612" t="s">
        <v>269</v>
      </c>
      <c r="B612" s="101">
        <v>3</v>
      </c>
      <c r="C612" s="101">
        <v>-5</v>
      </c>
      <c r="D612" s="101">
        <v>4</v>
      </c>
      <c r="E612" s="101">
        <v>-15</v>
      </c>
      <c r="F612" s="101">
        <v>-4</v>
      </c>
      <c r="G612" s="101">
        <v>-40</v>
      </c>
      <c r="H612" s="101">
        <v>-9.8000000000000007</v>
      </c>
      <c r="I612" s="102">
        <v>0.82</v>
      </c>
      <c r="J612" s="102">
        <v>2.02</v>
      </c>
      <c r="K612" s="101">
        <v>14.6</v>
      </c>
      <c r="L612" s="101">
        <v>-0.1</v>
      </c>
      <c r="M612" s="101" t="s">
        <v>1089</v>
      </c>
      <c r="N612" s="101">
        <v>2002</v>
      </c>
      <c r="O612" s="101" t="s">
        <v>685</v>
      </c>
      <c r="P612" s="101">
        <v>579722</v>
      </c>
      <c r="Q612" t="s">
        <v>809</v>
      </c>
      <c r="R612" t="s">
        <v>92</v>
      </c>
      <c r="S612"/>
      <c r="T612"/>
      <c r="U612"/>
      <c r="V612" s="222"/>
    </row>
    <row r="613" spans="1:22" x14ac:dyDescent="0.2">
      <c r="A613" t="s">
        <v>500</v>
      </c>
      <c r="B613" s="101">
        <v>4</v>
      </c>
      <c r="C613" s="101">
        <v>-16</v>
      </c>
      <c r="D613" s="101">
        <v>3</v>
      </c>
      <c r="E613" s="101">
        <v>-27</v>
      </c>
      <c r="F613" s="101">
        <v>18</v>
      </c>
      <c r="G613" s="101"/>
      <c r="H613" s="101"/>
      <c r="I613" s="102">
        <v>0.8</v>
      </c>
      <c r="J613" s="102">
        <v>2.02</v>
      </c>
      <c r="K613" s="101">
        <v>27</v>
      </c>
      <c r="L613" s="101">
        <v>0.3</v>
      </c>
      <c r="M613" s="101" t="s">
        <v>1089</v>
      </c>
      <c r="N613" s="101">
        <v>2011</v>
      </c>
      <c r="O613" s="101" t="s">
        <v>685</v>
      </c>
      <c r="P613" s="101">
        <v>985770</v>
      </c>
      <c r="Q613" t="s">
        <v>499</v>
      </c>
      <c r="R613" t="s">
        <v>382</v>
      </c>
      <c r="S613"/>
      <c r="T613"/>
      <c r="U613"/>
      <c r="V613" s="222"/>
    </row>
    <row r="614" spans="1:22" x14ac:dyDescent="0.2">
      <c r="A614" t="s">
        <v>769</v>
      </c>
      <c r="B614" s="101">
        <v>5</v>
      </c>
      <c r="C614" s="101">
        <v>4</v>
      </c>
      <c r="D614" s="101">
        <v>7</v>
      </c>
      <c r="E614" s="101">
        <v>16</v>
      </c>
      <c r="F614" s="101">
        <v>10</v>
      </c>
      <c r="G614" s="101">
        <v>10</v>
      </c>
      <c r="H614" s="101">
        <v>1.9</v>
      </c>
      <c r="I614" s="102">
        <v>0.81</v>
      </c>
      <c r="J614" s="102">
        <v>2.0227059999999999</v>
      </c>
      <c r="K614" s="101">
        <v>12.4</v>
      </c>
      <c r="L614" s="101">
        <v>0.2</v>
      </c>
      <c r="M614" s="101" t="s">
        <v>1089</v>
      </c>
      <c r="N614" s="101">
        <v>2003</v>
      </c>
      <c r="O614" s="101" t="s">
        <v>685</v>
      </c>
      <c r="P614" s="101">
        <v>603985</v>
      </c>
      <c r="Q614" t="s">
        <v>856</v>
      </c>
      <c r="R614" t="s">
        <v>237</v>
      </c>
      <c r="S614"/>
      <c r="T614"/>
      <c r="U614"/>
      <c r="V614" s="222"/>
    </row>
    <row r="615" spans="1:22" x14ac:dyDescent="0.2">
      <c r="A615" t="s">
        <v>1020</v>
      </c>
      <c r="B615" s="101">
        <v>7</v>
      </c>
      <c r="C615" s="101">
        <v>-3</v>
      </c>
      <c r="D615" s="101">
        <v>9</v>
      </c>
      <c r="E615" s="101"/>
      <c r="F615" s="101"/>
      <c r="G615" s="101"/>
      <c r="H615" s="101"/>
      <c r="I615" s="102">
        <v>0.75</v>
      </c>
      <c r="J615" s="102">
        <v>2.0238100000000001</v>
      </c>
      <c r="K615" s="101"/>
      <c r="L615" s="101"/>
      <c r="M615" s="101" t="s">
        <v>1088</v>
      </c>
      <c r="N615" s="101">
        <v>2011</v>
      </c>
      <c r="O615" s="101" t="s">
        <v>806</v>
      </c>
      <c r="P615" s="101">
        <v>320176</v>
      </c>
      <c r="Q615" t="s">
        <v>901</v>
      </c>
      <c r="R615" t="s">
        <v>291</v>
      </c>
      <c r="S615"/>
      <c r="T615"/>
      <c r="U615"/>
      <c r="V615" s="222"/>
    </row>
    <row r="616" spans="1:22" x14ac:dyDescent="0.2">
      <c r="A616" t="s">
        <v>41</v>
      </c>
      <c r="B616" s="101">
        <v>4</v>
      </c>
      <c r="C616" s="101">
        <v>-2</v>
      </c>
      <c r="D616" s="101">
        <v>4</v>
      </c>
      <c r="E616" s="101">
        <v>-10</v>
      </c>
      <c r="F616" s="101">
        <v>-10</v>
      </c>
      <c r="G616" s="101">
        <v>-22</v>
      </c>
      <c r="H616" s="101">
        <v>-4.7</v>
      </c>
      <c r="I616" s="102">
        <v>0.81</v>
      </c>
      <c r="J616" s="102">
        <v>2.0266609999999998</v>
      </c>
      <c r="K616" s="101">
        <v>14.5</v>
      </c>
      <c r="L616" s="101">
        <v>-0.2</v>
      </c>
      <c r="M616" s="101" t="s">
        <v>1091</v>
      </c>
      <c r="N616" s="101">
        <v>2005</v>
      </c>
      <c r="O616" s="101" t="s">
        <v>685</v>
      </c>
      <c r="P616" s="101">
        <v>246868</v>
      </c>
      <c r="Q616" t="s">
        <v>464</v>
      </c>
      <c r="R616" t="s">
        <v>381</v>
      </c>
      <c r="S616"/>
      <c r="T616"/>
      <c r="U616"/>
      <c r="V616" s="222"/>
    </row>
    <row r="617" spans="1:22" x14ac:dyDescent="0.2">
      <c r="A617" t="s">
        <v>1041</v>
      </c>
      <c r="B617" s="101">
        <v>4</v>
      </c>
      <c r="C617" s="101">
        <v>-6</v>
      </c>
      <c r="D617" s="101">
        <v>4</v>
      </c>
      <c r="E617" s="101">
        <v>6</v>
      </c>
      <c r="F617" s="101">
        <v>35</v>
      </c>
      <c r="G617" s="101">
        <v>10</v>
      </c>
      <c r="H617" s="101">
        <v>1.9</v>
      </c>
      <c r="I617" s="102">
        <v>0.81</v>
      </c>
      <c r="J617" s="102">
        <v>2.0299999999999998</v>
      </c>
      <c r="K617" s="101">
        <v>11.5</v>
      </c>
      <c r="L617" s="101">
        <v>0.8</v>
      </c>
      <c r="M617" s="101" t="s">
        <v>1091</v>
      </c>
      <c r="N617" s="101">
        <v>2006</v>
      </c>
      <c r="O617" s="101" t="s">
        <v>685</v>
      </c>
      <c r="P617" s="101">
        <v>848069</v>
      </c>
      <c r="Q617" t="s">
        <v>805</v>
      </c>
      <c r="R617" t="s">
        <v>273</v>
      </c>
      <c r="S617"/>
      <c r="T617"/>
      <c r="U617"/>
      <c r="V617" s="222"/>
    </row>
    <row r="618" spans="1:22" x14ac:dyDescent="0.2">
      <c r="A618" t="s">
        <v>955</v>
      </c>
      <c r="B618" s="101">
        <v>2</v>
      </c>
      <c r="C618" s="101">
        <v>-5</v>
      </c>
      <c r="D618" s="101">
        <v>3</v>
      </c>
      <c r="E618" s="101">
        <v>-10</v>
      </c>
      <c r="F618" s="101">
        <v>2</v>
      </c>
      <c r="G618" s="101">
        <v>3</v>
      </c>
      <c r="H618" s="101">
        <v>0.5</v>
      </c>
      <c r="I618" s="102">
        <v>0.86</v>
      </c>
      <c r="J618" s="102">
        <v>2.0299999999999998</v>
      </c>
      <c r="K618" s="101">
        <v>12.8</v>
      </c>
      <c r="L618" s="101">
        <v>0</v>
      </c>
      <c r="M618" s="101" t="s">
        <v>1088</v>
      </c>
      <c r="N618" s="101">
        <v>2009</v>
      </c>
      <c r="O618" s="101" t="s">
        <v>806</v>
      </c>
      <c r="P618" s="101">
        <v>592295</v>
      </c>
      <c r="Q618" t="s">
        <v>756</v>
      </c>
      <c r="R618" t="s">
        <v>305</v>
      </c>
      <c r="S618"/>
      <c r="T618"/>
      <c r="U618"/>
      <c r="V618" s="222"/>
    </row>
    <row r="619" spans="1:22" x14ac:dyDescent="0.2">
      <c r="A619" t="s">
        <v>939</v>
      </c>
      <c r="B619" s="101">
        <v>7</v>
      </c>
      <c r="C619" s="101">
        <v>-4</v>
      </c>
      <c r="D619" s="101">
        <v>6</v>
      </c>
      <c r="E619" s="101">
        <v>-22</v>
      </c>
      <c r="F619" s="101">
        <v>-14</v>
      </c>
      <c r="G619" s="101">
        <v>-22</v>
      </c>
      <c r="H619" s="101">
        <v>-4.9000000000000004</v>
      </c>
      <c r="I619" s="102">
        <v>0.55000000000000004</v>
      </c>
      <c r="J619" s="102">
        <v>2.0299999999999998</v>
      </c>
      <c r="K619" s="101">
        <v>23.1</v>
      </c>
      <c r="L619" s="101">
        <v>-0.1</v>
      </c>
      <c r="M619" s="101" t="s">
        <v>1088</v>
      </c>
      <c r="N619" s="101">
        <v>2009</v>
      </c>
      <c r="O619" s="101" t="s">
        <v>685</v>
      </c>
      <c r="P619" s="101">
        <v>354233</v>
      </c>
      <c r="Q619" t="s">
        <v>729</v>
      </c>
      <c r="R619" t="s">
        <v>138</v>
      </c>
      <c r="S619"/>
      <c r="T619"/>
      <c r="U619"/>
      <c r="V619" s="222"/>
    </row>
    <row r="620" spans="1:22" x14ac:dyDescent="0.2">
      <c r="A620" t="s">
        <v>743</v>
      </c>
      <c r="B620" s="101">
        <v>7</v>
      </c>
      <c r="C620" s="101">
        <v>-5</v>
      </c>
      <c r="D620" s="101">
        <v>8</v>
      </c>
      <c r="E620" s="101">
        <v>-24</v>
      </c>
      <c r="F620" s="101">
        <v>7</v>
      </c>
      <c r="G620" s="101">
        <v>-50</v>
      </c>
      <c r="H620" s="101">
        <v>-13</v>
      </c>
      <c r="I620" s="102">
        <v>0.73</v>
      </c>
      <c r="J620" s="102">
        <v>2.0299999999999998</v>
      </c>
      <c r="K620" s="101">
        <v>22.7</v>
      </c>
      <c r="L620" s="101">
        <v>0.1</v>
      </c>
      <c r="M620" s="101" t="s">
        <v>1088</v>
      </c>
      <c r="N620" s="101">
        <v>2005</v>
      </c>
      <c r="O620" s="101" t="s">
        <v>685</v>
      </c>
      <c r="P620" s="101">
        <v>539585</v>
      </c>
      <c r="Q620" t="s">
        <v>742</v>
      </c>
      <c r="R620" t="s">
        <v>218</v>
      </c>
      <c r="S620"/>
      <c r="T620"/>
      <c r="U620"/>
      <c r="V620" s="222"/>
    </row>
    <row r="621" spans="1:22" x14ac:dyDescent="0.2">
      <c r="A621" t="s">
        <v>331</v>
      </c>
      <c r="B621" s="101">
        <v>-1</v>
      </c>
      <c r="C621" s="101">
        <v>-4</v>
      </c>
      <c r="D621" s="101">
        <v>-1</v>
      </c>
      <c r="E621" s="101">
        <v>-8</v>
      </c>
      <c r="F621" s="101"/>
      <c r="G621" s="101"/>
      <c r="H621" s="101"/>
      <c r="I621" s="102">
        <v>0.81</v>
      </c>
      <c r="J621" s="102">
        <v>2.0299999999999998</v>
      </c>
      <c r="K621" s="101"/>
      <c r="L621" s="101"/>
      <c r="M621" s="101" t="s">
        <v>1088</v>
      </c>
      <c r="N621" s="101">
        <v>2010</v>
      </c>
      <c r="O621" s="101" t="s">
        <v>806</v>
      </c>
      <c r="P621" s="101">
        <v>660290</v>
      </c>
      <c r="Q621" t="s">
        <v>36</v>
      </c>
      <c r="R621" t="s">
        <v>381</v>
      </c>
      <c r="S621"/>
      <c r="T621"/>
      <c r="U621"/>
      <c r="V621" s="222"/>
    </row>
    <row r="622" spans="1:22" x14ac:dyDescent="0.2">
      <c r="A622" t="s">
        <v>20</v>
      </c>
      <c r="B622" s="101">
        <v>3</v>
      </c>
      <c r="C622" s="101">
        <v>-6</v>
      </c>
      <c r="D622" s="101">
        <v>4</v>
      </c>
      <c r="E622" s="101">
        <v>-4</v>
      </c>
      <c r="F622" s="101"/>
      <c r="G622" s="101"/>
      <c r="H622" s="101"/>
      <c r="I622" s="102">
        <v>0.66</v>
      </c>
      <c r="J622" s="102">
        <v>2.0376599999999998</v>
      </c>
      <c r="K622" s="101"/>
      <c r="L622" s="101"/>
      <c r="M622" s="101" t="s">
        <v>1088</v>
      </c>
      <c r="N622" s="101">
        <v>2010</v>
      </c>
      <c r="O622" s="101" t="s">
        <v>685</v>
      </c>
      <c r="P622" s="101">
        <v>240663</v>
      </c>
      <c r="Q622" t="s">
        <v>21</v>
      </c>
      <c r="R622" t="s">
        <v>314</v>
      </c>
      <c r="S622"/>
      <c r="T622"/>
      <c r="U622"/>
      <c r="V622" s="222"/>
    </row>
    <row r="623" spans="1:22" x14ac:dyDescent="0.2">
      <c r="A623" t="s">
        <v>872</v>
      </c>
      <c r="B623" s="101">
        <v>-2</v>
      </c>
      <c r="C623" s="101">
        <v>-18</v>
      </c>
      <c r="D623" s="101">
        <v>-2</v>
      </c>
      <c r="E623" s="101">
        <v>-28</v>
      </c>
      <c r="F623" s="101">
        <v>10</v>
      </c>
      <c r="G623" s="101">
        <v>-57</v>
      </c>
      <c r="H623" s="101">
        <v>-15.5</v>
      </c>
      <c r="I623" s="102">
        <v>0.81</v>
      </c>
      <c r="J623" s="102">
        <v>2.0382729999999998</v>
      </c>
      <c r="K623" s="101">
        <v>24.4</v>
      </c>
      <c r="L623" s="101">
        <v>0.2</v>
      </c>
      <c r="M623" s="101" t="s">
        <v>1088</v>
      </c>
      <c r="N623" s="101">
        <v>2005</v>
      </c>
      <c r="O623" s="101" t="s">
        <v>806</v>
      </c>
      <c r="P623" s="101">
        <v>649491</v>
      </c>
      <c r="Q623" t="s">
        <v>870</v>
      </c>
      <c r="R623" t="s">
        <v>382</v>
      </c>
      <c r="S623"/>
      <c r="T623"/>
      <c r="U623"/>
      <c r="V623" s="222"/>
    </row>
    <row r="624" spans="1:22" x14ac:dyDescent="0.2">
      <c r="A624" t="s">
        <v>1100</v>
      </c>
      <c r="B624" s="101">
        <v>10</v>
      </c>
      <c r="C624" s="101">
        <v>2</v>
      </c>
      <c r="D624" s="101">
        <v>12</v>
      </c>
      <c r="E624" s="101">
        <v>-12</v>
      </c>
      <c r="F624" s="101">
        <v>15</v>
      </c>
      <c r="G624" s="101">
        <v>-41</v>
      </c>
      <c r="H624" s="101">
        <v>-10.1</v>
      </c>
      <c r="I624" s="102">
        <v>0.83</v>
      </c>
      <c r="J624" s="102">
        <v>2.04</v>
      </c>
      <c r="K624" s="101">
        <v>15.8</v>
      </c>
      <c r="L624" s="101">
        <v>0.3</v>
      </c>
      <c r="M624" s="101" t="s">
        <v>1089</v>
      </c>
      <c r="N624" s="101">
        <v>2004</v>
      </c>
      <c r="O624" s="101" t="s">
        <v>685</v>
      </c>
      <c r="P624" s="101">
        <v>252353</v>
      </c>
      <c r="Q624" t="s">
        <v>809</v>
      </c>
      <c r="R624" t="s">
        <v>291</v>
      </c>
      <c r="S624"/>
      <c r="T624"/>
      <c r="U624"/>
      <c r="V624" s="222"/>
    </row>
    <row r="625" spans="1:22" x14ac:dyDescent="0.2">
      <c r="A625" t="s">
        <v>23</v>
      </c>
      <c r="B625" s="101">
        <v>-4</v>
      </c>
      <c r="C625" s="101">
        <v>-15</v>
      </c>
      <c r="D625" s="101">
        <v>-4</v>
      </c>
      <c r="E625" s="101">
        <v>-24</v>
      </c>
      <c r="F625" s="101"/>
      <c r="G625" s="101"/>
      <c r="H625" s="101"/>
      <c r="I625" s="102">
        <v>1.83</v>
      </c>
      <c r="J625" s="102">
        <v>2.0489549999999999</v>
      </c>
      <c r="K625" s="101"/>
      <c r="L625" s="101"/>
      <c r="M625" s="101" t="s">
        <v>1088</v>
      </c>
      <c r="N625" s="101">
        <v>2010</v>
      </c>
      <c r="O625" s="101" t="s">
        <v>806</v>
      </c>
      <c r="P625" s="101">
        <v>293498</v>
      </c>
      <c r="Q625" t="s">
        <v>870</v>
      </c>
      <c r="R625" t="s">
        <v>138</v>
      </c>
      <c r="S625"/>
      <c r="T625"/>
      <c r="U625"/>
      <c r="V625" s="222"/>
    </row>
    <row r="626" spans="1:22" x14ac:dyDescent="0.2">
      <c r="A626" t="s">
        <v>960</v>
      </c>
      <c r="B626" s="101">
        <v>5</v>
      </c>
      <c r="C626" s="101">
        <v>-2</v>
      </c>
      <c r="D626" s="101">
        <v>6</v>
      </c>
      <c r="E626" s="101">
        <v>-3</v>
      </c>
      <c r="F626" s="101">
        <v>-9</v>
      </c>
      <c r="G626" s="101">
        <v>9</v>
      </c>
      <c r="H626" s="101">
        <v>1.8</v>
      </c>
      <c r="I626" s="102">
        <v>0.78</v>
      </c>
      <c r="J626" s="102">
        <v>2.0499999999999998</v>
      </c>
      <c r="K626" s="101">
        <v>6.8</v>
      </c>
      <c r="L626" s="101">
        <v>-0.6</v>
      </c>
      <c r="M626" s="101" t="s">
        <v>1089</v>
      </c>
      <c r="N626" s="101">
        <v>2009</v>
      </c>
      <c r="O626" s="101" t="s">
        <v>685</v>
      </c>
      <c r="P626" s="101">
        <v>838268</v>
      </c>
      <c r="Q626" t="s">
        <v>372</v>
      </c>
      <c r="R626" t="s">
        <v>664</v>
      </c>
      <c r="S626"/>
      <c r="T626"/>
      <c r="U626"/>
      <c r="V626" s="222"/>
    </row>
    <row r="627" spans="1:22" x14ac:dyDescent="0.2">
      <c r="A627" t="s">
        <v>620</v>
      </c>
      <c r="B627" s="101">
        <v>5</v>
      </c>
      <c r="C627" s="101">
        <v>-4</v>
      </c>
      <c r="D627" s="101">
        <v>4</v>
      </c>
      <c r="E627" s="101">
        <v>-22</v>
      </c>
      <c r="F627" s="101">
        <v>-10</v>
      </c>
      <c r="G627" s="101">
        <v>-20</v>
      </c>
      <c r="H627" s="101">
        <v>-4.3</v>
      </c>
      <c r="I627" s="102">
        <v>0.73</v>
      </c>
      <c r="J627" s="102">
        <v>2.0499999999999998</v>
      </c>
      <c r="K627" s="101">
        <v>20.399999999999999</v>
      </c>
      <c r="L627" s="101">
        <v>-0.1</v>
      </c>
      <c r="M627" s="101" t="s">
        <v>1091</v>
      </c>
      <c r="N627" s="101">
        <v>2006</v>
      </c>
      <c r="O627" s="101" t="s">
        <v>685</v>
      </c>
      <c r="P627" s="101">
        <v>768499</v>
      </c>
      <c r="Q627" t="s">
        <v>813</v>
      </c>
      <c r="R627" t="s">
        <v>138</v>
      </c>
      <c r="S627"/>
      <c r="T627"/>
      <c r="U627"/>
      <c r="V627" s="222"/>
    </row>
    <row r="628" spans="1:22" x14ac:dyDescent="0.2">
      <c r="A628" t="s">
        <v>503</v>
      </c>
      <c r="B628" s="101">
        <v>2</v>
      </c>
      <c r="C628" s="101">
        <v>-12</v>
      </c>
      <c r="D628" s="101">
        <v>1</v>
      </c>
      <c r="E628" s="101">
        <v>-27</v>
      </c>
      <c r="F628" s="101">
        <v>6</v>
      </c>
      <c r="G628" s="101"/>
      <c r="H628" s="101"/>
      <c r="I628" s="102">
        <v>0.82</v>
      </c>
      <c r="J628" s="102">
        <v>2.0499999999999998</v>
      </c>
      <c r="K628" s="101">
        <v>25.2</v>
      </c>
      <c r="L628" s="101">
        <v>0.2</v>
      </c>
      <c r="M628" s="101" t="s">
        <v>1089</v>
      </c>
      <c r="N628" s="101">
        <v>2011</v>
      </c>
      <c r="O628" s="101" t="s">
        <v>685</v>
      </c>
      <c r="P628" s="101">
        <v>949941</v>
      </c>
      <c r="Q628" t="s">
        <v>499</v>
      </c>
      <c r="R628" t="s">
        <v>218</v>
      </c>
      <c r="S628"/>
      <c r="T628"/>
      <c r="U628"/>
      <c r="V628" s="222"/>
    </row>
    <row r="629" spans="1:22" x14ac:dyDescent="0.2">
      <c r="A629" t="s">
        <v>483</v>
      </c>
      <c r="B629" s="101">
        <v>4</v>
      </c>
      <c r="C629" s="101">
        <v>-7</v>
      </c>
      <c r="D629" s="101">
        <v>5</v>
      </c>
      <c r="E629" s="101">
        <v>-10</v>
      </c>
      <c r="F629" s="101">
        <v>8</v>
      </c>
      <c r="G629" s="101">
        <v>-16</v>
      </c>
      <c r="H629" s="101">
        <v>-3.4</v>
      </c>
      <c r="I629" s="102">
        <v>0.82</v>
      </c>
      <c r="J629" s="102">
        <v>2.0592999999999999</v>
      </c>
      <c r="K629" s="101">
        <v>16</v>
      </c>
      <c r="L629" s="101">
        <v>0.2</v>
      </c>
      <c r="M629" s="101" t="s">
        <v>1089</v>
      </c>
      <c r="N629" s="101">
        <v>2008</v>
      </c>
      <c r="O629" s="101" t="s">
        <v>685</v>
      </c>
      <c r="P629" s="101">
        <v>403469</v>
      </c>
      <c r="Q629" t="s">
        <v>821</v>
      </c>
      <c r="R629" t="s">
        <v>138</v>
      </c>
      <c r="S629"/>
      <c r="T629"/>
      <c r="U629"/>
      <c r="V629" s="222"/>
    </row>
    <row r="630" spans="1:22" x14ac:dyDescent="0.2">
      <c r="A630" t="s">
        <v>350</v>
      </c>
      <c r="B630" s="101">
        <v>9</v>
      </c>
      <c r="C630" s="101">
        <v>-1</v>
      </c>
      <c r="D630" s="101">
        <v>9</v>
      </c>
      <c r="E630" s="101">
        <v>4</v>
      </c>
      <c r="F630" s="101">
        <v>6</v>
      </c>
      <c r="G630" s="101">
        <v>-22</v>
      </c>
      <c r="H630" s="101">
        <v>-4.9000000000000004</v>
      </c>
      <c r="I630" s="102">
        <v>0.82</v>
      </c>
      <c r="J630" s="102">
        <v>2.0670000000000002</v>
      </c>
      <c r="K630" s="101">
        <v>13.9</v>
      </c>
      <c r="L630" s="101">
        <v>0.1</v>
      </c>
      <c r="M630" s="101" t="s">
        <v>1093</v>
      </c>
      <c r="N630" s="101">
        <v>2000</v>
      </c>
      <c r="O630" s="101" t="s">
        <v>685</v>
      </c>
      <c r="P630" s="101">
        <v>910109</v>
      </c>
      <c r="Q630" t="s">
        <v>451</v>
      </c>
      <c r="R630" t="s">
        <v>237</v>
      </c>
      <c r="S630"/>
      <c r="T630"/>
      <c r="U630"/>
      <c r="V630" s="222"/>
    </row>
    <row r="631" spans="1:22" x14ac:dyDescent="0.2">
      <c r="A631" t="s">
        <v>609</v>
      </c>
      <c r="B631" s="101">
        <v>-12</v>
      </c>
      <c r="C631" s="101">
        <v>-5</v>
      </c>
      <c r="D631" s="101">
        <v>-9</v>
      </c>
      <c r="E631" s="101">
        <v>-12</v>
      </c>
      <c r="F631" s="101">
        <v>6</v>
      </c>
      <c r="G631" s="101">
        <v>27</v>
      </c>
      <c r="H631" s="101">
        <v>4.9000000000000004</v>
      </c>
      <c r="I631" s="102">
        <v>0.74</v>
      </c>
      <c r="J631" s="102">
        <v>2.0699999999999998</v>
      </c>
      <c r="K631" s="101">
        <v>23.7</v>
      </c>
      <c r="L631" s="101">
        <v>0.1</v>
      </c>
      <c r="M631" s="101" t="s">
        <v>1091</v>
      </c>
      <c r="N631" s="101">
        <v>2004</v>
      </c>
      <c r="O631" s="101" t="s">
        <v>685</v>
      </c>
      <c r="P631" s="101">
        <v>338590</v>
      </c>
      <c r="Q631" t="s">
        <v>813</v>
      </c>
      <c r="R631" t="s">
        <v>291</v>
      </c>
      <c r="S631"/>
      <c r="T631"/>
      <c r="U631"/>
      <c r="V631" s="222"/>
    </row>
    <row r="632" spans="1:22" x14ac:dyDescent="0.2">
      <c r="A632" t="s">
        <v>613</v>
      </c>
      <c r="B632" s="101">
        <v>-7</v>
      </c>
      <c r="C632" s="101">
        <v>-5</v>
      </c>
      <c r="D632" s="101">
        <v>-7</v>
      </c>
      <c r="E632" s="101">
        <v>-14</v>
      </c>
      <c r="F632" s="101">
        <v>-1</v>
      </c>
      <c r="G632" s="101">
        <v>-19</v>
      </c>
      <c r="H632" s="101">
        <v>-4</v>
      </c>
      <c r="I632" s="102">
        <v>0.74</v>
      </c>
      <c r="J632" s="102">
        <v>2.0699999999999998</v>
      </c>
      <c r="K632" s="101">
        <v>17</v>
      </c>
      <c r="L632" s="101">
        <v>0</v>
      </c>
      <c r="M632" s="101" t="s">
        <v>1091</v>
      </c>
      <c r="N632" s="101">
        <v>2004</v>
      </c>
      <c r="O632" s="101" t="s">
        <v>685</v>
      </c>
      <c r="P632" s="101">
        <v>517748</v>
      </c>
      <c r="Q632" t="s">
        <v>813</v>
      </c>
      <c r="R632" t="s">
        <v>291</v>
      </c>
      <c r="S632"/>
      <c r="T632"/>
      <c r="U632"/>
      <c r="V632" s="222"/>
    </row>
    <row r="633" spans="1:22" x14ac:dyDescent="0.2">
      <c r="A633" t="s">
        <v>612</v>
      </c>
      <c r="B633" s="101">
        <v>-10</v>
      </c>
      <c r="C633" s="101">
        <v>-9</v>
      </c>
      <c r="D633" s="101">
        <v>-8</v>
      </c>
      <c r="E633" s="101">
        <v>-25</v>
      </c>
      <c r="F633" s="101">
        <v>6</v>
      </c>
      <c r="G633" s="101">
        <v>-26</v>
      </c>
      <c r="H633" s="101">
        <v>-5.9</v>
      </c>
      <c r="I633" s="102">
        <v>0.74</v>
      </c>
      <c r="J633" s="102">
        <v>2.0699999999999998</v>
      </c>
      <c r="K633" s="101">
        <v>23.7</v>
      </c>
      <c r="L633" s="101">
        <v>0.1</v>
      </c>
      <c r="M633" s="101" t="s">
        <v>1091</v>
      </c>
      <c r="N633" s="101">
        <v>2004</v>
      </c>
      <c r="O633" s="101" t="s">
        <v>685</v>
      </c>
      <c r="P633" s="101">
        <v>481911</v>
      </c>
      <c r="Q633" t="s">
        <v>813</v>
      </c>
      <c r="R633" t="s">
        <v>291</v>
      </c>
      <c r="S633"/>
      <c r="T633"/>
      <c r="U633"/>
      <c r="V633" s="222"/>
    </row>
    <row r="634" spans="1:22" x14ac:dyDescent="0.2">
      <c r="A634" t="s">
        <v>239</v>
      </c>
      <c r="B634" s="101">
        <v>4</v>
      </c>
      <c r="C634" s="101">
        <v>-5</v>
      </c>
      <c r="D634" s="101">
        <v>5</v>
      </c>
      <c r="E634" s="101">
        <v>-14</v>
      </c>
      <c r="F634" s="101">
        <v>-27</v>
      </c>
      <c r="G634" s="101">
        <v>-51</v>
      </c>
      <c r="H634" s="101">
        <v>-13.2</v>
      </c>
      <c r="I634" s="102">
        <v>0.77</v>
      </c>
      <c r="J634" s="102">
        <v>2.0699999999999998</v>
      </c>
      <c r="K634" s="101">
        <v>13.8</v>
      </c>
      <c r="L634" s="101">
        <v>-0.8</v>
      </c>
      <c r="M634" s="101" t="s">
        <v>1089</v>
      </c>
      <c r="N634" s="101">
        <v>2007</v>
      </c>
      <c r="O634" s="101" t="s">
        <v>685</v>
      </c>
      <c r="P634" s="101">
        <v>118067</v>
      </c>
      <c r="Q634" t="s">
        <v>94</v>
      </c>
      <c r="R634" t="s">
        <v>152</v>
      </c>
      <c r="S634" t="s">
        <v>1111</v>
      </c>
      <c r="T634"/>
      <c r="U634"/>
      <c r="V634" s="222"/>
    </row>
    <row r="635" spans="1:22" x14ac:dyDescent="0.2">
      <c r="A635" t="s">
        <v>615</v>
      </c>
      <c r="B635" s="101">
        <v>-3</v>
      </c>
      <c r="C635" s="101">
        <v>-5</v>
      </c>
      <c r="D635" s="101">
        <v>-2</v>
      </c>
      <c r="E635" s="101">
        <v>-16</v>
      </c>
      <c r="F635" s="101">
        <v>-35</v>
      </c>
      <c r="G635" s="101">
        <v>-55</v>
      </c>
      <c r="H635" s="101">
        <v>-14.7</v>
      </c>
      <c r="I635" s="102">
        <v>0.74</v>
      </c>
      <c r="J635" s="102">
        <v>2.0699999999999998</v>
      </c>
      <c r="K635" s="101">
        <v>12.6</v>
      </c>
      <c r="L635" s="101">
        <v>-1.2</v>
      </c>
      <c r="M635" s="101" t="s">
        <v>1091</v>
      </c>
      <c r="N635" s="101">
        <v>2004</v>
      </c>
      <c r="O635" s="101" t="s">
        <v>685</v>
      </c>
      <c r="P635" s="101">
        <v>553578</v>
      </c>
      <c r="Q635" t="s">
        <v>813</v>
      </c>
      <c r="R635" t="s">
        <v>291</v>
      </c>
      <c r="S635"/>
      <c r="T635"/>
      <c r="U635"/>
      <c r="V635" s="222"/>
    </row>
    <row r="636" spans="1:22" x14ac:dyDescent="0.2">
      <c r="A636" t="s">
        <v>203</v>
      </c>
      <c r="B636" s="101">
        <v>8</v>
      </c>
      <c r="C636" s="101">
        <v>-2</v>
      </c>
      <c r="D636" s="101">
        <v>8</v>
      </c>
      <c r="E636" s="101">
        <v>1</v>
      </c>
      <c r="F636" s="101">
        <v>-3</v>
      </c>
      <c r="G636" s="101">
        <v>-38</v>
      </c>
      <c r="H636" s="101">
        <v>-9.1</v>
      </c>
      <c r="I636" s="102">
        <v>0.82</v>
      </c>
      <c r="J636" s="102">
        <v>2.073</v>
      </c>
      <c r="K636" s="101">
        <v>14.2</v>
      </c>
      <c r="L636" s="101">
        <v>-0.1</v>
      </c>
      <c r="M636" s="101" t="s">
        <v>1093</v>
      </c>
      <c r="N636" s="101">
        <v>2006</v>
      </c>
      <c r="O636" s="101" t="s">
        <v>685</v>
      </c>
      <c r="P636" s="101">
        <v>866897</v>
      </c>
      <c r="Q636" t="s">
        <v>451</v>
      </c>
      <c r="R636" t="s">
        <v>237</v>
      </c>
      <c r="S636"/>
      <c r="T636"/>
      <c r="U636"/>
      <c r="V636" s="222"/>
    </row>
    <row r="637" spans="1:22" x14ac:dyDescent="0.2">
      <c r="A637" t="s">
        <v>255</v>
      </c>
      <c r="B637" s="101">
        <v>10</v>
      </c>
      <c r="C637" s="101">
        <v>-4</v>
      </c>
      <c r="D637" s="101">
        <v>12</v>
      </c>
      <c r="E637" s="101">
        <v>11</v>
      </c>
      <c r="F637" s="101">
        <v>38</v>
      </c>
      <c r="G637" s="101">
        <v>21</v>
      </c>
      <c r="H637" s="101">
        <v>3.8</v>
      </c>
      <c r="I637" s="102">
        <v>0.78</v>
      </c>
      <c r="J637" s="102">
        <v>2.08</v>
      </c>
      <c r="K637" s="101">
        <v>12.8</v>
      </c>
      <c r="L637" s="101">
        <v>0.9</v>
      </c>
      <c r="M637" s="101" t="s">
        <v>1091</v>
      </c>
      <c r="N637" s="101">
        <v>2008</v>
      </c>
      <c r="O637" s="101" t="s">
        <v>685</v>
      </c>
      <c r="P637" s="101">
        <v>626945</v>
      </c>
      <c r="Q637" t="s">
        <v>94</v>
      </c>
      <c r="R637" t="s">
        <v>108</v>
      </c>
      <c r="S637"/>
      <c r="T637"/>
      <c r="U637"/>
      <c r="V637" s="222"/>
    </row>
    <row r="638" spans="1:22" x14ac:dyDescent="0.2">
      <c r="A638" t="s">
        <v>617</v>
      </c>
      <c r="B638" s="101">
        <v>-3</v>
      </c>
      <c r="C638" s="101">
        <v>-9</v>
      </c>
      <c r="D638" s="101">
        <v>-2</v>
      </c>
      <c r="E638" s="101">
        <v>-15</v>
      </c>
      <c r="F638" s="101">
        <v>13</v>
      </c>
      <c r="G638" s="101">
        <v>-3</v>
      </c>
      <c r="H638" s="101">
        <v>-0.7</v>
      </c>
      <c r="I638" s="102">
        <v>0.74</v>
      </c>
      <c r="J638" s="102">
        <v>2.08</v>
      </c>
      <c r="K638" s="101">
        <v>17.600000000000001</v>
      </c>
      <c r="L638" s="101">
        <v>0.2</v>
      </c>
      <c r="M638" s="101" t="s">
        <v>1091</v>
      </c>
      <c r="N638" s="101">
        <v>2004</v>
      </c>
      <c r="O638" s="101" t="s">
        <v>685</v>
      </c>
      <c r="P638" s="101">
        <v>661066</v>
      </c>
      <c r="Q638" t="s">
        <v>813</v>
      </c>
      <c r="R638" t="s">
        <v>383</v>
      </c>
      <c r="S638"/>
      <c r="T638"/>
      <c r="U638"/>
      <c r="V638" s="222"/>
    </row>
    <row r="639" spans="1:22" x14ac:dyDescent="0.2">
      <c r="A639" t="s">
        <v>293</v>
      </c>
      <c r="B639" s="101">
        <v>4</v>
      </c>
      <c r="C639" s="101">
        <v>-6</v>
      </c>
      <c r="D639" s="101">
        <v>5</v>
      </c>
      <c r="E639" s="101">
        <v>-1</v>
      </c>
      <c r="F639" s="101">
        <v>13</v>
      </c>
      <c r="G639" s="101">
        <v>-18</v>
      </c>
      <c r="H639" s="101">
        <v>-3.8</v>
      </c>
      <c r="I639" s="102">
        <v>0.78</v>
      </c>
      <c r="J639" s="102">
        <v>2.08</v>
      </c>
      <c r="K639" s="101">
        <v>12.2</v>
      </c>
      <c r="L639" s="101">
        <v>0.3</v>
      </c>
      <c r="M639" s="101" t="s">
        <v>1094</v>
      </c>
      <c r="N639" s="101">
        <v>2000</v>
      </c>
      <c r="O639" s="101" t="s">
        <v>685</v>
      </c>
      <c r="P639" s="101">
        <v>435818</v>
      </c>
      <c r="Q639" t="s">
        <v>94</v>
      </c>
      <c r="R639" t="s">
        <v>152</v>
      </c>
      <c r="S639" t="s">
        <v>1111</v>
      </c>
      <c r="T639"/>
      <c r="U639"/>
      <c r="V639" s="222"/>
    </row>
    <row r="640" spans="1:22" x14ac:dyDescent="0.2">
      <c r="A640" t="s">
        <v>252</v>
      </c>
      <c r="B640" s="101">
        <v>-5</v>
      </c>
      <c r="C640" s="101">
        <v>-18</v>
      </c>
      <c r="D640" s="101">
        <v>-3</v>
      </c>
      <c r="E640" s="101">
        <v>-26</v>
      </c>
      <c r="F640" s="101">
        <v>-15</v>
      </c>
      <c r="G640" s="101">
        <v>-40</v>
      </c>
      <c r="H640" s="101">
        <v>-9.8000000000000007</v>
      </c>
      <c r="I640" s="102">
        <v>0.77</v>
      </c>
      <c r="J640" s="102">
        <v>2.08</v>
      </c>
      <c r="K640" s="101">
        <v>20.5</v>
      </c>
      <c r="L640" s="101">
        <v>-0.2</v>
      </c>
      <c r="M640" s="101" t="s">
        <v>1089</v>
      </c>
      <c r="N640" s="101">
        <v>2000</v>
      </c>
      <c r="O640" s="101" t="s">
        <v>685</v>
      </c>
      <c r="P640" s="101">
        <v>570044</v>
      </c>
      <c r="Q640" t="s">
        <v>819</v>
      </c>
      <c r="R640" t="s">
        <v>250</v>
      </c>
      <c r="S640"/>
      <c r="T640"/>
      <c r="U640"/>
      <c r="V640" s="222"/>
    </row>
    <row r="641" spans="1:22" x14ac:dyDescent="0.2">
      <c r="A641" t="s">
        <v>958</v>
      </c>
      <c r="B641" s="101">
        <v>10</v>
      </c>
      <c r="C641" s="101">
        <v>-6</v>
      </c>
      <c r="D641" s="101">
        <v>11</v>
      </c>
      <c r="E641" s="101">
        <v>4</v>
      </c>
      <c r="F641" s="101">
        <v>23</v>
      </c>
      <c r="G641" s="101">
        <v>-2</v>
      </c>
      <c r="H641" s="101">
        <v>-0.3</v>
      </c>
      <c r="I641" s="102">
        <v>0.78</v>
      </c>
      <c r="J641" s="102">
        <v>2.09</v>
      </c>
      <c r="K641" s="101">
        <v>14.5</v>
      </c>
      <c r="L641" s="101">
        <v>0.5</v>
      </c>
      <c r="M641" s="101" t="s">
        <v>1091</v>
      </c>
      <c r="N641" s="101">
        <v>2000</v>
      </c>
      <c r="O641" s="101" t="s">
        <v>685</v>
      </c>
      <c r="P641" s="101">
        <v>614966</v>
      </c>
      <c r="Q641" t="s">
        <v>94</v>
      </c>
      <c r="R641" t="s">
        <v>273</v>
      </c>
      <c r="S641"/>
      <c r="T641"/>
      <c r="U641"/>
      <c r="V641" s="222"/>
    </row>
    <row r="642" spans="1:22" x14ac:dyDescent="0.2">
      <c r="A642" t="s">
        <v>962</v>
      </c>
      <c r="B642" s="101">
        <v>7</v>
      </c>
      <c r="C642" s="101">
        <v>-2</v>
      </c>
      <c r="D642" s="101">
        <v>7</v>
      </c>
      <c r="E642" s="101">
        <v>-6</v>
      </c>
      <c r="F642" s="101">
        <v>19</v>
      </c>
      <c r="G642" s="101"/>
      <c r="H642" s="101"/>
      <c r="I642" s="102">
        <v>0.78</v>
      </c>
      <c r="J642" s="102">
        <v>2.09</v>
      </c>
      <c r="K642" s="101">
        <v>15</v>
      </c>
      <c r="L642" s="101">
        <v>0.4</v>
      </c>
      <c r="M642" s="101" t="s">
        <v>1091</v>
      </c>
      <c r="N642" s="101">
        <v>2009</v>
      </c>
      <c r="O642" s="101" t="s">
        <v>685</v>
      </c>
      <c r="P642" s="101">
        <v>817601</v>
      </c>
      <c r="Q642" t="s">
        <v>94</v>
      </c>
      <c r="R642" t="s">
        <v>138</v>
      </c>
      <c r="S642"/>
      <c r="T642"/>
      <c r="U642"/>
      <c r="V642" s="222"/>
    </row>
    <row r="643" spans="1:22" x14ac:dyDescent="0.2">
      <c r="A643" t="s">
        <v>283</v>
      </c>
      <c r="B643" s="101">
        <v>24</v>
      </c>
      <c r="C643" s="101">
        <v>13</v>
      </c>
      <c r="D643" s="101">
        <v>26</v>
      </c>
      <c r="E643" s="101">
        <v>21</v>
      </c>
      <c r="F643" s="101">
        <v>43</v>
      </c>
      <c r="G643" s="101">
        <v>57</v>
      </c>
      <c r="H643" s="101">
        <v>9.5</v>
      </c>
      <c r="I643" s="102">
        <v>0.78</v>
      </c>
      <c r="J643" s="102">
        <v>2.1</v>
      </c>
      <c r="K643" s="101">
        <v>16.7</v>
      </c>
      <c r="L643" s="101">
        <v>0.8</v>
      </c>
      <c r="M643" s="101" t="s">
        <v>1091</v>
      </c>
      <c r="N643" s="101">
        <v>2000</v>
      </c>
      <c r="O643" s="101" t="s">
        <v>685</v>
      </c>
      <c r="P643" s="101">
        <v>364158</v>
      </c>
      <c r="Q643" t="s">
        <v>94</v>
      </c>
      <c r="R643" t="s">
        <v>385</v>
      </c>
      <c r="S643"/>
      <c r="T643"/>
      <c r="U643"/>
      <c r="V643" s="222"/>
    </row>
    <row r="644" spans="1:22" x14ac:dyDescent="0.2">
      <c r="A644" t="s">
        <v>284</v>
      </c>
      <c r="B644" s="101">
        <v>7</v>
      </c>
      <c r="C644" s="101">
        <v>4</v>
      </c>
      <c r="D644" s="101">
        <v>9</v>
      </c>
      <c r="E644" s="101">
        <v>5</v>
      </c>
      <c r="F644" s="101">
        <v>13</v>
      </c>
      <c r="G644" s="101">
        <v>-3</v>
      </c>
      <c r="H644" s="101">
        <v>-0.7</v>
      </c>
      <c r="I644" s="102">
        <v>0.78</v>
      </c>
      <c r="J644" s="102">
        <v>2.1</v>
      </c>
      <c r="K644" s="101">
        <v>11</v>
      </c>
      <c r="L644" s="101">
        <v>0.4</v>
      </c>
      <c r="M644" s="101" t="s">
        <v>1091</v>
      </c>
      <c r="N644" s="101">
        <v>2000</v>
      </c>
      <c r="O644" s="101" t="s">
        <v>685</v>
      </c>
      <c r="P644" s="101">
        <v>579136</v>
      </c>
      <c r="Q644" t="s">
        <v>94</v>
      </c>
      <c r="R644" t="s">
        <v>282</v>
      </c>
      <c r="S644"/>
      <c r="T644"/>
      <c r="U644"/>
      <c r="V644" s="222"/>
    </row>
    <row r="645" spans="1:22" x14ac:dyDescent="0.2">
      <c r="A645" t="s">
        <v>416</v>
      </c>
      <c r="B645" s="101">
        <v>4</v>
      </c>
      <c r="C645" s="101">
        <v>-5</v>
      </c>
      <c r="D645" s="101">
        <v>4</v>
      </c>
      <c r="E645" s="101">
        <v>-7</v>
      </c>
      <c r="F645" s="101">
        <v>7</v>
      </c>
      <c r="G645" s="101"/>
      <c r="H645" s="101"/>
      <c r="I645" s="102">
        <v>0.78</v>
      </c>
      <c r="J645" s="102">
        <v>2.1</v>
      </c>
      <c r="K645" s="101">
        <v>10.6</v>
      </c>
      <c r="L645" s="101">
        <v>0.2</v>
      </c>
      <c r="M645" s="101" t="s">
        <v>1089</v>
      </c>
      <c r="N645" s="101">
        <v>2008</v>
      </c>
      <c r="O645" s="101" t="s">
        <v>685</v>
      </c>
      <c r="P645" s="101">
        <v>306894</v>
      </c>
      <c r="Q645" t="s">
        <v>376</v>
      </c>
      <c r="R645" t="s">
        <v>152</v>
      </c>
      <c r="S645"/>
      <c r="T645"/>
      <c r="U645"/>
      <c r="V645" s="222"/>
    </row>
    <row r="646" spans="1:22" x14ac:dyDescent="0.2">
      <c r="A646" t="s">
        <v>1029</v>
      </c>
      <c r="B646" s="101">
        <v>4</v>
      </c>
      <c r="C646" s="101">
        <v>-3</v>
      </c>
      <c r="D646" s="101">
        <v>3</v>
      </c>
      <c r="E646" s="101">
        <v>-2</v>
      </c>
      <c r="F646" s="101">
        <v>10</v>
      </c>
      <c r="G646" s="101"/>
      <c r="H646" s="101"/>
      <c r="I646" s="102">
        <v>0.79</v>
      </c>
      <c r="J646" s="102">
        <v>2.1</v>
      </c>
      <c r="K646" s="101">
        <v>7.9</v>
      </c>
      <c r="L646" s="101">
        <v>0.2</v>
      </c>
      <c r="M646" s="101" t="s">
        <v>1088</v>
      </c>
      <c r="N646" s="101">
        <v>2011</v>
      </c>
      <c r="O646" s="101" t="s">
        <v>806</v>
      </c>
      <c r="P646" s="101">
        <v>172601</v>
      </c>
      <c r="Q646" t="s">
        <v>846</v>
      </c>
      <c r="R646" t="s">
        <v>314</v>
      </c>
      <c r="S646"/>
      <c r="T646"/>
      <c r="U646"/>
      <c r="V646" s="222"/>
    </row>
    <row r="647" spans="1:22" x14ac:dyDescent="0.2">
      <c r="A647" t="s">
        <v>334</v>
      </c>
      <c r="B647" s="101">
        <v>0</v>
      </c>
      <c r="C647" s="101">
        <v>-16</v>
      </c>
      <c r="D647" s="101">
        <v>0</v>
      </c>
      <c r="E647" s="101">
        <v>-29</v>
      </c>
      <c r="F647" s="101">
        <v>-23</v>
      </c>
      <c r="G647" s="101">
        <v>-48</v>
      </c>
      <c r="H647" s="101">
        <v>-12.4</v>
      </c>
      <c r="I647" s="102">
        <v>0.83</v>
      </c>
      <c r="J647" s="102">
        <v>2.1037859999999999</v>
      </c>
      <c r="K647" s="101">
        <v>20</v>
      </c>
      <c r="L647" s="101">
        <v>-0.4</v>
      </c>
      <c r="M647" s="101" t="s">
        <v>1089</v>
      </c>
      <c r="N647" s="101">
        <v>2002</v>
      </c>
      <c r="O647" s="101" t="s">
        <v>685</v>
      </c>
      <c r="P647" s="101">
        <v>467985</v>
      </c>
      <c r="Q647" t="s">
        <v>480</v>
      </c>
      <c r="R647" t="s">
        <v>152</v>
      </c>
      <c r="S647"/>
      <c r="T647"/>
      <c r="U647"/>
      <c r="V647" s="222"/>
    </row>
    <row r="648" spans="1:22" x14ac:dyDescent="0.2">
      <c r="A648" t="s">
        <v>482</v>
      </c>
      <c r="B648" s="101">
        <v>7</v>
      </c>
      <c r="C648" s="101">
        <v>0</v>
      </c>
      <c r="D648" s="101">
        <v>8</v>
      </c>
      <c r="E648" s="101">
        <v>2</v>
      </c>
      <c r="F648" s="101">
        <v>49</v>
      </c>
      <c r="G648" s="101">
        <v>18</v>
      </c>
      <c r="H648" s="101">
        <v>3.4</v>
      </c>
      <c r="I648" s="102">
        <v>0.79</v>
      </c>
      <c r="J648" s="102">
        <v>2.11</v>
      </c>
      <c r="K648" s="101">
        <v>15.7</v>
      </c>
      <c r="L648" s="101">
        <v>0.8</v>
      </c>
      <c r="M648" s="101" t="s">
        <v>1091</v>
      </c>
      <c r="N648" s="101">
        <v>2010</v>
      </c>
      <c r="O648" s="101" t="s">
        <v>685</v>
      </c>
      <c r="P648" s="101">
        <v>843698</v>
      </c>
      <c r="Q648" t="s">
        <v>94</v>
      </c>
      <c r="R648" t="s">
        <v>291</v>
      </c>
      <c r="S648"/>
      <c r="T648"/>
      <c r="U648"/>
      <c r="V648" s="222"/>
    </row>
    <row r="649" spans="1:22" x14ac:dyDescent="0.2">
      <c r="A649" t="s">
        <v>940</v>
      </c>
      <c r="B649" s="101">
        <v>6</v>
      </c>
      <c r="C649" s="101">
        <v>-1</v>
      </c>
      <c r="D649" s="101">
        <v>6</v>
      </c>
      <c r="E649" s="101">
        <v>1</v>
      </c>
      <c r="F649" s="101">
        <v>12</v>
      </c>
      <c r="G649" s="101">
        <v>-12</v>
      </c>
      <c r="H649" s="101">
        <v>-2.5</v>
      </c>
      <c r="I649" s="102">
        <v>0.71</v>
      </c>
      <c r="J649" s="102">
        <v>2.11</v>
      </c>
      <c r="K649" s="101">
        <v>10.5</v>
      </c>
      <c r="L649" s="101">
        <v>0.3</v>
      </c>
      <c r="M649" s="101" t="s">
        <v>1091</v>
      </c>
      <c r="N649" s="101">
        <v>2002</v>
      </c>
      <c r="O649" s="101" t="s">
        <v>685</v>
      </c>
      <c r="P649" s="101">
        <v>872440</v>
      </c>
      <c r="Q649" t="s">
        <v>368</v>
      </c>
      <c r="R649" t="s">
        <v>152</v>
      </c>
      <c r="S649"/>
      <c r="T649"/>
      <c r="U649"/>
      <c r="V649" s="222"/>
    </row>
    <row r="650" spans="1:22" x14ac:dyDescent="0.2">
      <c r="A650" t="s">
        <v>33</v>
      </c>
      <c r="B650" s="101">
        <v>3</v>
      </c>
      <c r="C650" s="101">
        <v>-1</v>
      </c>
      <c r="D650" s="101">
        <v>3</v>
      </c>
      <c r="E650" s="101">
        <v>-1</v>
      </c>
      <c r="F650" s="101">
        <v>-7</v>
      </c>
      <c r="G650" s="101">
        <v>13</v>
      </c>
      <c r="H650" s="101">
        <v>2.5</v>
      </c>
      <c r="I650" s="102">
        <v>0.81</v>
      </c>
      <c r="J650" s="102">
        <v>2.13</v>
      </c>
      <c r="K650" s="101">
        <v>6.1</v>
      </c>
      <c r="L650" s="101">
        <v>-0.6</v>
      </c>
      <c r="M650" s="101" t="s">
        <v>1089</v>
      </c>
      <c r="N650" s="101">
        <v>2000</v>
      </c>
      <c r="O650" s="101" t="s">
        <v>685</v>
      </c>
      <c r="P650" s="101">
        <v>966598</v>
      </c>
      <c r="Q650" t="s">
        <v>372</v>
      </c>
      <c r="R650" t="s">
        <v>664</v>
      </c>
      <c r="S650"/>
      <c r="T650"/>
      <c r="U650"/>
      <c r="V650" s="222"/>
    </row>
    <row r="651" spans="1:22" x14ac:dyDescent="0.2">
      <c r="A651" t="s">
        <v>961</v>
      </c>
      <c r="B651" s="101">
        <v>10</v>
      </c>
      <c r="C651" s="101">
        <v>-1</v>
      </c>
      <c r="D651" s="101">
        <v>10</v>
      </c>
      <c r="E651" s="101">
        <v>-2</v>
      </c>
      <c r="F651" s="101">
        <v>13</v>
      </c>
      <c r="G651" s="101">
        <v>21</v>
      </c>
      <c r="H651" s="101">
        <v>3.9</v>
      </c>
      <c r="I651" s="102">
        <v>0.81</v>
      </c>
      <c r="J651" s="102">
        <v>2.14</v>
      </c>
      <c r="K651" s="101">
        <v>10.4</v>
      </c>
      <c r="L651" s="101">
        <v>0.3</v>
      </c>
      <c r="M651" s="101" t="s">
        <v>1089</v>
      </c>
      <c r="N651" s="101">
        <v>2000</v>
      </c>
      <c r="O651" s="101" t="s">
        <v>685</v>
      </c>
      <c r="P651" s="101">
        <v>930768</v>
      </c>
      <c r="Q651" t="s">
        <v>372</v>
      </c>
      <c r="R651" t="s">
        <v>664</v>
      </c>
      <c r="S651"/>
      <c r="T651"/>
      <c r="U651"/>
      <c r="V651" s="222"/>
    </row>
    <row r="652" spans="1:22" x14ac:dyDescent="0.2">
      <c r="A652" t="s">
        <v>341</v>
      </c>
      <c r="B652" s="101">
        <v>10</v>
      </c>
      <c r="C652" s="101">
        <v>-5</v>
      </c>
      <c r="D652" s="101">
        <v>12</v>
      </c>
      <c r="E652" s="101">
        <v>2</v>
      </c>
      <c r="F652" s="101">
        <v>69</v>
      </c>
      <c r="G652" s="101">
        <v>16</v>
      </c>
      <c r="H652" s="101">
        <v>2.9</v>
      </c>
      <c r="I652" s="102">
        <v>0.78</v>
      </c>
      <c r="J652" s="102">
        <v>2.15</v>
      </c>
      <c r="K652" s="101">
        <v>16.5</v>
      </c>
      <c r="L652" s="101">
        <v>1.1000000000000001</v>
      </c>
      <c r="M652" s="101" t="s">
        <v>1091</v>
      </c>
      <c r="N652" s="101">
        <v>2011</v>
      </c>
      <c r="O652" s="101" t="s">
        <v>685</v>
      </c>
      <c r="P652" s="101">
        <v>233346</v>
      </c>
      <c r="Q652" t="s">
        <v>868</v>
      </c>
      <c r="R652" t="s">
        <v>291</v>
      </c>
      <c r="S652"/>
      <c r="T652"/>
      <c r="U652"/>
      <c r="V652" s="222"/>
    </row>
    <row r="653" spans="1:22" x14ac:dyDescent="0.2">
      <c r="A653" t="s">
        <v>349</v>
      </c>
      <c r="B653" s="101">
        <v>6</v>
      </c>
      <c r="C653" s="101">
        <v>-4</v>
      </c>
      <c r="D653" s="101">
        <v>8</v>
      </c>
      <c r="E653" s="101">
        <v>11</v>
      </c>
      <c r="F653" s="101">
        <v>32</v>
      </c>
      <c r="G653" s="101">
        <v>8</v>
      </c>
      <c r="H653" s="101">
        <v>1.5</v>
      </c>
      <c r="I653" s="102">
        <v>0.78</v>
      </c>
      <c r="J653" s="102">
        <v>2.15</v>
      </c>
      <c r="K653" s="101">
        <v>10.9</v>
      </c>
      <c r="L653" s="101">
        <v>0.8</v>
      </c>
      <c r="M653" s="101" t="s">
        <v>1091</v>
      </c>
      <c r="N653" s="101">
        <v>2011</v>
      </c>
      <c r="O653" s="101" t="s">
        <v>685</v>
      </c>
      <c r="P653" s="101">
        <v>882530</v>
      </c>
      <c r="Q653" t="s">
        <v>868</v>
      </c>
      <c r="R653" t="s">
        <v>384</v>
      </c>
      <c r="S653"/>
      <c r="T653"/>
      <c r="U653"/>
      <c r="V653" s="222"/>
    </row>
    <row r="654" spans="1:22" x14ac:dyDescent="0.2">
      <c r="A654" t="s">
        <v>343</v>
      </c>
      <c r="B654" s="101">
        <v>-17</v>
      </c>
      <c r="C654" s="101">
        <v>-8</v>
      </c>
      <c r="D654" s="101">
        <v>-14</v>
      </c>
      <c r="E654" s="101">
        <v>-21</v>
      </c>
      <c r="F654" s="101">
        <v>-9</v>
      </c>
      <c r="G654" s="101">
        <v>7</v>
      </c>
      <c r="H654" s="101">
        <v>1.4</v>
      </c>
      <c r="I654" s="102">
        <v>0.78</v>
      </c>
      <c r="J654" s="102">
        <v>2.15</v>
      </c>
      <c r="K654" s="101">
        <v>26.6</v>
      </c>
      <c r="L654" s="101">
        <v>0</v>
      </c>
      <c r="M654" s="101" t="s">
        <v>1091</v>
      </c>
      <c r="N654" s="101">
        <v>2011</v>
      </c>
      <c r="O654" s="101" t="s">
        <v>685</v>
      </c>
      <c r="P654" s="101">
        <v>305003</v>
      </c>
      <c r="Q654" t="s">
        <v>868</v>
      </c>
      <c r="R654" t="s">
        <v>291</v>
      </c>
      <c r="S654"/>
      <c r="T654"/>
      <c r="U654"/>
      <c r="V654" s="222"/>
    </row>
    <row r="655" spans="1:22" x14ac:dyDescent="0.2">
      <c r="A655" t="s">
        <v>1017</v>
      </c>
      <c r="B655" s="101">
        <v>2</v>
      </c>
      <c r="C655" s="101">
        <v>0</v>
      </c>
      <c r="D655" s="101">
        <v>2</v>
      </c>
      <c r="E655" s="101">
        <v>1</v>
      </c>
      <c r="F655" s="101">
        <v>-3</v>
      </c>
      <c r="G655" s="101">
        <v>3</v>
      </c>
      <c r="H655" s="101">
        <v>0.5</v>
      </c>
      <c r="I655" s="102">
        <v>0.82</v>
      </c>
      <c r="J655" s="102">
        <v>2.15</v>
      </c>
      <c r="K655" s="101">
        <v>7.1</v>
      </c>
      <c r="L655" s="101">
        <v>-0.2</v>
      </c>
      <c r="M655" s="101" t="s">
        <v>1089</v>
      </c>
      <c r="N655" s="101">
        <v>2006</v>
      </c>
      <c r="O655" s="101" t="s">
        <v>685</v>
      </c>
      <c r="P655" s="101">
        <v>647669</v>
      </c>
      <c r="Q655" t="s">
        <v>63</v>
      </c>
      <c r="R655" t="s">
        <v>314</v>
      </c>
      <c r="S655"/>
      <c r="T655"/>
      <c r="U655"/>
      <c r="V655" s="222"/>
    </row>
    <row r="656" spans="1:22" x14ac:dyDescent="0.2">
      <c r="A656" t="s">
        <v>348</v>
      </c>
      <c r="B656" s="101">
        <v>1</v>
      </c>
      <c r="C656" s="101">
        <v>-9</v>
      </c>
      <c r="D656" s="101">
        <v>3</v>
      </c>
      <c r="E656" s="101">
        <v>-10</v>
      </c>
      <c r="F656" s="101">
        <v>24</v>
      </c>
      <c r="G656" s="101">
        <v>-2</v>
      </c>
      <c r="H656" s="101">
        <v>-0.5</v>
      </c>
      <c r="I656" s="102">
        <v>0.78</v>
      </c>
      <c r="J656" s="102">
        <v>2.15</v>
      </c>
      <c r="K656" s="101">
        <v>14.7</v>
      </c>
      <c r="L656" s="101">
        <v>0.5</v>
      </c>
      <c r="M656" s="101" t="s">
        <v>1091</v>
      </c>
      <c r="N656" s="101">
        <v>2011</v>
      </c>
      <c r="O656" s="101" t="s">
        <v>685</v>
      </c>
      <c r="P656" s="101">
        <v>846709</v>
      </c>
      <c r="Q656" t="s">
        <v>868</v>
      </c>
      <c r="R656" t="s">
        <v>108</v>
      </c>
      <c r="S656"/>
      <c r="T656"/>
      <c r="U656"/>
      <c r="V656" s="222"/>
    </row>
    <row r="657" spans="1:22" x14ac:dyDescent="0.2">
      <c r="A657" t="s">
        <v>76</v>
      </c>
      <c r="B657" s="101">
        <v>6</v>
      </c>
      <c r="C657" s="101">
        <v>-2</v>
      </c>
      <c r="D657" s="101">
        <v>7</v>
      </c>
      <c r="E657" s="101">
        <v>-5</v>
      </c>
      <c r="F657" s="101">
        <v>5</v>
      </c>
      <c r="G657" s="101">
        <v>-26</v>
      </c>
      <c r="H657" s="101">
        <v>-5.7</v>
      </c>
      <c r="I657" s="102">
        <v>0.86</v>
      </c>
      <c r="J657" s="102">
        <v>2.15</v>
      </c>
      <c r="K657" s="101">
        <v>10.9</v>
      </c>
      <c r="L657" s="101">
        <v>0.1</v>
      </c>
      <c r="M657" s="101" t="s">
        <v>1089</v>
      </c>
      <c r="N657" s="101">
        <v>2002</v>
      </c>
      <c r="O657" s="101" t="s">
        <v>685</v>
      </c>
      <c r="P657" s="101">
        <v>651380</v>
      </c>
      <c r="Q657" t="s">
        <v>809</v>
      </c>
      <c r="R657" t="s">
        <v>48</v>
      </c>
      <c r="S657" t="s">
        <v>1111</v>
      </c>
      <c r="T657"/>
      <c r="U657"/>
      <c r="V657" s="222"/>
    </row>
    <row r="658" spans="1:22" x14ac:dyDescent="0.2">
      <c r="A658" t="s">
        <v>340</v>
      </c>
      <c r="B658" s="101">
        <v>7</v>
      </c>
      <c r="C658" s="101">
        <v>-1</v>
      </c>
      <c r="D658" s="101">
        <v>9</v>
      </c>
      <c r="E658" s="101">
        <v>26</v>
      </c>
      <c r="F658" s="101">
        <v>27</v>
      </c>
      <c r="G658" s="101">
        <v>-26</v>
      </c>
      <c r="H658" s="101">
        <v>-5.9</v>
      </c>
      <c r="I658" s="102">
        <v>0.78</v>
      </c>
      <c r="J658" s="102">
        <v>2.15</v>
      </c>
      <c r="K658" s="101">
        <v>13.1</v>
      </c>
      <c r="L658" s="101">
        <v>0.6</v>
      </c>
      <c r="M658" s="101" t="s">
        <v>1091</v>
      </c>
      <c r="N658" s="101">
        <v>2011</v>
      </c>
      <c r="O658" s="101" t="s">
        <v>685</v>
      </c>
      <c r="P658" s="101">
        <v>197517</v>
      </c>
      <c r="Q658" t="s">
        <v>868</v>
      </c>
      <c r="R658" t="s">
        <v>108</v>
      </c>
      <c r="S658"/>
      <c r="T658"/>
      <c r="U658"/>
      <c r="V658" s="222"/>
    </row>
    <row r="659" spans="1:22" x14ac:dyDescent="0.2">
      <c r="A659" t="s">
        <v>353</v>
      </c>
      <c r="B659" s="101">
        <v>0</v>
      </c>
      <c r="C659" s="101">
        <v>-9</v>
      </c>
      <c r="D659" s="101">
        <v>-4</v>
      </c>
      <c r="E659" s="101">
        <v>-20</v>
      </c>
      <c r="F659" s="101">
        <v>-9</v>
      </c>
      <c r="G659" s="101"/>
      <c r="H659" s="101"/>
      <c r="I659" s="102">
        <v>0.78</v>
      </c>
      <c r="J659" s="102">
        <v>2.15</v>
      </c>
      <c r="K659" s="101">
        <v>14.6</v>
      </c>
      <c r="L659" s="101">
        <v>-0.2</v>
      </c>
      <c r="M659" s="101" t="s">
        <v>1089</v>
      </c>
      <c r="N659" s="101">
        <v>2011</v>
      </c>
      <c r="O659" s="101" t="s">
        <v>685</v>
      </c>
      <c r="P659" s="101">
        <v>954198</v>
      </c>
      <c r="Q659" t="s">
        <v>868</v>
      </c>
      <c r="R659" t="s">
        <v>48</v>
      </c>
      <c r="S659"/>
      <c r="T659"/>
      <c r="U659"/>
      <c r="V659" s="222"/>
    </row>
    <row r="660" spans="1:22" x14ac:dyDescent="0.2">
      <c r="A660" t="s">
        <v>352</v>
      </c>
      <c r="B660" s="101">
        <v>-12</v>
      </c>
      <c r="C660" s="101">
        <v>-10</v>
      </c>
      <c r="D660" s="101">
        <v>-10</v>
      </c>
      <c r="E660" s="101">
        <v>-18</v>
      </c>
      <c r="F660" s="101">
        <v>-6</v>
      </c>
      <c r="G660" s="101"/>
      <c r="H660" s="101"/>
      <c r="I660" s="102">
        <v>0.78</v>
      </c>
      <c r="J660" s="102">
        <v>2.15</v>
      </c>
      <c r="K660" s="101">
        <v>15.9</v>
      </c>
      <c r="L660" s="101">
        <v>-0.1</v>
      </c>
      <c r="M660" s="101" t="s">
        <v>1091</v>
      </c>
      <c r="N660" s="101">
        <v>2011</v>
      </c>
      <c r="O660" s="101" t="s">
        <v>685</v>
      </c>
      <c r="P660" s="101">
        <v>918367</v>
      </c>
      <c r="Q660" t="s">
        <v>868</v>
      </c>
      <c r="R660" t="s">
        <v>291</v>
      </c>
      <c r="S660"/>
      <c r="T660"/>
      <c r="U660"/>
      <c r="V660" s="222"/>
    </row>
    <row r="661" spans="1:22" x14ac:dyDescent="0.2">
      <c r="A661" t="s">
        <v>109</v>
      </c>
      <c r="B661" s="101">
        <v>10</v>
      </c>
      <c r="C661" s="101">
        <v>1</v>
      </c>
      <c r="D661" s="101">
        <v>11</v>
      </c>
      <c r="E661" s="101">
        <v>6</v>
      </c>
      <c r="F661" s="101">
        <v>46</v>
      </c>
      <c r="G661" s="101">
        <v>0</v>
      </c>
      <c r="H661" s="101">
        <v>-0.1</v>
      </c>
      <c r="I661" s="102">
        <v>0.85</v>
      </c>
      <c r="J661" s="102">
        <v>2.16</v>
      </c>
      <c r="K661" s="101">
        <v>17.2</v>
      </c>
      <c r="L661" s="101">
        <v>0.8</v>
      </c>
      <c r="M661" s="101" t="s">
        <v>1091</v>
      </c>
      <c r="N661" s="101">
        <v>2004</v>
      </c>
      <c r="O661" s="101" t="s">
        <v>685</v>
      </c>
      <c r="P661" s="101">
        <v>107201</v>
      </c>
      <c r="Q661" t="s">
        <v>1079</v>
      </c>
      <c r="R661" t="s">
        <v>108</v>
      </c>
      <c r="S661"/>
      <c r="T661"/>
      <c r="U661"/>
      <c r="V661" s="222"/>
    </row>
    <row r="662" spans="1:22" x14ac:dyDescent="0.2">
      <c r="A662" t="s">
        <v>300</v>
      </c>
      <c r="B662" s="101">
        <v>9</v>
      </c>
      <c r="C662" s="101">
        <v>0</v>
      </c>
      <c r="D662" s="101">
        <v>11</v>
      </c>
      <c r="E662" s="101">
        <v>-13</v>
      </c>
      <c r="F662" s="101">
        <v>13</v>
      </c>
      <c r="G662" s="101">
        <v>-51</v>
      </c>
      <c r="H662" s="101">
        <v>-13.3</v>
      </c>
      <c r="I662" s="102">
        <v>0.85</v>
      </c>
      <c r="J662" s="102">
        <v>2.16</v>
      </c>
      <c r="K662" s="101">
        <v>17</v>
      </c>
      <c r="L662" s="101">
        <v>0.3</v>
      </c>
      <c r="M662" s="101" t="s">
        <v>1089</v>
      </c>
      <c r="N662" s="101">
        <v>2004</v>
      </c>
      <c r="O662" s="101" t="s">
        <v>685</v>
      </c>
      <c r="P662" s="101">
        <v>665315</v>
      </c>
      <c r="Q662" t="s">
        <v>1079</v>
      </c>
      <c r="R662" t="s">
        <v>291</v>
      </c>
      <c r="S662"/>
      <c r="T662"/>
      <c r="U662"/>
      <c r="V662" s="222"/>
    </row>
    <row r="663" spans="1:22" x14ac:dyDescent="0.2">
      <c r="A663" t="s">
        <v>745</v>
      </c>
      <c r="B663" s="101">
        <v>2</v>
      </c>
      <c r="C663" s="101">
        <v>-9</v>
      </c>
      <c r="D663" s="101">
        <v>3</v>
      </c>
      <c r="E663" s="101">
        <v>-14</v>
      </c>
      <c r="F663" s="101">
        <v>14</v>
      </c>
      <c r="G663" s="101">
        <v>-24</v>
      </c>
      <c r="H663" s="101">
        <v>-5.4</v>
      </c>
      <c r="I663" s="102">
        <v>0.86</v>
      </c>
      <c r="J663" s="102">
        <v>2.17</v>
      </c>
      <c r="K663" s="101">
        <v>15.7</v>
      </c>
      <c r="L663" s="101">
        <v>0.3</v>
      </c>
      <c r="M663" s="101" t="s">
        <v>1089</v>
      </c>
      <c r="N663" s="101">
        <v>2004</v>
      </c>
      <c r="O663" s="101" t="s">
        <v>685</v>
      </c>
      <c r="P663" s="101">
        <v>920371</v>
      </c>
      <c r="Q663" t="s">
        <v>1079</v>
      </c>
      <c r="R663" t="s">
        <v>98</v>
      </c>
      <c r="S663"/>
      <c r="T663"/>
      <c r="U663"/>
      <c r="V663" s="222"/>
    </row>
    <row r="664" spans="1:22" x14ac:dyDescent="0.2">
      <c r="A664" t="s">
        <v>653</v>
      </c>
      <c r="B664" s="101">
        <v>3</v>
      </c>
      <c r="C664" s="101">
        <v>-3</v>
      </c>
      <c r="D664" s="101">
        <v>5</v>
      </c>
      <c r="E664" s="101">
        <v>-1</v>
      </c>
      <c r="F664" s="101">
        <v>-13</v>
      </c>
      <c r="G664" s="101">
        <v>-47</v>
      </c>
      <c r="H664" s="101">
        <v>-12</v>
      </c>
      <c r="I664" s="102">
        <v>0.86</v>
      </c>
      <c r="J664" s="102">
        <v>2.1843599999999999</v>
      </c>
      <c r="K664" s="101">
        <v>13.5</v>
      </c>
      <c r="L664" s="101">
        <v>-0.3</v>
      </c>
      <c r="M664" s="101" t="s">
        <v>1091</v>
      </c>
      <c r="N664" s="101">
        <v>2005</v>
      </c>
      <c r="O664" s="101" t="s">
        <v>685</v>
      </c>
      <c r="P664" s="101">
        <v>282699</v>
      </c>
      <c r="Q664" t="s">
        <v>464</v>
      </c>
      <c r="R664" t="s">
        <v>237</v>
      </c>
      <c r="S664"/>
      <c r="T664"/>
      <c r="U664"/>
      <c r="V664" s="222"/>
    </row>
    <row r="665" spans="1:22" x14ac:dyDescent="0.2">
      <c r="A665" t="s">
        <v>639</v>
      </c>
      <c r="B665" s="101">
        <v>6</v>
      </c>
      <c r="C665" s="101">
        <v>-7</v>
      </c>
      <c r="D665" s="101">
        <v>7</v>
      </c>
      <c r="E665" s="101">
        <v>-19</v>
      </c>
      <c r="F665" s="101">
        <v>20</v>
      </c>
      <c r="G665" s="101">
        <v>-34</v>
      </c>
      <c r="H665" s="101">
        <v>-8</v>
      </c>
      <c r="I665" s="102">
        <v>0.78</v>
      </c>
      <c r="J665" s="102">
        <v>2.2000000000000002</v>
      </c>
      <c r="K665" s="101">
        <v>21.7</v>
      </c>
      <c r="L665" s="101">
        <v>0.3</v>
      </c>
      <c r="M665" s="101" t="s">
        <v>1089</v>
      </c>
      <c r="N665" s="101">
        <v>2004</v>
      </c>
      <c r="O665" s="101" t="s">
        <v>685</v>
      </c>
      <c r="P665" s="101">
        <v>987784</v>
      </c>
      <c r="Q665" t="s">
        <v>813</v>
      </c>
      <c r="R665" t="s">
        <v>218</v>
      </c>
      <c r="S665"/>
      <c r="T665"/>
      <c r="U665"/>
      <c r="V665" s="222"/>
    </row>
    <row r="666" spans="1:22" x14ac:dyDescent="0.2">
      <c r="A666" t="s">
        <v>747</v>
      </c>
      <c r="B666" s="101">
        <v>7</v>
      </c>
      <c r="C666" s="101">
        <v>-8</v>
      </c>
      <c r="D666" s="101">
        <v>9</v>
      </c>
      <c r="E666" s="101">
        <v>-11</v>
      </c>
      <c r="F666" s="101">
        <v>21</v>
      </c>
      <c r="G666" s="101">
        <v>-34</v>
      </c>
      <c r="H666" s="101">
        <v>-8</v>
      </c>
      <c r="I666" s="102">
        <v>0.87</v>
      </c>
      <c r="J666" s="102">
        <v>2.2000000000000002</v>
      </c>
      <c r="K666" s="101">
        <v>16.600000000000001</v>
      </c>
      <c r="L666" s="101">
        <v>0.4</v>
      </c>
      <c r="M666" s="101" t="s">
        <v>1089</v>
      </c>
      <c r="N666" s="101">
        <v>2007</v>
      </c>
      <c r="O666" s="101" t="s">
        <v>685</v>
      </c>
      <c r="P666" s="101">
        <v>904490</v>
      </c>
      <c r="Q666" t="s">
        <v>1114</v>
      </c>
      <c r="R666" t="s">
        <v>98</v>
      </c>
      <c r="S666"/>
      <c r="T666"/>
      <c r="U666"/>
      <c r="V666" s="222"/>
    </row>
    <row r="667" spans="1:22" x14ac:dyDescent="0.2">
      <c r="A667" t="s">
        <v>933</v>
      </c>
      <c r="B667" s="101">
        <v>8</v>
      </c>
      <c r="C667" s="101">
        <v>-7</v>
      </c>
      <c r="D667" s="101">
        <v>10</v>
      </c>
      <c r="E667" s="101">
        <v>-16</v>
      </c>
      <c r="F667" s="101">
        <v>12</v>
      </c>
      <c r="G667" s="101">
        <v>-58</v>
      </c>
      <c r="H667" s="101">
        <v>-15.9</v>
      </c>
      <c r="I667" s="102">
        <v>0.56999999999999995</v>
      </c>
      <c r="J667" s="102">
        <v>2.2000000000000002</v>
      </c>
      <c r="K667" s="101">
        <v>20.2</v>
      </c>
      <c r="L667" s="101">
        <v>0.2</v>
      </c>
      <c r="M667" s="101" t="s">
        <v>1088</v>
      </c>
      <c r="N667" s="101">
        <v>2005</v>
      </c>
      <c r="O667" s="101" t="s">
        <v>685</v>
      </c>
      <c r="P667" s="101">
        <v>851725</v>
      </c>
      <c r="Q667" t="s">
        <v>817</v>
      </c>
      <c r="R667" t="s">
        <v>218</v>
      </c>
      <c r="S667"/>
      <c r="T667"/>
      <c r="U667"/>
      <c r="V667" s="222"/>
    </row>
    <row r="668" spans="1:22" x14ac:dyDescent="0.2">
      <c r="A668" t="s">
        <v>1022</v>
      </c>
      <c r="B668" s="101">
        <v>7</v>
      </c>
      <c r="C668" s="101">
        <v>1</v>
      </c>
      <c r="D668" s="101">
        <v>7</v>
      </c>
      <c r="E668" s="101"/>
      <c r="F668" s="101"/>
      <c r="G668" s="101"/>
      <c r="H668" s="101"/>
      <c r="I668" s="102">
        <v>0.84</v>
      </c>
      <c r="J668" s="102">
        <v>2.2000000000000002</v>
      </c>
      <c r="K668" s="101"/>
      <c r="L668" s="101"/>
      <c r="M668" s="101" t="s">
        <v>1088</v>
      </c>
      <c r="N668" s="101">
        <v>2011</v>
      </c>
      <c r="O668" s="101" t="s">
        <v>806</v>
      </c>
      <c r="P668" s="101">
        <v>208439</v>
      </c>
      <c r="Q668" t="s">
        <v>786</v>
      </c>
      <c r="R668" t="s">
        <v>152</v>
      </c>
      <c r="S668"/>
      <c r="T668"/>
      <c r="U668"/>
      <c r="V668" s="222"/>
    </row>
    <row r="669" spans="1:22" x14ac:dyDescent="0.2">
      <c r="A669" t="s">
        <v>408</v>
      </c>
      <c r="B669" s="101">
        <v>7</v>
      </c>
      <c r="C669" s="101">
        <v>-4</v>
      </c>
      <c r="D669" s="101">
        <v>6</v>
      </c>
      <c r="E669" s="101">
        <v>-20</v>
      </c>
      <c r="F669" s="101">
        <v>-5</v>
      </c>
      <c r="G669" s="101">
        <v>-25</v>
      </c>
      <c r="H669" s="101">
        <v>-5.6</v>
      </c>
      <c r="I669" s="102">
        <v>0.57999999999999996</v>
      </c>
      <c r="J669" s="102">
        <v>2.21</v>
      </c>
      <c r="K669" s="101">
        <v>20.9</v>
      </c>
      <c r="L669" s="101">
        <v>0</v>
      </c>
      <c r="M669" s="101" t="s">
        <v>1088</v>
      </c>
      <c r="N669" s="101">
        <v>2004</v>
      </c>
      <c r="O669" s="101" t="s">
        <v>806</v>
      </c>
      <c r="P669" s="101">
        <v>505586</v>
      </c>
      <c r="Q669" t="s">
        <v>925</v>
      </c>
      <c r="R669" t="s">
        <v>138</v>
      </c>
      <c r="S669"/>
      <c r="T669"/>
      <c r="U669"/>
      <c r="V669" s="222"/>
    </row>
    <row r="670" spans="1:22" x14ac:dyDescent="0.2">
      <c r="A670" t="s">
        <v>1048</v>
      </c>
      <c r="B670" s="101">
        <v>3</v>
      </c>
      <c r="C670" s="101">
        <v>-4</v>
      </c>
      <c r="D670" s="101">
        <v>4</v>
      </c>
      <c r="E670" s="101"/>
      <c r="F670" s="101"/>
      <c r="G670" s="101"/>
      <c r="H670" s="101"/>
      <c r="I670" s="102">
        <v>0.46</v>
      </c>
      <c r="J670" s="102">
        <v>2.216132</v>
      </c>
      <c r="K670" s="101"/>
      <c r="L670" s="101"/>
      <c r="M670" s="101" t="s">
        <v>1088</v>
      </c>
      <c r="N670" s="101">
        <v>2011</v>
      </c>
      <c r="O670" s="101" t="s">
        <v>685</v>
      </c>
      <c r="P670" s="101">
        <v>762880</v>
      </c>
      <c r="Q670" t="s">
        <v>411</v>
      </c>
      <c r="R670" t="s">
        <v>314</v>
      </c>
      <c r="S670"/>
      <c r="T670"/>
      <c r="U670"/>
      <c r="V670" s="222"/>
    </row>
    <row r="671" spans="1:22" x14ac:dyDescent="0.2">
      <c r="A671" t="s">
        <v>1032</v>
      </c>
      <c r="B671" s="101">
        <v>4</v>
      </c>
      <c r="C671" s="101">
        <v>-6</v>
      </c>
      <c r="D671" s="101">
        <v>4</v>
      </c>
      <c r="E671" s="101">
        <v>3</v>
      </c>
      <c r="F671" s="101">
        <v>25</v>
      </c>
      <c r="G671" s="101"/>
      <c r="H671" s="101"/>
      <c r="I671" s="102">
        <v>0.83</v>
      </c>
      <c r="J671" s="102">
        <v>2.2400000000000002</v>
      </c>
      <c r="K671" s="101">
        <v>12.3</v>
      </c>
      <c r="L671" s="101">
        <v>0.5</v>
      </c>
      <c r="M671" s="101" t="s">
        <v>1088</v>
      </c>
      <c r="N671" s="101">
        <v>2011</v>
      </c>
      <c r="O671" s="101" t="s">
        <v>806</v>
      </c>
      <c r="P671" s="101">
        <v>339002</v>
      </c>
      <c r="Q671" t="s">
        <v>846</v>
      </c>
      <c r="R671" t="s">
        <v>152</v>
      </c>
      <c r="S671"/>
      <c r="T671"/>
      <c r="U671"/>
      <c r="V671" s="222"/>
    </row>
    <row r="672" spans="1:22" x14ac:dyDescent="0.2">
      <c r="A672" t="s">
        <v>627</v>
      </c>
      <c r="B672" s="101">
        <v>6</v>
      </c>
      <c r="C672" s="101">
        <v>-5</v>
      </c>
      <c r="D672" s="101">
        <v>6</v>
      </c>
      <c r="E672" s="101">
        <v>-12</v>
      </c>
      <c r="F672" s="101"/>
      <c r="G672" s="101"/>
      <c r="H672" s="101"/>
      <c r="I672" s="102">
        <v>0.88</v>
      </c>
      <c r="J672" s="102">
        <v>2.2488000000000001</v>
      </c>
      <c r="K672" s="101"/>
      <c r="L672" s="101"/>
      <c r="M672" s="101" t="s">
        <v>1089</v>
      </c>
      <c r="N672" s="101">
        <v>2010</v>
      </c>
      <c r="O672" s="101" t="s">
        <v>685</v>
      </c>
      <c r="P672" s="101">
        <v>789032</v>
      </c>
      <c r="Q672" t="s">
        <v>628</v>
      </c>
      <c r="R672" t="s">
        <v>218</v>
      </c>
      <c r="S672"/>
      <c r="T672"/>
      <c r="U672"/>
      <c r="V672" s="222"/>
    </row>
    <row r="673" spans="1:22" x14ac:dyDescent="0.2">
      <c r="A673" t="s">
        <v>648</v>
      </c>
      <c r="B673" s="101">
        <v>-5</v>
      </c>
      <c r="C673" s="101">
        <v>-14</v>
      </c>
      <c r="D673" s="101">
        <v>-3</v>
      </c>
      <c r="E673" s="101">
        <v>-19</v>
      </c>
      <c r="F673" s="101">
        <v>12</v>
      </c>
      <c r="G673" s="101">
        <v>3</v>
      </c>
      <c r="H673" s="101">
        <v>0.6</v>
      </c>
      <c r="I673" s="102">
        <v>0.81</v>
      </c>
      <c r="J673" s="102">
        <v>2.25</v>
      </c>
      <c r="K673" s="101">
        <v>19.5</v>
      </c>
      <c r="L673" s="101">
        <v>0.3</v>
      </c>
      <c r="M673" s="101" t="s">
        <v>1091</v>
      </c>
      <c r="N673" s="101">
        <v>2008</v>
      </c>
      <c r="O673" s="101" t="s">
        <v>685</v>
      </c>
      <c r="P673" s="101">
        <v>204891</v>
      </c>
      <c r="Q673" t="s">
        <v>868</v>
      </c>
      <c r="R673" t="s">
        <v>383</v>
      </c>
      <c r="S673"/>
      <c r="T673"/>
      <c r="U673"/>
      <c r="V673" s="222"/>
    </row>
    <row r="674" spans="1:22" x14ac:dyDescent="0.2">
      <c r="A674" t="s">
        <v>651</v>
      </c>
      <c r="B674" s="101">
        <v>5</v>
      </c>
      <c r="C674" s="101">
        <v>-1</v>
      </c>
      <c r="D674" s="101">
        <v>5</v>
      </c>
      <c r="E674" s="101">
        <v>-8</v>
      </c>
      <c r="F674" s="101">
        <v>-5</v>
      </c>
      <c r="G674" s="101">
        <v>-2</v>
      </c>
      <c r="H674" s="101">
        <v>-0.5</v>
      </c>
      <c r="I674" s="102">
        <v>0.81</v>
      </c>
      <c r="J674" s="102">
        <v>2.25</v>
      </c>
      <c r="K674" s="101">
        <v>15.7</v>
      </c>
      <c r="L674" s="101">
        <v>-0.1</v>
      </c>
      <c r="M674" s="101" t="s">
        <v>1091</v>
      </c>
      <c r="N674" s="101">
        <v>2006</v>
      </c>
      <c r="O674" s="101" t="s">
        <v>685</v>
      </c>
      <c r="P674" s="101">
        <v>197632</v>
      </c>
      <c r="Q674" t="s">
        <v>868</v>
      </c>
      <c r="R674" t="s">
        <v>381</v>
      </c>
      <c r="S674"/>
      <c r="T674"/>
      <c r="U674"/>
      <c r="V674" s="222"/>
    </row>
    <row r="675" spans="1:22" x14ac:dyDescent="0.2">
      <c r="A675" t="s">
        <v>647</v>
      </c>
      <c r="B675" s="101">
        <v>11</v>
      </c>
      <c r="C675" s="101">
        <v>-1</v>
      </c>
      <c r="D675" s="101">
        <v>12</v>
      </c>
      <c r="E675" s="101">
        <v>8</v>
      </c>
      <c r="F675" s="101">
        <v>52</v>
      </c>
      <c r="G675" s="101">
        <v>-14</v>
      </c>
      <c r="H675" s="101">
        <v>-3</v>
      </c>
      <c r="I675" s="102">
        <v>0.81</v>
      </c>
      <c r="J675" s="102">
        <v>2.25</v>
      </c>
      <c r="K675" s="101">
        <v>15.4</v>
      </c>
      <c r="L675" s="101">
        <v>0.9</v>
      </c>
      <c r="M675" s="101" t="s">
        <v>1091</v>
      </c>
      <c r="N675" s="101">
        <v>2008</v>
      </c>
      <c r="O675" s="101" t="s">
        <v>685</v>
      </c>
      <c r="P675" s="101">
        <v>169060</v>
      </c>
      <c r="Q675" t="s">
        <v>868</v>
      </c>
      <c r="R675" t="s">
        <v>138</v>
      </c>
      <c r="S675"/>
      <c r="T675"/>
      <c r="U675"/>
      <c r="V675" s="222"/>
    </row>
    <row r="676" spans="1:22" x14ac:dyDescent="0.2">
      <c r="A676" t="s">
        <v>650</v>
      </c>
      <c r="B676" s="101">
        <v>5</v>
      </c>
      <c r="C676" s="101">
        <v>-4</v>
      </c>
      <c r="D676" s="101">
        <v>5</v>
      </c>
      <c r="E676" s="101">
        <v>-12</v>
      </c>
      <c r="F676" s="101">
        <v>2</v>
      </c>
      <c r="G676" s="101">
        <v>-14</v>
      </c>
      <c r="H676" s="101">
        <v>-3</v>
      </c>
      <c r="I676" s="102">
        <v>0.81</v>
      </c>
      <c r="J676" s="102">
        <v>2.25</v>
      </c>
      <c r="K676" s="101">
        <v>15.7</v>
      </c>
      <c r="L676" s="101">
        <v>0.1</v>
      </c>
      <c r="M676" s="101" t="s">
        <v>1091</v>
      </c>
      <c r="N676" s="101">
        <v>2001</v>
      </c>
      <c r="O676" s="101" t="s">
        <v>685</v>
      </c>
      <c r="P676" s="101">
        <v>166173</v>
      </c>
      <c r="Q676" t="s">
        <v>868</v>
      </c>
      <c r="R676" t="s">
        <v>138</v>
      </c>
      <c r="S676"/>
      <c r="T676"/>
      <c r="U676"/>
      <c r="V676" s="222"/>
    </row>
    <row r="677" spans="1:22" x14ac:dyDescent="0.2">
      <c r="A677" t="s">
        <v>649</v>
      </c>
      <c r="B677" s="101">
        <v>8</v>
      </c>
      <c r="C677" s="101">
        <v>-7</v>
      </c>
      <c r="D677" s="101">
        <v>7</v>
      </c>
      <c r="E677" s="101">
        <v>-21</v>
      </c>
      <c r="F677" s="101">
        <v>-14</v>
      </c>
      <c r="G677" s="101">
        <v>-23</v>
      </c>
      <c r="H677" s="101">
        <v>-5.2</v>
      </c>
      <c r="I677" s="102">
        <v>0.81</v>
      </c>
      <c r="J677" s="102">
        <v>2.25</v>
      </c>
      <c r="K677" s="101">
        <v>21.6</v>
      </c>
      <c r="L677" s="101">
        <v>-0.1</v>
      </c>
      <c r="M677" s="101" t="s">
        <v>1091</v>
      </c>
      <c r="N677" s="101">
        <v>2006</v>
      </c>
      <c r="O677" s="101" t="s">
        <v>685</v>
      </c>
      <c r="P677" s="101">
        <v>233460</v>
      </c>
      <c r="Q677" t="s">
        <v>868</v>
      </c>
      <c r="R677" t="s">
        <v>138</v>
      </c>
      <c r="S677"/>
      <c r="T677"/>
      <c r="U677"/>
      <c r="V677" s="222"/>
    </row>
    <row r="678" spans="1:22" x14ac:dyDescent="0.2">
      <c r="A678" t="s">
        <v>1067</v>
      </c>
      <c r="B678" s="101">
        <v>2</v>
      </c>
      <c r="C678" s="101">
        <v>-13</v>
      </c>
      <c r="D678" s="101">
        <v>1</v>
      </c>
      <c r="E678" s="101">
        <v>-23</v>
      </c>
      <c r="F678" s="101">
        <v>12</v>
      </c>
      <c r="G678" s="101">
        <v>-40</v>
      </c>
      <c r="H678" s="101">
        <v>-9.6</v>
      </c>
      <c r="I678" s="102">
        <v>0.81</v>
      </c>
      <c r="J678" s="102">
        <v>2.25</v>
      </c>
      <c r="K678" s="101">
        <v>22.3</v>
      </c>
      <c r="L678" s="101">
        <v>0.2</v>
      </c>
      <c r="M678" s="101" t="s">
        <v>1089</v>
      </c>
      <c r="N678" s="101">
        <v>2011</v>
      </c>
      <c r="O678" s="101" t="s">
        <v>685</v>
      </c>
      <c r="P678" s="101">
        <v>990028</v>
      </c>
      <c r="Q678" t="s">
        <v>868</v>
      </c>
      <c r="R678" t="s">
        <v>218</v>
      </c>
      <c r="S678"/>
      <c r="T678"/>
      <c r="U678"/>
      <c r="V678" s="222"/>
    </row>
    <row r="679" spans="1:22" x14ac:dyDescent="0.2">
      <c r="A679" t="s">
        <v>339</v>
      </c>
      <c r="B679" s="101">
        <v>1</v>
      </c>
      <c r="C679" s="101">
        <v>-8</v>
      </c>
      <c r="D679" s="101">
        <v>2</v>
      </c>
      <c r="E679" s="101">
        <v>-14</v>
      </c>
      <c r="F679" s="101">
        <v>8</v>
      </c>
      <c r="G679" s="101"/>
      <c r="H679" s="101"/>
      <c r="I679" s="102">
        <v>0.81</v>
      </c>
      <c r="J679" s="102">
        <v>2.25</v>
      </c>
      <c r="K679" s="101">
        <v>14.8</v>
      </c>
      <c r="L679" s="101">
        <v>0.2</v>
      </c>
      <c r="M679" s="101" t="s">
        <v>1091</v>
      </c>
      <c r="N679" s="101">
        <v>2011</v>
      </c>
      <c r="O679" s="101" t="s">
        <v>685</v>
      </c>
      <c r="P679" s="101">
        <v>161687</v>
      </c>
      <c r="Q679" t="s">
        <v>868</v>
      </c>
      <c r="R679" t="s">
        <v>168</v>
      </c>
      <c r="S679"/>
      <c r="T679"/>
      <c r="U679"/>
      <c r="V679" s="222"/>
    </row>
    <row r="680" spans="1:22" x14ac:dyDescent="0.2">
      <c r="A680" t="s">
        <v>1109</v>
      </c>
      <c r="B680" s="101"/>
      <c r="C680" s="101"/>
      <c r="D680" s="101"/>
      <c r="E680" s="101"/>
      <c r="F680" s="101"/>
      <c r="G680" s="101"/>
      <c r="H680" s="101"/>
      <c r="I680" s="102">
        <v>0.89</v>
      </c>
      <c r="J680" s="102">
        <v>2.25</v>
      </c>
      <c r="K680" s="101"/>
      <c r="L680" s="101"/>
      <c r="M680" s="101" t="s">
        <v>1088</v>
      </c>
      <c r="N680" s="101">
        <v>2012</v>
      </c>
      <c r="O680" s="101" t="s">
        <v>806</v>
      </c>
      <c r="P680" s="101">
        <v>482919</v>
      </c>
      <c r="Q680" t="s">
        <v>1054</v>
      </c>
      <c r="R680" t="s">
        <v>152</v>
      </c>
      <c r="S680"/>
      <c r="T680"/>
      <c r="U680"/>
      <c r="V680" s="222"/>
    </row>
    <row r="681" spans="1:22" x14ac:dyDescent="0.2">
      <c r="A681" t="s">
        <v>1056</v>
      </c>
      <c r="B681" s="101">
        <v>-3</v>
      </c>
      <c r="C681" s="101">
        <v>-3</v>
      </c>
      <c r="D681" s="101">
        <v>-3</v>
      </c>
      <c r="E681" s="101"/>
      <c r="F681" s="101"/>
      <c r="G681" s="101"/>
      <c r="H681" s="101"/>
      <c r="I681" s="102">
        <v>0.89</v>
      </c>
      <c r="J681" s="102">
        <v>2.25</v>
      </c>
      <c r="K681" s="101"/>
      <c r="L681" s="101"/>
      <c r="M681" s="101" t="s">
        <v>1088</v>
      </c>
      <c r="N681" s="101">
        <v>2011</v>
      </c>
      <c r="O681" s="101" t="s">
        <v>806</v>
      </c>
      <c r="P681" s="101">
        <v>691220</v>
      </c>
      <c r="Q681" t="s">
        <v>1054</v>
      </c>
      <c r="R681" t="s">
        <v>314</v>
      </c>
      <c r="S681"/>
      <c r="T681"/>
      <c r="U681"/>
      <c r="V681" s="222"/>
    </row>
    <row r="682" spans="1:22" x14ac:dyDescent="0.2">
      <c r="A682" t="s">
        <v>1053</v>
      </c>
      <c r="B682" s="101">
        <v>-2</v>
      </c>
      <c r="C682" s="101">
        <v>-3</v>
      </c>
      <c r="D682" s="101">
        <v>-2</v>
      </c>
      <c r="E682" s="101"/>
      <c r="F682" s="101"/>
      <c r="G682" s="101"/>
      <c r="H682" s="101"/>
      <c r="I682" s="102">
        <v>0.89</v>
      </c>
      <c r="J682" s="102">
        <v>2.25</v>
      </c>
      <c r="K682" s="101"/>
      <c r="L682" s="101"/>
      <c r="M682" s="101" t="s">
        <v>1088</v>
      </c>
      <c r="N682" s="101">
        <v>2011</v>
      </c>
      <c r="O682" s="101" t="s">
        <v>806</v>
      </c>
      <c r="P682" s="101">
        <v>727057</v>
      </c>
      <c r="Q682" t="s">
        <v>1054</v>
      </c>
      <c r="R682" t="s">
        <v>314</v>
      </c>
      <c r="S682"/>
      <c r="T682"/>
      <c r="U682"/>
      <c r="V682" s="222"/>
    </row>
    <row r="683" spans="1:22" x14ac:dyDescent="0.2">
      <c r="A683" t="s">
        <v>1055</v>
      </c>
      <c r="B683" s="101">
        <v>-1</v>
      </c>
      <c r="C683" s="101">
        <v>-2</v>
      </c>
      <c r="D683" s="101">
        <v>-1</v>
      </c>
      <c r="E683" s="101"/>
      <c r="F683" s="101"/>
      <c r="G683" s="101"/>
      <c r="H683" s="101"/>
      <c r="I683" s="102">
        <v>0.89</v>
      </c>
      <c r="J683" s="102">
        <v>2.25</v>
      </c>
      <c r="K683" s="101"/>
      <c r="L683" s="101"/>
      <c r="M683" s="101" t="s">
        <v>1088</v>
      </c>
      <c r="N683" s="101">
        <v>2011</v>
      </c>
      <c r="O683" s="101" t="s">
        <v>806</v>
      </c>
      <c r="P683" s="101">
        <v>615310</v>
      </c>
      <c r="Q683" t="s">
        <v>1054</v>
      </c>
      <c r="R683" t="s">
        <v>314</v>
      </c>
      <c r="S683"/>
      <c r="T683"/>
      <c r="U683"/>
      <c r="V683" s="222"/>
    </row>
    <row r="684" spans="1:22" x14ac:dyDescent="0.2">
      <c r="A684" t="s">
        <v>630</v>
      </c>
      <c r="B684" s="101">
        <v>-14</v>
      </c>
      <c r="C684" s="101">
        <v>-15</v>
      </c>
      <c r="D684" s="101">
        <v>-14</v>
      </c>
      <c r="E684" s="101">
        <v>-47</v>
      </c>
      <c r="F684" s="101">
        <v>-47</v>
      </c>
      <c r="G684" s="101"/>
      <c r="H684" s="101"/>
      <c r="I684" s="102">
        <v>0.9</v>
      </c>
      <c r="J684" s="102">
        <v>2.2599999999999998</v>
      </c>
      <c r="K684" s="101">
        <v>19.8</v>
      </c>
      <c r="L684" s="101">
        <v>-1</v>
      </c>
      <c r="M684" s="101" t="s">
        <v>1089</v>
      </c>
      <c r="N684" s="101">
        <v>2010</v>
      </c>
      <c r="O684" s="101" t="s">
        <v>685</v>
      </c>
      <c r="P684" s="101">
        <v>645713</v>
      </c>
      <c r="Q684" t="s">
        <v>628</v>
      </c>
      <c r="R684" t="s">
        <v>168</v>
      </c>
      <c r="S684"/>
      <c r="T684"/>
      <c r="U684"/>
      <c r="V684" s="222"/>
    </row>
    <row r="685" spans="1:22" x14ac:dyDescent="0.2">
      <c r="A685" t="s">
        <v>1126</v>
      </c>
      <c r="B685" s="101">
        <v>7</v>
      </c>
      <c r="C685" s="101">
        <v>-6</v>
      </c>
      <c r="D685" s="101">
        <v>7</v>
      </c>
      <c r="E685" s="101">
        <v>-17</v>
      </c>
      <c r="F685" s="101"/>
      <c r="G685" s="101"/>
      <c r="H685" s="101"/>
      <c r="I685" s="102">
        <v>0.89</v>
      </c>
      <c r="J685" s="102">
        <v>2.2713000000000001</v>
      </c>
      <c r="K685" s="101"/>
      <c r="L685" s="101"/>
      <c r="M685" s="101" t="s">
        <v>1089</v>
      </c>
      <c r="N685" s="101">
        <v>2012</v>
      </c>
      <c r="O685" s="101" t="s">
        <v>685</v>
      </c>
      <c r="P685" s="101">
        <v>666313</v>
      </c>
      <c r="Q685" t="s">
        <v>1127</v>
      </c>
      <c r="R685" t="s">
        <v>218</v>
      </c>
      <c r="S685"/>
      <c r="T685"/>
      <c r="U685"/>
      <c r="V685" s="222"/>
    </row>
    <row r="686" spans="1:22" x14ac:dyDescent="0.2">
      <c r="A686" t="s">
        <v>945</v>
      </c>
      <c r="B686" s="101">
        <v>0</v>
      </c>
      <c r="C686" s="101">
        <v>-10</v>
      </c>
      <c r="D686" s="101">
        <v>0</v>
      </c>
      <c r="E686" s="101">
        <v>-5</v>
      </c>
      <c r="F686" s="101">
        <v>0</v>
      </c>
      <c r="G686" s="101"/>
      <c r="H686" s="101"/>
      <c r="I686" s="102">
        <v>0.9</v>
      </c>
      <c r="J686" s="102">
        <v>2.2799999999999998</v>
      </c>
      <c r="K686" s="101">
        <v>14.1</v>
      </c>
      <c r="L686" s="101">
        <v>0</v>
      </c>
      <c r="M686" s="101" t="s">
        <v>1089</v>
      </c>
      <c r="N686" s="101">
        <v>2009</v>
      </c>
      <c r="O686" s="101" t="s">
        <v>685</v>
      </c>
      <c r="P686" s="101">
        <v>541292</v>
      </c>
      <c r="Q686" t="s">
        <v>946</v>
      </c>
      <c r="R686" t="s">
        <v>168</v>
      </c>
      <c r="S686"/>
      <c r="T686"/>
      <c r="U686"/>
      <c r="V686" s="222"/>
    </row>
    <row r="687" spans="1:22" x14ac:dyDescent="0.2">
      <c r="A687" t="s">
        <v>1101</v>
      </c>
      <c r="B687" s="101">
        <v>-4</v>
      </c>
      <c r="C687" s="101">
        <v>-2</v>
      </c>
      <c r="D687" s="101">
        <v>-4</v>
      </c>
      <c r="E687" s="101">
        <v>-5</v>
      </c>
      <c r="F687" s="101"/>
      <c r="G687" s="101"/>
      <c r="H687" s="101"/>
      <c r="I687" s="102">
        <v>0.97</v>
      </c>
      <c r="J687" s="102">
        <v>2.2799999999999998</v>
      </c>
      <c r="K687" s="101"/>
      <c r="L687" s="101"/>
      <c r="M687" s="101" t="s">
        <v>1088</v>
      </c>
      <c r="N687" s="101">
        <v>2010</v>
      </c>
      <c r="O687" s="101" t="s">
        <v>685</v>
      </c>
      <c r="P687" s="101">
        <v>237008</v>
      </c>
      <c r="Q687" t="s">
        <v>486</v>
      </c>
      <c r="R687" t="s">
        <v>152</v>
      </c>
      <c r="S687"/>
      <c r="T687"/>
      <c r="U687"/>
      <c r="V687" s="222"/>
    </row>
    <row r="688" spans="1:22" x14ac:dyDescent="0.2">
      <c r="A688" t="s">
        <v>794</v>
      </c>
      <c r="B688" s="101">
        <v>2</v>
      </c>
      <c r="C688" s="101">
        <v>-1</v>
      </c>
      <c r="D688" s="101">
        <v>2</v>
      </c>
      <c r="E688" s="101">
        <v>-5</v>
      </c>
      <c r="F688" s="101"/>
      <c r="G688" s="101"/>
      <c r="H688" s="101"/>
      <c r="I688" s="102">
        <v>0.87</v>
      </c>
      <c r="J688" s="102">
        <v>2.29</v>
      </c>
      <c r="K688" s="101"/>
      <c r="L688" s="101"/>
      <c r="M688" s="101" t="s">
        <v>1088</v>
      </c>
      <c r="N688" s="101">
        <v>2010</v>
      </c>
      <c r="O688" s="101" t="s">
        <v>806</v>
      </c>
      <c r="P688" s="101">
        <v>590463</v>
      </c>
      <c r="Q688" t="s">
        <v>786</v>
      </c>
      <c r="R688" t="s">
        <v>314</v>
      </c>
      <c r="S688"/>
      <c r="T688"/>
      <c r="U688"/>
      <c r="V688" s="222"/>
    </row>
    <row r="689" spans="1:22" x14ac:dyDescent="0.2">
      <c r="A689" t="s">
        <v>631</v>
      </c>
      <c r="B689" s="101">
        <v>1</v>
      </c>
      <c r="C689" s="101">
        <v>-13</v>
      </c>
      <c r="D689" s="101">
        <v>0</v>
      </c>
      <c r="E689" s="101">
        <v>-20</v>
      </c>
      <c r="F689" s="101">
        <v>-6</v>
      </c>
      <c r="G689" s="101"/>
      <c r="H689" s="101"/>
      <c r="I689" s="102">
        <v>0.6</v>
      </c>
      <c r="J689" s="102">
        <v>2.2999999999999998</v>
      </c>
      <c r="K689" s="101">
        <v>16.399999999999999</v>
      </c>
      <c r="L689" s="101">
        <v>-0.1</v>
      </c>
      <c r="M689" s="101" t="s">
        <v>1089</v>
      </c>
      <c r="N689" s="101">
        <v>2010</v>
      </c>
      <c r="O689" s="101" t="s">
        <v>685</v>
      </c>
      <c r="P689" s="101">
        <v>681544</v>
      </c>
      <c r="Q689" t="s">
        <v>628</v>
      </c>
      <c r="R689" t="s">
        <v>168</v>
      </c>
      <c r="S689"/>
      <c r="T689"/>
      <c r="U689"/>
      <c r="V689" s="222"/>
    </row>
    <row r="690" spans="1:22" x14ac:dyDescent="0.2">
      <c r="A690" t="s">
        <v>1031</v>
      </c>
      <c r="B690" s="101">
        <v>4</v>
      </c>
      <c r="C690" s="101">
        <v>-6</v>
      </c>
      <c r="D690" s="101">
        <v>4</v>
      </c>
      <c r="E690" s="101">
        <v>-4</v>
      </c>
      <c r="F690" s="101">
        <v>19</v>
      </c>
      <c r="G690" s="101"/>
      <c r="H690" s="101"/>
      <c r="I690" s="102">
        <v>0.85</v>
      </c>
      <c r="J690" s="102">
        <v>2.2999999999999998</v>
      </c>
      <c r="K690" s="101">
        <v>12.4</v>
      </c>
      <c r="L690" s="101">
        <v>0.4</v>
      </c>
      <c r="M690" s="101" t="s">
        <v>1088</v>
      </c>
      <c r="N690" s="101">
        <v>2011</v>
      </c>
      <c r="O690" s="101" t="s">
        <v>806</v>
      </c>
      <c r="P690" s="101">
        <v>374835</v>
      </c>
      <c r="Q690" t="s">
        <v>846</v>
      </c>
      <c r="R690" t="s">
        <v>152</v>
      </c>
      <c r="S690"/>
      <c r="T690"/>
      <c r="U690"/>
      <c r="V690" s="222"/>
    </row>
    <row r="691" spans="1:22" x14ac:dyDescent="0.2">
      <c r="A691" t="s">
        <v>990</v>
      </c>
      <c r="B691" s="101">
        <v>2</v>
      </c>
      <c r="C691" s="101">
        <v>-5</v>
      </c>
      <c r="D691" s="101">
        <v>3</v>
      </c>
      <c r="E691" s="101"/>
      <c r="F691" s="101"/>
      <c r="G691" s="101"/>
      <c r="H691" s="101"/>
      <c r="I691" s="102">
        <v>0.56000000000000005</v>
      </c>
      <c r="J691" s="102">
        <v>2.3079420000000002</v>
      </c>
      <c r="K691" s="101"/>
      <c r="L691" s="101"/>
      <c r="M691" s="101" t="s">
        <v>1088</v>
      </c>
      <c r="N691" s="101">
        <v>2011</v>
      </c>
      <c r="O691" s="101" t="s">
        <v>685</v>
      </c>
      <c r="P691" s="101">
        <v>983940</v>
      </c>
      <c r="Q691" t="s">
        <v>411</v>
      </c>
      <c r="R691" t="s">
        <v>314</v>
      </c>
      <c r="S691"/>
      <c r="T691"/>
      <c r="U691"/>
      <c r="V691" s="222"/>
    </row>
    <row r="692" spans="1:22" x14ac:dyDescent="0.2">
      <c r="A692" t="s">
        <v>485</v>
      </c>
      <c r="B692" s="101">
        <v>6</v>
      </c>
      <c r="C692" s="101">
        <v>-6</v>
      </c>
      <c r="D692" s="101">
        <v>6</v>
      </c>
      <c r="E692" s="101">
        <v>-5</v>
      </c>
      <c r="F692" s="101">
        <v>17</v>
      </c>
      <c r="G692" s="101">
        <v>-21</v>
      </c>
      <c r="H692" s="101">
        <v>-4.5999999999999996</v>
      </c>
      <c r="I692" s="102">
        <v>0.92</v>
      </c>
      <c r="J692" s="102">
        <v>2.35</v>
      </c>
      <c r="K692" s="101">
        <v>11</v>
      </c>
      <c r="L692" s="101">
        <v>0.5</v>
      </c>
      <c r="M692" s="101" t="s">
        <v>1089</v>
      </c>
      <c r="N692" s="101">
        <v>2007</v>
      </c>
      <c r="O692" s="101" t="s">
        <v>685</v>
      </c>
      <c r="P692" s="101">
        <v>299636</v>
      </c>
      <c r="Q692" t="s">
        <v>376</v>
      </c>
      <c r="R692" t="s">
        <v>152</v>
      </c>
      <c r="S692"/>
      <c r="T692"/>
      <c r="U692"/>
      <c r="V692" s="222"/>
    </row>
    <row r="693" spans="1:22" x14ac:dyDescent="0.2">
      <c r="A693" t="s">
        <v>1128</v>
      </c>
      <c r="B693" s="101"/>
      <c r="C693" s="101"/>
      <c r="D693" s="101"/>
      <c r="E693" s="101"/>
      <c r="F693" s="101"/>
      <c r="G693" s="101"/>
      <c r="H693" s="101"/>
      <c r="I693" s="102">
        <v>0.92</v>
      </c>
      <c r="J693" s="102">
        <v>2.35</v>
      </c>
      <c r="K693" s="101"/>
      <c r="L693" s="101"/>
      <c r="M693" s="101" t="s">
        <v>1088</v>
      </c>
      <c r="N693" s="101">
        <v>2012</v>
      </c>
      <c r="O693" s="101" t="s">
        <v>806</v>
      </c>
      <c r="P693" s="101">
        <v>925628</v>
      </c>
      <c r="Q693" t="s">
        <v>1129</v>
      </c>
      <c r="R693" t="s">
        <v>678</v>
      </c>
      <c r="S693"/>
      <c r="T693"/>
      <c r="U693"/>
      <c r="V693" s="222"/>
    </row>
    <row r="694" spans="1:22" x14ac:dyDescent="0.2">
      <c r="A694" t="s">
        <v>993</v>
      </c>
      <c r="B694" s="101">
        <v>2</v>
      </c>
      <c r="C694" s="101">
        <v>-13</v>
      </c>
      <c r="D694" s="101">
        <v>0</v>
      </c>
      <c r="E694" s="101">
        <v>-33</v>
      </c>
      <c r="F694" s="101">
        <v>-19</v>
      </c>
      <c r="G694" s="101"/>
      <c r="H694" s="101"/>
      <c r="I694" s="102">
        <v>0.92</v>
      </c>
      <c r="J694" s="102">
        <v>2.3506</v>
      </c>
      <c r="K694" s="101">
        <v>21.5</v>
      </c>
      <c r="L694" s="101">
        <v>-0.3</v>
      </c>
      <c r="M694" s="101" t="s">
        <v>1089</v>
      </c>
      <c r="N694" s="101">
        <v>2010</v>
      </c>
      <c r="O694" s="101" t="s">
        <v>685</v>
      </c>
      <c r="P694" s="101">
        <v>717371</v>
      </c>
      <c r="Q694" t="s">
        <v>628</v>
      </c>
      <c r="R694" t="s">
        <v>218</v>
      </c>
      <c r="S694"/>
      <c r="T694"/>
      <c r="U694"/>
      <c r="V694" s="222"/>
    </row>
    <row r="695" spans="1:22" x14ac:dyDescent="0.2">
      <c r="A695" t="s">
        <v>632</v>
      </c>
      <c r="B695" s="101">
        <v>22</v>
      </c>
      <c r="C695" s="101">
        <v>-1</v>
      </c>
      <c r="D695" s="101">
        <v>23</v>
      </c>
      <c r="E695" s="101">
        <v>-20</v>
      </c>
      <c r="F695" s="101">
        <v>-15</v>
      </c>
      <c r="G695" s="101"/>
      <c r="H695" s="101"/>
      <c r="I695" s="102">
        <v>0.92</v>
      </c>
      <c r="J695" s="102">
        <v>2.3576999999999999</v>
      </c>
      <c r="K695" s="101">
        <v>23.9</v>
      </c>
      <c r="L695" s="101">
        <v>-0.2</v>
      </c>
      <c r="M695" s="101" t="s">
        <v>1089</v>
      </c>
      <c r="N695" s="101">
        <v>2010</v>
      </c>
      <c r="O695" s="101" t="s">
        <v>685</v>
      </c>
      <c r="P695" s="101">
        <v>753202</v>
      </c>
      <c r="Q695" t="s">
        <v>628</v>
      </c>
      <c r="R695" t="s">
        <v>218</v>
      </c>
      <c r="S695"/>
      <c r="T695"/>
      <c r="U695"/>
      <c r="V695" s="222"/>
    </row>
    <row r="696" spans="1:22" x14ac:dyDescent="0.2">
      <c r="A696" t="s">
        <v>936</v>
      </c>
      <c r="B696" s="101">
        <v>3</v>
      </c>
      <c r="C696" s="101">
        <v>-3</v>
      </c>
      <c r="D696" s="101">
        <v>2</v>
      </c>
      <c r="E696" s="101">
        <v>-22</v>
      </c>
      <c r="F696" s="101">
        <v>30</v>
      </c>
      <c r="G696" s="101">
        <v>-43</v>
      </c>
      <c r="H696" s="101">
        <v>-10.6</v>
      </c>
      <c r="I696" s="102">
        <v>0.92</v>
      </c>
      <c r="J696" s="102">
        <v>2.36</v>
      </c>
      <c r="K696" s="101">
        <v>19.399999999999999</v>
      </c>
      <c r="L696" s="101">
        <v>0.5</v>
      </c>
      <c r="M696" s="101" t="s">
        <v>1089</v>
      </c>
      <c r="N696" s="101">
        <v>2010</v>
      </c>
      <c r="O696" s="101" t="s">
        <v>685</v>
      </c>
      <c r="P696" s="101">
        <v>772038</v>
      </c>
      <c r="Q696" t="s">
        <v>937</v>
      </c>
      <c r="R696" t="s">
        <v>218</v>
      </c>
      <c r="S696"/>
      <c r="T696"/>
      <c r="U696"/>
      <c r="V696" s="222"/>
    </row>
    <row r="697" spans="1:22" x14ac:dyDescent="0.2">
      <c r="A697" t="s">
        <v>268</v>
      </c>
      <c r="B697" s="101">
        <v>10</v>
      </c>
      <c r="C697" s="101">
        <v>-3</v>
      </c>
      <c r="D697" s="101">
        <v>9</v>
      </c>
      <c r="E697" s="101">
        <v>-21</v>
      </c>
      <c r="F697" s="101">
        <v>-2</v>
      </c>
      <c r="G697" s="101">
        <v>-49</v>
      </c>
      <c r="H697" s="101">
        <v>-12.7</v>
      </c>
      <c r="I697" s="102">
        <v>0.93</v>
      </c>
      <c r="J697" s="102">
        <v>2.36</v>
      </c>
      <c r="K697" s="101">
        <v>22.3</v>
      </c>
      <c r="L697" s="101">
        <v>0</v>
      </c>
      <c r="M697" s="101" t="s">
        <v>1089</v>
      </c>
      <c r="N697" s="101">
        <v>2004</v>
      </c>
      <c r="O697" s="101" t="s">
        <v>685</v>
      </c>
      <c r="P697" s="101">
        <v>288183</v>
      </c>
      <c r="Q697" t="s">
        <v>809</v>
      </c>
      <c r="R697" t="s">
        <v>218</v>
      </c>
      <c r="S697"/>
      <c r="T697"/>
      <c r="U697"/>
      <c r="V697" s="222"/>
    </row>
    <row r="698" spans="1:22" x14ac:dyDescent="0.2">
      <c r="A698" t="s">
        <v>1082</v>
      </c>
      <c r="B698" s="101">
        <v>4</v>
      </c>
      <c r="C698" s="101">
        <v>-3</v>
      </c>
      <c r="D698" s="101">
        <v>4</v>
      </c>
      <c r="E698" s="101">
        <v>-5</v>
      </c>
      <c r="F698" s="101">
        <v>2</v>
      </c>
      <c r="G698" s="101">
        <v>5</v>
      </c>
      <c r="H698" s="101">
        <v>0.9</v>
      </c>
      <c r="I698" s="102">
        <v>0.77</v>
      </c>
      <c r="J698" s="102">
        <v>2.39</v>
      </c>
      <c r="K698" s="101">
        <v>15.2</v>
      </c>
      <c r="L698" s="101">
        <v>0.1</v>
      </c>
      <c r="M698" s="101" t="s">
        <v>1089</v>
      </c>
      <c r="N698" s="101">
        <v>2006</v>
      </c>
      <c r="O698" s="101" t="s">
        <v>685</v>
      </c>
      <c r="P698" s="101">
        <v>218297</v>
      </c>
      <c r="Q698" t="s">
        <v>411</v>
      </c>
      <c r="R698" t="s">
        <v>138</v>
      </c>
      <c r="S698"/>
      <c r="T698"/>
      <c r="U698"/>
      <c r="V698" s="222"/>
    </row>
    <row r="699" spans="1:22" x14ac:dyDescent="0.2">
      <c r="A699" t="s">
        <v>220</v>
      </c>
      <c r="B699" s="101">
        <v>5</v>
      </c>
      <c r="C699" s="101">
        <v>-7</v>
      </c>
      <c r="D699" s="101">
        <v>4</v>
      </c>
      <c r="E699" s="101">
        <v>-26</v>
      </c>
      <c r="F699" s="101">
        <v>-4</v>
      </c>
      <c r="G699" s="101">
        <v>-45</v>
      </c>
      <c r="H699" s="101">
        <v>-11.4</v>
      </c>
      <c r="I699" s="102">
        <v>0.88</v>
      </c>
      <c r="J699" s="102">
        <v>2.39</v>
      </c>
      <c r="K699" s="101">
        <v>22.1</v>
      </c>
      <c r="L699" s="101">
        <v>0</v>
      </c>
      <c r="M699" s="101" t="s">
        <v>1089</v>
      </c>
      <c r="N699" s="101">
        <v>2001</v>
      </c>
      <c r="O699" s="101" t="s">
        <v>685</v>
      </c>
      <c r="P699" s="101">
        <v>779538</v>
      </c>
      <c r="Q699" t="s">
        <v>94</v>
      </c>
      <c r="R699" t="s">
        <v>218</v>
      </c>
      <c r="S699"/>
      <c r="T699"/>
      <c r="U699"/>
      <c r="V699" s="222"/>
    </row>
    <row r="700" spans="1:22" x14ac:dyDescent="0.2">
      <c r="A700" t="s">
        <v>853</v>
      </c>
      <c r="B700" s="101">
        <v>3</v>
      </c>
      <c r="C700" s="101">
        <v>-6</v>
      </c>
      <c r="D700" s="101">
        <v>4</v>
      </c>
      <c r="E700" s="101">
        <v>-10</v>
      </c>
      <c r="F700" s="101">
        <v>12</v>
      </c>
      <c r="G700" s="101">
        <v>-10</v>
      </c>
      <c r="H700" s="101">
        <v>-2</v>
      </c>
      <c r="I700" s="102">
        <v>0.88</v>
      </c>
      <c r="J700" s="102">
        <v>2.4</v>
      </c>
      <c r="K700" s="101">
        <v>16.2</v>
      </c>
      <c r="L700" s="101">
        <v>0.2</v>
      </c>
      <c r="M700" s="101" t="s">
        <v>1091</v>
      </c>
      <c r="N700" s="101">
        <v>2005</v>
      </c>
      <c r="O700" s="101" t="s">
        <v>685</v>
      </c>
      <c r="P700" s="101">
        <v>980466</v>
      </c>
      <c r="Q700" t="s">
        <v>94</v>
      </c>
      <c r="R700" t="s">
        <v>168</v>
      </c>
      <c r="S700"/>
      <c r="T700"/>
      <c r="U700"/>
      <c r="V700" s="222"/>
    </row>
    <row r="701" spans="1:22" x14ac:dyDescent="0.2">
      <c r="A701" t="s">
        <v>149</v>
      </c>
      <c r="B701" s="101">
        <v>3</v>
      </c>
      <c r="C701" s="101">
        <v>-3</v>
      </c>
      <c r="D701" s="101">
        <v>3</v>
      </c>
      <c r="E701" s="101">
        <v>-14</v>
      </c>
      <c r="F701" s="101">
        <v>-12</v>
      </c>
      <c r="G701" s="101">
        <v>-11</v>
      </c>
      <c r="H701" s="101">
        <v>-2.2999999999999998</v>
      </c>
      <c r="I701" s="102">
        <v>0.88</v>
      </c>
      <c r="J701" s="102">
        <v>2.4</v>
      </c>
      <c r="K701" s="101">
        <v>17.3</v>
      </c>
      <c r="L701" s="101">
        <v>-0.2</v>
      </c>
      <c r="M701" s="101" t="s">
        <v>1091</v>
      </c>
      <c r="N701" s="101">
        <v>2005</v>
      </c>
      <c r="O701" s="101" t="s">
        <v>685</v>
      </c>
      <c r="P701" s="101">
        <v>908806</v>
      </c>
      <c r="Q701" t="s">
        <v>94</v>
      </c>
      <c r="R701" t="s">
        <v>381</v>
      </c>
      <c r="S701"/>
      <c r="T701"/>
      <c r="U701"/>
      <c r="V701" s="222"/>
    </row>
    <row r="702" spans="1:22" x14ac:dyDescent="0.2">
      <c r="A702" t="s">
        <v>772</v>
      </c>
      <c r="B702" s="101">
        <v>-12</v>
      </c>
      <c r="C702" s="101">
        <v>-20</v>
      </c>
      <c r="D702" s="101">
        <v>-10</v>
      </c>
      <c r="E702" s="101">
        <v>-25</v>
      </c>
      <c r="F702" s="101">
        <v>-7</v>
      </c>
      <c r="G702" s="101">
        <v>-26</v>
      </c>
      <c r="H702" s="101">
        <v>-5.9</v>
      </c>
      <c r="I702" s="102">
        <v>0.88</v>
      </c>
      <c r="J702" s="102">
        <v>2.4</v>
      </c>
      <c r="K702" s="101">
        <v>21.7</v>
      </c>
      <c r="L702" s="101">
        <v>0</v>
      </c>
      <c r="M702" s="101" t="s">
        <v>1091</v>
      </c>
      <c r="N702" s="101">
        <v>2008</v>
      </c>
      <c r="O702" s="101" t="s">
        <v>685</v>
      </c>
      <c r="P702" s="101">
        <v>806091</v>
      </c>
      <c r="Q702" t="s">
        <v>94</v>
      </c>
      <c r="R702" t="s">
        <v>250</v>
      </c>
      <c r="S702"/>
      <c r="T702"/>
      <c r="U702"/>
      <c r="V702" s="222"/>
    </row>
    <row r="703" spans="1:22" x14ac:dyDescent="0.2">
      <c r="A703" t="s">
        <v>854</v>
      </c>
      <c r="B703" s="101">
        <v>-5</v>
      </c>
      <c r="C703" s="101">
        <v>-17</v>
      </c>
      <c r="D703" s="101">
        <v>-4</v>
      </c>
      <c r="E703" s="101">
        <v>-30</v>
      </c>
      <c r="F703" s="101">
        <v>4</v>
      </c>
      <c r="G703" s="101">
        <v>-32</v>
      </c>
      <c r="H703" s="101">
        <v>-7.4</v>
      </c>
      <c r="I703" s="102">
        <v>0.88</v>
      </c>
      <c r="J703" s="102">
        <v>2.4</v>
      </c>
      <c r="K703" s="101">
        <v>25.7</v>
      </c>
      <c r="L703" s="101">
        <v>0.1</v>
      </c>
      <c r="M703" s="101" t="s">
        <v>1091</v>
      </c>
      <c r="N703" s="101">
        <v>2008</v>
      </c>
      <c r="O703" s="101" t="s">
        <v>685</v>
      </c>
      <c r="P703" s="101">
        <v>770263</v>
      </c>
      <c r="Q703" t="s">
        <v>94</v>
      </c>
      <c r="R703" t="s">
        <v>382</v>
      </c>
      <c r="S703"/>
      <c r="T703"/>
      <c r="U703"/>
      <c r="V703" s="222"/>
    </row>
    <row r="704" spans="1:22" x14ac:dyDescent="0.2">
      <c r="A704" t="s">
        <v>484</v>
      </c>
      <c r="B704" s="101">
        <v>-1</v>
      </c>
      <c r="C704" s="101">
        <v>-9</v>
      </c>
      <c r="D704" s="101">
        <v>0</v>
      </c>
      <c r="E704" s="101">
        <v>-24</v>
      </c>
      <c r="F704" s="101">
        <v>-21</v>
      </c>
      <c r="G704" s="101"/>
      <c r="H704" s="101"/>
      <c r="I704" s="102">
        <v>0.88</v>
      </c>
      <c r="J704" s="102">
        <v>2.4</v>
      </c>
      <c r="K704" s="101">
        <v>16.8</v>
      </c>
      <c r="L704" s="101">
        <v>-0.4</v>
      </c>
      <c r="M704" s="101" t="s">
        <v>1091</v>
      </c>
      <c r="N704" s="101">
        <v>2010</v>
      </c>
      <c r="O704" s="101" t="s">
        <v>685</v>
      </c>
      <c r="P704" s="101">
        <v>807867</v>
      </c>
      <c r="Q704" t="s">
        <v>94</v>
      </c>
      <c r="R704" t="s">
        <v>168</v>
      </c>
      <c r="S704"/>
      <c r="T704"/>
      <c r="U704"/>
      <c r="V704" s="222"/>
    </row>
    <row r="705" spans="1:22" x14ac:dyDescent="0.2">
      <c r="A705" t="s">
        <v>481</v>
      </c>
      <c r="B705" s="101">
        <v>7</v>
      </c>
      <c r="C705" s="101">
        <v>-2</v>
      </c>
      <c r="D705" s="101">
        <v>7</v>
      </c>
      <c r="E705" s="101">
        <v>-1</v>
      </c>
      <c r="F705" s="101"/>
      <c r="G705" s="101"/>
      <c r="H705" s="101"/>
      <c r="I705" s="102">
        <v>3.62</v>
      </c>
      <c r="J705" s="102">
        <v>2.4028800000000001</v>
      </c>
      <c r="K705" s="101"/>
      <c r="L705" s="101"/>
      <c r="M705" s="101" t="s">
        <v>1088</v>
      </c>
      <c r="N705" s="101">
        <v>2011</v>
      </c>
      <c r="O705" s="101" t="s">
        <v>806</v>
      </c>
      <c r="P705" s="101">
        <v>456236</v>
      </c>
      <c r="Q705" t="s">
        <v>870</v>
      </c>
      <c r="R705" t="s">
        <v>291</v>
      </c>
      <c r="S705"/>
      <c r="T705"/>
      <c r="U705"/>
      <c r="V705" s="222"/>
    </row>
    <row r="706" spans="1:22" x14ac:dyDescent="0.2">
      <c r="A706" t="s">
        <v>235</v>
      </c>
      <c r="B706" s="101">
        <v>2</v>
      </c>
      <c r="C706" s="101">
        <v>-10</v>
      </c>
      <c r="D706" s="101">
        <v>2</v>
      </c>
      <c r="E706" s="101">
        <v>-31</v>
      </c>
      <c r="F706" s="101">
        <v>-30</v>
      </c>
      <c r="G706" s="101">
        <v>-72</v>
      </c>
      <c r="H706" s="101">
        <v>-22.6</v>
      </c>
      <c r="I706" s="102">
        <v>0.78</v>
      </c>
      <c r="J706" s="102">
        <v>2.4300000000000002</v>
      </c>
      <c r="K706" s="101">
        <v>19.600000000000001</v>
      </c>
      <c r="L706" s="101">
        <v>-0.6</v>
      </c>
      <c r="M706" s="101" t="s">
        <v>1088</v>
      </c>
      <c r="N706" s="101">
        <v>2004</v>
      </c>
      <c r="O706" s="101" t="s">
        <v>806</v>
      </c>
      <c r="P706" s="101">
        <v>872382</v>
      </c>
      <c r="Q706" t="s">
        <v>223</v>
      </c>
      <c r="R706" t="s">
        <v>218</v>
      </c>
      <c r="S706"/>
      <c r="T706"/>
      <c r="U706"/>
      <c r="V706" s="222"/>
    </row>
    <row r="707" spans="1:22" x14ac:dyDescent="0.2">
      <c r="A707" t="s">
        <v>224</v>
      </c>
      <c r="B707" s="101">
        <v>0</v>
      </c>
      <c r="C707" s="101">
        <v>-16</v>
      </c>
      <c r="D707" s="101">
        <v>0</v>
      </c>
      <c r="E707" s="101">
        <v>-22</v>
      </c>
      <c r="F707" s="101">
        <v>35</v>
      </c>
      <c r="G707" s="101">
        <v>-31</v>
      </c>
      <c r="H707" s="101">
        <v>-7.1</v>
      </c>
      <c r="I707" s="102">
        <v>0.79</v>
      </c>
      <c r="J707" s="102">
        <v>2.46</v>
      </c>
      <c r="K707" s="101">
        <v>26.8</v>
      </c>
      <c r="L707" s="101">
        <v>0.4</v>
      </c>
      <c r="M707" s="101" t="s">
        <v>1088</v>
      </c>
      <c r="N707" s="101">
        <v>2002</v>
      </c>
      <c r="O707" s="101" t="s">
        <v>806</v>
      </c>
      <c r="P707" s="101">
        <v>834788</v>
      </c>
      <c r="Q707" t="s">
        <v>223</v>
      </c>
      <c r="R707" t="s">
        <v>382</v>
      </c>
      <c r="S707"/>
      <c r="T707"/>
      <c r="U707"/>
      <c r="V707" s="222"/>
    </row>
    <row r="708" spans="1:22" x14ac:dyDescent="0.2">
      <c r="A708" t="s">
        <v>948</v>
      </c>
      <c r="B708" s="101">
        <v>-3</v>
      </c>
      <c r="C708" s="101">
        <v>-14</v>
      </c>
      <c r="D708" s="101">
        <v>-2</v>
      </c>
      <c r="E708" s="101">
        <v>-29</v>
      </c>
      <c r="F708" s="101">
        <v>22</v>
      </c>
      <c r="G708" s="101"/>
      <c r="H708" s="101"/>
      <c r="I708" s="102">
        <v>0.64</v>
      </c>
      <c r="J708" s="102">
        <v>2.46</v>
      </c>
      <c r="K708" s="101">
        <v>26.1</v>
      </c>
      <c r="L708" s="101">
        <v>0.3</v>
      </c>
      <c r="M708" s="101" t="s">
        <v>1088</v>
      </c>
      <c r="N708" s="101">
        <v>2009</v>
      </c>
      <c r="O708" s="101" t="s">
        <v>685</v>
      </c>
      <c r="P708" s="101">
        <v>390062</v>
      </c>
      <c r="Q708" t="s">
        <v>729</v>
      </c>
      <c r="R708" t="s">
        <v>382</v>
      </c>
      <c r="S708"/>
      <c r="T708"/>
      <c r="U708"/>
      <c r="V708" s="222"/>
    </row>
    <row r="709" spans="1:22" x14ac:dyDescent="0.2">
      <c r="A709" t="s">
        <v>417</v>
      </c>
      <c r="B709" s="101">
        <v>-1</v>
      </c>
      <c r="C709" s="101">
        <v>-2</v>
      </c>
      <c r="D709" s="101">
        <v>-1</v>
      </c>
      <c r="E709" s="101">
        <v>-3</v>
      </c>
      <c r="F709" s="101">
        <v>5</v>
      </c>
      <c r="G709" s="101"/>
      <c r="H709" s="101"/>
      <c r="I709" s="102">
        <v>0.96</v>
      </c>
      <c r="J709" s="102">
        <v>2.4684750000000002</v>
      </c>
      <c r="K709" s="101">
        <v>5.6</v>
      </c>
      <c r="L709" s="101">
        <v>0.1</v>
      </c>
      <c r="M709" s="101" t="s">
        <v>1088</v>
      </c>
      <c r="N709" s="101">
        <v>2011</v>
      </c>
      <c r="O709" s="101" t="s">
        <v>685</v>
      </c>
      <c r="P709" s="101">
        <v>123430</v>
      </c>
      <c r="Q709" t="s">
        <v>411</v>
      </c>
      <c r="R709" t="s">
        <v>152</v>
      </c>
      <c r="S709"/>
      <c r="T709"/>
      <c r="U709"/>
      <c r="V709" s="222"/>
    </row>
    <row r="710" spans="1:22" x14ac:dyDescent="0.2">
      <c r="A710" t="s">
        <v>897</v>
      </c>
      <c r="B710" s="101">
        <v>4</v>
      </c>
      <c r="C710" s="101">
        <v>-3</v>
      </c>
      <c r="D710" s="101">
        <v>4</v>
      </c>
      <c r="E710" s="101">
        <v>1</v>
      </c>
      <c r="F710" s="101"/>
      <c r="G710" s="101"/>
      <c r="H710" s="101"/>
      <c r="I710" s="102">
        <v>0.96</v>
      </c>
      <c r="J710" s="102">
        <v>2.4693339999999999</v>
      </c>
      <c r="K710" s="101"/>
      <c r="L710" s="101"/>
      <c r="M710" s="101" t="s">
        <v>1088</v>
      </c>
      <c r="N710" s="101">
        <v>2011</v>
      </c>
      <c r="O710" s="101" t="s">
        <v>806</v>
      </c>
      <c r="P710" s="101">
        <v>874032</v>
      </c>
      <c r="Q710" t="s">
        <v>546</v>
      </c>
      <c r="R710" t="s">
        <v>314</v>
      </c>
      <c r="S710"/>
      <c r="T710"/>
      <c r="U710"/>
      <c r="V710" s="222"/>
    </row>
    <row r="711" spans="1:22" x14ac:dyDescent="0.2">
      <c r="A711" t="s">
        <v>565</v>
      </c>
      <c r="B711" s="101">
        <v>1</v>
      </c>
      <c r="C711" s="101">
        <v>-11</v>
      </c>
      <c r="D711" s="101">
        <v>2</v>
      </c>
      <c r="E711" s="101">
        <v>-22</v>
      </c>
      <c r="F711" s="101">
        <v>24</v>
      </c>
      <c r="G711" s="101">
        <v>-34</v>
      </c>
      <c r="H711" s="101">
        <v>-7.9</v>
      </c>
      <c r="I711" s="102">
        <v>0.41</v>
      </c>
      <c r="J711" s="102">
        <v>2.4700000000000002</v>
      </c>
      <c r="K711" s="101">
        <v>24.1</v>
      </c>
      <c r="L711" s="101">
        <v>0.3</v>
      </c>
      <c r="M711" s="101" t="s">
        <v>1088</v>
      </c>
      <c r="N711" s="101">
        <v>2001</v>
      </c>
      <c r="O711" s="101" t="s">
        <v>806</v>
      </c>
      <c r="P711" s="101">
        <v>752204</v>
      </c>
      <c r="Q711" t="s">
        <v>182</v>
      </c>
      <c r="R711" t="s">
        <v>382</v>
      </c>
      <c r="S711"/>
      <c r="T711"/>
      <c r="U711"/>
      <c r="V711" s="222"/>
    </row>
    <row r="712" spans="1:22" x14ac:dyDescent="0.2">
      <c r="A712" t="s">
        <v>226</v>
      </c>
      <c r="B712" s="101">
        <v>1</v>
      </c>
      <c r="C712" s="101">
        <v>-14</v>
      </c>
      <c r="D712" s="101">
        <v>1</v>
      </c>
      <c r="E712" s="101">
        <v>-25</v>
      </c>
      <c r="F712" s="101">
        <v>14</v>
      </c>
      <c r="G712" s="101">
        <v>-40</v>
      </c>
      <c r="H712" s="101">
        <v>-9.6999999999999993</v>
      </c>
      <c r="I712" s="102">
        <v>0.79</v>
      </c>
      <c r="J712" s="102">
        <v>2.4700000000000002</v>
      </c>
      <c r="K712" s="101">
        <v>22.1</v>
      </c>
      <c r="L712" s="101">
        <v>0.2</v>
      </c>
      <c r="M712" s="101" t="s">
        <v>1088</v>
      </c>
      <c r="N712" s="101">
        <v>2002</v>
      </c>
      <c r="O712" s="101" t="s">
        <v>806</v>
      </c>
      <c r="P712" s="101">
        <v>442483</v>
      </c>
      <c r="Q712" t="s">
        <v>223</v>
      </c>
      <c r="R712" t="s">
        <v>218</v>
      </c>
      <c r="S712"/>
      <c r="T712"/>
      <c r="U712"/>
      <c r="V712" s="222"/>
    </row>
    <row r="713" spans="1:22" x14ac:dyDescent="0.2">
      <c r="A713" t="s">
        <v>549</v>
      </c>
      <c r="B713" s="101">
        <v>30</v>
      </c>
      <c r="C713" s="101">
        <v>4</v>
      </c>
      <c r="D713" s="101">
        <v>32</v>
      </c>
      <c r="E713" s="101">
        <v>-11</v>
      </c>
      <c r="F713" s="101">
        <v>-18</v>
      </c>
      <c r="G713" s="101">
        <v>-60</v>
      </c>
      <c r="H713" s="101">
        <v>-16.7</v>
      </c>
      <c r="I713" s="102">
        <v>0.42</v>
      </c>
      <c r="J713" s="102">
        <v>2.48</v>
      </c>
      <c r="K713" s="101">
        <v>24.7</v>
      </c>
      <c r="L713" s="101">
        <v>-0.2</v>
      </c>
      <c r="M713" s="101" t="s">
        <v>1088</v>
      </c>
      <c r="N713" s="101">
        <v>2006</v>
      </c>
      <c r="O713" s="101" t="s">
        <v>806</v>
      </c>
      <c r="P713" s="101">
        <v>201293</v>
      </c>
      <c r="Q713" t="s">
        <v>182</v>
      </c>
      <c r="R713" t="s">
        <v>218</v>
      </c>
      <c r="S713"/>
      <c r="T713"/>
      <c r="U713"/>
      <c r="V713" s="222"/>
    </row>
    <row r="714" spans="1:22" x14ac:dyDescent="0.2">
      <c r="A714" t="s">
        <v>934</v>
      </c>
      <c r="B714" s="101">
        <v>-1</v>
      </c>
      <c r="C714" s="101">
        <v>-3</v>
      </c>
      <c r="D714" s="101">
        <v>-1</v>
      </c>
      <c r="E714" s="101">
        <v>-6</v>
      </c>
      <c r="F714" s="101">
        <v>-5</v>
      </c>
      <c r="G714" s="101">
        <v>-2</v>
      </c>
      <c r="H714" s="101">
        <v>-0.4</v>
      </c>
      <c r="I714" s="102">
        <v>0.64</v>
      </c>
      <c r="J714" s="102">
        <v>2.5</v>
      </c>
      <c r="K714" s="101">
        <v>6.5</v>
      </c>
      <c r="L714" s="101">
        <v>-0.5</v>
      </c>
      <c r="M714" s="101" t="s">
        <v>1088</v>
      </c>
      <c r="N714" s="101">
        <v>2006</v>
      </c>
      <c r="O714" s="101" t="s">
        <v>685</v>
      </c>
      <c r="P714" s="101">
        <v>934893</v>
      </c>
      <c r="Q714" t="s">
        <v>817</v>
      </c>
      <c r="R714" t="s">
        <v>314</v>
      </c>
      <c r="S714"/>
      <c r="T714"/>
      <c r="U714"/>
      <c r="V714" s="222"/>
    </row>
    <row r="715" spans="1:22" x14ac:dyDescent="0.2">
      <c r="A715" t="s">
        <v>253</v>
      </c>
      <c r="B715" s="101">
        <v>23</v>
      </c>
      <c r="C715" s="101">
        <v>2</v>
      </c>
      <c r="D715" s="101">
        <v>25</v>
      </c>
      <c r="E715" s="101">
        <v>-9</v>
      </c>
      <c r="F715" s="101">
        <v>25</v>
      </c>
      <c r="G715" s="101">
        <v>-17</v>
      </c>
      <c r="H715" s="101">
        <v>-3.6</v>
      </c>
      <c r="I715" s="102">
        <v>0.8</v>
      </c>
      <c r="J715" s="102">
        <v>2.5</v>
      </c>
      <c r="K715" s="101">
        <v>30.8</v>
      </c>
      <c r="L715" s="101">
        <v>0.4</v>
      </c>
      <c r="M715" s="101" t="s">
        <v>1088</v>
      </c>
      <c r="N715" s="101">
        <v>2006</v>
      </c>
      <c r="O715" s="101" t="s">
        <v>806</v>
      </c>
      <c r="P715" s="101">
        <v>333690</v>
      </c>
      <c r="Q715" t="s">
        <v>223</v>
      </c>
      <c r="R715" t="s">
        <v>250</v>
      </c>
      <c r="S715"/>
      <c r="T715"/>
      <c r="U715"/>
      <c r="V715" s="222"/>
    </row>
    <row r="716" spans="1:22" x14ac:dyDescent="0.2">
      <c r="A716" t="s">
        <v>445</v>
      </c>
      <c r="B716" s="101">
        <v>1</v>
      </c>
      <c r="C716" s="101">
        <v>-5</v>
      </c>
      <c r="D716" s="101">
        <v>3</v>
      </c>
      <c r="E716" s="101">
        <v>-6</v>
      </c>
      <c r="F716" s="101">
        <v>-16</v>
      </c>
      <c r="G716" s="101">
        <v>-36</v>
      </c>
      <c r="H716" s="101">
        <v>-8.4</v>
      </c>
      <c r="I716" s="102">
        <v>0.97</v>
      </c>
      <c r="J716" s="102">
        <v>2.5</v>
      </c>
      <c r="K716" s="101">
        <v>13.7</v>
      </c>
      <c r="L716" s="101">
        <v>-0.5</v>
      </c>
      <c r="M716" s="101" t="s">
        <v>1093</v>
      </c>
      <c r="N716" s="101">
        <v>2011</v>
      </c>
      <c r="O716" s="101" t="s">
        <v>685</v>
      </c>
      <c r="P716" s="101">
        <v>908038</v>
      </c>
      <c r="Q716" t="s">
        <v>19</v>
      </c>
      <c r="R716" t="s">
        <v>237</v>
      </c>
      <c r="S716"/>
      <c r="T716"/>
      <c r="U716"/>
      <c r="V716" s="222"/>
    </row>
    <row r="717" spans="1:22" x14ac:dyDescent="0.2">
      <c r="A717" t="s">
        <v>227</v>
      </c>
      <c r="B717" s="101">
        <v>7</v>
      </c>
      <c r="C717" s="101">
        <v>-1</v>
      </c>
      <c r="D717" s="101">
        <v>7</v>
      </c>
      <c r="E717" s="101">
        <v>-14</v>
      </c>
      <c r="F717" s="101">
        <v>35</v>
      </c>
      <c r="G717" s="101">
        <v>-48</v>
      </c>
      <c r="H717" s="101">
        <v>-12.2</v>
      </c>
      <c r="I717" s="102">
        <v>0.8</v>
      </c>
      <c r="J717" s="102">
        <v>2.5</v>
      </c>
      <c r="K717" s="101">
        <v>22.4</v>
      </c>
      <c r="L717" s="101">
        <v>0.5</v>
      </c>
      <c r="M717" s="101" t="s">
        <v>1088</v>
      </c>
      <c r="N717" s="101">
        <v>2003</v>
      </c>
      <c r="O717" s="101" t="s">
        <v>806</v>
      </c>
      <c r="P717" s="101">
        <v>552984</v>
      </c>
      <c r="Q717" t="s">
        <v>223</v>
      </c>
      <c r="R717" t="s">
        <v>218</v>
      </c>
      <c r="S717"/>
      <c r="T717"/>
      <c r="U717"/>
      <c r="V717" s="222"/>
    </row>
    <row r="718" spans="1:22" x14ac:dyDescent="0.2">
      <c r="A718" t="s">
        <v>1130</v>
      </c>
      <c r="B718" s="101"/>
      <c r="C718" s="101"/>
      <c r="D718" s="101"/>
      <c r="E718" s="101"/>
      <c r="F718" s="101"/>
      <c r="G718" s="101"/>
      <c r="H718" s="101"/>
      <c r="I718" s="102">
        <v>0.97</v>
      </c>
      <c r="J718" s="102">
        <v>2.5</v>
      </c>
      <c r="K718" s="101"/>
      <c r="L718" s="101"/>
      <c r="M718" s="101" t="s">
        <v>1088</v>
      </c>
      <c r="N718" s="101">
        <v>2012</v>
      </c>
      <c r="O718" s="101" t="s">
        <v>806</v>
      </c>
      <c r="P718" s="101">
        <v>156315</v>
      </c>
      <c r="Q718" t="s">
        <v>420</v>
      </c>
      <c r="R718" t="s">
        <v>678</v>
      </c>
      <c r="S718"/>
      <c r="T718"/>
      <c r="U718"/>
      <c r="V718" s="222"/>
    </row>
    <row r="719" spans="1:22" x14ac:dyDescent="0.2">
      <c r="A719" t="s">
        <v>1026</v>
      </c>
      <c r="B719" s="101">
        <v>-2</v>
      </c>
      <c r="C719" s="101">
        <v>-20</v>
      </c>
      <c r="D719" s="101">
        <v>-1</v>
      </c>
      <c r="E719" s="101"/>
      <c r="F719" s="101"/>
      <c r="G719" s="101"/>
      <c r="H719" s="101"/>
      <c r="I719" s="102">
        <v>0.97</v>
      </c>
      <c r="J719" s="102">
        <v>2.5</v>
      </c>
      <c r="K719" s="101"/>
      <c r="L719" s="101"/>
      <c r="M719" s="101" t="s">
        <v>1088</v>
      </c>
      <c r="N719" s="101">
        <v>2011</v>
      </c>
      <c r="O719" s="101" t="s">
        <v>806</v>
      </c>
      <c r="P719" s="101">
        <v>741637</v>
      </c>
      <c r="Q719" t="s">
        <v>1025</v>
      </c>
      <c r="R719" t="s">
        <v>382</v>
      </c>
      <c r="S719"/>
      <c r="T719"/>
      <c r="U719"/>
      <c r="V719" s="222"/>
    </row>
    <row r="720" spans="1:22" x14ac:dyDescent="0.2">
      <c r="A720" t="s">
        <v>1068</v>
      </c>
      <c r="B720" s="101"/>
      <c r="C720" s="101">
        <v>-7</v>
      </c>
      <c r="D720" s="101"/>
      <c r="E720" s="101"/>
      <c r="F720" s="101"/>
      <c r="G720" s="101"/>
      <c r="H720" s="101"/>
      <c r="I720" s="102">
        <v>0.97</v>
      </c>
      <c r="J720" s="102">
        <v>2.5</v>
      </c>
      <c r="K720" s="101"/>
      <c r="L720" s="101"/>
      <c r="M720" s="101" t="s">
        <v>1088</v>
      </c>
      <c r="N720" s="101">
        <v>2012</v>
      </c>
      <c r="O720" s="101" t="s">
        <v>806</v>
      </c>
      <c r="P720" s="101">
        <v>632315</v>
      </c>
      <c r="Q720" t="s">
        <v>1025</v>
      </c>
      <c r="R720" t="s">
        <v>168</v>
      </c>
      <c r="S720"/>
      <c r="T720"/>
      <c r="U720"/>
      <c r="V720" s="222"/>
    </row>
    <row r="721" spans="1:22" x14ac:dyDescent="0.2">
      <c r="A721" t="s">
        <v>1024</v>
      </c>
      <c r="B721" s="101">
        <v>19</v>
      </c>
      <c r="C721" s="101">
        <v>-1</v>
      </c>
      <c r="D721" s="101">
        <v>16</v>
      </c>
      <c r="E721" s="101"/>
      <c r="F721" s="101"/>
      <c r="G721" s="101"/>
      <c r="H721" s="101"/>
      <c r="I721" s="102">
        <v>0.97</v>
      </c>
      <c r="J721" s="102">
        <v>2.5</v>
      </c>
      <c r="K721" s="101"/>
      <c r="L721" s="101"/>
      <c r="M721" s="101" t="s">
        <v>1088</v>
      </c>
      <c r="N721" s="101">
        <v>2011</v>
      </c>
      <c r="O721" s="101" t="s">
        <v>806</v>
      </c>
      <c r="P721" s="101">
        <v>705806</v>
      </c>
      <c r="Q721" t="s">
        <v>1025</v>
      </c>
      <c r="R721" t="s">
        <v>250</v>
      </c>
      <c r="S721"/>
      <c r="T721"/>
      <c r="U721"/>
      <c r="V721" s="222"/>
    </row>
    <row r="722" spans="1:22" x14ac:dyDescent="0.2">
      <c r="A722" t="s">
        <v>795</v>
      </c>
      <c r="B722" s="101">
        <v>3</v>
      </c>
      <c r="C722" s="101">
        <v>-3</v>
      </c>
      <c r="D722" s="101">
        <v>3</v>
      </c>
      <c r="E722" s="101">
        <v>1</v>
      </c>
      <c r="F722" s="101"/>
      <c r="G722" s="101"/>
      <c r="H722" s="101"/>
      <c r="I722" s="102">
        <v>0.97</v>
      </c>
      <c r="J722" s="102">
        <v>2.500448</v>
      </c>
      <c r="K722" s="101"/>
      <c r="L722" s="101"/>
      <c r="M722" s="101" t="s">
        <v>1088</v>
      </c>
      <c r="N722" s="101">
        <v>2010</v>
      </c>
      <c r="O722" s="101" t="s">
        <v>806</v>
      </c>
      <c r="P722" s="101">
        <v>993097</v>
      </c>
      <c r="Q722" t="s">
        <v>870</v>
      </c>
      <c r="R722" t="s">
        <v>152</v>
      </c>
      <c r="S722"/>
      <c r="T722"/>
      <c r="U722"/>
      <c r="V722" s="222"/>
    </row>
    <row r="723" spans="1:22" x14ac:dyDescent="0.2">
      <c r="A723" t="s">
        <v>371</v>
      </c>
      <c r="B723" s="101">
        <v>19</v>
      </c>
      <c r="C723" s="101">
        <v>5</v>
      </c>
      <c r="D723" s="101">
        <v>19</v>
      </c>
      <c r="E723" s="101">
        <v>7</v>
      </c>
      <c r="F723" s="101">
        <v>8</v>
      </c>
      <c r="G723" s="101">
        <v>-32</v>
      </c>
      <c r="H723" s="101">
        <v>-7.4</v>
      </c>
      <c r="I723" s="102">
        <v>0.61</v>
      </c>
      <c r="J723" s="102">
        <v>2.5078130000000001</v>
      </c>
      <c r="K723" s="101">
        <v>12.8</v>
      </c>
      <c r="L723" s="101">
        <v>0.2</v>
      </c>
      <c r="M723" s="101" t="s">
        <v>1092</v>
      </c>
      <c r="N723" s="101">
        <v>2007</v>
      </c>
      <c r="O723" s="101" t="s">
        <v>685</v>
      </c>
      <c r="P723" s="101">
        <v>836494</v>
      </c>
      <c r="Q723" t="s">
        <v>375</v>
      </c>
      <c r="R723" t="s">
        <v>291</v>
      </c>
      <c r="S723"/>
      <c r="T723"/>
      <c r="U723"/>
      <c r="V723" s="222"/>
    </row>
    <row r="724" spans="1:22" x14ac:dyDescent="0.2">
      <c r="A724" t="s">
        <v>873</v>
      </c>
      <c r="B724" s="101">
        <v>6</v>
      </c>
      <c r="C724" s="101">
        <v>-6</v>
      </c>
      <c r="D724" s="101">
        <v>6</v>
      </c>
      <c r="E724" s="101">
        <v>-24</v>
      </c>
      <c r="F724" s="101">
        <v>-25</v>
      </c>
      <c r="G724" s="101">
        <v>-70</v>
      </c>
      <c r="H724" s="101">
        <v>-21.6</v>
      </c>
      <c r="I724" s="102">
        <v>0.98</v>
      </c>
      <c r="J724" s="102">
        <v>2.5085850000000001</v>
      </c>
      <c r="K724" s="101">
        <v>20.100000000000001</v>
      </c>
      <c r="L724" s="101">
        <v>-0.4</v>
      </c>
      <c r="M724" s="101" t="s">
        <v>1088</v>
      </c>
      <c r="N724" s="101">
        <v>2003</v>
      </c>
      <c r="O724" s="101" t="s">
        <v>806</v>
      </c>
      <c r="P724" s="101">
        <v>534156</v>
      </c>
      <c r="Q724" t="s">
        <v>870</v>
      </c>
      <c r="R724" t="s">
        <v>218</v>
      </c>
      <c r="S724"/>
      <c r="T724"/>
      <c r="U724"/>
      <c r="V724" s="222"/>
    </row>
    <row r="725" spans="1:22" x14ac:dyDescent="0.2">
      <c r="A725" t="s">
        <v>410</v>
      </c>
      <c r="B725" s="101">
        <v>5</v>
      </c>
      <c r="C725" s="101">
        <v>0</v>
      </c>
      <c r="D725" s="101">
        <v>6</v>
      </c>
      <c r="E725" s="101">
        <v>0</v>
      </c>
      <c r="F725" s="101">
        <v>7</v>
      </c>
      <c r="G725" s="101">
        <v>-24</v>
      </c>
      <c r="H725" s="101">
        <v>-5.4</v>
      </c>
      <c r="I725" s="102">
        <v>0.64</v>
      </c>
      <c r="J725" s="102">
        <v>2.5099999999999998</v>
      </c>
      <c r="K725" s="101">
        <v>15.3</v>
      </c>
      <c r="L725" s="101">
        <v>0.1</v>
      </c>
      <c r="M725" s="101" t="s">
        <v>1088</v>
      </c>
      <c r="N725" s="101">
        <v>2006</v>
      </c>
      <c r="O725" s="101" t="s">
        <v>806</v>
      </c>
      <c r="P725" s="101">
        <v>184291</v>
      </c>
      <c r="Q725" t="s">
        <v>925</v>
      </c>
      <c r="R725" t="s">
        <v>168</v>
      </c>
      <c r="S725"/>
      <c r="T725"/>
      <c r="U725"/>
      <c r="V725" s="222"/>
    </row>
    <row r="726" spans="1:22" x14ac:dyDescent="0.2">
      <c r="A726" t="s">
        <v>1023</v>
      </c>
      <c r="B726" s="101">
        <v>2</v>
      </c>
      <c r="C726" s="101">
        <v>-2</v>
      </c>
      <c r="D726" s="101">
        <v>3</v>
      </c>
      <c r="E726" s="101">
        <v>-3</v>
      </c>
      <c r="F726" s="101"/>
      <c r="G726" s="101"/>
      <c r="H726" s="101"/>
      <c r="I726" s="102">
        <v>0.98</v>
      </c>
      <c r="J726" s="102">
        <v>2.5099999999999998</v>
      </c>
      <c r="K726" s="101"/>
      <c r="L726" s="101"/>
      <c r="M726" s="101" t="s">
        <v>1088</v>
      </c>
      <c r="N726" s="101">
        <v>2011</v>
      </c>
      <c r="O726" s="101" t="s">
        <v>806</v>
      </c>
      <c r="P726" s="101">
        <v>558239</v>
      </c>
      <c r="Q726" t="s">
        <v>726</v>
      </c>
      <c r="R726" t="s">
        <v>314</v>
      </c>
      <c r="S726"/>
      <c r="T726"/>
      <c r="U726"/>
      <c r="V726" s="222"/>
    </row>
    <row r="727" spans="1:22" x14ac:dyDescent="0.2">
      <c r="A727" t="s">
        <v>1080</v>
      </c>
      <c r="B727" s="101">
        <v>2</v>
      </c>
      <c r="C727" s="101">
        <v>-3</v>
      </c>
      <c r="D727" s="101">
        <v>2</v>
      </c>
      <c r="E727" s="101">
        <v>-7</v>
      </c>
      <c r="F727" s="101">
        <v>-4</v>
      </c>
      <c r="G727" s="101">
        <v>-7</v>
      </c>
      <c r="H727" s="101">
        <v>-1.4</v>
      </c>
      <c r="I727" s="102">
        <v>0.8</v>
      </c>
      <c r="J727" s="102">
        <v>2.52</v>
      </c>
      <c r="K727" s="101">
        <v>16.5</v>
      </c>
      <c r="L727" s="101">
        <v>0</v>
      </c>
      <c r="M727" s="101" t="s">
        <v>1089</v>
      </c>
      <c r="N727" s="101">
        <v>2008</v>
      </c>
      <c r="O727" s="101" t="s">
        <v>685</v>
      </c>
      <c r="P727" s="101">
        <v>123497</v>
      </c>
      <c r="Q727" t="s">
        <v>411</v>
      </c>
      <c r="R727" t="s">
        <v>381</v>
      </c>
      <c r="S727"/>
      <c r="T727"/>
      <c r="U727"/>
      <c r="V727" s="222"/>
    </row>
    <row r="728" spans="1:22" x14ac:dyDescent="0.2">
      <c r="A728" t="s">
        <v>1027</v>
      </c>
      <c r="B728" s="101">
        <v>2</v>
      </c>
      <c r="C728" s="101">
        <v>-3</v>
      </c>
      <c r="D728" s="101">
        <v>2</v>
      </c>
      <c r="E728" s="101"/>
      <c r="F728" s="101"/>
      <c r="G728" s="101"/>
      <c r="H728" s="101"/>
      <c r="I728" s="102">
        <v>0.8</v>
      </c>
      <c r="J728" s="102">
        <v>2.52</v>
      </c>
      <c r="K728" s="101"/>
      <c r="L728" s="101"/>
      <c r="M728" s="101" t="s">
        <v>1088</v>
      </c>
      <c r="N728" s="101">
        <v>2011</v>
      </c>
      <c r="O728" s="101" t="s">
        <v>685</v>
      </c>
      <c r="P728" s="101">
        <v>356006</v>
      </c>
      <c r="Q728" t="s">
        <v>1028</v>
      </c>
      <c r="R728" t="s">
        <v>314</v>
      </c>
      <c r="S728"/>
      <c r="T728"/>
      <c r="U728"/>
      <c r="V728" s="222"/>
    </row>
    <row r="729" spans="1:22" x14ac:dyDescent="0.2">
      <c r="A729" t="s">
        <v>964</v>
      </c>
      <c r="B729" s="101">
        <v>3</v>
      </c>
      <c r="C729" s="101">
        <v>-3</v>
      </c>
      <c r="D729" s="101">
        <v>4</v>
      </c>
      <c r="E729" s="101">
        <v>-7</v>
      </c>
      <c r="F729" s="101">
        <v>8</v>
      </c>
      <c r="G729" s="101">
        <v>-28</v>
      </c>
      <c r="H729" s="101">
        <v>-6.4</v>
      </c>
      <c r="I729" s="102">
        <v>0.98</v>
      </c>
      <c r="J729" s="102">
        <v>2.5299999999999998</v>
      </c>
      <c r="K729" s="101">
        <v>12.5</v>
      </c>
      <c r="L729" s="101">
        <v>0.2</v>
      </c>
      <c r="M729" s="101" t="s">
        <v>1089</v>
      </c>
      <c r="N729" s="101">
        <v>2000</v>
      </c>
      <c r="O729" s="101" t="s">
        <v>685</v>
      </c>
      <c r="P729" s="101">
        <v>317404</v>
      </c>
      <c r="Q729" t="s">
        <v>372</v>
      </c>
      <c r="R729" t="s">
        <v>48</v>
      </c>
      <c r="S729"/>
      <c r="T729"/>
      <c r="U729"/>
      <c r="V729" s="222"/>
    </row>
    <row r="730" spans="1:22" x14ac:dyDescent="0.2">
      <c r="A730" t="s">
        <v>991</v>
      </c>
      <c r="B730" s="101">
        <v>2</v>
      </c>
      <c r="C730" s="101">
        <v>-5</v>
      </c>
      <c r="D730" s="101">
        <v>2</v>
      </c>
      <c r="E730" s="101"/>
      <c r="F730" s="101"/>
      <c r="G730" s="101"/>
      <c r="H730" s="101"/>
      <c r="I730" s="102">
        <v>0.6</v>
      </c>
      <c r="J730" s="102">
        <v>2.5351780000000002</v>
      </c>
      <c r="K730" s="101"/>
      <c r="L730" s="101"/>
      <c r="M730" s="101" t="s">
        <v>1088</v>
      </c>
      <c r="N730" s="101">
        <v>2011</v>
      </c>
      <c r="O730" s="101" t="s">
        <v>685</v>
      </c>
      <c r="P730" s="101">
        <v>912287</v>
      </c>
      <c r="Q730" t="s">
        <v>411</v>
      </c>
      <c r="R730" t="s">
        <v>314</v>
      </c>
      <c r="S730"/>
      <c r="T730"/>
      <c r="U730"/>
      <c r="V730" s="222"/>
    </row>
    <row r="731" spans="1:22" x14ac:dyDescent="0.2">
      <c r="A731" t="s">
        <v>35</v>
      </c>
      <c r="B731" s="101">
        <v>3</v>
      </c>
      <c r="C731" s="101">
        <v>-11</v>
      </c>
      <c r="D731" s="101">
        <v>4</v>
      </c>
      <c r="E731" s="101">
        <v>-18</v>
      </c>
      <c r="F731" s="101">
        <v>35</v>
      </c>
      <c r="G731" s="101">
        <v>-24</v>
      </c>
      <c r="H731" s="101">
        <v>-5.4</v>
      </c>
      <c r="I731" s="102">
        <v>0.92</v>
      </c>
      <c r="J731" s="102">
        <v>2.5381269999999998</v>
      </c>
      <c r="K731" s="101">
        <v>24.8</v>
      </c>
      <c r="L731" s="101">
        <v>0.4</v>
      </c>
      <c r="M731" s="101" t="s">
        <v>1088</v>
      </c>
      <c r="N731" s="101">
        <v>2004</v>
      </c>
      <c r="O731" s="101" t="s">
        <v>806</v>
      </c>
      <c r="P731" s="101">
        <v>671982</v>
      </c>
      <c r="Q731" t="s">
        <v>901</v>
      </c>
      <c r="R731" t="s">
        <v>382</v>
      </c>
      <c r="S731"/>
      <c r="T731"/>
      <c r="U731"/>
      <c r="V731" s="222"/>
    </row>
    <row r="732" spans="1:22" x14ac:dyDescent="0.2">
      <c r="A732" t="s">
        <v>994</v>
      </c>
      <c r="B732" s="101">
        <v>6</v>
      </c>
      <c r="C732" s="101">
        <v>2</v>
      </c>
      <c r="D732" s="101">
        <v>7</v>
      </c>
      <c r="E732" s="101">
        <v>11</v>
      </c>
      <c r="F732" s="101">
        <v>25</v>
      </c>
      <c r="G732" s="101">
        <v>-23</v>
      </c>
      <c r="H732" s="101">
        <v>-5.2</v>
      </c>
      <c r="I732" s="102">
        <v>0.99</v>
      </c>
      <c r="J732" s="102">
        <v>2.56</v>
      </c>
      <c r="K732" s="101">
        <v>8.4</v>
      </c>
      <c r="L732" s="101">
        <v>0.7</v>
      </c>
      <c r="M732" s="101" t="s">
        <v>1091</v>
      </c>
      <c r="N732" s="101">
        <v>2011</v>
      </c>
      <c r="O732" s="101" t="s">
        <v>685</v>
      </c>
      <c r="P732" s="101">
        <v>872200</v>
      </c>
      <c r="Q732" t="s">
        <v>19</v>
      </c>
      <c r="R732" t="s">
        <v>152</v>
      </c>
      <c r="S732"/>
      <c r="T732"/>
      <c r="U732"/>
      <c r="V732" s="222"/>
    </row>
    <row r="733" spans="1:22" x14ac:dyDescent="0.2">
      <c r="A733" t="s">
        <v>18</v>
      </c>
      <c r="B733" s="101">
        <v>7</v>
      </c>
      <c r="C733" s="101">
        <v>0</v>
      </c>
      <c r="D733" s="101">
        <v>8</v>
      </c>
      <c r="E733" s="101">
        <v>8</v>
      </c>
      <c r="F733" s="101">
        <v>28</v>
      </c>
      <c r="G733" s="101">
        <v>-17</v>
      </c>
      <c r="H733" s="101">
        <v>-3.7</v>
      </c>
      <c r="I733" s="102">
        <v>1</v>
      </c>
      <c r="J733" s="102">
        <v>2.59</v>
      </c>
      <c r="K733" s="101">
        <v>10.1</v>
      </c>
      <c r="L733" s="101">
        <v>0.7</v>
      </c>
      <c r="M733" s="101" t="s">
        <v>1091</v>
      </c>
      <c r="N733" s="101">
        <v>2011</v>
      </c>
      <c r="O733" s="101" t="s">
        <v>685</v>
      </c>
      <c r="P733" s="101">
        <v>836379</v>
      </c>
      <c r="Q733" t="s">
        <v>19</v>
      </c>
      <c r="R733" t="s">
        <v>108</v>
      </c>
      <c r="S733"/>
      <c r="T733"/>
      <c r="U733"/>
      <c r="V733" s="222"/>
    </row>
    <row r="734" spans="1:22" x14ac:dyDescent="0.2">
      <c r="A734" t="s">
        <v>209</v>
      </c>
      <c r="B734" s="101">
        <v>7</v>
      </c>
      <c r="C734" s="101">
        <v>-2</v>
      </c>
      <c r="D734" s="101">
        <v>7</v>
      </c>
      <c r="E734" s="101">
        <v>5</v>
      </c>
      <c r="F734" s="101">
        <v>22</v>
      </c>
      <c r="G734" s="101">
        <v>-8</v>
      </c>
      <c r="H734" s="101">
        <v>-1.7</v>
      </c>
      <c r="I734" s="102">
        <v>1.01</v>
      </c>
      <c r="J734" s="102">
        <v>2.6</v>
      </c>
      <c r="K734" s="101">
        <v>9.6</v>
      </c>
      <c r="L734" s="101">
        <v>0.5</v>
      </c>
      <c r="M734" s="101" t="s">
        <v>1089</v>
      </c>
      <c r="N734" s="101">
        <v>2000</v>
      </c>
      <c r="O734" s="101" t="s">
        <v>685</v>
      </c>
      <c r="P734" s="101">
        <v>189258</v>
      </c>
      <c r="Q734" t="s">
        <v>451</v>
      </c>
      <c r="R734" t="s">
        <v>291</v>
      </c>
      <c r="S734" t="s">
        <v>1111</v>
      </c>
      <c r="T734"/>
      <c r="U734"/>
      <c r="V734" s="222"/>
    </row>
    <row r="735" spans="1:22" x14ac:dyDescent="0.2">
      <c r="A735" t="s">
        <v>205</v>
      </c>
      <c r="B735" s="101">
        <v>-3</v>
      </c>
      <c r="C735" s="101">
        <v>-7</v>
      </c>
      <c r="D735" s="101">
        <v>-3</v>
      </c>
      <c r="E735" s="101">
        <v>-17</v>
      </c>
      <c r="F735" s="101">
        <v>-27</v>
      </c>
      <c r="G735" s="101">
        <v>-46</v>
      </c>
      <c r="H735" s="101">
        <v>-11.6</v>
      </c>
      <c r="I735" s="102">
        <v>1.01</v>
      </c>
      <c r="J735" s="102">
        <v>2.6040000000000001</v>
      </c>
      <c r="K735" s="101">
        <v>13.2</v>
      </c>
      <c r="L735" s="101">
        <v>-0.8</v>
      </c>
      <c r="M735" s="101" t="s">
        <v>1091</v>
      </c>
      <c r="N735" s="101">
        <v>2007</v>
      </c>
      <c r="O735" s="101" t="s">
        <v>685</v>
      </c>
      <c r="P735" s="101">
        <v>887497</v>
      </c>
      <c r="Q735" t="s">
        <v>451</v>
      </c>
      <c r="R735" t="s">
        <v>291</v>
      </c>
      <c r="S735" t="s">
        <v>1111</v>
      </c>
      <c r="T735"/>
      <c r="U735"/>
      <c r="V735" s="222"/>
    </row>
    <row r="736" spans="1:22" x14ac:dyDescent="0.2">
      <c r="A736" t="s">
        <v>204</v>
      </c>
      <c r="B736" s="101">
        <v>6</v>
      </c>
      <c r="C736" s="101">
        <v>-9</v>
      </c>
      <c r="D736" s="101">
        <v>6</v>
      </c>
      <c r="E736" s="101">
        <v>-5</v>
      </c>
      <c r="F736" s="101">
        <v>53</v>
      </c>
      <c r="G736" s="101">
        <v>0</v>
      </c>
      <c r="H736" s="101">
        <v>0</v>
      </c>
      <c r="I736" s="102">
        <v>1.01</v>
      </c>
      <c r="J736" s="102">
        <v>2.6080000000000001</v>
      </c>
      <c r="K736" s="101">
        <v>16.3</v>
      </c>
      <c r="L736" s="101">
        <v>0.8</v>
      </c>
      <c r="M736" s="101" t="s">
        <v>1089</v>
      </c>
      <c r="N736" s="101">
        <v>2005</v>
      </c>
      <c r="O736" s="101" t="s">
        <v>685</v>
      </c>
      <c r="P736" s="101">
        <v>923383</v>
      </c>
      <c r="Q736" t="s">
        <v>451</v>
      </c>
      <c r="R736" t="s">
        <v>152</v>
      </c>
      <c r="S736"/>
      <c r="T736"/>
      <c r="U736"/>
      <c r="V736" s="222"/>
    </row>
    <row r="737" spans="1:22" x14ac:dyDescent="0.2">
      <c r="A737" t="s">
        <v>412</v>
      </c>
      <c r="B737" s="101">
        <v>2</v>
      </c>
      <c r="C737" s="101">
        <v>-10</v>
      </c>
      <c r="D737" s="101">
        <v>3</v>
      </c>
      <c r="E737" s="101">
        <v>-16</v>
      </c>
      <c r="F737" s="101">
        <v>28</v>
      </c>
      <c r="G737" s="101">
        <v>-24</v>
      </c>
      <c r="H737" s="101">
        <v>-5.3</v>
      </c>
      <c r="I737" s="102">
        <v>0.66</v>
      </c>
      <c r="J737" s="102">
        <v>2.61</v>
      </c>
      <c r="K737" s="101">
        <v>23.8</v>
      </c>
      <c r="L737" s="101">
        <v>0.4</v>
      </c>
      <c r="M737" s="101" t="s">
        <v>1088</v>
      </c>
      <c r="N737" s="101">
        <v>2000</v>
      </c>
      <c r="O737" s="101" t="s">
        <v>806</v>
      </c>
      <c r="P737" s="101">
        <v>249995</v>
      </c>
      <c r="Q737" t="s">
        <v>925</v>
      </c>
      <c r="R737" t="s">
        <v>382</v>
      </c>
      <c r="S737"/>
      <c r="T737"/>
      <c r="U737"/>
      <c r="V737" s="222"/>
    </row>
    <row r="738" spans="1:22" x14ac:dyDescent="0.2">
      <c r="A738" t="s">
        <v>212</v>
      </c>
      <c r="B738" s="101">
        <v>7</v>
      </c>
      <c r="C738" s="101">
        <v>-7</v>
      </c>
      <c r="D738" s="101">
        <v>8</v>
      </c>
      <c r="E738" s="101">
        <v>-10</v>
      </c>
      <c r="F738" s="101">
        <v>15</v>
      </c>
      <c r="G738" s="101">
        <v>-31</v>
      </c>
      <c r="H738" s="101">
        <v>-7.1</v>
      </c>
      <c r="I738" s="102">
        <v>1.02</v>
      </c>
      <c r="J738" s="102">
        <v>2.6230000000000002</v>
      </c>
      <c r="K738" s="101">
        <v>16.399999999999999</v>
      </c>
      <c r="L738" s="101">
        <v>0.3</v>
      </c>
      <c r="M738" s="101" t="s">
        <v>1089</v>
      </c>
      <c r="N738" s="101">
        <v>2000</v>
      </c>
      <c r="O738" s="101" t="s">
        <v>685</v>
      </c>
      <c r="P738" s="101">
        <v>440065</v>
      </c>
      <c r="Q738" t="s">
        <v>451</v>
      </c>
      <c r="R738" t="s">
        <v>98</v>
      </c>
      <c r="S738"/>
      <c r="T738"/>
      <c r="U738"/>
      <c r="V738" s="222"/>
    </row>
    <row r="739" spans="1:22" x14ac:dyDescent="0.2">
      <c r="A739" t="s">
        <v>24</v>
      </c>
      <c r="B739" s="101">
        <v>6</v>
      </c>
      <c r="C739" s="101">
        <v>-2</v>
      </c>
      <c r="D739" s="101">
        <v>6</v>
      </c>
      <c r="E739" s="101">
        <v>-2</v>
      </c>
      <c r="F739" s="101">
        <v>26</v>
      </c>
      <c r="G739" s="101"/>
      <c r="H739" s="101"/>
      <c r="I739" s="102">
        <v>1.02</v>
      </c>
      <c r="J739" s="102">
        <v>2.6230000000000002</v>
      </c>
      <c r="K739" s="101">
        <v>14.3</v>
      </c>
      <c r="L739" s="101">
        <v>0.5</v>
      </c>
      <c r="M739" s="101" t="s">
        <v>1091</v>
      </c>
      <c r="N739" s="101">
        <v>2010</v>
      </c>
      <c r="O739" s="101" t="s">
        <v>685</v>
      </c>
      <c r="P739" s="101">
        <v>755033</v>
      </c>
      <c r="Q739" t="s">
        <v>451</v>
      </c>
      <c r="R739" t="s">
        <v>291</v>
      </c>
      <c r="S739"/>
      <c r="T739"/>
      <c r="U739"/>
      <c r="V739" s="222"/>
    </row>
    <row r="740" spans="1:22" x14ac:dyDescent="0.2">
      <c r="A740" t="s">
        <v>414</v>
      </c>
      <c r="B740" s="101">
        <v>1</v>
      </c>
      <c r="C740" s="101">
        <v>-15</v>
      </c>
      <c r="D740" s="101">
        <v>3</v>
      </c>
      <c r="E740" s="101">
        <v>-25</v>
      </c>
      <c r="F740" s="101">
        <v>24</v>
      </c>
      <c r="G740" s="101">
        <v>-21</v>
      </c>
      <c r="H740" s="101">
        <v>-4.5</v>
      </c>
      <c r="I740" s="102">
        <v>0.71</v>
      </c>
      <c r="J740" s="102">
        <v>2.64</v>
      </c>
      <c r="K740" s="101">
        <v>26.5</v>
      </c>
      <c r="L740" s="101">
        <v>0.3</v>
      </c>
      <c r="M740" s="101" t="s">
        <v>1088</v>
      </c>
      <c r="N740" s="101">
        <v>2011</v>
      </c>
      <c r="O740" s="101" t="s">
        <v>685</v>
      </c>
      <c r="P740" s="101">
        <v>473231</v>
      </c>
      <c r="Q740" t="s">
        <v>848</v>
      </c>
      <c r="R740" t="s">
        <v>382</v>
      </c>
      <c r="S740"/>
      <c r="T740"/>
      <c r="U740"/>
      <c r="V740" s="222"/>
    </row>
    <row r="741" spans="1:22" x14ac:dyDescent="0.2">
      <c r="A741" t="s">
        <v>1030</v>
      </c>
      <c r="B741" s="101">
        <v>3</v>
      </c>
      <c r="C741" s="101">
        <v>-6</v>
      </c>
      <c r="D741" s="101">
        <v>2</v>
      </c>
      <c r="E741" s="101"/>
      <c r="F741" s="101"/>
      <c r="G741" s="101"/>
      <c r="H741" s="101"/>
      <c r="I741" s="102">
        <v>0.83</v>
      </c>
      <c r="J741" s="102">
        <v>2.64</v>
      </c>
      <c r="K741" s="101"/>
      <c r="L741" s="101"/>
      <c r="M741" s="101" t="s">
        <v>1088</v>
      </c>
      <c r="N741" s="101">
        <v>2011</v>
      </c>
      <c r="O741" s="101" t="s">
        <v>685</v>
      </c>
      <c r="P741" s="101">
        <v>391839</v>
      </c>
      <c r="Q741" t="s">
        <v>1028</v>
      </c>
      <c r="R741" t="s">
        <v>168</v>
      </c>
      <c r="S741"/>
      <c r="T741"/>
      <c r="U741"/>
      <c r="V741" s="222"/>
    </row>
    <row r="742" spans="1:22" x14ac:dyDescent="0.2">
      <c r="A742" t="s">
        <v>208</v>
      </c>
      <c r="B742" s="101">
        <v>7</v>
      </c>
      <c r="C742" s="101">
        <v>-1</v>
      </c>
      <c r="D742" s="101">
        <v>7</v>
      </c>
      <c r="E742" s="101">
        <v>3</v>
      </c>
      <c r="F742" s="101">
        <v>35</v>
      </c>
      <c r="G742" s="101">
        <v>11</v>
      </c>
      <c r="H742" s="101">
        <v>2.2000000000000002</v>
      </c>
      <c r="I742" s="102">
        <v>1.02</v>
      </c>
      <c r="J742" s="102">
        <v>2.649</v>
      </c>
      <c r="K742" s="101">
        <v>9.9</v>
      </c>
      <c r="L742" s="101">
        <v>0.8</v>
      </c>
      <c r="M742" s="101" t="s">
        <v>1091</v>
      </c>
      <c r="N742" s="101">
        <v>2000</v>
      </c>
      <c r="O742" s="101" t="s">
        <v>685</v>
      </c>
      <c r="P742" s="101">
        <v>296749</v>
      </c>
      <c r="Q742" t="s">
        <v>451</v>
      </c>
      <c r="R742" t="s">
        <v>273</v>
      </c>
      <c r="S742"/>
      <c r="T742"/>
      <c r="U742"/>
      <c r="V742" s="222"/>
    </row>
    <row r="743" spans="1:22" x14ac:dyDescent="0.2">
      <c r="A743" t="s">
        <v>629</v>
      </c>
      <c r="B743" s="101">
        <v>8</v>
      </c>
      <c r="C743" s="101">
        <v>2</v>
      </c>
      <c r="D743" s="101">
        <v>8</v>
      </c>
      <c r="E743" s="101">
        <v>14</v>
      </c>
      <c r="F743" s="101">
        <v>42</v>
      </c>
      <c r="G743" s="101">
        <v>16</v>
      </c>
      <c r="H743" s="101">
        <v>3</v>
      </c>
      <c r="I743" s="102">
        <v>1.03</v>
      </c>
      <c r="J743" s="102">
        <v>2.67</v>
      </c>
      <c r="K743" s="101">
        <v>9.1999999999999993</v>
      </c>
      <c r="L743" s="101">
        <v>1.1000000000000001</v>
      </c>
      <c r="M743" s="101" t="s">
        <v>1091</v>
      </c>
      <c r="N743" s="101">
        <v>2010</v>
      </c>
      <c r="O743" s="101" t="s">
        <v>806</v>
      </c>
      <c r="P743" s="101">
        <v>989434</v>
      </c>
      <c r="Q743" t="s">
        <v>372</v>
      </c>
      <c r="R743" t="s">
        <v>152</v>
      </c>
      <c r="S743"/>
      <c r="T743"/>
      <c r="U743"/>
      <c r="V743" s="222"/>
    </row>
    <row r="744" spans="1:22" x14ac:dyDescent="0.2">
      <c r="A744" t="s">
        <v>34</v>
      </c>
      <c r="B744" s="101">
        <v>7</v>
      </c>
      <c r="C744" s="101">
        <v>6</v>
      </c>
      <c r="D744" s="101">
        <v>7</v>
      </c>
      <c r="E744" s="101">
        <v>18</v>
      </c>
      <c r="F744" s="101">
        <v>23</v>
      </c>
      <c r="G744" s="101">
        <v>35</v>
      </c>
      <c r="H744" s="101">
        <v>6.2</v>
      </c>
      <c r="I744" s="102">
        <v>1</v>
      </c>
      <c r="J744" s="102">
        <v>2.68</v>
      </c>
      <c r="K744" s="101">
        <v>9.8000000000000007</v>
      </c>
      <c r="L744" s="101">
        <v>0.6</v>
      </c>
      <c r="M744" s="101" t="s">
        <v>1091</v>
      </c>
      <c r="N744" s="101">
        <v>2001</v>
      </c>
      <c r="O744" s="101" t="s">
        <v>685</v>
      </c>
      <c r="P744" s="101">
        <v>103010</v>
      </c>
      <c r="Q744" t="s">
        <v>372</v>
      </c>
      <c r="R744" t="s">
        <v>678</v>
      </c>
      <c r="S744"/>
      <c r="T744"/>
      <c r="U744"/>
      <c r="V744" s="222"/>
    </row>
    <row r="745" spans="1:22" x14ac:dyDescent="0.2">
      <c r="A745" t="s">
        <v>364</v>
      </c>
      <c r="B745" s="101">
        <v>10</v>
      </c>
      <c r="C745" s="101">
        <v>0</v>
      </c>
      <c r="D745" s="101">
        <v>10</v>
      </c>
      <c r="E745" s="101">
        <v>16</v>
      </c>
      <c r="F745" s="101">
        <v>50</v>
      </c>
      <c r="G745" s="101">
        <v>14</v>
      </c>
      <c r="H745" s="101">
        <v>2.6</v>
      </c>
      <c r="I745" s="102">
        <v>1.04</v>
      </c>
      <c r="J745" s="102">
        <v>2.68</v>
      </c>
      <c r="K745" s="101">
        <v>10.199999999999999</v>
      </c>
      <c r="L745" s="101">
        <v>1.3</v>
      </c>
      <c r="M745" s="101" t="s">
        <v>1091</v>
      </c>
      <c r="N745" s="101">
        <v>2007</v>
      </c>
      <c r="O745" s="101" t="s">
        <v>685</v>
      </c>
      <c r="P745" s="101">
        <v>815837</v>
      </c>
      <c r="Q745" t="s">
        <v>372</v>
      </c>
      <c r="R745" t="s">
        <v>108</v>
      </c>
      <c r="S745"/>
      <c r="T745"/>
      <c r="U745"/>
      <c r="V745" s="222"/>
    </row>
    <row r="746" spans="1:22" x14ac:dyDescent="0.2">
      <c r="A746" t="s">
        <v>211</v>
      </c>
      <c r="B746" s="101">
        <v>5</v>
      </c>
      <c r="C746" s="101">
        <v>-5</v>
      </c>
      <c r="D746" s="101">
        <v>6</v>
      </c>
      <c r="E746" s="101">
        <v>-2</v>
      </c>
      <c r="F746" s="101">
        <v>30</v>
      </c>
      <c r="G746" s="101">
        <v>2</v>
      </c>
      <c r="H746" s="101">
        <v>0.4</v>
      </c>
      <c r="I746" s="102">
        <v>1.04</v>
      </c>
      <c r="J746" s="102">
        <v>2.6970000000000001</v>
      </c>
      <c r="K746" s="101">
        <v>11.4</v>
      </c>
      <c r="L746" s="101">
        <v>0.6</v>
      </c>
      <c r="M746" s="101" t="s">
        <v>1091</v>
      </c>
      <c r="N746" s="101">
        <v>2006</v>
      </c>
      <c r="O746" s="101" t="s">
        <v>685</v>
      </c>
      <c r="P746" s="101">
        <v>968891</v>
      </c>
      <c r="Q746" t="s">
        <v>451</v>
      </c>
      <c r="R746" t="s">
        <v>291</v>
      </c>
      <c r="S746"/>
      <c r="T746"/>
      <c r="U746"/>
      <c r="V746" s="222"/>
    </row>
    <row r="747" spans="1:22" x14ac:dyDescent="0.2">
      <c r="A747" t="s">
        <v>207</v>
      </c>
      <c r="B747" s="101">
        <v>10</v>
      </c>
      <c r="C747" s="101">
        <v>3</v>
      </c>
      <c r="D747" s="101">
        <v>10</v>
      </c>
      <c r="E747" s="101">
        <v>-1</v>
      </c>
      <c r="F747" s="101">
        <v>19</v>
      </c>
      <c r="G747" s="101">
        <v>16</v>
      </c>
      <c r="H747" s="101">
        <v>3</v>
      </c>
      <c r="I747" s="102">
        <v>1.04</v>
      </c>
      <c r="J747" s="102">
        <v>2.6989999999999998</v>
      </c>
      <c r="K747" s="101">
        <v>12.5</v>
      </c>
      <c r="L747" s="101">
        <v>0.4</v>
      </c>
      <c r="M747" s="101" t="s">
        <v>1091</v>
      </c>
      <c r="N747" s="101">
        <v>2004</v>
      </c>
      <c r="O747" s="101" t="s">
        <v>685</v>
      </c>
      <c r="P747" s="101">
        <v>688986</v>
      </c>
      <c r="Q747" t="s">
        <v>451</v>
      </c>
      <c r="R747" t="s">
        <v>282</v>
      </c>
      <c r="S747"/>
      <c r="T747"/>
      <c r="U747"/>
      <c r="V747" s="222"/>
    </row>
    <row r="748" spans="1:22" x14ac:dyDescent="0.2">
      <c r="A748" t="s">
        <v>363</v>
      </c>
      <c r="B748" s="101">
        <v>9</v>
      </c>
      <c r="C748" s="101">
        <v>-7</v>
      </c>
      <c r="D748" s="101">
        <v>9</v>
      </c>
      <c r="E748" s="101">
        <v>4</v>
      </c>
      <c r="F748" s="101">
        <v>40</v>
      </c>
      <c r="G748" s="101">
        <v>5</v>
      </c>
      <c r="H748" s="101">
        <v>0.9</v>
      </c>
      <c r="I748" s="102">
        <v>1.04</v>
      </c>
      <c r="J748" s="102">
        <v>2.7</v>
      </c>
      <c r="K748" s="101">
        <v>12.5</v>
      </c>
      <c r="L748" s="101">
        <v>0.9</v>
      </c>
      <c r="M748" s="101" t="s">
        <v>1089</v>
      </c>
      <c r="N748" s="101">
        <v>2000</v>
      </c>
      <c r="O748" s="101" t="s">
        <v>685</v>
      </c>
      <c r="P748" s="101">
        <v>174086</v>
      </c>
      <c r="Q748" t="s">
        <v>372</v>
      </c>
      <c r="R748" t="s">
        <v>108</v>
      </c>
      <c r="S748"/>
      <c r="T748"/>
      <c r="U748"/>
      <c r="V748" s="222"/>
    </row>
    <row r="749" spans="1:22" x14ac:dyDescent="0.2">
      <c r="A749" t="s">
        <v>25</v>
      </c>
      <c r="B749" s="101">
        <v>25</v>
      </c>
      <c r="C749" s="101">
        <v>14</v>
      </c>
      <c r="D749" s="101">
        <v>26</v>
      </c>
      <c r="E749" s="101">
        <v>18</v>
      </c>
      <c r="F749" s="101">
        <v>12</v>
      </c>
      <c r="G749" s="101">
        <v>13</v>
      </c>
      <c r="H749" s="101">
        <v>2.5</v>
      </c>
      <c r="I749" s="102">
        <v>1.04</v>
      </c>
      <c r="J749" s="102">
        <v>2.706</v>
      </c>
      <c r="K749" s="101">
        <v>16.8</v>
      </c>
      <c r="L749" s="101">
        <v>0.2</v>
      </c>
      <c r="M749" s="101" t="s">
        <v>1091</v>
      </c>
      <c r="N749" s="101">
        <v>2000</v>
      </c>
      <c r="O749" s="101" t="s">
        <v>685</v>
      </c>
      <c r="P749" s="101">
        <v>260919</v>
      </c>
      <c r="Q749" t="s">
        <v>451</v>
      </c>
      <c r="R749" t="s">
        <v>385</v>
      </c>
      <c r="S749"/>
      <c r="T749"/>
      <c r="U749"/>
      <c r="V749" s="222"/>
    </row>
    <row r="750" spans="1:22" x14ac:dyDescent="0.2">
      <c r="A750" t="s">
        <v>214</v>
      </c>
      <c r="B750" s="101">
        <v>-1</v>
      </c>
      <c r="C750" s="101">
        <v>-17</v>
      </c>
      <c r="D750" s="101">
        <v>-1</v>
      </c>
      <c r="E750" s="101">
        <v>-26</v>
      </c>
      <c r="F750" s="101">
        <v>20</v>
      </c>
      <c r="G750" s="101"/>
      <c r="H750" s="101"/>
      <c r="I750" s="102">
        <v>1.04</v>
      </c>
      <c r="J750" s="102">
        <v>2.7069999999999999</v>
      </c>
      <c r="K750" s="101">
        <v>25.9</v>
      </c>
      <c r="L750" s="101">
        <v>0.3</v>
      </c>
      <c r="M750" s="101" t="s">
        <v>1091</v>
      </c>
      <c r="N750" s="101">
        <v>2009</v>
      </c>
      <c r="O750" s="101" t="s">
        <v>685</v>
      </c>
      <c r="P750" s="101">
        <v>925099</v>
      </c>
      <c r="Q750" t="s">
        <v>451</v>
      </c>
      <c r="R750" t="s">
        <v>382</v>
      </c>
      <c r="S750"/>
      <c r="T750"/>
      <c r="U750"/>
      <c r="V750" s="222"/>
    </row>
    <row r="751" spans="1:22" x14ac:dyDescent="0.2">
      <c r="A751" t="s">
        <v>213</v>
      </c>
      <c r="B751" s="101">
        <v>6</v>
      </c>
      <c r="C751" s="101">
        <v>0</v>
      </c>
      <c r="D751" s="101">
        <v>6</v>
      </c>
      <c r="E751" s="101">
        <v>-7</v>
      </c>
      <c r="F751" s="101">
        <v>2</v>
      </c>
      <c r="G751" s="101">
        <v>-7</v>
      </c>
      <c r="H751" s="101">
        <v>-1.4</v>
      </c>
      <c r="I751" s="102">
        <v>1.05</v>
      </c>
      <c r="J751" s="102">
        <v>2.7170000000000001</v>
      </c>
      <c r="K751" s="101">
        <v>14.7</v>
      </c>
      <c r="L751" s="101">
        <v>0.1</v>
      </c>
      <c r="M751" s="101" t="s">
        <v>1091</v>
      </c>
      <c r="N751" s="101">
        <v>2003</v>
      </c>
      <c r="O751" s="101" t="s">
        <v>685</v>
      </c>
      <c r="P751" s="101">
        <v>882126</v>
      </c>
      <c r="Q751" t="s">
        <v>451</v>
      </c>
      <c r="R751" t="s">
        <v>381</v>
      </c>
      <c r="S751"/>
      <c r="T751"/>
      <c r="U751"/>
      <c r="V751" s="222"/>
    </row>
    <row r="752" spans="1:22" x14ac:dyDescent="0.2">
      <c r="A752" t="s">
        <v>210</v>
      </c>
      <c r="B752" s="101">
        <v>3</v>
      </c>
      <c r="C752" s="101">
        <v>-4</v>
      </c>
      <c r="D752" s="101">
        <v>3</v>
      </c>
      <c r="E752" s="101">
        <v>-7</v>
      </c>
      <c r="F752" s="101">
        <v>4</v>
      </c>
      <c r="G752" s="101">
        <v>-23</v>
      </c>
      <c r="H752" s="101">
        <v>-5.0999999999999996</v>
      </c>
      <c r="I752" s="102">
        <v>1.05</v>
      </c>
      <c r="J752" s="102">
        <v>2.7280000000000002</v>
      </c>
      <c r="K752" s="101">
        <v>15.3</v>
      </c>
      <c r="L752" s="101">
        <v>0.1</v>
      </c>
      <c r="M752" s="101" t="s">
        <v>1091</v>
      </c>
      <c r="N752" s="101">
        <v>2003</v>
      </c>
      <c r="O752" s="101" t="s">
        <v>685</v>
      </c>
      <c r="P752" s="101">
        <v>917955</v>
      </c>
      <c r="Q752" t="s">
        <v>451</v>
      </c>
      <c r="R752" t="s">
        <v>138</v>
      </c>
      <c r="S752"/>
      <c r="T752"/>
      <c r="U752"/>
      <c r="V752" s="222"/>
    </row>
    <row r="753" spans="1:22" x14ac:dyDescent="0.2">
      <c r="A753" t="s">
        <v>951</v>
      </c>
      <c r="B753" s="101">
        <v>1</v>
      </c>
      <c r="C753" s="101">
        <v>-6</v>
      </c>
      <c r="D753" s="101">
        <v>2</v>
      </c>
      <c r="E753" s="101">
        <v>-5</v>
      </c>
      <c r="F753" s="101"/>
      <c r="G753" s="101"/>
      <c r="H753" s="101"/>
      <c r="I753" s="102">
        <v>1.05</v>
      </c>
      <c r="J753" s="102">
        <v>2.7336</v>
      </c>
      <c r="K753" s="101"/>
      <c r="L753" s="101"/>
      <c r="M753" s="101" t="s">
        <v>1088</v>
      </c>
      <c r="N753" s="101">
        <v>2009</v>
      </c>
      <c r="O753" s="101" t="s">
        <v>685</v>
      </c>
      <c r="P753" s="101">
        <v>539460</v>
      </c>
      <c r="Q753" t="s">
        <v>952</v>
      </c>
      <c r="R753" t="s">
        <v>314</v>
      </c>
      <c r="S753"/>
      <c r="T753"/>
      <c r="U753"/>
      <c r="V753" s="222"/>
    </row>
    <row r="754" spans="1:22" x14ac:dyDescent="0.2">
      <c r="A754" t="s">
        <v>803</v>
      </c>
      <c r="B754" s="101">
        <v>6</v>
      </c>
      <c r="C754" s="101">
        <v>-1</v>
      </c>
      <c r="D754" s="101">
        <v>7</v>
      </c>
      <c r="E754" s="101">
        <v>-6</v>
      </c>
      <c r="F754" s="101">
        <v>10</v>
      </c>
      <c r="G754" s="101">
        <v>-10</v>
      </c>
      <c r="H754" s="101">
        <v>-2.1</v>
      </c>
      <c r="I754" s="102">
        <v>1.06</v>
      </c>
      <c r="J754" s="102">
        <v>2.75</v>
      </c>
      <c r="K754" s="101">
        <v>15.3</v>
      </c>
      <c r="L754" s="101">
        <v>0.2</v>
      </c>
      <c r="M754" s="101" t="s">
        <v>1091</v>
      </c>
      <c r="N754" s="101">
        <v>2001</v>
      </c>
      <c r="O754" s="101" t="s">
        <v>685</v>
      </c>
      <c r="P754" s="101">
        <v>389650</v>
      </c>
      <c r="Q754" t="s">
        <v>372</v>
      </c>
      <c r="R754" t="s">
        <v>138</v>
      </c>
      <c r="S754"/>
      <c r="T754"/>
      <c r="U754"/>
      <c r="V754" s="222"/>
    </row>
    <row r="755" spans="1:22" x14ac:dyDescent="0.2">
      <c r="A755" t="s">
        <v>29</v>
      </c>
      <c r="B755" s="101">
        <v>9</v>
      </c>
      <c r="C755" s="101">
        <v>0</v>
      </c>
      <c r="D755" s="101">
        <v>12</v>
      </c>
      <c r="E755" s="101">
        <v>-15</v>
      </c>
      <c r="F755" s="101">
        <v>16</v>
      </c>
      <c r="G755" s="101">
        <v>-50</v>
      </c>
      <c r="H755" s="101">
        <v>-12.9</v>
      </c>
      <c r="I755" s="102">
        <v>1.06</v>
      </c>
      <c r="J755" s="102">
        <v>2.75</v>
      </c>
      <c r="K755" s="101">
        <v>16.899999999999999</v>
      </c>
      <c r="L755" s="101">
        <v>0.3</v>
      </c>
      <c r="M755" s="101" t="s">
        <v>1089</v>
      </c>
      <c r="N755" s="101">
        <v>2000</v>
      </c>
      <c r="O755" s="101" t="s">
        <v>685</v>
      </c>
      <c r="P755" s="101">
        <v>353235</v>
      </c>
      <c r="Q755" t="s">
        <v>372</v>
      </c>
      <c r="R755" t="s">
        <v>291</v>
      </c>
      <c r="S755"/>
      <c r="T755"/>
      <c r="U755"/>
      <c r="V755" s="222"/>
    </row>
    <row r="756" spans="1:22" x14ac:dyDescent="0.2">
      <c r="A756" t="s">
        <v>1095</v>
      </c>
      <c r="B756" s="101"/>
      <c r="C756" s="101">
        <v>-7</v>
      </c>
      <c r="D756" s="101"/>
      <c r="E756" s="101"/>
      <c r="F756" s="101"/>
      <c r="G756" s="101"/>
      <c r="H756" s="101"/>
      <c r="I756" s="102">
        <v>1.06</v>
      </c>
      <c r="J756" s="102">
        <v>2.75</v>
      </c>
      <c r="K756" s="101"/>
      <c r="L756" s="101"/>
      <c r="M756" s="101" t="s">
        <v>1088</v>
      </c>
      <c r="N756" s="101">
        <v>2012</v>
      </c>
      <c r="O756" s="101" t="s">
        <v>685</v>
      </c>
      <c r="P756" s="101">
        <v>999110</v>
      </c>
      <c r="Q756" t="s">
        <v>411</v>
      </c>
      <c r="R756" t="s">
        <v>314</v>
      </c>
      <c r="S756"/>
      <c r="T756"/>
      <c r="U756"/>
      <c r="V756" s="222"/>
    </row>
    <row r="757" spans="1:22" x14ac:dyDescent="0.2">
      <c r="A757" t="s">
        <v>966</v>
      </c>
      <c r="B757" s="101">
        <v>6</v>
      </c>
      <c r="C757" s="101">
        <v>3</v>
      </c>
      <c r="D757" s="101">
        <v>7</v>
      </c>
      <c r="E757" s="101">
        <v>5</v>
      </c>
      <c r="F757" s="101">
        <v>13</v>
      </c>
      <c r="G757" s="101">
        <v>27</v>
      </c>
      <c r="H757" s="101">
        <v>4.9000000000000004</v>
      </c>
      <c r="I757" s="102">
        <v>1.03</v>
      </c>
      <c r="J757" s="102">
        <v>2.76</v>
      </c>
      <c r="K757" s="101">
        <v>8.6</v>
      </c>
      <c r="L757" s="101">
        <v>0.4</v>
      </c>
      <c r="M757" s="101" t="s">
        <v>1091</v>
      </c>
      <c r="N757" s="101">
        <v>2009</v>
      </c>
      <c r="O757" s="101" t="s">
        <v>685</v>
      </c>
      <c r="P757" s="101">
        <v>874099</v>
      </c>
      <c r="Q757" t="s">
        <v>372</v>
      </c>
      <c r="R757" t="s">
        <v>678</v>
      </c>
      <c r="S757"/>
      <c r="T757"/>
      <c r="U757"/>
      <c r="V757" s="222"/>
    </row>
    <row r="758" spans="1:22" x14ac:dyDescent="0.2">
      <c r="A758" t="s">
        <v>1069</v>
      </c>
      <c r="B758" s="101">
        <v>-6</v>
      </c>
      <c r="C758" s="101">
        <v>-4</v>
      </c>
      <c r="D758" s="101">
        <v>-6</v>
      </c>
      <c r="E758" s="101"/>
      <c r="F758" s="101"/>
      <c r="G758" s="101"/>
      <c r="H758" s="101"/>
      <c r="I758" s="102">
        <v>0.94</v>
      </c>
      <c r="J758" s="102">
        <v>2.774</v>
      </c>
      <c r="K758" s="101"/>
      <c r="L758" s="101"/>
      <c r="M758" s="101" t="s">
        <v>1088</v>
      </c>
      <c r="N758" s="101">
        <v>2012</v>
      </c>
      <c r="O758" s="101" t="s">
        <v>685</v>
      </c>
      <c r="P758" s="101">
        <v>910455</v>
      </c>
      <c r="Q758" t="s">
        <v>1070</v>
      </c>
      <c r="R758" t="s">
        <v>314</v>
      </c>
      <c r="S758"/>
      <c r="T758"/>
      <c r="U758"/>
      <c r="V758" s="222"/>
    </row>
    <row r="759" spans="1:22" x14ac:dyDescent="0.2">
      <c r="A759" t="s">
        <v>418</v>
      </c>
      <c r="B759" s="101">
        <v>-2</v>
      </c>
      <c r="C759" s="101">
        <v>-4</v>
      </c>
      <c r="D759" s="101">
        <v>-2</v>
      </c>
      <c r="E759" s="101">
        <v>-6</v>
      </c>
      <c r="F759" s="101">
        <v>6</v>
      </c>
      <c r="G759" s="101"/>
      <c r="H759" s="101"/>
      <c r="I759" s="102">
        <v>1.08</v>
      </c>
      <c r="J759" s="102">
        <v>2.80945</v>
      </c>
      <c r="K759" s="101">
        <v>8</v>
      </c>
      <c r="L759" s="101">
        <v>0.1</v>
      </c>
      <c r="M759" s="101" t="s">
        <v>1088</v>
      </c>
      <c r="N759" s="101">
        <v>2011</v>
      </c>
      <c r="O759" s="101" t="s">
        <v>685</v>
      </c>
      <c r="P759" s="101">
        <v>987602</v>
      </c>
      <c r="Q759" t="s">
        <v>411</v>
      </c>
      <c r="R759" t="s">
        <v>152</v>
      </c>
      <c r="S759"/>
      <c r="T759"/>
      <c r="U759"/>
      <c r="V759" s="222"/>
    </row>
    <row r="760" spans="1:22" x14ac:dyDescent="0.2">
      <c r="A760" t="s">
        <v>28</v>
      </c>
      <c r="B760" s="101">
        <v>14</v>
      </c>
      <c r="C760" s="101">
        <v>4</v>
      </c>
      <c r="D760" s="101">
        <v>15</v>
      </c>
      <c r="E760" s="101">
        <v>1</v>
      </c>
      <c r="F760" s="101">
        <v>30</v>
      </c>
      <c r="G760" s="101">
        <v>-25</v>
      </c>
      <c r="H760" s="101">
        <v>-5.5</v>
      </c>
      <c r="I760" s="102">
        <v>1.0900000000000001</v>
      </c>
      <c r="J760" s="102">
        <v>2.84</v>
      </c>
      <c r="K760" s="101">
        <v>12.1</v>
      </c>
      <c r="L760" s="101">
        <v>0.7</v>
      </c>
      <c r="M760" s="101" t="s">
        <v>1091</v>
      </c>
      <c r="N760" s="101">
        <v>2007</v>
      </c>
      <c r="O760" s="101" t="s">
        <v>685</v>
      </c>
      <c r="P760" s="101">
        <v>136895</v>
      </c>
      <c r="Q760" t="s">
        <v>372</v>
      </c>
      <c r="R760" t="s">
        <v>291</v>
      </c>
      <c r="S760"/>
      <c r="T760"/>
      <c r="U760"/>
      <c r="V760" s="222"/>
    </row>
    <row r="761" spans="1:22" x14ac:dyDescent="0.2">
      <c r="A761" t="s">
        <v>963</v>
      </c>
      <c r="B761" s="101">
        <v>-6</v>
      </c>
      <c r="C761" s="101">
        <v>-11</v>
      </c>
      <c r="D761" s="101">
        <v>-7</v>
      </c>
      <c r="E761" s="101">
        <v>-28</v>
      </c>
      <c r="F761" s="101">
        <v>-24</v>
      </c>
      <c r="G761" s="101"/>
      <c r="H761" s="101"/>
      <c r="I761" s="102">
        <v>1.1000000000000001</v>
      </c>
      <c r="J761" s="102">
        <v>2.8524479999999999</v>
      </c>
      <c r="K761" s="101">
        <v>17.7</v>
      </c>
      <c r="L761" s="101">
        <v>-0.5</v>
      </c>
      <c r="M761" s="101" t="s">
        <v>1088</v>
      </c>
      <c r="N761" s="101">
        <v>2009</v>
      </c>
      <c r="O761" s="101" t="s">
        <v>685</v>
      </c>
      <c r="P761" s="101">
        <v>575290</v>
      </c>
      <c r="Q761" t="s">
        <v>956</v>
      </c>
      <c r="R761" t="s">
        <v>314</v>
      </c>
      <c r="S761"/>
      <c r="T761"/>
      <c r="U761"/>
      <c r="V761" s="222"/>
    </row>
    <row r="762" spans="1:22" x14ac:dyDescent="0.2">
      <c r="A762" t="s">
        <v>216</v>
      </c>
      <c r="B762" s="101">
        <v>8</v>
      </c>
      <c r="C762" s="101">
        <v>-1</v>
      </c>
      <c r="D762" s="101">
        <v>8</v>
      </c>
      <c r="E762" s="101">
        <v>-1</v>
      </c>
      <c r="F762" s="101">
        <v>20</v>
      </c>
      <c r="G762" s="101"/>
      <c r="H762" s="101"/>
      <c r="I762" s="102">
        <v>1.1000000000000001</v>
      </c>
      <c r="J762" s="102">
        <v>2.8540000000000001</v>
      </c>
      <c r="K762" s="101">
        <v>10.4</v>
      </c>
      <c r="L762" s="101">
        <v>0.4</v>
      </c>
      <c r="M762" s="101" t="s">
        <v>1091</v>
      </c>
      <c r="N762" s="101">
        <v>2009</v>
      </c>
      <c r="O762" s="101" t="s">
        <v>685</v>
      </c>
      <c r="P762" s="101">
        <v>690693</v>
      </c>
      <c r="Q762" t="s">
        <v>451</v>
      </c>
      <c r="R762" t="s">
        <v>152</v>
      </c>
      <c r="S762"/>
      <c r="T762"/>
      <c r="U762"/>
      <c r="V762" s="222"/>
    </row>
    <row r="763" spans="1:22" x14ac:dyDescent="0.2">
      <c r="A763" t="s">
        <v>980</v>
      </c>
      <c r="B763" s="101">
        <v>-3</v>
      </c>
      <c r="C763" s="101">
        <v>-2</v>
      </c>
      <c r="D763" s="101">
        <v>-3</v>
      </c>
      <c r="E763" s="101">
        <v>-7</v>
      </c>
      <c r="F763" s="101">
        <v>-21</v>
      </c>
      <c r="G763" s="101">
        <v>0</v>
      </c>
      <c r="H763" s="101">
        <v>0</v>
      </c>
      <c r="I763" s="102">
        <v>0.18</v>
      </c>
      <c r="J763" s="102">
        <v>2.87</v>
      </c>
      <c r="K763" s="101">
        <v>5.5</v>
      </c>
      <c r="L763" s="101">
        <v>-1.6</v>
      </c>
      <c r="M763" s="101" t="s">
        <v>1089</v>
      </c>
      <c r="N763" s="101">
        <v>2004</v>
      </c>
      <c r="O763" s="101" t="s">
        <v>685</v>
      </c>
      <c r="P763" s="101">
        <v>880294</v>
      </c>
      <c r="Q763" t="s">
        <v>411</v>
      </c>
      <c r="R763" t="s">
        <v>664</v>
      </c>
      <c r="S763"/>
      <c r="T763"/>
      <c r="U763"/>
      <c r="V763" s="222"/>
    </row>
    <row r="764" spans="1:22" x14ac:dyDescent="0.2">
      <c r="A764" t="s">
        <v>965</v>
      </c>
      <c r="B764" s="101">
        <v>2</v>
      </c>
      <c r="C764" s="101">
        <v>-6</v>
      </c>
      <c r="D764" s="101">
        <v>4</v>
      </c>
      <c r="E764" s="101">
        <v>-17</v>
      </c>
      <c r="F764" s="101">
        <v>-6</v>
      </c>
      <c r="G764" s="101">
        <v>-38</v>
      </c>
      <c r="H764" s="101">
        <v>-9.1</v>
      </c>
      <c r="I764" s="102">
        <v>1.1000000000000001</v>
      </c>
      <c r="J764" s="102">
        <v>2.87</v>
      </c>
      <c r="K764" s="101">
        <v>16.899999999999999</v>
      </c>
      <c r="L764" s="101">
        <v>-0.1</v>
      </c>
      <c r="M764" s="101" t="s">
        <v>1089</v>
      </c>
      <c r="N764" s="101">
        <v>2004</v>
      </c>
      <c r="O764" s="101" t="s">
        <v>685</v>
      </c>
      <c r="P764" s="101">
        <v>155788</v>
      </c>
      <c r="Q764" t="s">
        <v>372</v>
      </c>
      <c r="R764" t="s">
        <v>48</v>
      </c>
      <c r="S764"/>
      <c r="T764"/>
      <c r="U764"/>
      <c r="V764" s="222"/>
    </row>
    <row r="765" spans="1:22" x14ac:dyDescent="0.2">
      <c r="A765" t="s">
        <v>229</v>
      </c>
      <c r="B765" s="101">
        <v>-1</v>
      </c>
      <c r="C765" s="101">
        <v>-13</v>
      </c>
      <c r="D765" s="101">
        <v>-1</v>
      </c>
      <c r="E765" s="101">
        <v>-10</v>
      </c>
      <c r="F765" s="101">
        <v>20</v>
      </c>
      <c r="G765" s="101">
        <v>-5</v>
      </c>
      <c r="H765" s="101">
        <v>-1</v>
      </c>
      <c r="I765" s="102">
        <v>1.1000000000000001</v>
      </c>
      <c r="J765" s="102">
        <v>2.9</v>
      </c>
      <c r="K765" s="101">
        <v>17.399999999999999</v>
      </c>
      <c r="L765" s="101">
        <v>0.4</v>
      </c>
      <c r="M765" s="101" t="s">
        <v>1091</v>
      </c>
      <c r="N765" s="101">
        <v>2008</v>
      </c>
      <c r="O765" s="101" t="s">
        <v>685</v>
      </c>
      <c r="P765" s="101">
        <v>369462</v>
      </c>
      <c r="Q765" t="s">
        <v>838</v>
      </c>
      <c r="R765" t="s">
        <v>383</v>
      </c>
      <c r="S765"/>
      <c r="T765"/>
      <c r="U765"/>
      <c r="V765" s="222"/>
    </row>
    <row r="766" spans="1:22" x14ac:dyDescent="0.2">
      <c r="A766" t="s">
        <v>228</v>
      </c>
      <c r="B766" s="101">
        <v>5</v>
      </c>
      <c r="C766" s="101">
        <v>-7</v>
      </c>
      <c r="D766" s="101">
        <v>2</v>
      </c>
      <c r="E766" s="101">
        <v>-17</v>
      </c>
      <c r="F766" s="101">
        <v>-5</v>
      </c>
      <c r="G766" s="101">
        <v>-17</v>
      </c>
      <c r="H766" s="101">
        <v>-3.6</v>
      </c>
      <c r="I766" s="102">
        <v>1.1000000000000001</v>
      </c>
      <c r="J766" s="102">
        <v>2.9</v>
      </c>
      <c r="K766" s="101">
        <v>21</v>
      </c>
      <c r="L766" s="101">
        <v>0</v>
      </c>
      <c r="M766" s="101" t="s">
        <v>1091</v>
      </c>
      <c r="N766" s="101">
        <v>2008</v>
      </c>
      <c r="O766" s="101" t="s">
        <v>685</v>
      </c>
      <c r="P766" s="101">
        <v>333633</v>
      </c>
      <c r="Q766" t="s">
        <v>838</v>
      </c>
      <c r="R766" t="s">
        <v>138</v>
      </c>
      <c r="S766"/>
      <c r="T766"/>
      <c r="U766"/>
      <c r="V766" s="222"/>
    </row>
    <row r="767" spans="1:22" x14ac:dyDescent="0.2">
      <c r="A767" t="s">
        <v>230</v>
      </c>
      <c r="B767" s="101">
        <v>4</v>
      </c>
      <c r="C767" s="101">
        <v>-5</v>
      </c>
      <c r="D767" s="101">
        <v>4</v>
      </c>
      <c r="E767" s="101">
        <v>-2</v>
      </c>
      <c r="F767" s="101">
        <v>10</v>
      </c>
      <c r="G767" s="101">
        <v>-28</v>
      </c>
      <c r="H767" s="101">
        <v>-6.3</v>
      </c>
      <c r="I767" s="102">
        <v>1.1000000000000001</v>
      </c>
      <c r="J767" s="102">
        <v>2.9</v>
      </c>
      <c r="K767" s="101">
        <v>11.4</v>
      </c>
      <c r="L767" s="101">
        <v>0.2</v>
      </c>
      <c r="M767" s="101" t="s">
        <v>1091</v>
      </c>
      <c r="N767" s="101">
        <v>2008</v>
      </c>
      <c r="O767" s="101" t="s">
        <v>685</v>
      </c>
      <c r="P767" s="101">
        <v>405290</v>
      </c>
      <c r="Q767" t="s">
        <v>838</v>
      </c>
      <c r="R767" t="s">
        <v>152</v>
      </c>
      <c r="S767"/>
      <c r="T767"/>
      <c r="U767"/>
      <c r="V767" s="222"/>
    </row>
    <row r="768" spans="1:22" x14ac:dyDescent="0.2">
      <c r="A768" t="s">
        <v>233</v>
      </c>
      <c r="B768" s="101">
        <v>-15</v>
      </c>
      <c r="C768" s="101">
        <v>-21</v>
      </c>
      <c r="D768" s="101">
        <v>-16</v>
      </c>
      <c r="E768" s="101">
        <v>-28</v>
      </c>
      <c r="F768" s="101">
        <v>-3</v>
      </c>
      <c r="G768" s="101">
        <v>-35</v>
      </c>
      <c r="H768" s="101">
        <v>-8.3000000000000007</v>
      </c>
      <c r="I768" s="102">
        <v>1.1000000000000001</v>
      </c>
      <c r="J768" s="102">
        <v>2.9</v>
      </c>
      <c r="K768" s="101">
        <v>22.3</v>
      </c>
      <c r="L768" s="101">
        <v>0</v>
      </c>
      <c r="M768" s="101" t="s">
        <v>1089</v>
      </c>
      <c r="N768" s="101">
        <v>2008</v>
      </c>
      <c r="O768" s="101" t="s">
        <v>685</v>
      </c>
      <c r="P768" s="101">
        <v>938498</v>
      </c>
      <c r="Q768" t="s">
        <v>838</v>
      </c>
      <c r="R768" t="s">
        <v>291</v>
      </c>
      <c r="S768"/>
      <c r="T768"/>
      <c r="U768"/>
      <c r="V768" s="222"/>
    </row>
    <row r="769" spans="1:22" x14ac:dyDescent="0.2">
      <c r="A769" t="s">
        <v>232</v>
      </c>
      <c r="B769" s="101">
        <v>-2</v>
      </c>
      <c r="C769" s="101">
        <v>-11</v>
      </c>
      <c r="D769" s="101">
        <v>-2</v>
      </c>
      <c r="E769" s="101">
        <v>-12</v>
      </c>
      <c r="F769" s="101">
        <v>-14</v>
      </c>
      <c r="G769" s="101">
        <v>-44</v>
      </c>
      <c r="H769" s="101">
        <v>-11.1</v>
      </c>
      <c r="I769" s="102">
        <v>1.1000000000000001</v>
      </c>
      <c r="J769" s="102">
        <v>2.9</v>
      </c>
      <c r="K769" s="101">
        <v>14.1</v>
      </c>
      <c r="L769" s="101">
        <v>-0.4</v>
      </c>
      <c r="M769" s="101" t="s">
        <v>1089</v>
      </c>
      <c r="N769" s="101">
        <v>2008</v>
      </c>
      <c r="O769" s="101" t="s">
        <v>685</v>
      </c>
      <c r="P769" s="101">
        <v>902668</v>
      </c>
      <c r="Q769" t="s">
        <v>838</v>
      </c>
      <c r="R769" t="s">
        <v>48</v>
      </c>
      <c r="S769"/>
      <c r="T769"/>
      <c r="U769"/>
      <c r="V769" s="222"/>
    </row>
    <row r="770" spans="1:22" x14ac:dyDescent="0.2">
      <c r="A770" t="s">
        <v>215</v>
      </c>
      <c r="B770" s="101">
        <v>8</v>
      </c>
      <c r="C770" s="101">
        <v>-3</v>
      </c>
      <c r="D770" s="101">
        <v>8</v>
      </c>
      <c r="E770" s="101">
        <v>-23</v>
      </c>
      <c r="F770" s="101">
        <v>-19</v>
      </c>
      <c r="G770" s="101">
        <v>-28</v>
      </c>
      <c r="H770" s="101">
        <v>-6.3</v>
      </c>
      <c r="I770" s="102">
        <v>1.1100000000000001</v>
      </c>
      <c r="J770" s="102">
        <v>2.9060000000000001</v>
      </c>
      <c r="K770" s="101">
        <v>22.2</v>
      </c>
      <c r="L770" s="101">
        <v>-0.2</v>
      </c>
      <c r="M770" s="101" t="s">
        <v>1091</v>
      </c>
      <c r="N770" s="101">
        <v>2000</v>
      </c>
      <c r="O770" s="101" t="s">
        <v>685</v>
      </c>
      <c r="P770" s="101">
        <v>874271</v>
      </c>
      <c r="Q770" t="s">
        <v>451</v>
      </c>
      <c r="R770" t="s">
        <v>138</v>
      </c>
      <c r="S770"/>
      <c r="T770"/>
      <c r="U770"/>
      <c r="V770" s="222"/>
    </row>
    <row r="771" spans="1:22" x14ac:dyDescent="0.2">
      <c r="A771" t="s">
        <v>750</v>
      </c>
      <c r="B771" s="101">
        <v>-1</v>
      </c>
      <c r="C771" s="101">
        <v>-8</v>
      </c>
      <c r="D771" s="101">
        <v>0</v>
      </c>
      <c r="E771" s="101">
        <v>-12</v>
      </c>
      <c r="F771" s="101">
        <v>13</v>
      </c>
      <c r="G771" s="101">
        <v>-12</v>
      </c>
      <c r="H771" s="101">
        <v>-2.6</v>
      </c>
      <c r="I771" s="102">
        <v>1.1200000000000001</v>
      </c>
      <c r="J771" s="102">
        <v>2.91</v>
      </c>
      <c r="K771" s="101">
        <v>17</v>
      </c>
      <c r="L771" s="101">
        <v>0.2</v>
      </c>
      <c r="M771" s="101" t="s">
        <v>1091</v>
      </c>
      <c r="N771" s="101">
        <v>2001</v>
      </c>
      <c r="O771" s="101" t="s">
        <v>685</v>
      </c>
      <c r="P771" s="101">
        <v>174672</v>
      </c>
      <c r="Q771" t="s">
        <v>372</v>
      </c>
      <c r="R771" t="s">
        <v>383</v>
      </c>
      <c r="S771"/>
      <c r="T771"/>
      <c r="U771"/>
      <c r="V771" s="222"/>
    </row>
    <row r="772" spans="1:22" x14ac:dyDescent="0.2">
      <c r="A772" t="s">
        <v>626</v>
      </c>
      <c r="B772" s="101">
        <v>1</v>
      </c>
      <c r="C772" s="101">
        <v>-16</v>
      </c>
      <c r="D772" s="101">
        <v>1</v>
      </c>
      <c r="E772" s="101">
        <v>-24</v>
      </c>
      <c r="F772" s="101">
        <v>29</v>
      </c>
      <c r="G772" s="101">
        <v>-35</v>
      </c>
      <c r="H772" s="101">
        <v>-8.1999999999999993</v>
      </c>
      <c r="I772" s="102">
        <v>0.91</v>
      </c>
      <c r="J772" s="102">
        <v>2.91</v>
      </c>
      <c r="K772" s="101">
        <v>26.9</v>
      </c>
      <c r="L772" s="101">
        <v>0.4</v>
      </c>
      <c r="M772" s="101" t="s">
        <v>1089</v>
      </c>
      <c r="N772" s="101">
        <v>2010</v>
      </c>
      <c r="O772" s="101" t="s">
        <v>685</v>
      </c>
      <c r="P772" s="101">
        <v>622639</v>
      </c>
      <c r="Q772" t="s">
        <v>959</v>
      </c>
      <c r="R772" t="s">
        <v>382</v>
      </c>
      <c r="S772"/>
      <c r="T772"/>
      <c r="U772"/>
      <c r="V772" s="222"/>
    </row>
    <row r="773" spans="1:22" x14ac:dyDescent="0.2">
      <c r="A773" t="s">
        <v>992</v>
      </c>
      <c r="B773" s="101">
        <v>-4</v>
      </c>
      <c r="C773" s="101">
        <v>-9</v>
      </c>
      <c r="D773" s="101">
        <v>-4</v>
      </c>
      <c r="E773" s="101"/>
      <c r="F773" s="101"/>
      <c r="G773" s="101"/>
      <c r="H773" s="101"/>
      <c r="I773" s="102">
        <v>0.68</v>
      </c>
      <c r="J773" s="102">
        <v>2.9267720000000002</v>
      </c>
      <c r="K773" s="101"/>
      <c r="L773" s="101"/>
      <c r="M773" s="101" t="s">
        <v>1088</v>
      </c>
      <c r="N773" s="101">
        <v>2011</v>
      </c>
      <c r="O773" s="101" t="s">
        <v>685</v>
      </c>
      <c r="P773" s="101">
        <v>948117</v>
      </c>
      <c r="Q773" t="s">
        <v>411</v>
      </c>
      <c r="R773" t="s">
        <v>314</v>
      </c>
      <c r="S773"/>
      <c r="T773"/>
      <c r="U773"/>
      <c r="V773" s="222"/>
    </row>
    <row r="774" spans="1:22" x14ac:dyDescent="0.2">
      <c r="A774" t="s">
        <v>1071</v>
      </c>
      <c r="B774" s="101">
        <v>1</v>
      </c>
      <c r="C774" s="101">
        <v>-4</v>
      </c>
      <c r="D774" s="101">
        <v>2</v>
      </c>
      <c r="E774" s="101"/>
      <c r="F774" s="101"/>
      <c r="G774" s="101"/>
      <c r="H774" s="101"/>
      <c r="I774" s="102">
        <v>0.98</v>
      </c>
      <c r="J774" s="102">
        <v>2.9369999999999998</v>
      </c>
      <c r="K774" s="101"/>
      <c r="L774" s="101"/>
      <c r="M774" s="101" t="s">
        <v>1088</v>
      </c>
      <c r="N774" s="101">
        <v>2012</v>
      </c>
      <c r="O774" s="101" t="s">
        <v>685</v>
      </c>
      <c r="P774" s="101">
        <v>982116</v>
      </c>
      <c r="Q774" t="s">
        <v>1070</v>
      </c>
      <c r="R774" t="s">
        <v>314</v>
      </c>
      <c r="S774"/>
      <c r="T774"/>
      <c r="U774"/>
      <c r="V774" s="222"/>
    </row>
    <row r="775" spans="1:22" x14ac:dyDescent="0.2">
      <c r="A775" t="s">
        <v>804</v>
      </c>
      <c r="B775" s="101">
        <v>7</v>
      </c>
      <c r="C775" s="101">
        <v>-3</v>
      </c>
      <c r="D775" s="101">
        <v>7</v>
      </c>
      <c r="E775" s="101">
        <v>-20</v>
      </c>
      <c r="F775" s="101">
        <v>-8</v>
      </c>
      <c r="G775" s="101">
        <v>-27</v>
      </c>
      <c r="H775" s="101">
        <v>-6.1</v>
      </c>
      <c r="I775" s="102">
        <v>1.1299999999999999</v>
      </c>
      <c r="J775" s="102">
        <v>2.95</v>
      </c>
      <c r="K775" s="101">
        <v>20.3</v>
      </c>
      <c r="L775" s="101">
        <v>0</v>
      </c>
      <c r="M775" s="101" t="s">
        <v>1091</v>
      </c>
      <c r="N775" s="101">
        <v>2007</v>
      </c>
      <c r="O775" s="101" t="s">
        <v>685</v>
      </c>
      <c r="P775" s="101">
        <v>780007</v>
      </c>
      <c r="Q775" t="s">
        <v>372</v>
      </c>
      <c r="R775" t="s">
        <v>138</v>
      </c>
      <c r="S775"/>
      <c r="T775"/>
      <c r="U775"/>
      <c r="V775" s="222"/>
    </row>
    <row r="776" spans="1:22" x14ac:dyDescent="0.2">
      <c r="A776" t="s">
        <v>66</v>
      </c>
      <c r="B776" s="101">
        <v>5</v>
      </c>
      <c r="C776" s="101">
        <v>-5</v>
      </c>
      <c r="D776" s="101">
        <v>6</v>
      </c>
      <c r="E776" s="101">
        <v>-6</v>
      </c>
      <c r="F776" s="101">
        <v>12</v>
      </c>
      <c r="G776" s="101">
        <v>-21</v>
      </c>
      <c r="H776" s="101">
        <v>-4.5999999999999996</v>
      </c>
      <c r="I776" s="102">
        <v>1.1299999999999999</v>
      </c>
      <c r="J776" s="102">
        <v>2.952</v>
      </c>
      <c r="K776" s="101">
        <v>11</v>
      </c>
      <c r="L776" s="101">
        <v>0.2</v>
      </c>
      <c r="M776" s="101" t="s">
        <v>1089</v>
      </c>
      <c r="N776" s="101">
        <v>2001</v>
      </c>
      <c r="O776" s="101" t="s">
        <v>685</v>
      </c>
      <c r="P776" s="101">
        <v>309492</v>
      </c>
      <c r="Q776" t="s">
        <v>65</v>
      </c>
      <c r="R776" t="s">
        <v>48</v>
      </c>
      <c r="S776"/>
      <c r="T776"/>
      <c r="U776"/>
      <c r="V776" s="222"/>
    </row>
    <row r="777" spans="1:22" x14ac:dyDescent="0.2">
      <c r="A777" t="s">
        <v>1086</v>
      </c>
      <c r="B777" s="101">
        <v>5</v>
      </c>
      <c r="C777" s="101">
        <v>-5</v>
      </c>
      <c r="D777" s="101">
        <v>6</v>
      </c>
      <c r="E777" s="101">
        <v>-4</v>
      </c>
      <c r="F777" s="101"/>
      <c r="G777" s="101"/>
      <c r="H777" s="101"/>
      <c r="I777" s="102">
        <v>1.1299999999999999</v>
      </c>
      <c r="J777" s="102">
        <v>2.96</v>
      </c>
      <c r="K777" s="101"/>
      <c r="L777" s="101"/>
      <c r="M777" s="101" t="s">
        <v>1088</v>
      </c>
      <c r="N777" s="101">
        <v>2012</v>
      </c>
      <c r="O777" s="101" t="s">
        <v>806</v>
      </c>
      <c r="P777" s="101">
        <v>815712</v>
      </c>
      <c r="Q777" t="s">
        <v>477</v>
      </c>
      <c r="R777" t="s">
        <v>282</v>
      </c>
      <c r="S777"/>
      <c r="T777"/>
      <c r="U777"/>
      <c r="V777" s="222"/>
    </row>
    <row r="778" spans="1:22" x14ac:dyDescent="0.2">
      <c r="A778" t="s">
        <v>1072</v>
      </c>
      <c r="B778" s="101">
        <v>2</v>
      </c>
      <c r="C778" s="101">
        <v>-4</v>
      </c>
      <c r="D778" s="101">
        <v>3</v>
      </c>
      <c r="E778" s="101"/>
      <c r="F778" s="101"/>
      <c r="G778" s="101"/>
      <c r="H778" s="101"/>
      <c r="I778" s="102">
        <v>1</v>
      </c>
      <c r="J778" s="102">
        <v>2.9780000000000002</v>
      </c>
      <c r="K778" s="101"/>
      <c r="L778" s="101"/>
      <c r="M778" s="101" t="s">
        <v>1088</v>
      </c>
      <c r="N778" s="101">
        <v>2012</v>
      </c>
      <c r="O778" s="101" t="s">
        <v>685</v>
      </c>
      <c r="P778" s="101">
        <v>946285</v>
      </c>
      <c r="Q778" t="s">
        <v>1070</v>
      </c>
      <c r="R778" t="s">
        <v>314</v>
      </c>
      <c r="S778"/>
      <c r="T778"/>
      <c r="U778"/>
      <c r="V778" s="222"/>
    </row>
    <row r="779" spans="1:22" x14ac:dyDescent="0.2">
      <c r="A779" t="s">
        <v>857</v>
      </c>
      <c r="B779" s="101">
        <v>6</v>
      </c>
      <c r="C779" s="101">
        <v>-1</v>
      </c>
      <c r="D779" s="101">
        <v>6</v>
      </c>
      <c r="E779" s="101">
        <v>-5</v>
      </c>
      <c r="F779" s="101">
        <v>14</v>
      </c>
      <c r="G779" s="101">
        <v>-17</v>
      </c>
      <c r="H779" s="101">
        <v>-3.6</v>
      </c>
      <c r="I779" s="102">
        <v>1.1399999999999999</v>
      </c>
      <c r="J779" s="102">
        <v>2.98</v>
      </c>
      <c r="K779" s="101">
        <v>13.8</v>
      </c>
      <c r="L779" s="101">
        <v>0.3</v>
      </c>
      <c r="M779" s="101" t="s">
        <v>1091</v>
      </c>
      <c r="N779" s="101">
        <v>2001</v>
      </c>
      <c r="O779" s="101" t="s">
        <v>685</v>
      </c>
      <c r="P779" s="101">
        <v>317990</v>
      </c>
      <c r="Q779" t="s">
        <v>372</v>
      </c>
      <c r="R779" t="s">
        <v>168</v>
      </c>
      <c r="S779"/>
      <c r="T779"/>
      <c r="U779"/>
      <c r="V779" s="222"/>
    </row>
    <row r="780" spans="1:22" x14ac:dyDescent="0.2">
      <c r="A780" t="s">
        <v>625</v>
      </c>
      <c r="B780" s="101">
        <v>3</v>
      </c>
      <c r="C780" s="101">
        <v>-12</v>
      </c>
      <c r="D780" s="101">
        <v>3</v>
      </c>
      <c r="E780" s="101">
        <v>-24</v>
      </c>
      <c r="F780" s="101">
        <v>14</v>
      </c>
      <c r="G780" s="101"/>
      <c r="H780" s="101"/>
      <c r="I780" s="102">
        <v>0.93</v>
      </c>
      <c r="J780" s="102">
        <v>2.98</v>
      </c>
      <c r="K780" s="101">
        <v>21.8</v>
      </c>
      <c r="L780" s="101">
        <v>0.2</v>
      </c>
      <c r="M780" s="101" t="s">
        <v>1089</v>
      </c>
      <c r="N780" s="101">
        <v>2010</v>
      </c>
      <c r="O780" s="101" t="s">
        <v>685</v>
      </c>
      <c r="P780" s="101">
        <v>586800</v>
      </c>
      <c r="Q780" t="s">
        <v>959</v>
      </c>
      <c r="R780" t="s">
        <v>218</v>
      </c>
      <c r="S780"/>
      <c r="T780"/>
      <c r="U780"/>
      <c r="V780" s="222"/>
    </row>
    <row r="781" spans="1:22" x14ac:dyDescent="0.2">
      <c r="A781" t="s">
        <v>221</v>
      </c>
      <c r="B781" s="101">
        <v>2</v>
      </c>
      <c r="C781" s="101">
        <v>-20</v>
      </c>
      <c r="D781" s="101">
        <v>2</v>
      </c>
      <c r="E781" s="101">
        <v>-31</v>
      </c>
      <c r="F781" s="101">
        <v>27</v>
      </c>
      <c r="G781" s="101">
        <v>-42</v>
      </c>
      <c r="H781" s="101">
        <v>-10.3</v>
      </c>
      <c r="I781" s="102">
        <v>1.07</v>
      </c>
      <c r="J781" s="102">
        <v>3</v>
      </c>
      <c r="K781" s="101">
        <v>27.6</v>
      </c>
      <c r="L781" s="101">
        <v>0.4</v>
      </c>
      <c r="M781" s="101" t="s">
        <v>1089</v>
      </c>
      <c r="N781" s="101">
        <v>2004</v>
      </c>
      <c r="O781" s="101" t="s">
        <v>685</v>
      </c>
      <c r="P781" s="101">
        <v>889386</v>
      </c>
      <c r="Q781" t="s">
        <v>819</v>
      </c>
      <c r="R781" t="s">
        <v>382</v>
      </c>
      <c r="S781"/>
      <c r="T781"/>
      <c r="U781"/>
      <c r="V781" s="222"/>
    </row>
    <row r="782" spans="1:22" x14ac:dyDescent="0.2">
      <c r="A782" t="s">
        <v>454</v>
      </c>
      <c r="B782" s="101">
        <v>-10</v>
      </c>
      <c r="C782" s="101">
        <v>-15</v>
      </c>
      <c r="D782" s="101">
        <v>-8</v>
      </c>
      <c r="E782" s="101">
        <v>-36</v>
      </c>
      <c r="F782" s="101">
        <v>-29</v>
      </c>
      <c r="G782" s="101">
        <v>-69</v>
      </c>
      <c r="H782" s="101">
        <v>-20.8</v>
      </c>
      <c r="I782" s="102">
        <v>1.07</v>
      </c>
      <c r="J782" s="102">
        <v>3</v>
      </c>
      <c r="K782" s="101">
        <v>22.3</v>
      </c>
      <c r="L782" s="101">
        <v>-0.5</v>
      </c>
      <c r="M782" s="101" t="s">
        <v>1089</v>
      </c>
      <c r="N782" s="101">
        <v>2007</v>
      </c>
      <c r="O782" s="101" t="s">
        <v>685</v>
      </c>
      <c r="P782" s="101">
        <v>704098</v>
      </c>
      <c r="Q782" t="s">
        <v>819</v>
      </c>
      <c r="R782" t="s">
        <v>218</v>
      </c>
      <c r="S782"/>
      <c r="T782"/>
      <c r="U782"/>
      <c r="V782" s="222"/>
    </row>
    <row r="783" spans="1:22" x14ac:dyDescent="0.2">
      <c r="A783" t="s">
        <v>1058</v>
      </c>
      <c r="B783" s="101">
        <v>2</v>
      </c>
      <c r="C783" s="101">
        <v>-2</v>
      </c>
      <c r="D783" s="101">
        <v>2</v>
      </c>
      <c r="E783" s="101"/>
      <c r="F783" s="101"/>
      <c r="G783" s="101"/>
      <c r="H783" s="101"/>
      <c r="I783" s="102">
        <v>1.1100000000000001</v>
      </c>
      <c r="J783" s="102">
        <v>3</v>
      </c>
      <c r="K783" s="101"/>
      <c r="L783" s="101"/>
      <c r="M783" s="101" t="s">
        <v>1088</v>
      </c>
      <c r="N783" s="101">
        <v>2011</v>
      </c>
      <c r="O783" s="101" t="s">
        <v>806</v>
      </c>
      <c r="P783" s="101">
        <v>686972</v>
      </c>
      <c r="Q783" t="s">
        <v>786</v>
      </c>
      <c r="R783" t="s">
        <v>314</v>
      </c>
      <c r="S783"/>
      <c r="T783"/>
      <c r="U783"/>
      <c r="V783" s="222"/>
    </row>
    <row r="784" spans="1:22" x14ac:dyDescent="0.2">
      <c r="A784" t="s">
        <v>1057</v>
      </c>
      <c r="B784" s="101">
        <v>-1</v>
      </c>
      <c r="C784" s="101">
        <v>-2</v>
      </c>
      <c r="D784" s="101">
        <v>0</v>
      </c>
      <c r="E784" s="101"/>
      <c r="F784" s="101"/>
      <c r="G784" s="101"/>
      <c r="H784" s="101"/>
      <c r="I784" s="102">
        <v>1.1100000000000001</v>
      </c>
      <c r="J784" s="102">
        <v>3</v>
      </c>
      <c r="K784" s="101"/>
      <c r="L784" s="101"/>
      <c r="M784" s="101" t="s">
        <v>1088</v>
      </c>
      <c r="N784" s="101">
        <v>2011</v>
      </c>
      <c r="O784" s="101" t="s">
        <v>806</v>
      </c>
      <c r="P784" s="101">
        <v>651141</v>
      </c>
      <c r="Q784" t="s">
        <v>786</v>
      </c>
      <c r="R784" t="s">
        <v>314</v>
      </c>
      <c r="S784"/>
      <c r="T784"/>
      <c r="U784"/>
      <c r="V784" s="222"/>
    </row>
    <row r="785" spans="1:22" x14ac:dyDescent="0.2">
      <c r="A785" t="s">
        <v>584</v>
      </c>
      <c r="B785" s="101">
        <v>3</v>
      </c>
      <c r="C785" s="101">
        <v>-3</v>
      </c>
      <c r="D785" s="101">
        <v>3</v>
      </c>
      <c r="E785" s="101"/>
      <c r="F785" s="101"/>
      <c r="G785" s="101"/>
      <c r="H785" s="101"/>
      <c r="I785" s="102">
        <v>0.9</v>
      </c>
      <c r="J785" s="102">
        <v>3.000086</v>
      </c>
      <c r="K785" s="101"/>
      <c r="L785" s="101"/>
      <c r="M785" s="101" t="s">
        <v>1088</v>
      </c>
      <c r="N785" s="101">
        <v>2011</v>
      </c>
      <c r="O785" s="101" t="s">
        <v>806</v>
      </c>
      <c r="P785" s="101">
        <v>286179</v>
      </c>
      <c r="Q785" t="s">
        <v>870</v>
      </c>
      <c r="R785" t="s">
        <v>314</v>
      </c>
      <c r="S785"/>
      <c r="T785"/>
      <c r="U785"/>
      <c r="V785" s="222"/>
    </row>
    <row r="786" spans="1:22" x14ac:dyDescent="0.2">
      <c r="A786" t="s">
        <v>583</v>
      </c>
      <c r="B786" s="101">
        <v>2</v>
      </c>
      <c r="C786" s="101">
        <v>-2</v>
      </c>
      <c r="D786" s="101">
        <v>2</v>
      </c>
      <c r="E786" s="101"/>
      <c r="F786" s="101"/>
      <c r="G786" s="101"/>
      <c r="H786" s="101"/>
      <c r="I786" s="102">
        <v>0.9</v>
      </c>
      <c r="J786" s="102">
        <v>3.0001579999999999</v>
      </c>
      <c r="K786" s="101"/>
      <c r="L786" s="101"/>
      <c r="M786" s="101" t="s">
        <v>1088</v>
      </c>
      <c r="N786" s="101">
        <v>2011</v>
      </c>
      <c r="O786" s="101" t="s">
        <v>806</v>
      </c>
      <c r="P786" s="101">
        <v>322008</v>
      </c>
      <c r="Q786" t="s">
        <v>870</v>
      </c>
      <c r="R786" t="s">
        <v>314</v>
      </c>
      <c r="S786"/>
      <c r="T786"/>
      <c r="U786"/>
      <c r="V786" s="222"/>
    </row>
    <row r="787" spans="1:22" x14ac:dyDescent="0.2">
      <c r="A787" t="s">
        <v>447</v>
      </c>
      <c r="B787" s="101">
        <v>3</v>
      </c>
      <c r="C787" s="101">
        <v>-3</v>
      </c>
      <c r="D787" s="101">
        <v>4</v>
      </c>
      <c r="E787" s="101"/>
      <c r="F787" s="101"/>
      <c r="G787" s="101"/>
      <c r="H787" s="101"/>
      <c r="I787" s="102">
        <v>0.9</v>
      </c>
      <c r="J787" s="102">
        <v>3.002856</v>
      </c>
      <c r="K787" s="101"/>
      <c r="L787" s="101"/>
      <c r="M787" s="101" t="s">
        <v>1088</v>
      </c>
      <c r="N787" s="101">
        <v>2011</v>
      </c>
      <c r="O787" s="101" t="s">
        <v>806</v>
      </c>
      <c r="P787" s="101">
        <v>250340</v>
      </c>
      <c r="Q787" t="s">
        <v>870</v>
      </c>
      <c r="R787" t="s">
        <v>314</v>
      </c>
      <c r="S787"/>
      <c r="T787"/>
      <c r="U787"/>
      <c r="V787" s="222"/>
    </row>
    <row r="788" spans="1:22" x14ac:dyDescent="0.2">
      <c r="A788" t="s">
        <v>26</v>
      </c>
      <c r="B788" s="101">
        <v>-1</v>
      </c>
      <c r="C788" s="101">
        <v>-7</v>
      </c>
      <c r="D788" s="101">
        <v>0</v>
      </c>
      <c r="E788" s="101">
        <v>-16</v>
      </c>
      <c r="F788" s="101">
        <v>2</v>
      </c>
      <c r="G788" s="101">
        <v>-27</v>
      </c>
      <c r="H788" s="101">
        <v>-6</v>
      </c>
      <c r="I788" s="102">
        <v>1.1499999999999999</v>
      </c>
      <c r="J788" s="102">
        <v>3.0139999999999998</v>
      </c>
      <c r="K788" s="101">
        <v>15.5</v>
      </c>
      <c r="L788" s="101">
        <v>0</v>
      </c>
      <c r="M788" s="101" t="s">
        <v>1091</v>
      </c>
      <c r="N788" s="101">
        <v>2000</v>
      </c>
      <c r="O788" s="101" t="s">
        <v>685</v>
      </c>
      <c r="P788" s="101">
        <v>404236</v>
      </c>
      <c r="Q788" t="s">
        <v>451</v>
      </c>
      <c r="R788" t="s">
        <v>168</v>
      </c>
      <c r="S788"/>
      <c r="T788"/>
      <c r="U788"/>
      <c r="V788" s="222"/>
    </row>
    <row r="789" spans="1:22" x14ac:dyDescent="0.2">
      <c r="A789" t="s">
        <v>967</v>
      </c>
      <c r="B789" s="101">
        <v>6</v>
      </c>
      <c r="C789" s="101">
        <v>-3</v>
      </c>
      <c r="D789" s="101">
        <v>7</v>
      </c>
      <c r="E789" s="101">
        <v>-11</v>
      </c>
      <c r="F789" s="101">
        <v>11</v>
      </c>
      <c r="G789" s="101">
        <v>-31</v>
      </c>
      <c r="H789" s="101">
        <v>-7.2</v>
      </c>
      <c r="I789" s="102">
        <v>1.17</v>
      </c>
      <c r="J789" s="102">
        <v>3.05</v>
      </c>
      <c r="K789" s="101">
        <v>15.6</v>
      </c>
      <c r="L789" s="101">
        <v>0.2</v>
      </c>
      <c r="M789" s="101" t="s">
        <v>1089</v>
      </c>
      <c r="N789" s="101">
        <v>2001</v>
      </c>
      <c r="O789" s="101" t="s">
        <v>685</v>
      </c>
      <c r="P789" s="101">
        <v>353821</v>
      </c>
      <c r="Q789" t="s">
        <v>372</v>
      </c>
      <c r="R789" t="s">
        <v>218</v>
      </c>
      <c r="S789"/>
      <c r="T789"/>
      <c r="U789"/>
      <c r="V789" s="222"/>
    </row>
    <row r="790" spans="1:22" x14ac:dyDescent="0.2">
      <c r="A790" t="s">
        <v>217</v>
      </c>
      <c r="B790" s="101">
        <v>3</v>
      </c>
      <c r="C790" s="101">
        <v>-11</v>
      </c>
      <c r="D790" s="101">
        <v>3</v>
      </c>
      <c r="E790" s="101">
        <v>-22</v>
      </c>
      <c r="F790" s="101">
        <v>16</v>
      </c>
      <c r="G790" s="101">
        <v>-37</v>
      </c>
      <c r="H790" s="101">
        <v>-8.9</v>
      </c>
      <c r="I790" s="102">
        <v>1.17</v>
      </c>
      <c r="J790" s="102">
        <v>3.0630000000000002</v>
      </c>
      <c r="K790" s="101">
        <v>24</v>
      </c>
      <c r="L790" s="101">
        <v>0.3</v>
      </c>
      <c r="M790" s="101" t="s">
        <v>1089</v>
      </c>
      <c r="N790" s="101">
        <v>2000</v>
      </c>
      <c r="O790" s="101" t="s">
        <v>685</v>
      </c>
      <c r="P790" s="101">
        <v>368407</v>
      </c>
      <c r="Q790" t="s">
        <v>451</v>
      </c>
      <c r="R790" t="s">
        <v>218</v>
      </c>
      <c r="S790"/>
      <c r="T790"/>
      <c r="U790"/>
      <c r="V790" s="222"/>
    </row>
    <row r="791" spans="1:22" x14ac:dyDescent="0.2">
      <c r="A791" t="s">
        <v>77</v>
      </c>
      <c r="B791" s="101">
        <v>4</v>
      </c>
      <c r="C791" s="101">
        <v>-4</v>
      </c>
      <c r="D791" s="101">
        <v>4</v>
      </c>
      <c r="E791" s="101">
        <v>-3</v>
      </c>
      <c r="F791" s="101">
        <v>3</v>
      </c>
      <c r="G791" s="101">
        <v>-22</v>
      </c>
      <c r="H791" s="101">
        <v>-4.9000000000000004</v>
      </c>
      <c r="I791" s="102">
        <v>1.1399999999999999</v>
      </c>
      <c r="J791" s="102">
        <v>3.1</v>
      </c>
      <c r="K791" s="101">
        <v>8.9</v>
      </c>
      <c r="L791" s="101">
        <v>0</v>
      </c>
      <c r="M791" s="101" t="s">
        <v>1089</v>
      </c>
      <c r="N791" s="101">
        <v>2008</v>
      </c>
      <c r="O791" s="101" t="s">
        <v>685</v>
      </c>
      <c r="P791" s="101">
        <v>216408</v>
      </c>
      <c r="Q791" t="s">
        <v>63</v>
      </c>
      <c r="R791" t="s">
        <v>152</v>
      </c>
      <c r="S791"/>
      <c r="T791"/>
      <c r="U791"/>
      <c r="V791" s="222"/>
    </row>
    <row r="792" spans="1:22" x14ac:dyDescent="0.2">
      <c r="A792" t="s">
        <v>654</v>
      </c>
      <c r="B792" s="101">
        <v>3</v>
      </c>
      <c r="C792" s="101">
        <v>-2</v>
      </c>
      <c r="D792" s="101">
        <v>2</v>
      </c>
      <c r="E792" s="101">
        <v>-3</v>
      </c>
      <c r="F792" s="101">
        <v>0</v>
      </c>
      <c r="G792" s="101">
        <v>-12</v>
      </c>
      <c r="H792" s="101">
        <v>-2.6</v>
      </c>
      <c r="I792" s="102">
        <v>1.17</v>
      </c>
      <c r="J792" s="102">
        <v>3.19</v>
      </c>
      <c r="K792" s="101">
        <v>6.7</v>
      </c>
      <c r="L792" s="101">
        <v>-0.2</v>
      </c>
      <c r="M792" s="101" t="s">
        <v>1089</v>
      </c>
      <c r="N792" s="101">
        <v>2008</v>
      </c>
      <c r="O792" s="101" t="s">
        <v>685</v>
      </c>
      <c r="P792" s="101">
        <v>323899</v>
      </c>
      <c r="Q792" t="s">
        <v>63</v>
      </c>
      <c r="R792" t="s">
        <v>314</v>
      </c>
      <c r="S792"/>
      <c r="T792"/>
      <c r="U792"/>
      <c r="V792" s="222"/>
    </row>
    <row r="793" spans="1:22" x14ac:dyDescent="0.2">
      <c r="A793" t="s">
        <v>582</v>
      </c>
      <c r="B793" s="101">
        <v>-1</v>
      </c>
      <c r="C793" s="101">
        <v>-14</v>
      </c>
      <c r="D793" s="101">
        <v>0</v>
      </c>
      <c r="E793" s="101">
        <v>-23</v>
      </c>
      <c r="F793" s="101"/>
      <c r="G793" s="101"/>
      <c r="H793" s="101"/>
      <c r="I793" s="102">
        <v>1.21</v>
      </c>
      <c r="J793" s="102">
        <v>3.19</v>
      </c>
      <c r="K793" s="101"/>
      <c r="L793" s="101"/>
      <c r="M793" s="101" t="s">
        <v>1089</v>
      </c>
      <c r="N793" s="101">
        <v>2011</v>
      </c>
      <c r="O793" s="101" t="s">
        <v>685</v>
      </c>
      <c r="P793" s="101">
        <v>174433</v>
      </c>
      <c r="Q793" t="s">
        <v>411</v>
      </c>
      <c r="R793" t="s">
        <v>382</v>
      </c>
      <c r="S793"/>
      <c r="T793"/>
      <c r="U793"/>
      <c r="V793" s="222"/>
    </row>
    <row r="794" spans="1:22" x14ac:dyDescent="0.2">
      <c r="A794" t="s">
        <v>1052</v>
      </c>
      <c r="B794" s="101">
        <v>-6</v>
      </c>
      <c r="C794" s="101">
        <v>-13</v>
      </c>
      <c r="D794" s="101">
        <v>-5</v>
      </c>
      <c r="E794" s="101"/>
      <c r="F794" s="101"/>
      <c r="G794" s="101"/>
      <c r="H794" s="101"/>
      <c r="I794" s="102">
        <v>0.6</v>
      </c>
      <c r="J794" s="102">
        <v>3.1994359999999999</v>
      </c>
      <c r="K794" s="101"/>
      <c r="L794" s="101"/>
      <c r="M794" s="101" t="s">
        <v>1088</v>
      </c>
      <c r="N794" s="101">
        <v>2011</v>
      </c>
      <c r="O794" s="101" t="s">
        <v>685</v>
      </c>
      <c r="P794" s="101">
        <v>798710</v>
      </c>
      <c r="Q794" t="s">
        <v>411</v>
      </c>
      <c r="R794" t="s">
        <v>168</v>
      </c>
      <c r="S794"/>
      <c r="T794"/>
      <c r="U794"/>
      <c r="V794" s="222"/>
    </row>
    <row r="795" spans="1:22" x14ac:dyDescent="0.2">
      <c r="A795" t="s">
        <v>1131</v>
      </c>
      <c r="B795" s="101"/>
      <c r="C795" s="101"/>
      <c r="D795" s="101"/>
      <c r="E795" s="101"/>
      <c r="F795" s="101"/>
      <c r="G795" s="101"/>
      <c r="H795" s="101"/>
      <c r="I795" s="102">
        <v>1.22</v>
      </c>
      <c r="J795" s="102">
        <v>3.2</v>
      </c>
      <c r="K795" s="101"/>
      <c r="L795" s="101"/>
      <c r="M795" s="101" t="s">
        <v>1088</v>
      </c>
      <c r="N795" s="101">
        <v>2012</v>
      </c>
      <c r="O795" s="101" t="s">
        <v>685</v>
      </c>
      <c r="P795" s="101">
        <v>997288</v>
      </c>
      <c r="Q795" t="s">
        <v>1132</v>
      </c>
      <c r="R795" t="s">
        <v>314</v>
      </c>
      <c r="S795"/>
      <c r="T795"/>
      <c r="U795"/>
      <c r="V795" s="222"/>
    </row>
    <row r="796" spans="1:22" x14ac:dyDescent="0.2">
      <c r="A796" t="s">
        <v>1133</v>
      </c>
      <c r="B796" s="101"/>
      <c r="C796" s="101"/>
      <c r="D796" s="101"/>
      <c r="E796" s="101"/>
      <c r="F796" s="101"/>
      <c r="G796" s="101"/>
      <c r="H796" s="101"/>
      <c r="I796" s="102">
        <v>1.22</v>
      </c>
      <c r="J796" s="102">
        <v>3.2</v>
      </c>
      <c r="K796" s="101"/>
      <c r="L796" s="101"/>
      <c r="M796" s="101" t="s">
        <v>1088</v>
      </c>
      <c r="N796" s="101">
        <v>2012</v>
      </c>
      <c r="O796" s="101" t="s">
        <v>685</v>
      </c>
      <c r="P796" s="101">
        <v>961458</v>
      </c>
      <c r="Q796" t="s">
        <v>1132</v>
      </c>
      <c r="R796" t="s">
        <v>152</v>
      </c>
      <c r="S796"/>
      <c r="T796"/>
      <c r="U796"/>
      <c r="V796" s="222"/>
    </row>
    <row r="797" spans="1:22" x14ac:dyDescent="0.2">
      <c r="A797" t="s">
        <v>225</v>
      </c>
      <c r="B797" s="101">
        <v>-8</v>
      </c>
      <c r="C797" s="101">
        <v>-19</v>
      </c>
      <c r="D797" s="101">
        <v>-8</v>
      </c>
      <c r="E797" s="101">
        <v>-34</v>
      </c>
      <c r="F797" s="101">
        <v>13</v>
      </c>
      <c r="G797" s="101">
        <v>-30</v>
      </c>
      <c r="H797" s="101">
        <v>-6.8</v>
      </c>
      <c r="I797" s="102">
        <v>1.25</v>
      </c>
      <c r="J797" s="102">
        <v>3.3019810000000001</v>
      </c>
      <c r="K797" s="101">
        <v>27.6</v>
      </c>
      <c r="L797" s="101">
        <v>0.2</v>
      </c>
      <c r="M797" s="101" t="s">
        <v>1089</v>
      </c>
      <c r="N797" s="101">
        <v>2002</v>
      </c>
      <c r="O797" s="101" t="s">
        <v>685</v>
      </c>
      <c r="P797" s="101">
        <v>396325</v>
      </c>
      <c r="Q797" t="s">
        <v>480</v>
      </c>
      <c r="R797" t="s">
        <v>382</v>
      </c>
      <c r="S797"/>
      <c r="T797"/>
      <c r="U797"/>
      <c r="V797" s="222"/>
    </row>
    <row r="798" spans="1:22" x14ac:dyDescent="0.2">
      <c r="A798" t="s">
        <v>251</v>
      </c>
      <c r="B798" s="101">
        <v>-12</v>
      </c>
      <c r="C798" s="101">
        <v>-19</v>
      </c>
      <c r="D798" s="101">
        <v>-11</v>
      </c>
      <c r="E798" s="101">
        <v>-27</v>
      </c>
      <c r="F798" s="101">
        <v>-1</v>
      </c>
      <c r="G798" s="101">
        <v>-19</v>
      </c>
      <c r="H798" s="101">
        <v>-4.0999999999999996</v>
      </c>
      <c r="I798" s="102">
        <v>1.25</v>
      </c>
      <c r="J798" s="102">
        <v>3.3030710000000001</v>
      </c>
      <c r="K798" s="101">
        <v>20.100000000000001</v>
      </c>
      <c r="L798" s="101">
        <v>0</v>
      </c>
      <c r="M798" s="101" t="s">
        <v>1089</v>
      </c>
      <c r="N798" s="101">
        <v>2005</v>
      </c>
      <c r="O798" s="101" t="s">
        <v>685</v>
      </c>
      <c r="P798" s="101">
        <v>135129</v>
      </c>
      <c r="Q798" t="s">
        <v>480</v>
      </c>
      <c r="R798" t="s">
        <v>250</v>
      </c>
      <c r="S798"/>
      <c r="T798"/>
      <c r="U798"/>
      <c r="V798" s="222"/>
    </row>
    <row r="799" spans="1:22" x14ac:dyDescent="0.2">
      <c r="A799" t="s">
        <v>143</v>
      </c>
      <c r="B799" s="101">
        <v>3</v>
      </c>
      <c r="C799" s="101">
        <v>-7</v>
      </c>
      <c r="D799" s="101">
        <v>0</v>
      </c>
      <c r="E799" s="101">
        <v>-23</v>
      </c>
      <c r="F799" s="101">
        <v>-19</v>
      </c>
      <c r="G799" s="101">
        <v>-27</v>
      </c>
      <c r="H799" s="101">
        <v>-6.2</v>
      </c>
      <c r="I799" s="102">
        <v>1.25</v>
      </c>
      <c r="J799" s="102">
        <v>3.304983</v>
      </c>
      <c r="K799" s="101">
        <v>21</v>
      </c>
      <c r="L799" s="101">
        <v>-0.2</v>
      </c>
      <c r="M799" s="101" t="s">
        <v>1089</v>
      </c>
      <c r="N799" s="101">
        <v>2003</v>
      </c>
      <c r="O799" s="101" t="s">
        <v>685</v>
      </c>
      <c r="P799" s="101">
        <v>220186</v>
      </c>
      <c r="Q799" t="s">
        <v>480</v>
      </c>
      <c r="R799" t="s">
        <v>138</v>
      </c>
      <c r="S799"/>
      <c r="T799"/>
      <c r="U799"/>
      <c r="V799" s="222"/>
    </row>
    <row r="800" spans="1:22" x14ac:dyDescent="0.2">
      <c r="A800" t="s">
        <v>830</v>
      </c>
      <c r="B800" s="101">
        <v>-2</v>
      </c>
      <c r="C800" s="101">
        <v>-12</v>
      </c>
      <c r="D800" s="101">
        <v>-2</v>
      </c>
      <c r="E800" s="101">
        <v>-21</v>
      </c>
      <c r="F800" s="101">
        <v>-11</v>
      </c>
      <c r="G800" s="101">
        <v>-33</v>
      </c>
      <c r="H800" s="101">
        <v>-7.7</v>
      </c>
      <c r="I800" s="102">
        <v>1.25</v>
      </c>
      <c r="J800" s="102">
        <v>3.3066170000000001</v>
      </c>
      <c r="K800" s="101">
        <v>17.8</v>
      </c>
      <c r="L800" s="101">
        <v>-0.2</v>
      </c>
      <c r="M800" s="101" t="s">
        <v>1089</v>
      </c>
      <c r="N800" s="101">
        <v>2007</v>
      </c>
      <c r="O800" s="101" t="s">
        <v>685</v>
      </c>
      <c r="P800" s="101">
        <v>670091</v>
      </c>
      <c r="Q800" t="s">
        <v>480</v>
      </c>
      <c r="R800" t="s">
        <v>168</v>
      </c>
      <c r="S800"/>
      <c r="T800"/>
      <c r="U800"/>
      <c r="V800" s="222"/>
    </row>
    <row r="801" spans="1:22" x14ac:dyDescent="0.2">
      <c r="A801" t="s">
        <v>144</v>
      </c>
      <c r="B801" s="101">
        <v>2</v>
      </c>
      <c r="C801" s="101">
        <v>-6</v>
      </c>
      <c r="D801" s="101">
        <v>1</v>
      </c>
      <c r="E801" s="101">
        <v>-18</v>
      </c>
      <c r="F801" s="101">
        <v>-25</v>
      </c>
      <c r="G801" s="101">
        <v>-42</v>
      </c>
      <c r="H801" s="101">
        <v>-10.199999999999999</v>
      </c>
      <c r="I801" s="102">
        <v>1.26</v>
      </c>
      <c r="J801" s="102">
        <v>3.3084709999999999</v>
      </c>
      <c r="K801" s="101">
        <v>18.5</v>
      </c>
      <c r="L801" s="101">
        <v>-0.5</v>
      </c>
      <c r="M801" s="101" t="s">
        <v>1089</v>
      </c>
      <c r="N801" s="101">
        <v>2002</v>
      </c>
      <c r="O801" s="101" t="s">
        <v>685</v>
      </c>
      <c r="P801" s="101">
        <v>118182</v>
      </c>
      <c r="Q801" t="s">
        <v>480</v>
      </c>
      <c r="R801" t="s">
        <v>381</v>
      </c>
      <c r="S801"/>
      <c r="T801"/>
      <c r="U801"/>
      <c r="V801" s="222"/>
    </row>
    <row r="802" spans="1:22" x14ac:dyDescent="0.2">
      <c r="A802" t="s">
        <v>801</v>
      </c>
      <c r="B802" s="101">
        <v>11</v>
      </c>
      <c r="C802" s="101">
        <v>-8</v>
      </c>
      <c r="D802" s="101">
        <v>12</v>
      </c>
      <c r="E802" s="101">
        <v>-14</v>
      </c>
      <c r="F802" s="101">
        <v>4</v>
      </c>
      <c r="G802" s="101">
        <v>-45</v>
      </c>
      <c r="H802" s="101">
        <v>-11.1</v>
      </c>
      <c r="I802" s="102">
        <v>1.26</v>
      </c>
      <c r="J802" s="102">
        <v>3.32</v>
      </c>
      <c r="K802" s="101">
        <v>18.3</v>
      </c>
      <c r="L802" s="101">
        <v>0.1</v>
      </c>
      <c r="M802" s="101" t="s">
        <v>1089</v>
      </c>
      <c r="N802" s="101">
        <v>2003</v>
      </c>
      <c r="O802" s="101" t="s">
        <v>685</v>
      </c>
      <c r="P802" s="101">
        <v>333757</v>
      </c>
      <c r="Q802" t="s">
        <v>372</v>
      </c>
      <c r="R802" t="s">
        <v>98</v>
      </c>
      <c r="S802"/>
      <c r="T802"/>
      <c r="U802"/>
      <c r="V802" s="222"/>
    </row>
    <row r="803" spans="1:22" x14ac:dyDescent="0.2">
      <c r="A803" t="s">
        <v>222</v>
      </c>
      <c r="B803" s="101">
        <v>5</v>
      </c>
      <c r="C803" s="101">
        <v>-7</v>
      </c>
      <c r="D803" s="101">
        <v>4</v>
      </c>
      <c r="E803" s="101">
        <v>-28</v>
      </c>
      <c r="F803" s="101">
        <v>-8</v>
      </c>
      <c r="G803" s="101">
        <v>-52</v>
      </c>
      <c r="H803" s="101">
        <v>-13.7</v>
      </c>
      <c r="I803" s="102">
        <v>1.26</v>
      </c>
      <c r="J803" s="102">
        <v>3.3210389999999999</v>
      </c>
      <c r="K803" s="101">
        <v>21.5</v>
      </c>
      <c r="L803" s="101">
        <v>-0.1</v>
      </c>
      <c r="M803" s="101" t="s">
        <v>1089</v>
      </c>
      <c r="N803" s="101">
        <v>2005</v>
      </c>
      <c r="O803" s="101" t="s">
        <v>685</v>
      </c>
      <c r="P803" s="101">
        <v>999292</v>
      </c>
      <c r="Q803" t="s">
        <v>480</v>
      </c>
      <c r="R803" t="s">
        <v>218</v>
      </c>
      <c r="S803"/>
      <c r="T803"/>
      <c r="U803"/>
      <c r="V803" s="222"/>
    </row>
    <row r="804" spans="1:22" x14ac:dyDescent="0.2">
      <c r="A804" t="s">
        <v>521</v>
      </c>
      <c r="B804" s="101">
        <v>5</v>
      </c>
      <c r="C804" s="101">
        <v>-5</v>
      </c>
      <c r="D804" s="101">
        <v>5</v>
      </c>
      <c r="E804" s="101">
        <v>-7</v>
      </c>
      <c r="F804" s="101">
        <v>-10</v>
      </c>
      <c r="G804" s="101"/>
      <c r="H804" s="101"/>
      <c r="I804" s="102">
        <v>1.31</v>
      </c>
      <c r="J804" s="102">
        <v>3.4642240000000002</v>
      </c>
      <c r="K804" s="101">
        <v>10.7</v>
      </c>
      <c r="L804" s="101">
        <v>-0.4</v>
      </c>
      <c r="M804" s="101" t="s">
        <v>1089</v>
      </c>
      <c r="N804" s="101">
        <v>2008</v>
      </c>
      <c r="O804" s="101" t="s">
        <v>685</v>
      </c>
      <c r="P804" s="101">
        <v>639690</v>
      </c>
      <c r="Q804" t="s">
        <v>65</v>
      </c>
      <c r="R804" t="s">
        <v>291</v>
      </c>
      <c r="S804" t="s">
        <v>1111</v>
      </c>
      <c r="T804"/>
      <c r="U804"/>
      <c r="V804" s="222"/>
    </row>
    <row r="805" spans="1:22" x14ac:dyDescent="0.2">
      <c r="A805" t="s">
        <v>744</v>
      </c>
      <c r="B805" s="101">
        <v>5</v>
      </c>
      <c r="C805" s="101">
        <v>-3</v>
      </c>
      <c r="D805" s="101">
        <v>5</v>
      </c>
      <c r="E805" s="101">
        <v>-2</v>
      </c>
      <c r="F805" s="101">
        <v>19</v>
      </c>
      <c r="G805" s="101">
        <v>1</v>
      </c>
      <c r="H805" s="101">
        <v>0.2</v>
      </c>
      <c r="I805" s="102">
        <v>1.27</v>
      </c>
      <c r="J805" s="102">
        <v>3.48</v>
      </c>
      <c r="K805" s="101">
        <v>12.2</v>
      </c>
      <c r="L805" s="101">
        <v>0.4</v>
      </c>
      <c r="M805" s="101" t="s">
        <v>1091</v>
      </c>
      <c r="N805" s="101">
        <v>2006</v>
      </c>
      <c r="O805" s="101" t="s">
        <v>685</v>
      </c>
      <c r="P805" s="101">
        <v>683490</v>
      </c>
      <c r="Q805" t="s">
        <v>63</v>
      </c>
      <c r="R805" t="s">
        <v>138</v>
      </c>
      <c r="S805"/>
      <c r="T805"/>
      <c r="U805"/>
      <c r="V805" s="222"/>
    </row>
    <row r="806" spans="1:22" x14ac:dyDescent="0.2">
      <c r="A806" t="s">
        <v>466</v>
      </c>
      <c r="B806" s="101">
        <v>-5</v>
      </c>
      <c r="C806" s="101">
        <v>-4</v>
      </c>
      <c r="D806" s="101">
        <v>-5</v>
      </c>
      <c r="E806" s="101">
        <v>-6</v>
      </c>
      <c r="F806" s="101">
        <v>-23</v>
      </c>
      <c r="G806" s="101"/>
      <c r="H806" s="101"/>
      <c r="I806" s="102">
        <v>1.33</v>
      </c>
      <c r="J806" s="102">
        <v>3.5356350000000001</v>
      </c>
      <c r="K806" s="101">
        <v>10</v>
      </c>
      <c r="L806" s="101">
        <v>-1</v>
      </c>
      <c r="M806" s="101" t="s">
        <v>1088</v>
      </c>
      <c r="N806" s="101">
        <v>2009</v>
      </c>
      <c r="O806" s="101" t="s">
        <v>685</v>
      </c>
      <c r="P806" s="101">
        <v>688861</v>
      </c>
      <c r="Q806" t="s">
        <v>956</v>
      </c>
      <c r="R806" t="s">
        <v>314</v>
      </c>
      <c r="S806"/>
      <c r="T806"/>
      <c r="U806"/>
      <c r="V806" s="222"/>
    </row>
    <row r="807" spans="1:22" x14ac:dyDescent="0.2">
      <c r="A807" t="s">
        <v>1085</v>
      </c>
      <c r="B807" s="101">
        <v>-13</v>
      </c>
      <c r="C807" s="101">
        <v>-17</v>
      </c>
      <c r="D807" s="101">
        <v>-14</v>
      </c>
      <c r="E807" s="101">
        <v>-42</v>
      </c>
      <c r="F807" s="101">
        <v>-30</v>
      </c>
      <c r="G807" s="101"/>
      <c r="H807" s="101"/>
      <c r="I807" s="102">
        <v>1.26</v>
      </c>
      <c r="J807" s="102">
        <v>3.69</v>
      </c>
      <c r="K807" s="101">
        <v>20.6</v>
      </c>
      <c r="L807" s="101">
        <v>-0.5</v>
      </c>
      <c r="M807" s="101" t="s">
        <v>1089</v>
      </c>
      <c r="N807" s="101">
        <v>2011</v>
      </c>
      <c r="O807" s="101" t="s">
        <v>685</v>
      </c>
      <c r="P807" s="101">
        <v>490235</v>
      </c>
      <c r="Q807" t="s">
        <v>501</v>
      </c>
      <c r="R807" t="s">
        <v>218</v>
      </c>
      <c r="S807"/>
      <c r="T807"/>
      <c r="U807"/>
      <c r="V807" s="222"/>
    </row>
    <row r="808" spans="1:22" x14ac:dyDescent="0.2">
      <c r="A808" t="s">
        <v>446</v>
      </c>
      <c r="B808" s="101">
        <v>9</v>
      </c>
      <c r="C808" s="101">
        <v>-2</v>
      </c>
      <c r="D808" s="101">
        <v>8</v>
      </c>
      <c r="E808" s="101"/>
      <c r="F808" s="101"/>
      <c r="G808" s="101"/>
      <c r="H808" s="101"/>
      <c r="I808" s="102">
        <v>1.41</v>
      </c>
      <c r="J808" s="102">
        <v>3.7389160000000001</v>
      </c>
      <c r="K808" s="101"/>
      <c r="L808" s="101"/>
      <c r="M808" s="101" t="s">
        <v>1088</v>
      </c>
      <c r="N808" s="101">
        <v>2011</v>
      </c>
      <c r="O808" s="101" t="s">
        <v>806</v>
      </c>
      <c r="P808" s="101">
        <v>357830</v>
      </c>
      <c r="Q808" t="s">
        <v>17</v>
      </c>
      <c r="R808" t="s">
        <v>138</v>
      </c>
      <c r="S808"/>
      <c r="T808"/>
      <c r="U808"/>
      <c r="V808" s="222"/>
    </row>
    <row r="809" spans="1:22" x14ac:dyDescent="0.2">
      <c r="A809"/>
      <c r="B809" s="101"/>
      <c r="C809" s="101"/>
      <c r="D809" s="101"/>
      <c r="E809" s="101"/>
      <c r="F809" s="101"/>
      <c r="G809" s="101"/>
      <c r="H809" s="101"/>
      <c r="I809" s="102"/>
      <c r="J809" s="102"/>
      <c r="K809" s="101"/>
      <c r="L809" s="101"/>
      <c r="M809" s="101"/>
      <c r="N809" s="101"/>
      <c r="O809" s="101"/>
      <c r="P809" s="101"/>
      <c r="Q809"/>
      <c r="R809"/>
      <c r="S809"/>
      <c r="T809"/>
      <c r="U809"/>
      <c r="V809" s="222"/>
    </row>
    <row r="810" spans="1:22" x14ac:dyDescent="0.2">
      <c r="A810"/>
      <c r="B810" s="101"/>
      <c r="C810" s="101"/>
      <c r="D810" s="101"/>
      <c r="E810" s="101"/>
      <c r="F810" s="101"/>
      <c r="G810" s="101"/>
      <c r="H810" s="101"/>
      <c r="I810" s="102"/>
      <c r="J810" s="102"/>
      <c r="K810" s="101"/>
      <c r="L810" s="101"/>
      <c r="M810" s="101"/>
      <c r="N810" s="101"/>
      <c r="O810" s="101"/>
      <c r="P810" s="101"/>
      <c r="Q810"/>
      <c r="R810"/>
      <c r="S810"/>
      <c r="T810"/>
      <c r="U810"/>
      <c r="V810" s="222"/>
    </row>
    <row r="811" spans="1:22" x14ac:dyDescent="0.2">
      <c r="A811"/>
      <c r="B811" s="101"/>
      <c r="C811" s="101"/>
      <c r="D811" s="101"/>
      <c r="E811" s="101"/>
      <c r="F811" s="101"/>
      <c r="G811" s="101"/>
      <c r="H811" s="101"/>
      <c r="I811" s="102"/>
      <c r="J811" s="102"/>
      <c r="K811" s="101"/>
      <c r="L811" s="101"/>
      <c r="M811" s="101"/>
      <c r="N811" s="101"/>
      <c r="O811" s="101"/>
      <c r="P811" s="101"/>
      <c r="Q811"/>
      <c r="R811"/>
      <c r="S811"/>
      <c r="T811"/>
      <c r="U811"/>
      <c r="V811" s="222"/>
    </row>
    <row r="812" spans="1:22" x14ac:dyDescent="0.2">
      <c r="A812"/>
      <c r="B812" s="101"/>
      <c r="C812" s="101"/>
      <c r="D812" s="101"/>
      <c r="E812" s="101"/>
      <c r="F812" s="101"/>
      <c r="G812" s="101"/>
      <c r="H812" s="101"/>
      <c r="I812" s="102"/>
      <c r="J812" s="102"/>
      <c r="K812" s="101"/>
      <c r="L812" s="101"/>
      <c r="M812" s="101"/>
      <c r="N812" s="101"/>
      <c r="O812" s="101"/>
      <c r="P812" s="101"/>
      <c r="Q812"/>
      <c r="R812"/>
      <c r="S812"/>
      <c r="T812"/>
      <c r="U812"/>
      <c r="V812" s="222"/>
    </row>
    <row r="813" spans="1:22" x14ac:dyDescent="0.2">
      <c r="A813"/>
      <c r="B813" s="101"/>
      <c r="C813" s="101"/>
      <c r="D813" s="101"/>
      <c r="E813" s="101"/>
      <c r="F813" s="101"/>
      <c r="G813" s="101"/>
      <c r="H813" s="101"/>
      <c r="I813" s="102"/>
      <c r="J813" s="102"/>
      <c r="K813" s="101"/>
      <c r="L813" s="101"/>
      <c r="M813" s="101"/>
      <c r="N813" s="101"/>
      <c r="O813" s="101"/>
      <c r="P813" s="101"/>
      <c r="Q813"/>
      <c r="R813"/>
      <c r="S813"/>
      <c r="T813"/>
      <c r="U813"/>
      <c r="V813" s="222"/>
    </row>
    <row r="814" spans="1:22" x14ac:dyDescent="0.2">
      <c r="A814"/>
      <c r="B814" s="101"/>
      <c r="C814" s="101"/>
      <c r="D814" s="101"/>
      <c r="E814" s="101"/>
      <c r="F814" s="101"/>
      <c r="G814" s="101"/>
      <c r="H814" s="101"/>
      <c r="I814" s="102"/>
      <c r="J814" s="102"/>
      <c r="K814" s="101"/>
      <c r="L814" s="101"/>
      <c r="M814" s="101"/>
      <c r="N814" s="101"/>
      <c r="O814" s="101"/>
      <c r="P814" s="101"/>
      <c r="Q814"/>
      <c r="R814"/>
      <c r="S814"/>
      <c r="T814"/>
      <c r="U814"/>
      <c r="V814" s="222"/>
    </row>
    <row r="815" spans="1:22" x14ac:dyDescent="0.2">
      <c r="A815"/>
      <c r="B815" s="101"/>
      <c r="C815" s="101"/>
      <c r="D815" s="101"/>
      <c r="E815" s="101"/>
      <c r="F815" s="101"/>
      <c r="G815" s="101"/>
      <c r="H815" s="101"/>
      <c r="I815" s="102"/>
      <c r="J815" s="102"/>
      <c r="K815" s="101"/>
      <c r="L815" s="101"/>
      <c r="M815" s="101"/>
      <c r="N815" s="101"/>
      <c r="O815" s="101"/>
      <c r="P815" s="101"/>
      <c r="Q815"/>
      <c r="R815"/>
      <c r="S815"/>
    </row>
    <row r="816" spans="1:22" x14ac:dyDescent="0.2">
      <c r="A816"/>
      <c r="B816" s="101"/>
      <c r="C816" s="101"/>
      <c r="D816" s="101"/>
      <c r="E816" s="101"/>
      <c r="F816" s="101"/>
      <c r="G816" s="101"/>
      <c r="H816" s="101"/>
      <c r="I816" s="102"/>
      <c r="J816" s="102"/>
      <c r="K816" s="101"/>
      <c r="L816" s="101"/>
      <c r="M816" s="101"/>
      <c r="N816" s="101"/>
      <c r="O816" s="101"/>
      <c r="P816" s="101"/>
      <c r="Q816"/>
      <c r="R816"/>
      <c r="S816"/>
    </row>
    <row r="817" spans="1:19" x14ac:dyDescent="0.2">
      <c r="A817"/>
      <c r="B817" s="101"/>
      <c r="C817" s="101"/>
      <c r="D817" s="101"/>
      <c r="E817" s="101"/>
      <c r="F817" s="101"/>
      <c r="G817" s="101"/>
      <c r="H817" s="101"/>
      <c r="I817" s="102"/>
      <c r="J817" s="102"/>
      <c r="K817" s="101"/>
      <c r="L817" s="101"/>
      <c r="M817" s="101"/>
      <c r="N817" s="101"/>
      <c r="O817" s="101"/>
      <c r="P817" s="101"/>
      <c r="Q817"/>
      <c r="R817"/>
      <c r="S817"/>
    </row>
    <row r="818" spans="1:19" x14ac:dyDescent="0.2">
      <c r="A818"/>
      <c r="B818" s="101"/>
      <c r="C818" s="101"/>
      <c r="D818" s="101"/>
      <c r="E818" s="101"/>
      <c r="F818" s="101"/>
      <c r="G818" s="101"/>
      <c r="H818" s="101"/>
      <c r="I818" s="102"/>
      <c r="J818" s="102"/>
      <c r="K818" s="101"/>
      <c r="L818" s="101"/>
      <c r="M818" s="101"/>
      <c r="N818" s="101"/>
      <c r="O818" s="101"/>
      <c r="P818" s="101"/>
      <c r="Q818"/>
      <c r="R818"/>
      <c r="S818"/>
    </row>
    <row r="819" spans="1:19" x14ac:dyDescent="0.2">
      <c r="A819"/>
      <c r="B819" s="101"/>
      <c r="C819" s="101"/>
      <c r="D819" s="101"/>
      <c r="E819" s="101"/>
      <c r="F819" s="101"/>
      <c r="G819" s="101"/>
      <c r="H819" s="101"/>
      <c r="I819" s="102"/>
      <c r="J819" s="102"/>
      <c r="K819" s="101"/>
      <c r="L819" s="101"/>
      <c r="M819" s="101"/>
      <c r="N819" s="101"/>
      <c r="O819" s="101"/>
      <c r="P819" s="101"/>
      <c r="Q819"/>
      <c r="R819"/>
      <c r="S819"/>
    </row>
    <row r="820" spans="1:19" x14ac:dyDescent="0.2">
      <c r="A820"/>
      <c r="B820" s="101"/>
      <c r="C820" s="101"/>
      <c r="D820" s="101"/>
      <c r="E820" s="101"/>
      <c r="F820" s="101"/>
      <c r="G820" s="101"/>
      <c r="H820" s="101"/>
      <c r="I820" s="102"/>
      <c r="J820" s="102"/>
      <c r="K820" s="101"/>
      <c r="L820" s="101"/>
      <c r="M820" s="101"/>
      <c r="N820" s="101"/>
      <c r="O820" s="101"/>
      <c r="P820" s="101"/>
      <c r="Q820"/>
      <c r="R820"/>
      <c r="S820"/>
    </row>
    <row r="821" spans="1:19" x14ac:dyDescent="0.2">
      <c r="A821"/>
      <c r="B821" s="101"/>
      <c r="C821" s="101"/>
      <c r="D821" s="101"/>
      <c r="E821" s="101"/>
      <c r="F821" s="101"/>
      <c r="G821" s="101"/>
      <c r="H821" s="101"/>
      <c r="I821" s="102"/>
      <c r="J821" s="102"/>
      <c r="K821" s="101"/>
      <c r="L821" s="101"/>
      <c r="M821" s="101"/>
      <c r="N821" s="101"/>
      <c r="O821" s="101"/>
      <c r="P821" s="101"/>
      <c r="Q821"/>
      <c r="R821"/>
      <c r="S821"/>
    </row>
    <row r="822" spans="1:19" x14ac:dyDescent="0.2">
      <c r="A822"/>
      <c r="B822" s="101"/>
      <c r="C822" s="101"/>
      <c r="D822" s="101"/>
      <c r="E822" s="101"/>
      <c r="F822" s="101"/>
      <c r="G822" s="101"/>
      <c r="H822" s="101"/>
      <c r="I822" s="102"/>
      <c r="J822" s="102"/>
      <c r="K822" s="101"/>
      <c r="L822" s="101"/>
      <c r="M822" s="101"/>
      <c r="N822" s="101"/>
      <c r="O822" s="101"/>
      <c r="P822" s="101"/>
      <c r="Q822"/>
      <c r="R822"/>
      <c r="S822"/>
    </row>
    <row r="823" spans="1:19" x14ac:dyDescent="0.2">
      <c r="A823"/>
      <c r="B823" s="101"/>
      <c r="C823" s="101"/>
      <c r="D823" s="101"/>
      <c r="E823" s="101"/>
      <c r="F823" s="101"/>
      <c r="G823" s="101"/>
      <c r="H823" s="101"/>
      <c r="I823" s="102"/>
      <c r="J823" s="102"/>
      <c r="K823" s="101"/>
      <c r="L823" s="101"/>
      <c r="M823" s="101"/>
      <c r="N823" s="101"/>
      <c r="O823" s="101"/>
      <c r="P823" s="101"/>
      <c r="Q823"/>
      <c r="R823"/>
      <c r="S823"/>
    </row>
    <row r="824" spans="1:19" x14ac:dyDescent="0.2">
      <c r="A824"/>
      <c r="B824" s="101"/>
      <c r="C824" s="101"/>
      <c r="D824" s="101"/>
      <c r="E824" s="101"/>
      <c r="F824" s="101"/>
      <c r="G824" s="101"/>
      <c r="H824" s="101"/>
      <c r="I824" s="102"/>
      <c r="J824" s="102"/>
      <c r="K824" s="101"/>
      <c r="L824" s="101"/>
      <c r="M824" s="101"/>
      <c r="N824" s="101"/>
      <c r="O824" s="101"/>
      <c r="P824" s="101"/>
      <c r="Q824"/>
      <c r="R824"/>
      <c r="S824"/>
    </row>
    <row r="825" spans="1:19" x14ac:dyDescent="0.2">
      <c r="A825"/>
      <c r="B825" s="101"/>
      <c r="C825" s="101"/>
      <c r="D825" s="101"/>
      <c r="E825" s="101"/>
      <c r="F825" s="101"/>
      <c r="G825" s="101"/>
      <c r="H825" s="101"/>
      <c r="I825" s="102"/>
      <c r="J825" s="102"/>
      <c r="K825" s="101"/>
      <c r="L825" s="101"/>
      <c r="M825" s="101"/>
      <c r="N825" s="101"/>
      <c r="O825" s="101"/>
      <c r="P825" s="101"/>
      <c r="Q825"/>
      <c r="R825"/>
      <c r="S825"/>
    </row>
    <row r="826" spans="1:19" x14ac:dyDescent="0.2">
      <c r="A826"/>
      <c r="B826" s="101"/>
      <c r="C826" s="101"/>
      <c r="D826" s="101"/>
      <c r="E826" s="101"/>
      <c r="F826" s="101"/>
      <c r="G826" s="101"/>
      <c r="H826" s="101"/>
      <c r="I826" s="102"/>
      <c r="J826" s="102"/>
      <c r="K826" s="101"/>
      <c r="L826" s="101"/>
      <c r="M826" s="101"/>
      <c r="N826" s="101"/>
      <c r="O826" s="101"/>
      <c r="P826" s="101"/>
      <c r="Q826"/>
      <c r="R826"/>
      <c r="S826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2"/>
      <c r="J827" s="102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2"/>
      <c r="J828" s="102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2"/>
      <c r="J829" s="102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2"/>
      <c r="J830" s="102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2"/>
      <c r="J831" s="102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2"/>
      <c r="J832" s="102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2"/>
      <c r="J833" s="102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2"/>
      <c r="J834" s="102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2"/>
      <c r="J835" s="102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2"/>
      <c r="J836" s="102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2"/>
      <c r="J837" s="102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2"/>
      <c r="J838" s="102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2"/>
      <c r="J839" s="102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2"/>
      <c r="J840" s="102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2"/>
      <c r="J841" s="102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2"/>
      <c r="J842" s="102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2"/>
      <c r="J843" s="102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2"/>
      <c r="J844" s="102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2"/>
      <c r="J845" s="102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2"/>
      <c r="J846" s="102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2"/>
      <c r="J847" s="102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2"/>
      <c r="J848" s="102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2"/>
      <c r="J849" s="102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2"/>
      <c r="J850" s="102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2"/>
      <c r="J851" s="102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2"/>
      <c r="J852" s="102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2"/>
      <c r="J853" s="102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2"/>
      <c r="J854" s="102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2"/>
      <c r="J855" s="102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2"/>
      <c r="J856" s="102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2"/>
      <c r="J857" s="102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2"/>
      <c r="J858" s="102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2"/>
      <c r="J859" s="102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2"/>
      <c r="J860" s="102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2"/>
      <c r="J861" s="102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2"/>
      <c r="J862" s="102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2"/>
      <c r="J863" s="102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2"/>
      <c r="J864" s="102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2"/>
      <c r="J865" s="102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2"/>
      <c r="J866" s="102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2"/>
      <c r="J867" s="102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2"/>
      <c r="J868" s="102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2"/>
      <c r="J869" s="102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2"/>
      <c r="J870" s="102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2"/>
      <c r="J871" s="102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2"/>
      <c r="J872" s="102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2"/>
      <c r="J873" s="102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2"/>
      <c r="J874" s="102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2"/>
      <c r="J875" s="102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2"/>
      <c r="J876" s="102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2"/>
      <c r="J877" s="102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2"/>
      <c r="J878" s="102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2"/>
      <c r="J879" s="102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2"/>
      <c r="J880" s="102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2"/>
      <c r="J881" s="102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2"/>
      <c r="J882" s="102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2"/>
      <c r="J883" s="102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2"/>
      <c r="J884" s="102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2"/>
      <c r="J885" s="102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2"/>
      <c r="J886" s="102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/>
      <c r="B887" s="101"/>
      <c r="C887" s="101"/>
      <c r="D887" s="101"/>
      <c r="E887" s="101"/>
      <c r="F887" s="101"/>
      <c r="G887" s="101"/>
      <c r="H887" s="101"/>
      <c r="I887" s="102"/>
      <c r="J887" s="102"/>
      <c r="K887" s="101"/>
      <c r="L887" s="101"/>
      <c r="M887" s="101"/>
      <c r="N887" s="101"/>
      <c r="O887" s="101"/>
      <c r="P887" s="101"/>
      <c r="Q887"/>
      <c r="R887"/>
      <c r="S887"/>
    </row>
    <row r="888" spans="1:19" x14ac:dyDescent="0.2">
      <c r="A888"/>
      <c r="B888" s="101"/>
      <c r="C888" s="101"/>
      <c r="D888" s="101"/>
      <c r="E888" s="101"/>
      <c r="F888" s="101"/>
      <c r="G888" s="101"/>
      <c r="H888" s="101"/>
      <c r="I888" s="102"/>
      <c r="J888" s="102"/>
      <c r="K888" s="101"/>
      <c r="L888" s="101"/>
      <c r="M888" s="101"/>
      <c r="N888" s="101"/>
      <c r="O888" s="101"/>
      <c r="P888" s="101"/>
      <c r="Q888"/>
      <c r="R888"/>
      <c r="S888"/>
    </row>
    <row r="889" spans="1:19" x14ac:dyDescent="0.2">
      <c r="A889"/>
      <c r="B889" s="101"/>
      <c r="C889" s="101"/>
      <c r="D889" s="101"/>
      <c r="E889" s="101"/>
      <c r="F889" s="101"/>
      <c r="G889" s="101"/>
      <c r="H889" s="101"/>
      <c r="I889" s="102"/>
      <c r="J889" s="102"/>
      <c r="K889" s="101"/>
      <c r="L889" s="101"/>
      <c r="M889" s="101"/>
      <c r="N889" s="101"/>
      <c r="O889" s="101"/>
      <c r="P889" s="101"/>
      <c r="Q889"/>
      <c r="R889"/>
      <c r="S889"/>
    </row>
    <row r="890" spans="1:19" x14ac:dyDescent="0.2">
      <c r="A890"/>
      <c r="B890" s="101"/>
      <c r="C890" s="101"/>
      <c r="D890" s="101"/>
      <c r="E890" s="101"/>
      <c r="F890" s="101"/>
      <c r="G890" s="101"/>
      <c r="H890" s="101"/>
      <c r="I890" s="102"/>
      <c r="J890" s="102"/>
      <c r="K890" s="101"/>
      <c r="L890" s="101"/>
      <c r="M890" s="101"/>
      <c r="N890" s="101"/>
      <c r="O890" s="101"/>
      <c r="P890" s="101"/>
      <c r="Q890"/>
      <c r="R890"/>
      <c r="S890"/>
    </row>
    <row r="891" spans="1:19" x14ac:dyDescent="0.2">
      <c r="A891"/>
      <c r="B891" s="101"/>
      <c r="C891" s="101"/>
      <c r="D891" s="101"/>
      <c r="E891" s="101"/>
      <c r="F891" s="101"/>
      <c r="G891" s="101"/>
      <c r="H891" s="101"/>
      <c r="I891" s="102"/>
      <c r="J891" s="102"/>
      <c r="K891" s="101"/>
      <c r="L891" s="101"/>
      <c r="M891" s="101"/>
      <c r="N891" s="101"/>
      <c r="O891" s="101"/>
      <c r="P891" s="101"/>
      <c r="Q891"/>
      <c r="R891"/>
      <c r="S891"/>
    </row>
    <row r="892" spans="1:19" x14ac:dyDescent="0.2">
      <c r="A892"/>
      <c r="B892" s="101"/>
      <c r="C892" s="101"/>
      <c r="D892" s="101"/>
      <c r="E892" s="101"/>
      <c r="F892" s="101"/>
      <c r="G892" s="101"/>
      <c r="H892" s="101"/>
      <c r="I892" s="102"/>
      <c r="J892" s="102"/>
      <c r="K892" s="101"/>
      <c r="L892" s="101"/>
      <c r="M892" s="101"/>
      <c r="N892" s="101"/>
      <c r="O892" s="101"/>
      <c r="P892" s="101"/>
      <c r="Q892"/>
      <c r="R892"/>
      <c r="S892"/>
    </row>
    <row r="893" spans="1:19" x14ac:dyDescent="0.2">
      <c r="A893"/>
      <c r="B893" s="101"/>
      <c r="C893" s="101"/>
      <c r="D893" s="101"/>
      <c r="E893" s="101"/>
      <c r="F893" s="101"/>
      <c r="G893" s="101"/>
      <c r="H893" s="101"/>
      <c r="I893" s="102"/>
      <c r="J893" s="102"/>
      <c r="K893" s="101"/>
      <c r="L893" s="101"/>
      <c r="M893" s="101"/>
      <c r="N893" s="101"/>
      <c r="O893" s="101"/>
      <c r="P893" s="101"/>
      <c r="Q893"/>
      <c r="R893"/>
      <c r="S893"/>
    </row>
    <row r="894" spans="1:19" x14ac:dyDescent="0.2">
      <c r="A894"/>
      <c r="B894" s="101"/>
      <c r="C894" s="101"/>
      <c r="D894" s="101"/>
      <c r="E894" s="101"/>
      <c r="F894" s="101"/>
      <c r="G894" s="101"/>
      <c r="H894" s="101"/>
      <c r="I894" s="102"/>
      <c r="J894" s="102"/>
      <c r="K894" s="101"/>
      <c r="L894" s="101"/>
      <c r="M894" s="101"/>
      <c r="N894" s="101"/>
      <c r="O894" s="101"/>
      <c r="P894" s="101"/>
      <c r="Q894"/>
      <c r="R894"/>
      <c r="S894"/>
    </row>
    <row r="895" spans="1:19" x14ac:dyDescent="0.2">
      <c r="A895"/>
      <c r="B895" s="101"/>
      <c r="C895" s="101"/>
      <c r="D895" s="101"/>
      <c r="E895" s="101"/>
      <c r="F895" s="101"/>
      <c r="G895" s="101"/>
      <c r="H895" s="101"/>
      <c r="I895" s="102"/>
      <c r="J895" s="102"/>
      <c r="K895" s="101"/>
      <c r="L895" s="101"/>
      <c r="M895" s="101"/>
      <c r="N895" s="101"/>
      <c r="O895" s="101"/>
      <c r="P895" s="101"/>
      <c r="Q895"/>
      <c r="R895"/>
      <c r="S895"/>
    </row>
    <row r="896" spans="1:19" x14ac:dyDescent="0.2">
      <c r="A896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/>
      <c r="R896"/>
      <c r="S896"/>
    </row>
    <row r="897" spans="1:19" x14ac:dyDescent="0.2">
      <c r="A897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/>
      <c r="R897"/>
      <c r="S897"/>
    </row>
    <row r="898" spans="1:19" x14ac:dyDescent="0.2">
      <c r="A898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/>
      <c r="R898"/>
      <c r="S898"/>
    </row>
    <row r="899" spans="1:19" x14ac:dyDescent="0.2">
      <c r="A899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/>
      <c r="R899"/>
      <c r="S899"/>
    </row>
    <row r="900" spans="1:19" x14ac:dyDescent="0.2">
      <c r="A900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/>
      <c r="R900"/>
      <c r="S900"/>
    </row>
    <row r="901" spans="1:19" x14ac:dyDescent="0.2">
      <c r="A9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/>
      <c r="R901"/>
      <c r="S901"/>
    </row>
    <row r="902" spans="1:19" x14ac:dyDescent="0.2">
      <c r="A90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/>
      <c r="R902"/>
      <c r="S902"/>
    </row>
    <row r="903" spans="1:19" x14ac:dyDescent="0.2">
      <c r="A903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/>
      <c r="R903"/>
      <c r="S903"/>
    </row>
    <row r="904" spans="1:19" x14ac:dyDescent="0.2">
      <c r="A904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/>
      <c r="R904"/>
      <c r="S904"/>
    </row>
    <row r="905" spans="1:19" x14ac:dyDescent="0.2">
      <c r="A905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/>
      <c r="R905"/>
      <c r="S905"/>
    </row>
    <row r="906" spans="1:19" x14ac:dyDescent="0.2">
      <c r="A906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/>
      <c r="R906"/>
      <c r="S906"/>
    </row>
    <row r="907" spans="1:19" x14ac:dyDescent="0.2">
      <c r="A907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/>
      <c r="R907"/>
      <c r="S907"/>
    </row>
    <row r="908" spans="1:19" x14ac:dyDescent="0.2">
      <c r="A908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/>
      <c r="R908"/>
      <c r="S908"/>
    </row>
    <row r="909" spans="1:19" x14ac:dyDescent="0.2">
      <c r="A909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/>
      <c r="R909"/>
      <c r="S909"/>
    </row>
    <row r="910" spans="1:19" x14ac:dyDescent="0.2">
      <c r="A910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/>
      <c r="R910"/>
      <c r="S910"/>
    </row>
    <row r="911" spans="1:19" x14ac:dyDescent="0.2">
      <c r="A91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/>
      <c r="R911"/>
      <c r="S911"/>
    </row>
    <row r="912" spans="1:19" x14ac:dyDescent="0.2">
      <c r="A91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/>
      <c r="R912"/>
      <c r="S912"/>
    </row>
    <row r="913" spans="1:19" x14ac:dyDescent="0.2">
      <c r="A913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/>
      <c r="R913"/>
      <c r="S913"/>
    </row>
    <row r="914" spans="1:19" x14ac:dyDescent="0.2">
      <c r="A914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/>
      <c r="R914"/>
      <c r="S914"/>
    </row>
    <row r="915" spans="1:19" x14ac:dyDescent="0.2">
      <c r="A915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/>
      <c r="R915"/>
      <c r="S915"/>
    </row>
    <row r="916" spans="1:19" x14ac:dyDescent="0.2">
      <c r="A916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/>
      <c r="R916"/>
      <c r="S916"/>
    </row>
    <row r="917" spans="1:19" x14ac:dyDescent="0.2">
      <c r="A917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/>
      <c r="R917"/>
      <c r="S917"/>
    </row>
    <row r="918" spans="1:19" x14ac:dyDescent="0.2">
      <c r="A9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/>
      <c r="R918"/>
      <c r="S918"/>
    </row>
    <row r="919" spans="1:19" x14ac:dyDescent="0.2">
      <c r="A919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/>
      <c r="R919"/>
      <c r="S919"/>
    </row>
    <row r="920" spans="1:19" x14ac:dyDescent="0.2">
      <c r="A920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/>
      <c r="R920"/>
      <c r="S920"/>
    </row>
    <row r="921" spans="1:19" x14ac:dyDescent="0.2">
      <c r="A92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/>
      <c r="R921"/>
      <c r="S921"/>
    </row>
    <row r="922" spans="1:19" x14ac:dyDescent="0.2">
      <c r="A92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/>
      <c r="R922"/>
      <c r="S922"/>
    </row>
    <row r="923" spans="1:19" x14ac:dyDescent="0.2">
      <c r="A92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/>
      <c r="R923"/>
      <c r="S923"/>
    </row>
    <row r="924" spans="1:19" x14ac:dyDescent="0.2">
      <c r="A924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/>
      <c r="R924"/>
      <c r="S924"/>
    </row>
    <row r="925" spans="1:19" x14ac:dyDescent="0.2">
      <c r="A925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/>
      <c r="R925"/>
      <c r="S925"/>
    </row>
    <row r="926" spans="1:19" x14ac:dyDescent="0.2">
      <c r="A926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/>
      <c r="R926"/>
      <c r="S926"/>
    </row>
    <row r="927" spans="1:19" x14ac:dyDescent="0.2">
      <c r="A927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/>
      <c r="R927"/>
      <c r="S927"/>
    </row>
    <row r="928" spans="1:19" x14ac:dyDescent="0.2">
      <c r="A92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/>
      <c r="R928"/>
      <c r="S928"/>
    </row>
    <row r="929" spans="1:19" x14ac:dyDescent="0.2">
      <c r="A929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/>
      <c r="R929"/>
      <c r="S929"/>
    </row>
    <row r="930" spans="1:19" x14ac:dyDescent="0.2">
      <c r="A930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/>
      <c r="R930"/>
      <c r="S930"/>
    </row>
    <row r="931" spans="1:19" x14ac:dyDescent="0.2">
      <c r="A9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/>
      <c r="R931"/>
      <c r="S931"/>
    </row>
    <row r="932" spans="1:19" x14ac:dyDescent="0.2">
      <c r="A93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/>
      <c r="R932"/>
      <c r="S932"/>
    </row>
    <row r="933" spans="1:19" x14ac:dyDescent="0.2">
      <c r="A93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/>
      <c r="R933"/>
      <c r="S933"/>
    </row>
    <row r="934" spans="1:19" x14ac:dyDescent="0.2">
      <c r="A934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/>
      <c r="R934"/>
      <c r="S934"/>
    </row>
    <row r="935" spans="1:19" x14ac:dyDescent="0.2">
      <c r="A935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/>
      <c r="R935"/>
      <c r="S935"/>
    </row>
    <row r="936" spans="1:19" x14ac:dyDescent="0.2">
      <c r="A936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/>
      <c r="R936"/>
      <c r="S936"/>
    </row>
    <row r="937" spans="1:19" x14ac:dyDescent="0.2">
      <c r="A937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/>
      <c r="R937"/>
      <c r="S937"/>
    </row>
    <row r="938" spans="1:19" x14ac:dyDescent="0.2">
      <c r="A93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/>
      <c r="R938"/>
      <c r="S938"/>
    </row>
    <row r="939" spans="1:19" x14ac:dyDescent="0.2">
      <c r="A939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/>
      <c r="R939"/>
      <c r="S939"/>
    </row>
    <row r="940" spans="1:19" x14ac:dyDescent="0.2">
      <c r="A940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/>
      <c r="R940"/>
      <c r="S940"/>
    </row>
    <row r="941" spans="1:19" x14ac:dyDescent="0.2">
      <c r="A94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/>
      <c r="R941"/>
      <c r="S941"/>
    </row>
    <row r="942" spans="1:19" x14ac:dyDescent="0.2">
      <c r="A94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/>
      <c r="R942"/>
      <c r="S942"/>
    </row>
    <row r="943" spans="1:19" x14ac:dyDescent="0.2">
      <c r="A94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/>
      <c r="R943"/>
      <c r="S943"/>
    </row>
    <row r="944" spans="1:19" x14ac:dyDescent="0.2">
      <c r="A944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/>
      <c r="R944"/>
      <c r="S944"/>
    </row>
    <row r="945" spans="1:19" x14ac:dyDescent="0.2">
      <c r="A945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/>
      <c r="R945"/>
      <c r="S945"/>
    </row>
    <row r="946" spans="1:19" x14ac:dyDescent="0.2">
      <c r="A946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/>
      <c r="R946"/>
      <c r="S946"/>
    </row>
    <row r="947" spans="1:19" x14ac:dyDescent="0.2">
      <c r="A947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/>
      <c r="R947"/>
      <c r="S947"/>
    </row>
    <row r="948" spans="1:19" x14ac:dyDescent="0.2">
      <c r="A94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/>
      <c r="R948"/>
      <c r="S948"/>
    </row>
    <row r="949" spans="1:19" x14ac:dyDescent="0.2">
      <c r="A949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/>
      <c r="R949"/>
      <c r="S949"/>
    </row>
    <row r="950" spans="1:19" x14ac:dyDescent="0.2">
      <c r="A950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/>
      <c r="R950"/>
      <c r="S950"/>
    </row>
    <row r="951" spans="1:19" x14ac:dyDescent="0.2">
      <c r="A95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/>
      <c r="R951"/>
      <c r="S951"/>
    </row>
    <row r="952" spans="1:19" x14ac:dyDescent="0.2">
      <c r="A9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/>
      <c r="R952"/>
      <c r="S952"/>
    </row>
    <row r="953" spans="1:19" x14ac:dyDescent="0.2">
      <c r="A9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/>
      <c r="R953"/>
      <c r="S953"/>
    </row>
    <row r="954" spans="1:19" x14ac:dyDescent="0.2">
      <c r="A954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/>
      <c r="R954"/>
      <c r="S954"/>
    </row>
    <row r="955" spans="1:19" x14ac:dyDescent="0.2">
      <c r="A955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/>
      <c r="R955"/>
      <c r="S955"/>
    </row>
    <row r="956" spans="1:19" x14ac:dyDescent="0.2">
      <c r="A956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/>
      <c r="R956"/>
      <c r="S956"/>
    </row>
    <row r="957" spans="1:19" x14ac:dyDescent="0.2">
      <c r="A957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/>
      <c r="R957"/>
      <c r="S957"/>
    </row>
    <row r="958" spans="1:19" x14ac:dyDescent="0.2">
      <c r="A95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/>
      <c r="R958"/>
      <c r="S958"/>
    </row>
    <row r="959" spans="1:19" x14ac:dyDescent="0.2">
      <c r="A959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/>
      <c r="R959"/>
      <c r="S959"/>
    </row>
    <row r="960" spans="1:19" x14ac:dyDescent="0.2">
      <c r="A960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/>
      <c r="R960"/>
      <c r="S960"/>
    </row>
    <row r="961" spans="1:19" x14ac:dyDescent="0.2">
      <c r="A96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/>
      <c r="R961"/>
      <c r="S961"/>
    </row>
    <row r="962" spans="1:19" x14ac:dyDescent="0.2">
      <c r="A96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/>
      <c r="R962"/>
      <c r="S962"/>
    </row>
    <row r="963" spans="1:19" x14ac:dyDescent="0.2">
      <c r="A96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/>
      <c r="R963"/>
      <c r="S963"/>
    </row>
    <row r="964" spans="1:19" x14ac:dyDescent="0.2">
      <c r="A964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/>
      <c r="R964"/>
      <c r="S964"/>
    </row>
    <row r="965" spans="1:19" x14ac:dyDescent="0.2">
      <c r="A965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/>
      <c r="R965"/>
      <c r="S965"/>
    </row>
    <row r="966" spans="1:19" x14ac:dyDescent="0.2">
      <c r="A96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/>
      <c r="R966"/>
      <c r="S966"/>
    </row>
    <row r="967" spans="1:19" x14ac:dyDescent="0.2">
      <c r="A967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/>
      <c r="R967"/>
      <c r="S967"/>
    </row>
    <row r="968" spans="1:19" x14ac:dyDescent="0.2">
      <c r="A96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/>
      <c r="R968"/>
      <c r="S968"/>
    </row>
    <row r="969" spans="1:19" x14ac:dyDescent="0.2">
      <c r="A969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/>
      <c r="R969"/>
      <c r="S969"/>
    </row>
    <row r="970" spans="1:19" x14ac:dyDescent="0.2">
      <c r="A970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/>
      <c r="R970"/>
      <c r="S970"/>
    </row>
    <row r="971" spans="1:19" x14ac:dyDescent="0.2">
      <c r="A97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/>
      <c r="R971"/>
      <c r="S971"/>
    </row>
    <row r="972" spans="1:19" x14ac:dyDescent="0.2">
      <c r="A97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/>
      <c r="R972"/>
      <c r="S972"/>
    </row>
    <row r="973" spans="1:19" x14ac:dyDescent="0.2">
      <c r="A97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/>
      <c r="R973"/>
      <c r="S973"/>
    </row>
    <row r="974" spans="1:19" x14ac:dyDescent="0.2">
      <c r="A974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/>
      <c r="R974"/>
      <c r="S974"/>
    </row>
    <row r="975" spans="1:19" x14ac:dyDescent="0.2">
      <c r="A975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/>
      <c r="R975"/>
      <c r="S975"/>
    </row>
    <row r="976" spans="1:19" x14ac:dyDescent="0.2">
      <c r="A976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/>
      <c r="R976"/>
      <c r="S976"/>
    </row>
    <row r="977" spans="1:19" x14ac:dyDescent="0.2">
      <c r="A977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/>
      <c r="R977"/>
      <c r="S977"/>
    </row>
    <row r="978" spans="1:19" x14ac:dyDescent="0.2">
      <c r="A97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/>
      <c r="R978"/>
      <c r="S978"/>
    </row>
    <row r="979" spans="1:19" x14ac:dyDescent="0.2">
      <c r="A979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/>
      <c r="R979"/>
      <c r="S979"/>
    </row>
    <row r="980" spans="1:19" x14ac:dyDescent="0.2">
      <c r="A980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/>
      <c r="R980"/>
      <c r="S980"/>
    </row>
    <row r="981" spans="1:19" x14ac:dyDescent="0.2">
      <c r="A98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/>
      <c r="R981"/>
      <c r="S981"/>
    </row>
    <row r="982" spans="1:19" x14ac:dyDescent="0.2">
      <c r="A98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/>
      <c r="R982"/>
      <c r="S982"/>
    </row>
    <row r="983" spans="1:19" x14ac:dyDescent="0.2">
      <c r="A98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/>
      <c r="R983"/>
      <c r="S983"/>
    </row>
    <row r="984" spans="1:19" x14ac:dyDescent="0.2">
      <c r="A984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/>
      <c r="R984"/>
      <c r="S984"/>
    </row>
    <row r="985" spans="1:19" x14ac:dyDescent="0.2">
      <c r="A985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/>
      <c r="R985"/>
      <c r="S985"/>
    </row>
    <row r="986" spans="1:19" x14ac:dyDescent="0.2">
      <c r="A986" s="251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251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251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251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251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251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251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251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251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251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251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251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251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251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251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251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251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251"/>
      <c r="B1003" s="94"/>
      <c r="C1003" s="94"/>
      <c r="D1003" s="94"/>
      <c r="E1003" s="94"/>
      <c r="F1003" s="94"/>
      <c r="G1003" s="50"/>
      <c r="H1003" s="65"/>
      <c r="I1003" s="65"/>
      <c r="J1003" s="65"/>
      <c r="K1003" s="65"/>
    </row>
    <row r="1004" spans="1:11" x14ac:dyDescent="0.2">
      <c r="A1004" s="251"/>
      <c r="B1004" s="94"/>
      <c r="C1004" s="94"/>
      <c r="D1004" s="94"/>
      <c r="E1004" s="94"/>
      <c r="F1004" s="94"/>
      <c r="G1004" s="50"/>
      <c r="H1004" s="65"/>
      <c r="I1004" s="65"/>
      <c r="J1004" s="65"/>
      <c r="K1004" s="65"/>
    </row>
    <row r="1005" spans="1:11" x14ac:dyDescent="0.2">
      <c r="A1005" s="251"/>
      <c r="B1005" s="94"/>
      <c r="C1005" s="94"/>
      <c r="D1005" s="94"/>
      <c r="E1005" s="94"/>
      <c r="F1005" s="94"/>
      <c r="G1005" s="50"/>
      <c r="H1005" s="65"/>
      <c r="I1005" s="65"/>
      <c r="J1005" s="65"/>
      <c r="K1005" s="65"/>
    </row>
    <row r="1006" spans="1:11" x14ac:dyDescent="0.2">
      <c r="A1006" s="251"/>
      <c r="B1006" s="94"/>
      <c r="C1006" s="94"/>
      <c r="D1006" s="94"/>
      <c r="E1006" s="94"/>
      <c r="F1006" s="94"/>
      <c r="G1006" s="50"/>
      <c r="H1006" s="65"/>
      <c r="I1006" s="65"/>
      <c r="J1006" s="65"/>
      <c r="K1006" s="65"/>
    </row>
    <row r="1007" spans="1:11" x14ac:dyDescent="0.2">
      <c r="A1007" s="251"/>
      <c r="B1007" s="94"/>
      <c r="C1007" s="94"/>
      <c r="D1007" s="94"/>
      <c r="E1007" s="94"/>
      <c r="F1007" s="94"/>
      <c r="G1007" s="50"/>
      <c r="H1007" s="65"/>
      <c r="I1007" s="65"/>
      <c r="J1007" s="65"/>
      <c r="K1007" s="65"/>
    </row>
    <row r="1008" spans="1:11" x14ac:dyDescent="0.2">
      <c r="A1008" s="251"/>
      <c r="B1008" s="94"/>
      <c r="C1008" s="94"/>
      <c r="D1008" s="94"/>
      <c r="E1008" s="94"/>
      <c r="F1008" s="94"/>
      <c r="G1008" s="50"/>
      <c r="H1008" s="65"/>
      <c r="I1008" s="65"/>
      <c r="J1008" s="65"/>
      <c r="K1008" s="65"/>
    </row>
    <row r="1009" spans="1:11" x14ac:dyDescent="0.2">
      <c r="A1009" s="251"/>
      <c r="B1009" s="94"/>
      <c r="C1009" s="94"/>
      <c r="D1009" s="94"/>
      <c r="E1009" s="94"/>
      <c r="F1009" s="94"/>
      <c r="G1009" s="50"/>
      <c r="H1009" s="65"/>
      <c r="I1009" s="65"/>
      <c r="J1009" s="65"/>
      <c r="K1009" s="65"/>
    </row>
    <row r="1010" spans="1:11" x14ac:dyDescent="0.2">
      <c r="A1010" s="251"/>
      <c r="B1010" s="94"/>
      <c r="C1010" s="94"/>
      <c r="D1010" s="94"/>
      <c r="E1010" s="94"/>
      <c r="F1010" s="94"/>
      <c r="G1010" s="50"/>
      <c r="H1010" s="65"/>
      <c r="I1010" s="65"/>
      <c r="J1010" s="65"/>
      <c r="K1010" s="65"/>
    </row>
    <row r="1011" spans="1:11" x14ac:dyDescent="0.2">
      <c r="A1011" s="251"/>
      <c r="B1011" s="94"/>
      <c r="C1011" s="94"/>
      <c r="D1011" s="94"/>
      <c r="E1011" s="94"/>
      <c r="F1011" s="94"/>
      <c r="G1011" s="50"/>
      <c r="H1011" s="65"/>
      <c r="I1011" s="65"/>
      <c r="J1011" s="65"/>
      <c r="K1011" s="65"/>
    </row>
    <row r="1012" spans="1:11" x14ac:dyDescent="0.2">
      <c r="A1012" s="251"/>
      <c r="B1012" s="94"/>
      <c r="C1012" s="94"/>
      <c r="D1012" s="94"/>
      <c r="E1012" s="94"/>
      <c r="F1012" s="94"/>
      <c r="G1012" s="50"/>
      <c r="H1012" s="65"/>
      <c r="I1012" s="65"/>
      <c r="J1012" s="65"/>
      <c r="K1012" s="65"/>
    </row>
    <row r="1013" spans="1:11" x14ac:dyDescent="0.2">
      <c r="A1013" s="251"/>
      <c r="B1013" s="94"/>
      <c r="C1013" s="94"/>
      <c r="D1013" s="94"/>
      <c r="E1013" s="94"/>
      <c r="F1013" s="94"/>
      <c r="G1013" s="50"/>
      <c r="H1013" s="65"/>
      <c r="I1013" s="65"/>
      <c r="J1013" s="65"/>
      <c r="K1013" s="65"/>
    </row>
    <row r="1014" spans="1:11" x14ac:dyDescent="0.2">
      <c r="A1014" s="251"/>
      <c r="B1014" s="94"/>
      <c r="C1014" s="94"/>
      <c r="D1014" s="94"/>
      <c r="E1014" s="94"/>
      <c r="F1014" s="94"/>
      <c r="G1014" s="50"/>
      <c r="H1014" s="65"/>
      <c r="I1014" s="65"/>
      <c r="J1014" s="65"/>
      <c r="K1014" s="65"/>
    </row>
    <row r="1015" spans="1:11" x14ac:dyDescent="0.2">
      <c r="A1015" s="251"/>
      <c r="B1015" s="94"/>
      <c r="C1015" s="94"/>
      <c r="D1015" s="94"/>
      <c r="E1015" s="94"/>
      <c r="F1015" s="94"/>
      <c r="G1015" s="50"/>
      <c r="H1015" s="65"/>
      <c r="I1015" s="65"/>
      <c r="J1015" s="65"/>
      <c r="K1015" s="65"/>
    </row>
    <row r="1016" spans="1:11" x14ac:dyDescent="0.2">
      <c r="A1016" s="251"/>
      <c r="B1016" s="94"/>
      <c r="C1016" s="94"/>
      <c r="D1016" s="94"/>
      <c r="E1016" s="94"/>
      <c r="F1016" s="94"/>
      <c r="G1016" s="50"/>
      <c r="H1016" s="65"/>
      <c r="I1016" s="65"/>
      <c r="J1016" s="65"/>
      <c r="K1016" s="65"/>
    </row>
    <row r="1017" spans="1:11" x14ac:dyDescent="0.2">
      <c r="A1017" s="251"/>
      <c r="B1017" s="94"/>
      <c r="C1017" s="94"/>
      <c r="D1017" s="94"/>
      <c r="E1017" s="94"/>
      <c r="F1017" s="94"/>
      <c r="G1017" s="50"/>
      <c r="H1017" s="65"/>
      <c r="I1017" s="65"/>
      <c r="J1017" s="65"/>
      <c r="K1017" s="65"/>
    </row>
    <row r="1018" spans="1:11" x14ac:dyDescent="0.2">
      <c r="A1018" s="251"/>
      <c r="B1018" s="94"/>
      <c r="C1018" s="94"/>
      <c r="D1018" s="94"/>
      <c r="E1018" s="94"/>
      <c r="F1018" s="94"/>
      <c r="G1018" s="50"/>
      <c r="H1018" s="65"/>
      <c r="I1018" s="65"/>
      <c r="J1018" s="65"/>
      <c r="K1018" s="65"/>
    </row>
    <row r="1019" spans="1:11" x14ac:dyDescent="0.2">
      <c r="A1019" s="251"/>
      <c r="B1019" s="94"/>
      <c r="C1019" s="94"/>
      <c r="D1019" s="94"/>
      <c r="E1019" s="94"/>
      <c r="F1019" s="94"/>
      <c r="G1019" s="50"/>
      <c r="H1019" s="65"/>
      <c r="I1019" s="65"/>
      <c r="J1019" s="65"/>
      <c r="K1019" s="65"/>
    </row>
    <row r="1020" spans="1:11" x14ac:dyDescent="0.2">
      <c r="A1020" s="251"/>
      <c r="B1020" s="94"/>
      <c r="C1020" s="94"/>
      <c r="D1020" s="94"/>
      <c r="E1020" s="94"/>
      <c r="F1020" s="94"/>
      <c r="G1020" s="50"/>
      <c r="H1020" s="65"/>
      <c r="I1020" s="65"/>
      <c r="J1020" s="65"/>
      <c r="K1020" s="65"/>
    </row>
    <row r="1021" spans="1:11" x14ac:dyDescent="0.2">
      <c r="A1021" s="251"/>
      <c r="B1021" s="94"/>
      <c r="C1021" s="94"/>
      <c r="D1021" s="94"/>
      <c r="E1021" s="94"/>
      <c r="F1021" s="94"/>
      <c r="G1021" s="50"/>
      <c r="H1021" s="65"/>
      <c r="I1021" s="65"/>
      <c r="J1021" s="65"/>
      <c r="K1021" s="65"/>
    </row>
    <row r="1022" spans="1:11" x14ac:dyDescent="0.2">
      <c r="A1022" s="251"/>
      <c r="B1022" s="94"/>
      <c r="C1022" s="94"/>
      <c r="D1022" s="94"/>
      <c r="E1022" s="94"/>
      <c r="F1022" s="94"/>
      <c r="G1022" s="50"/>
      <c r="H1022" s="65"/>
      <c r="I1022" s="65"/>
      <c r="J1022" s="65"/>
      <c r="K1022" s="65"/>
    </row>
    <row r="1023" spans="1:11" x14ac:dyDescent="0.2">
      <c r="A1023" s="251"/>
      <c r="B1023" s="94"/>
      <c r="C1023" s="94"/>
      <c r="D1023" s="94"/>
      <c r="E1023" s="94"/>
      <c r="F1023" s="94"/>
      <c r="G1023" s="50"/>
      <c r="H1023" s="65"/>
      <c r="I1023" s="65"/>
      <c r="J1023" s="65"/>
      <c r="K1023" s="65"/>
    </row>
    <row r="1024" spans="1:11" x14ac:dyDescent="0.2">
      <c r="A1024" s="251"/>
      <c r="B1024" s="94"/>
      <c r="C1024" s="94"/>
      <c r="D1024" s="94"/>
      <c r="E1024" s="94"/>
      <c r="F1024" s="94"/>
      <c r="G1024" s="50"/>
      <c r="H1024" s="65"/>
      <c r="I1024" s="65"/>
      <c r="J1024" s="65"/>
      <c r="K1024" s="65"/>
    </row>
    <row r="1025" spans="1:11" x14ac:dyDescent="0.2">
      <c r="A1025" s="251"/>
      <c r="B1025" s="94"/>
      <c r="C1025" s="94"/>
      <c r="D1025" s="94"/>
      <c r="E1025" s="94"/>
      <c r="F1025" s="94"/>
      <c r="G1025" s="50"/>
      <c r="H1025" s="65"/>
      <c r="I1025" s="65"/>
      <c r="J1025" s="65"/>
      <c r="K1025" s="65"/>
    </row>
    <row r="1026" spans="1:11" x14ac:dyDescent="0.2">
      <c r="A1026" s="251"/>
      <c r="B1026" s="94"/>
      <c r="C1026" s="94"/>
      <c r="D1026" s="94"/>
      <c r="E1026" s="94"/>
      <c r="F1026" s="94"/>
      <c r="G1026" s="50"/>
      <c r="H1026" s="65"/>
      <c r="I1026" s="65"/>
      <c r="J1026" s="65"/>
      <c r="K1026" s="65"/>
    </row>
    <row r="1027" spans="1:11" x14ac:dyDescent="0.2">
      <c r="A1027" s="251"/>
      <c r="B1027" s="94"/>
      <c r="C1027" s="94"/>
      <c r="D1027" s="94"/>
      <c r="E1027" s="94"/>
      <c r="F1027" s="94"/>
      <c r="G1027" s="50"/>
      <c r="H1027" s="65"/>
      <c r="I1027" s="65"/>
      <c r="J1027" s="65"/>
      <c r="K1027" s="65"/>
    </row>
    <row r="1028" spans="1:11" x14ac:dyDescent="0.2">
      <c r="A1028" s="251"/>
      <c r="B1028" s="94"/>
      <c r="C1028" s="94"/>
      <c r="D1028" s="94"/>
      <c r="E1028" s="94"/>
      <c r="F1028" s="94"/>
      <c r="G1028" s="50"/>
      <c r="H1028" s="65"/>
      <c r="I1028" s="65"/>
      <c r="J1028" s="65"/>
      <c r="K1028" s="65"/>
    </row>
    <row r="1029" spans="1:11" x14ac:dyDescent="0.2">
      <c r="A1029" s="251"/>
      <c r="B1029" s="94"/>
      <c r="C1029" s="94"/>
      <c r="D1029" s="94"/>
      <c r="E1029" s="94"/>
      <c r="F1029" s="94"/>
      <c r="G1029" s="50"/>
      <c r="H1029" s="65"/>
      <c r="I1029" s="65"/>
      <c r="J1029" s="65"/>
      <c r="K1029" s="65"/>
    </row>
    <row r="1030" spans="1:11" x14ac:dyDescent="0.2">
      <c r="A1030" s="251"/>
      <c r="B1030" s="94"/>
      <c r="C1030" s="94"/>
      <c r="D1030" s="94"/>
      <c r="E1030" s="94"/>
      <c r="F1030" s="94"/>
      <c r="G1030" s="50"/>
      <c r="H1030" s="65"/>
      <c r="I1030" s="65"/>
      <c r="J1030" s="65"/>
      <c r="K1030" s="65"/>
    </row>
    <row r="1031" spans="1:11" x14ac:dyDescent="0.2">
      <c r="A1031" s="251"/>
      <c r="B1031" s="94"/>
      <c r="C1031" s="94"/>
      <c r="D1031" s="94"/>
      <c r="E1031" s="94"/>
      <c r="F1031" s="94"/>
      <c r="G1031" s="50"/>
      <c r="H1031" s="65"/>
      <c r="I1031" s="65"/>
      <c r="J1031" s="65"/>
      <c r="K1031" s="65"/>
    </row>
    <row r="1032" spans="1:11" x14ac:dyDescent="0.2">
      <c r="A1032" s="251"/>
      <c r="B1032" s="94"/>
      <c r="C1032" s="94"/>
      <c r="D1032" s="94"/>
      <c r="E1032" s="94"/>
      <c r="F1032" s="94"/>
      <c r="G1032" s="50"/>
      <c r="H1032" s="65"/>
      <c r="I1032" s="65"/>
      <c r="J1032" s="65"/>
      <c r="K1032" s="65"/>
    </row>
    <row r="1033" spans="1:11" x14ac:dyDescent="0.2">
      <c r="A1033" s="251"/>
      <c r="B1033" s="94"/>
      <c r="C1033" s="94"/>
      <c r="D1033" s="94"/>
      <c r="E1033" s="94"/>
      <c r="F1033" s="94"/>
      <c r="G1033" s="50"/>
      <c r="H1033" s="65"/>
      <c r="I1033" s="65"/>
      <c r="J1033" s="65"/>
      <c r="K1033" s="65"/>
    </row>
    <row r="1034" spans="1:11" x14ac:dyDescent="0.2">
      <c r="A1034" s="251"/>
      <c r="B1034" s="94"/>
      <c r="C1034" s="94"/>
      <c r="D1034" s="94"/>
      <c r="E1034" s="94"/>
      <c r="F1034" s="94"/>
      <c r="G1034" s="50"/>
      <c r="H1034" s="65"/>
      <c r="I1034" s="65"/>
      <c r="J1034" s="65"/>
      <c r="K1034" s="65"/>
    </row>
    <row r="1035" spans="1:11" x14ac:dyDescent="0.2">
      <c r="A1035" s="251"/>
      <c r="B1035" s="94"/>
      <c r="C1035" s="94"/>
      <c r="D1035" s="94"/>
      <c r="E1035" s="94"/>
      <c r="F1035" s="94"/>
      <c r="G1035" s="50"/>
      <c r="H1035" s="65"/>
      <c r="I1035" s="65"/>
      <c r="J1035" s="65"/>
      <c r="K1035" s="65"/>
    </row>
    <row r="1036" spans="1:11" x14ac:dyDescent="0.2">
      <c r="A1036" s="251"/>
      <c r="B1036" s="94"/>
      <c r="C1036" s="94"/>
      <c r="D1036" s="94"/>
      <c r="E1036" s="94"/>
      <c r="F1036" s="94"/>
      <c r="G1036" s="50"/>
      <c r="H1036" s="65"/>
      <c r="I1036" s="65"/>
      <c r="J1036" s="65"/>
      <c r="K1036" s="65"/>
    </row>
    <row r="1037" spans="1:11" x14ac:dyDescent="0.2">
      <c r="A1037" s="251"/>
      <c r="B1037" s="94"/>
      <c r="C1037" s="94"/>
      <c r="D1037" s="94"/>
      <c r="E1037" s="94"/>
      <c r="F1037" s="94"/>
      <c r="G1037" s="50"/>
      <c r="H1037" s="65"/>
      <c r="I1037" s="65"/>
      <c r="J1037" s="65"/>
      <c r="K1037" s="65"/>
    </row>
    <row r="1038" spans="1:11" x14ac:dyDescent="0.2">
      <c r="A1038" s="251"/>
      <c r="B1038" s="94"/>
      <c r="C1038" s="94"/>
      <c r="D1038" s="94"/>
      <c r="E1038" s="94"/>
      <c r="F1038" s="94"/>
      <c r="G1038" s="50"/>
      <c r="H1038" s="65"/>
      <c r="I1038" s="65"/>
      <c r="J1038" s="65"/>
      <c r="K1038" s="65"/>
    </row>
    <row r="1039" spans="1:11" x14ac:dyDescent="0.2">
      <c r="A1039" s="251"/>
      <c r="B1039" s="94"/>
      <c r="C1039" s="94"/>
      <c r="D1039" s="94"/>
      <c r="E1039" s="94"/>
      <c r="F1039" s="94"/>
      <c r="G1039" s="50"/>
      <c r="H1039" s="65"/>
      <c r="I1039" s="65"/>
      <c r="J1039" s="65"/>
      <c r="K1039" s="65"/>
    </row>
    <row r="1040" spans="1:11" x14ac:dyDescent="0.2">
      <c r="A1040" s="251"/>
      <c r="B1040" s="94"/>
      <c r="C1040" s="94"/>
      <c r="D1040" s="94"/>
      <c r="E1040" s="94"/>
      <c r="F1040" s="94"/>
      <c r="G1040" s="50"/>
      <c r="H1040" s="65"/>
      <c r="I1040" s="65"/>
      <c r="J1040" s="65"/>
      <c r="K1040" s="65"/>
    </row>
    <row r="1041" spans="1:11" x14ac:dyDescent="0.2">
      <c r="A1041" s="251"/>
      <c r="B1041" s="94"/>
      <c r="C1041" s="94"/>
      <c r="D1041" s="94"/>
      <c r="E1041" s="94"/>
      <c r="F1041" s="94"/>
      <c r="G1041" s="50"/>
      <c r="H1041" s="65"/>
      <c r="I1041" s="65"/>
      <c r="J1041" s="65"/>
      <c r="K1041" s="65"/>
    </row>
    <row r="1042" spans="1:11" x14ac:dyDescent="0.2">
      <c r="A1042" s="251"/>
      <c r="B1042" s="94"/>
      <c r="C1042" s="94"/>
      <c r="D1042" s="94"/>
      <c r="E1042" s="94"/>
      <c r="F1042" s="94"/>
      <c r="G1042" s="50"/>
      <c r="H1042" s="65"/>
      <c r="I1042" s="65"/>
      <c r="J1042" s="65"/>
      <c r="K1042" s="65"/>
    </row>
    <row r="1043" spans="1:11" x14ac:dyDescent="0.2">
      <c r="A1043" s="251"/>
      <c r="B1043" s="94"/>
      <c r="C1043" s="94"/>
      <c r="D1043" s="94"/>
      <c r="E1043" s="94"/>
      <c r="F1043" s="94"/>
      <c r="G1043" s="50"/>
      <c r="H1043" s="65"/>
      <c r="I1043" s="65"/>
      <c r="J1043" s="65"/>
      <c r="K1043" s="65"/>
    </row>
    <row r="1044" spans="1:11" x14ac:dyDescent="0.2">
      <c r="A1044" s="251"/>
      <c r="B1044" s="94"/>
      <c r="C1044" s="94"/>
      <c r="D1044" s="94"/>
      <c r="E1044" s="94"/>
      <c r="F1044" s="94"/>
      <c r="G1044" s="50"/>
      <c r="H1044" s="65"/>
      <c r="I1044" s="65"/>
      <c r="J1044" s="65"/>
      <c r="K1044" s="65"/>
    </row>
    <row r="1045" spans="1:11" x14ac:dyDescent="0.2">
      <c r="A1045" s="251"/>
      <c r="B1045" s="94"/>
      <c r="C1045" s="94"/>
      <c r="D1045" s="94"/>
      <c r="E1045" s="94"/>
      <c r="F1045" s="94"/>
      <c r="G1045" s="50"/>
      <c r="H1045" s="65"/>
      <c r="I1045" s="65"/>
      <c r="J1045" s="65"/>
      <c r="K1045" s="65"/>
    </row>
    <row r="1046" spans="1:11" x14ac:dyDescent="0.2">
      <c r="A1046" s="251"/>
      <c r="B1046" s="94"/>
      <c r="C1046" s="94"/>
      <c r="D1046" s="94"/>
      <c r="E1046" s="94"/>
      <c r="F1046" s="94"/>
      <c r="G1046" s="50"/>
      <c r="H1046" s="65"/>
      <c r="I1046" s="65"/>
      <c r="J1046" s="65"/>
      <c r="K1046" s="65"/>
    </row>
    <row r="1047" spans="1:11" x14ac:dyDescent="0.2">
      <c r="A1047" s="251"/>
      <c r="B1047" s="94"/>
      <c r="C1047" s="94"/>
      <c r="D1047" s="94"/>
      <c r="E1047" s="94"/>
      <c r="F1047" s="94"/>
      <c r="G1047" s="50"/>
      <c r="H1047" s="65"/>
      <c r="I1047" s="65"/>
      <c r="J1047" s="65"/>
      <c r="K1047" s="65"/>
    </row>
    <row r="1048" spans="1:11" x14ac:dyDescent="0.2">
      <c r="A1048" s="251"/>
      <c r="B1048" s="94"/>
      <c r="C1048" s="94"/>
      <c r="D1048" s="94"/>
      <c r="E1048" s="94"/>
      <c r="F1048" s="94"/>
      <c r="G1048" s="50"/>
      <c r="H1048" s="65"/>
      <c r="I1048" s="65"/>
      <c r="J1048" s="65"/>
      <c r="K1048" s="65"/>
    </row>
    <row r="1049" spans="1:11" x14ac:dyDescent="0.2">
      <c r="A1049" s="251"/>
      <c r="B1049" s="94"/>
      <c r="C1049" s="94"/>
      <c r="D1049" s="94"/>
      <c r="E1049" s="94"/>
      <c r="F1049" s="94"/>
      <c r="G1049" s="50"/>
      <c r="H1049" s="65"/>
      <c r="I1049" s="65"/>
      <c r="J1049" s="65"/>
      <c r="K1049" s="65"/>
    </row>
    <row r="1050" spans="1:11" x14ac:dyDescent="0.2">
      <c r="A1050" s="251"/>
      <c r="B1050" s="94"/>
      <c r="C1050" s="94"/>
      <c r="D1050" s="94"/>
      <c r="E1050" s="94"/>
      <c r="F1050" s="94"/>
      <c r="G1050" s="50"/>
      <c r="H1050" s="65"/>
      <c r="I1050" s="65"/>
      <c r="J1050" s="65"/>
      <c r="K1050" s="65"/>
    </row>
    <row r="1051" spans="1:11" x14ac:dyDescent="0.2">
      <c r="A1051" s="251"/>
      <c r="B1051" s="94"/>
      <c r="C1051" s="94"/>
      <c r="D1051" s="94"/>
      <c r="E1051" s="94"/>
      <c r="F1051" s="94"/>
      <c r="G1051" s="50"/>
      <c r="H1051" s="65"/>
      <c r="I1051" s="65"/>
      <c r="J1051" s="65"/>
      <c r="K1051" s="65"/>
    </row>
    <row r="1052" spans="1:11" x14ac:dyDescent="0.2">
      <c r="A1052" s="251"/>
      <c r="B1052" s="94"/>
      <c r="C1052" s="94"/>
      <c r="D1052" s="94"/>
      <c r="E1052" s="94"/>
      <c r="F1052" s="94"/>
      <c r="G1052" s="50"/>
      <c r="H1052" s="65"/>
      <c r="I1052" s="65"/>
      <c r="J1052" s="65"/>
      <c r="K1052" s="65"/>
    </row>
    <row r="1053" spans="1:11" x14ac:dyDescent="0.2">
      <c r="A1053" s="251"/>
      <c r="B1053" s="94"/>
      <c r="C1053" s="94"/>
      <c r="D1053" s="94"/>
      <c r="E1053" s="94"/>
      <c r="F1053" s="94"/>
      <c r="G1053" s="50"/>
      <c r="H1053" s="65"/>
      <c r="I1053" s="65"/>
      <c r="J1053" s="65"/>
      <c r="K1053" s="65"/>
    </row>
    <row r="1054" spans="1:11" x14ac:dyDescent="0.2">
      <c r="A1054" s="251"/>
      <c r="B1054" s="94"/>
      <c r="C1054" s="94"/>
      <c r="D1054" s="94"/>
      <c r="E1054" s="94"/>
      <c r="F1054" s="94"/>
      <c r="G1054" s="50"/>
      <c r="H1054" s="65"/>
      <c r="I1054" s="65"/>
      <c r="J1054" s="65"/>
      <c r="K1054" s="65"/>
    </row>
    <row r="1055" spans="1:11" x14ac:dyDescent="0.2">
      <c r="A1055" s="251"/>
      <c r="B1055" s="94"/>
      <c r="C1055" s="94"/>
      <c r="D1055" s="94"/>
      <c r="E1055" s="94"/>
      <c r="F1055" s="94"/>
      <c r="G1055" s="50"/>
      <c r="H1055" s="65"/>
      <c r="I1055" s="65"/>
      <c r="J1055" s="65"/>
      <c r="K1055" s="65"/>
    </row>
    <row r="1056" spans="1:11" x14ac:dyDescent="0.2">
      <c r="A1056" s="251"/>
      <c r="B1056" s="94"/>
      <c r="C1056" s="94"/>
      <c r="D1056" s="94"/>
      <c r="E1056" s="94"/>
      <c r="F1056" s="94"/>
      <c r="G1056" s="50"/>
      <c r="H1056" s="65"/>
      <c r="I1056" s="65"/>
      <c r="J1056" s="65"/>
      <c r="K1056" s="65"/>
    </row>
    <row r="1057" spans="1:11" x14ac:dyDescent="0.2">
      <c r="A1057" s="251"/>
      <c r="B1057" s="94"/>
      <c r="C1057" s="94"/>
      <c r="D1057" s="94"/>
      <c r="E1057" s="94"/>
      <c r="F1057" s="94"/>
      <c r="G1057" s="50"/>
      <c r="H1057" s="65"/>
      <c r="I1057" s="65"/>
      <c r="J1057" s="65"/>
      <c r="K1057" s="65"/>
    </row>
    <row r="1058" spans="1:11" x14ac:dyDescent="0.2">
      <c r="A1058" s="251"/>
      <c r="B1058" s="94"/>
      <c r="C1058" s="94"/>
      <c r="D1058" s="94"/>
      <c r="E1058" s="94"/>
      <c r="F1058" s="94"/>
      <c r="G1058" s="50"/>
      <c r="H1058" s="65"/>
      <c r="I1058" s="65"/>
      <c r="J1058" s="65"/>
      <c r="K1058" s="65"/>
    </row>
    <row r="1059" spans="1:11" x14ac:dyDescent="0.2">
      <c r="A1059" s="251"/>
      <c r="B1059" s="94"/>
      <c r="C1059" s="94"/>
      <c r="D1059" s="94"/>
      <c r="E1059" s="94"/>
      <c r="F1059" s="94"/>
      <c r="G1059" s="50"/>
      <c r="H1059" s="65"/>
      <c r="I1059" s="65"/>
      <c r="J1059" s="65"/>
      <c r="K1059" s="65"/>
    </row>
    <row r="1060" spans="1:11" x14ac:dyDescent="0.2">
      <c r="A1060" s="251"/>
      <c r="B1060" s="94"/>
      <c r="C1060" s="94"/>
      <c r="D1060" s="94"/>
      <c r="E1060" s="94"/>
      <c r="F1060" s="94"/>
      <c r="G1060" s="50"/>
      <c r="H1060" s="65"/>
      <c r="I1060" s="65"/>
      <c r="J1060" s="65"/>
      <c r="K1060" s="65"/>
    </row>
    <row r="1061" spans="1:11" x14ac:dyDescent="0.2">
      <c r="A1061" s="69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69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69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69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69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69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69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69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69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69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69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69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69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69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69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69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69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69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69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69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69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69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69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69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69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69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69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69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69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69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69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69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69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69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69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69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69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69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69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69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69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69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69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69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69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69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69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69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69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69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69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69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69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69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69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69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69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69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69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69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69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69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69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69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69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69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69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69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69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69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69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69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69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69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69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69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69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69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69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69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69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69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69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69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69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69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69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69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69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69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69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69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69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69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69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69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69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69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69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69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69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69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69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69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69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69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69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69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69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69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69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69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69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69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69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69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69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69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69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69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69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69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69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69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69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69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69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69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69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69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69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69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69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69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69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69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69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69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69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69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69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69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69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69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69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69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69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69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69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69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69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809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6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287</v>
      </c>
    </row>
    <row r="40" spans="2:2" x14ac:dyDescent="0.2">
      <c r="B40" s="1" t="s">
        <v>301</v>
      </c>
    </row>
    <row r="41" spans="2:2" x14ac:dyDescent="0.2">
      <c r="B41" s="1" t="s">
        <v>514</v>
      </c>
    </row>
    <row r="42" spans="2:2" x14ac:dyDescent="0.2">
      <c r="B42" s="1" t="s">
        <v>515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427</v>
      </c>
      <c r="F49" s="40" t="s">
        <v>428</v>
      </c>
      <c r="G49" s="1"/>
    </row>
    <row r="50" spans="3:8" hidden="1" x14ac:dyDescent="0.2">
      <c r="C50" s="41" t="s">
        <v>429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430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431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432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433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434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435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436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437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1074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206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544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1060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1061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543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320</v>
      </c>
    </row>
    <row r="50" spans="2:2" x14ac:dyDescent="0.2">
      <c r="B50" s="195" t="s">
        <v>317</v>
      </c>
    </row>
    <row r="51" spans="2:2" x14ac:dyDescent="0.2">
      <c r="B51" s="2" t="s">
        <v>708</v>
      </c>
    </row>
    <row r="52" spans="2:2" x14ac:dyDescent="0.2">
      <c r="B52" s="2" t="s">
        <v>318</v>
      </c>
    </row>
    <row r="54" spans="2:2" x14ac:dyDescent="0.2">
      <c r="B54" s="2" t="s">
        <v>319</v>
      </c>
    </row>
    <row r="56" spans="2:2" x14ac:dyDescent="0.2">
      <c r="B56" s="98" t="s">
        <v>321</v>
      </c>
    </row>
    <row r="62" spans="2:2" x14ac:dyDescent="0.2">
      <c r="B62" s="2" t="s">
        <v>322</v>
      </c>
    </row>
    <row r="64" spans="2:2" x14ac:dyDescent="0.2">
      <c r="B64" s="2" t="s">
        <v>323</v>
      </c>
    </row>
    <row r="65" spans="2:2" x14ac:dyDescent="0.2">
      <c r="B65" s="2" t="s">
        <v>324</v>
      </c>
    </row>
    <row r="66" spans="2:2" x14ac:dyDescent="0.2">
      <c r="B66" s="2" t="s">
        <v>325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1035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976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1036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1110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133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134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1078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516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968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258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>
      <selection activeCell="R38" sqref="R38"/>
    </sheetView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1078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911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968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970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2"/>
  <sheetViews>
    <sheetView showGridLines="0" showRowColHeaders="0" workbookViewId="0">
      <pane ySplit="22" topLeftCell="A15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8" t="s">
        <v>995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714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766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767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717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185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718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713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99" t="s">
        <v>972</v>
      </c>
      <c r="D21" s="299" t="s">
        <v>973</v>
      </c>
      <c r="E21" s="300" t="s">
        <v>441</v>
      </c>
      <c r="F21" s="300" t="s">
        <v>974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99"/>
      <c r="D22" s="299"/>
      <c r="E22" s="301"/>
      <c r="F22" s="301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3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3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3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3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3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3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3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3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3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3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3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3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3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3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1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1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3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3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3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3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5">
        <v>2.15332568359375E-2</v>
      </c>
      <c r="F144" s="225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5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58">
        <v>40999</v>
      </c>
      <c r="C159" s="163">
        <v>3.4631059570312511E-2</v>
      </c>
      <c r="D159" s="62">
        <v>2.1076218730202267E-2</v>
      </c>
    </row>
    <row r="160" spans="2:11" x14ac:dyDescent="0.2">
      <c r="B160" s="258">
        <v>41029</v>
      </c>
      <c r="C160" s="163">
        <v>3.3569233398437495E-2</v>
      </c>
      <c r="D160" s="62">
        <v>2.0288992060290667E-2</v>
      </c>
    </row>
    <row r="161" spans="2:4" x14ac:dyDescent="0.2">
      <c r="B161" s="258">
        <v>41060</v>
      </c>
      <c r="C161" s="163">
        <v>2.8288481445312506E-2</v>
      </c>
      <c r="D161" s="176">
        <v>1.4865738425540842E-2</v>
      </c>
    </row>
    <row r="162" spans="2:4" x14ac:dyDescent="0.2">
      <c r="B162" s="258">
        <v>41090</v>
      </c>
      <c r="C162" s="163">
        <v>2.8859262695312506E-2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A12" sqref="A12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719</v>
      </c>
    </row>
    <row r="2" spans="1:20" ht="18" x14ac:dyDescent="0.25">
      <c r="B2" s="229" t="s">
        <v>996</v>
      </c>
      <c r="P2" s="46"/>
    </row>
    <row r="4" spans="1:20" x14ac:dyDescent="0.2">
      <c r="B4" s="47" t="s">
        <v>977</v>
      </c>
      <c r="P4" s="47"/>
    </row>
    <row r="5" spans="1:20" x14ac:dyDescent="0.2">
      <c r="B5" s="47" t="s">
        <v>719</v>
      </c>
      <c r="P5" s="47"/>
    </row>
    <row r="6" spans="1:20" x14ac:dyDescent="0.2">
      <c r="B6" s="47" t="s">
        <v>978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979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3">
        <v>41090</v>
      </c>
      <c r="P11" s="80"/>
      <c r="Q11" s="85"/>
      <c r="R11" s="80"/>
    </row>
    <row r="12" spans="1:20" x14ac:dyDescent="0.2">
      <c r="B12" s="44" t="s">
        <v>440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262">
        <v>5.436843776999889E-2</v>
      </c>
      <c r="P12" s="76"/>
      <c r="Q12" s="86"/>
      <c r="S12" s="66"/>
    </row>
    <row r="13" spans="1:20" x14ac:dyDescent="0.2">
      <c r="B13" s="19" t="s">
        <v>748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262">
        <v>8.3872487603983581E-2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1033</v>
      </c>
      <c r="L16" s="98"/>
      <c r="P16" s="88"/>
      <c r="Q16" s="89"/>
      <c r="S16" s="66"/>
    </row>
    <row r="17" spans="1:19" x14ac:dyDescent="0.2">
      <c r="B17" s="19" t="s">
        <v>1034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N18" s="262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N19" s="262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62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62"/>
      <c r="O23" s="262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55">
        <v>41090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730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355.06603240698024</v>
      </c>
    </row>
    <row r="13" spans="1:27" x14ac:dyDescent="0.2">
      <c r="B13" s="44" t="s">
        <v>731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414.36394120998403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6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9" t="s">
        <v>997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186</v>
      </c>
      <c r="I7" s="47"/>
      <c r="K7" s="47"/>
    </row>
    <row r="8" spans="2:22" x14ac:dyDescent="0.2">
      <c r="B8" s="47" t="s">
        <v>971</v>
      </c>
      <c r="I8" s="47"/>
      <c r="K8" s="47"/>
    </row>
    <row r="9" spans="2:22" x14ac:dyDescent="0.2">
      <c r="B9" s="47"/>
      <c r="I9" s="47"/>
    </row>
    <row r="10" spans="2:22" x14ac:dyDescent="0.2">
      <c r="B10" s="254" t="s">
        <v>5</v>
      </c>
      <c r="I10" s="49"/>
      <c r="K10" s="47"/>
    </row>
    <row r="11" spans="2:22" x14ac:dyDescent="0.2">
      <c r="B11" s="47" t="s">
        <v>863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99" t="s">
        <v>103</v>
      </c>
      <c r="D18" s="299" t="s">
        <v>104</v>
      </c>
      <c r="E18" s="299" t="s">
        <v>715</v>
      </c>
      <c r="F18" s="299" t="s">
        <v>716</v>
      </c>
      <c r="G18" s="53"/>
      <c r="H18" s="53"/>
      <c r="I18" s="53"/>
      <c r="K18" s="53"/>
      <c r="L18" s="299"/>
      <c r="M18" s="299"/>
      <c r="N18" s="299"/>
      <c r="O18" s="299"/>
      <c r="P18" s="53"/>
      <c r="Q18" s="53"/>
    </row>
    <row r="19" spans="2:22" s="55" customFormat="1" x14ac:dyDescent="0.2">
      <c r="B19" s="56"/>
      <c r="C19" s="299"/>
      <c r="D19" s="299"/>
      <c r="E19" s="299"/>
      <c r="F19" s="299"/>
      <c r="G19" s="58"/>
      <c r="H19" s="59"/>
      <c r="I19" s="58"/>
      <c r="K19" s="56"/>
      <c r="L19" s="299"/>
      <c r="M19" s="299"/>
      <c r="N19" s="299"/>
      <c r="O19" s="299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7">
        <v>-3.2258906758955153E-3</v>
      </c>
      <c r="D150" s="227">
        <v>-1.9457870608243777E-2</v>
      </c>
      <c r="E150" s="227">
        <v>-3.4398096944852075E-2</v>
      </c>
      <c r="F150" s="227">
        <v>-0.19063329206921498</v>
      </c>
    </row>
    <row r="151" spans="2:6" x14ac:dyDescent="0.2">
      <c r="B151" s="67">
        <v>40847</v>
      </c>
      <c r="C151" s="227">
        <v>2.7862013168424848E-3</v>
      </c>
      <c r="D151" s="227">
        <v>-1.3421994319146924E-2</v>
      </c>
      <c r="E151" s="227">
        <v>3.0839724905906474E-2</v>
      </c>
      <c r="F151" s="227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60">
        <v>41060</v>
      </c>
      <c r="C158" s="263">
        <v>6.3884371626934389E-3</v>
      </c>
      <c r="D158" s="263">
        <v>-9.5529530528657425E-3</v>
      </c>
      <c r="E158" s="263">
        <v>7.5981590412642186E-2</v>
      </c>
      <c r="F158" s="163">
        <v>-0.10332023030358439</v>
      </c>
    </row>
    <row r="159" spans="2:6" x14ac:dyDescent="0.2">
      <c r="B159" s="160">
        <v>41090</v>
      </c>
      <c r="C159" s="263">
        <v>6.9047400213084753E-3</v>
      </c>
      <c r="D159" s="263"/>
      <c r="E159" s="263">
        <v>8.2967598728947989E-2</v>
      </c>
      <c r="F159" s="163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710</v>
      </c>
      <c r="E2" s="69"/>
    </row>
    <row r="5" spans="3:8" x14ac:dyDescent="0.2">
      <c r="C5" s="47" t="s">
        <v>913</v>
      </c>
    </row>
    <row r="6" spans="3:8" x14ac:dyDescent="0.2">
      <c r="C6" s="44" t="s">
        <v>921</v>
      </c>
    </row>
    <row r="7" spans="3:8" x14ac:dyDescent="0.2">
      <c r="C7" s="44" t="s">
        <v>489</v>
      </c>
      <c r="D7" s="47"/>
      <c r="E7" s="47"/>
    </row>
    <row r="9" spans="3:8" x14ac:dyDescent="0.2">
      <c r="C9" s="47" t="s">
        <v>914</v>
      </c>
      <c r="H9" s="44" t="s">
        <v>457</v>
      </c>
    </row>
    <row r="10" spans="3:8" x14ac:dyDescent="0.2">
      <c r="C10" s="44" t="s">
        <v>922</v>
      </c>
    </row>
    <row r="11" spans="3:8" x14ac:dyDescent="0.2">
      <c r="C11" s="44" t="s">
        <v>257</v>
      </c>
    </row>
    <row r="12" spans="3:8" x14ac:dyDescent="0.2">
      <c r="C12" s="75" t="s">
        <v>506</v>
      </c>
    </row>
    <row r="13" spans="3:8" x14ac:dyDescent="0.2">
      <c r="C13" s="75"/>
    </row>
    <row r="14" spans="3:8" x14ac:dyDescent="0.2">
      <c r="C14" s="21" t="s">
        <v>919</v>
      </c>
    </row>
    <row r="15" spans="3:8" x14ac:dyDescent="0.2">
      <c r="C15" t="s">
        <v>918</v>
      </c>
    </row>
    <row r="16" spans="3:8" x14ac:dyDescent="0.2">
      <c r="C16" s="75"/>
    </row>
    <row r="17" spans="3:4" x14ac:dyDescent="0.2">
      <c r="C17" s="47" t="s">
        <v>703</v>
      </c>
    </row>
    <row r="18" spans="3:4" x14ac:dyDescent="0.2">
      <c r="C18" s="44" t="s">
        <v>458</v>
      </c>
    </row>
    <row r="20" spans="3:4" x14ac:dyDescent="0.2">
      <c r="C20" s="47" t="s">
        <v>691</v>
      </c>
    </row>
    <row r="21" spans="3:4" x14ac:dyDescent="0.2">
      <c r="C21" s="44" t="s">
        <v>81</v>
      </c>
    </row>
    <row r="22" spans="3:4" x14ac:dyDescent="0.2">
      <c r="C22" s="44" t="s">
        <v>83</v>
      </c>
    </row>
    <row r="23" spans="3:4" x14ac:dyDescent="0.2">
      <c r="C23" s="44" t="s">
        <v>82</v>
      </c>
    </row>
    <row r="25" spans="3:4" x14ac:dyDescent="0.2">
      <c r="C25" s="47" t="s">
        <v>690</v>
      </c>
      <c r="D25" s="47"/>
    </row>
    <row r="26" spans="3:4" x14ac:dyDescent="0.2">
      <c r="C26" s="44" t="s">
        <v>711</v>
      </c>
    </row>
    <row r="27" spans="3:4" x14ac:dyDescent="0.2">
      <c r="C27" s="44" t="s">
        <v>712</v>
      </c>
    </row>
    <row r="29" spans="3:4" x14ac:dyDescent="0.2">
      <c r="C29" s="47" t="s">
        <v>704</v>
      </c>
    </row>
    <row r="30" spans="3:4" x14ac:dyDescent="0.2">
      <c r="C30" s="44" t="s">
        <v>459</v>
      </c>
    </row>
    <row r="31" spans="3:4" x14ac:dyDescent="0.2">
      <c r="C31" s="47"/>
    </row>
    <row r="32" spans="3:4" x14ac:dyDescent="0.2">
      <c r="C32" s="47" t="s">
        <v>705</v>
      </c>
    </row>
    <row r="33" spans="3:3" x14ac:dyDescent="0.2">
      <c r="C33" s="44" t="s">
        <v>79</v>
      </c>
    </row>
    <row r="34" spans="3:3" x14ac:dyDescent="0.2">
      <c r="C34" s="44" t="s">
        <v>78</v>
      </c>
    </row>
    <row r="36" spans="3:3" x14ac:dyDescent="0.2">
      <c r="C36" s="47" t="s">
        <v>706</v>
      </c>
    </row>
    <row r="37" spans="3:3" x14ac:dyDescent="0.2">
      <c r="C37" s="44" t="s">
        <v>84</v>
      </c>
    </row>
    <row r="39" spans="3:3" x14ac:dyDescent="0.2">
      <c r="C39" s="47" t="s">
        <v>707</v>
      </c>
    </row>
    <row r="40" spans="3:3" x14ac:dyDescent="0.2">
      <c r="C40" s="44" t="s">
        <v>709</v>
      </c>
    </row>
    <row r="42" spans="3:3" x14ac:dyDescent="0.2">
      <c r="C42" s="47" t="s">
        <v>460</v>
      </c>
    </row>
    <row r="43" spans="3:3" x14ac:dyDescent="0.2">
      <c r="C43" s="44" t="s">
        <v>920</v>
      </c>
    </row>
    <row r="44" spans="3:3" x14ac:dyDescent="0.2">
      <c r="C44" s="44" t="s">
        <v>80</v>
      </c>
    </row>
    <row r="45" spans="3:3" x14ac:dyDescent="0.2">
      <c r="C45" s="44" t="s">
        <v>85</v>
      </c>
    </row>
    <row r="46" spans="3:3" x14ac:dyDescent="0.2">
      <c r="C46" s="44" t="s">
        <v>86</v>
      </c>
    </row>
    <row r="47" spans="3:3" x14ac:dyDescent="0.2">
      <c r="C47" s="44" t="s">
        <v>87</v>
      </c>
    </row>
    <row r="48" spans="3:3" x14ac:dyDescent="0.2">
      <c r="C48" s="19" t="s">
        <v>1075</v>
      </c>
    </row>
    <row r="51" spans="3:16" x14ac:dyDescent="0.2">
      <c r="C51" s="47" t="s">
        <v>461</v>
      </c>
    </row>
    <row r="52" spans="3:16" x14ac:dyDescent="0.2">
      <c r="C52" s="19" t="s">
        <v>1102</v>
      </c>
    </row>
    <row r="53" spans="3:16" x14ac:dyDescent="0.2">
      <c r="C53" s="19" t="s">
        <v>1076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166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713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423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286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424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96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425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97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426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438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634</v>
      </c>
    </row>
    <row r="4" spans="2:2" x14ac:dyDescent="0.2">
      <c r="B4" s="5" t="s">
        <v>636</v>
      </c>
    </row>
    <row r="5" spans="2:2" x14ac:dyDescent="0.2">
      <c r="B5" s="5" t="s">
        <v>637</v>
      </c>
    </row>
    <row r="6" spans="2:2" x14ac:dyDescent="0.2">
      <c r="B6" s="5" t="s">
        <v>633</v>
      </c>
    </row>
    <row r="8" spans="2:2" x14ac:dyDescent="0.2">
      <c r="B8" s="9" t="s">
        <v>635</v>
      </c>
    </row>
    <row r="9" spans="2:2" x14ac:dyDescent="0.2">
      <c r="B9" s="9" t="s">
        <v>738</v>
      </c>
    </row>
    <row r="18" spans="2:2" x14ac:dyDescent="0.2">
      <c r="B18" s="8"/>
    </row>
    <row r="23" spans="2:2" x14ac:dyDescent="0.2">
      <c r="B23" s="5" t="s">
        <v>448</v>
      </c>
    </row>
    <row r="24" spans="2:2" x14ac:dyDescent="0.2">
      <c r="B24" s="5" t="s">
        <v>523</v>
      </c>
    </row>
    <row r="25" spans="2:2" x14ac:dyDescent="0.2">
      <c r="B25" s="5" t="s">
        <v>524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18</vt:i4>
      </vt:variant>
      <vt:variant>
        <vt:lpstr>Namngivna områden</vt:lpstr>
      </vt:variant>
      <vt:variant>
        <vt:i4>18</vt:i4>
      </vt:variant>
    </vt:vector>
  </HeadingPairs>
  <TitlesOfParts>
    <vt:vector size="36" baseType="lpstr">
      <vt:lpstr>Innehåll</vt:lpstr>
      <vt:lpstr>Första halvåret 2012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2012-07-20T15:02:08Z</dcterms:modified>
</cp:coreProperties>
</file>